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lle\Downloads\"/>
    </mc:Choice>
  </mc:AlternateContent>
  <xr:revisionPtr revIDLastSave="0" documentId="13_ncr:1_{B0736542-78F7-4CD3-9C84-4F2FFC3E36DE}" xr6:coauthVersionLast="47" xr6:coauthVersionMax="47" xr10:uidLastSave="{00000000-0000-0000-0000-000000000000}"/>
  <bookViews>
    <workbookView xWindow="-108" yWindow="-108" windowWidth="23256" windowHeight="12456" tabRatio="848" firstSheet="10" activeTab="10" xr2:uid="{00000000-000D-0000-FFFF-FFFF00000000}"/>
  </bookViews>
  <sheets>
    <sheet name="Plan11 (2)" sheetId="14" state="hidden" r:id="rId1"/>
    <sheet name="Plan9" sheetId="10" state="hidden" r:id="rId2"/>
    <sheet name="2022" sheetId="3" state="hidden" r:id="rId3"/>
    <sheet name="Plan15" sheetId="16" state="hidden" r:id="rId4"/>
    <sheet name="2021" sheetId="2" state="hidden" r:id="rId5"/>
    <sheet name="2023" sheetId="4" state="hidden" r:id="rId6"/>
    <sheet name="Plan20" sheetId="21" state="hidden" r:id="rId7"/>
    <sheet name="2025" sheetId="6" state="hidden" r:id="rId8"/>
    <sheet name="Plan5" sheetId="37" state="hidden" r:id="rId9"/>
    <sheet name="Plan8" sheetId="26" state="hidden" r:id="rId10"/>
    <sheet name="cal" sheetId="25" r:id="rId11"/>
  </sheets>
  <definedNames>
    <definedName name="_xlnm._FilterDatabase" localSheetId="7" hidden="1">'2025'!$A$1:$O$937</definedName>
    <definedName name="_xlnm._FilterDatabase" localSheetId="10" hidden="1">cal!$A$1:$C$81</definedName>
    <definedName name="_xlnm._FilterDatabase" localSheetId="0" hidden="1">'Plan11 (2)'!$A$1:$T$469</definedName>
    <definedName name="_xlnm._FilterDatabase" localSheetId="8" hidden="1">Plan5!$A$1:$L$79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9" i="14" l="1"/>
  <c r="M469" i="14"/>
  <c r="L469" i="14"/>
  <c r="K469" i="14"/>
  <c r="J469" i="14"/>
  <c r="I469" i="14"/>
  <c r="H469" i="14"/>
  <c r="G469" i="14"/>
  <c r="F469" i="14"/>
  <c r="N468" i="14"/>
  <c r="M468" i="14"/>
  <c r="L468" i="14"/>
  <c r="K468" i="14"/>
  <c r="J468" i="14"/>
  <c r="I468" i="14"/>
  <c r="H468" i="14"/>
  <c r="G468" i="14"/>
  <c r="F468" i="14"/>
  <c r="N467" i="14"/>
  <c r="M467" i="14"/>
  <c r="L467" i="14"/>
  <c r="K467" i="14"/>
  <c r="J467" i="14"/>
  <c r="I467" i="14"/>
  <c r="H467" i="14"/>
  <c r="G467" i="14"/>
  <c r="F467" i="14"/>
  <c r="N466" i="14"/>
  <c r="M466" i="14"/>
  <c r="L466" i="14"/>
  <c r="K466" i="14"/>
  <c r="J466" i="14"/>
  <c r="I466" i="14"/>
  <c r="H466" i="14"/>
  <c r="G466" i="14"/>
  <c r="F466" i="14"/>
  <c r="N465" i="14"/>
  <c r="M465" i="14"/>
  <c r="L465" i="14"/>
  <c r="K465" i="14"/>
  <c r="J465" i="14"/>
  <c r="I465" i="14"/>
  <c r="H465" i="14"/>
  <c r="G465" i="14"/>
  <c r="F465" i="14"/>
  <c r="N464" i="14"/>
  <c r="M464" i="14"/>
  <c r="L464" i="14"/>
  <c r="K464" i="14"/>
  <c r="J464" i="14"/>
  <c r="I464" i="14"/>
  <c r="H464" i="14"/>
  <c r="G464" i="14"/>
  <c r="F464" i="14"/>
  <c r="N463" i="14"/>
  <c r="M463" i="14"/>
  <c r="L463" i="14"/>
  <c r="K463" i="14"/>
  <c r="J463" i="14"/>
  <c r="I463" i="14"/>
  <c r="H463" i="14"/>
  <c r="G463" i="14"/>
  <c r="F463" i="14"/>
  <c r="N462" i="14"/>
  <c r="M462" i="14"/>
  <c r="L462" i="14"/>
  <c r="K462" i="14"/>
  <c r="J462" i="14"/>
  <c r="I462" i="14"/>
  <c r="H462" i="14"/>
  <c r="G462" i="14"/>
  <c r="F462" i="14"/>
  <c r="N461" i="14"/>
  <c r="M461" i="14"/>
  <c r="L461" i="14"/>
  <c r="K461" i="14"/>
  <c r="J461" i="14"/>
  <c r="I461" i="14"/>
  <c r="H461" i="14"/>
  <c r="G461" i="14"/>
  <c r="F461" i="14"/>
  <c r="N460" i="14"/>
  <c r="M460" i="14"/>
  <c r="L460" i="14"/>
  <c r="K460" i="14"/>
  <c r="J460" i="14"/>
  <c r="I460" i="14"/>
  <c r="H460" i="14"/>
  <c r="G460" i="14"/>
  <c r="F460" i="14"/>
  <c r="N459" i="14"/>
  <c r="M459" i="14"/>
  <c r="L459" i="14"/>
  <c r="K459" i="14"/>
  <c r="J459" i="14"/>
  <c r="I459" i="14"/>
  <c r="H459" i="14"/>
  <c r="G459" i="14"/>
  <c r="F459" i="14"/>
  <c r="N458" i="14"/>
  <c r="M458" i="14"/>
  <c r="L458" i="14"/>
  <c r="K458" i="14"/>
  <c r="J458" i="14"/>
  <c r="I458" i="14"/>
  <c r="H458" i="14"/>
  <c r="G458" i="14"/>
  <c r="F458" i="14"/>
  <c r="N457" i="14"/>
  <c r="M457" i="14"/>
  <c r="L457" i="14"/>
  <c r="K457" i="14"/>
  <c r="J457" i="14"/>
  <c r="I457" i="14"/>
  <c r="H457" i="14"/>
  <c r="G457" i="14"/>
  <c r="F457" i="14"/>
  <c r="N456" i="14"/>
  <c r="M456" i="14"/>
  <c r="L456" i="14"/>
  <c r="K456" i="14"/>
  <c r="J456" i="14"/>
  <c r="I456" i="14"/>
  <c r="H456" i="14"/>
  <c r="G456" i="14"/>
  <c r="F456" i="14"/>
  <c r="N455" i="14"/>
  <c r="M455" i="14"/>
  <c r="L455" i="14"/>
  <c r="K455" i="14"/>
  <c r="J455" i="14"/>
  <c r="I455" i="14"/>
  <c r="H455" i="14"/>
  <c r="G455" i="14"/>
  <c r="F455" i="14"/>
  <c r="N454" i="14"/>
  <c r="M454" i="14"/>
  <c r="L454" i="14"/>
  <c r="K454" i="14"/>
  <c r="J454" i="14"/>
  <c r="I454" i="14"/>
  <c r="H454" i="14"/>
  <c r="G454" i="14"/>
  <c r="F454" i="14"/>
  <c r="N453" i="14"/>
  <c r="M453" i="14"/>
  <c r="L453" i="14"/>
  <c r="K453" i="14"/>
  <c r="J453" i="14"/>
  <c r="I453" i="14"/>
  <c r="H453" i="14"/>
  <c r="G453" i="14"/>
  <c r="F453" i="14"/>
  <c r="N452" i="14"/>
  <c r="M452" i="14"/>
  <c r="L452" i="14"/>
  <c r="K452" i="14"/>
  <c r="J452" i="14"/>
  <c r="I452" i="14"/>
  <c r="H452" i="14"/>
  <c r="G452" i="14"/>
  <c r="F452" i="14"/>
  <c r="N451" i="14"/>
  <c r="M451" i="14"/>
  <c r="L451" i="14"/>
  <c r="K451" i="14"/>
  <c r="J451" i="14"/>
  <c r="I451" i="14"/>
  <c r="H451" i="14"/>
  <c r="G451" i="14"/>
  <c r="F451" i="14"/>
  <c r="N450" i="14"/>
  <c r="M450" i="14"/>
  <c r="L450" i="14"/>
  <c r="K450" i="14"/>
  <c r="J450" i="14"/>
  <c r="I450" i="14"/>
  <c r="H450" i="14"/>
  <c r="G450" i="14"/>
  <c r="F450" i="14"/>
  <c r="N449" i="14"/>
  <c r="M449" i="14"/>
  <c r="L449" i="14"/>
  <c r="K449" i="14"/>
  <c r="J449" i="14"/>
  <c r="I449" i="14"/>
  <c r="H449" i="14"/>
  <c r="G449" i="14"/>
  <c r="F449" i="14"/>
  <c r="N448" i="14"/>
  <c r="M448" i="14"/>
  <c r="L448" i="14"/>
  <c r="K448" i="14"/>
  <c r="J448" i="14"/>
  <c r="I448" i="14"/>
  <c r="H448" i="14"/>
  <c r="G448" i="14"/>
  <c r="F448" i="14"/>
  <c r="N447" i="14"/>
  <c r="M447" i="14"/>
  <c r="L447" i="14"/>
  <c r="K447" i="14"/>
  <c r="J447" i="14"/>
  <c r="I447" i="14"/>
  <c r="H447" i="14"/>
  <c r="G447" i="14"/>
  <c r="F447" i="14"/>
  <c r="N446" i="14"/>
  <c r="M446" i="14"/>
  <c r="L446" i="14"/>
  <c r="K446" i="14"/>
  <c r="J446" i="14"/>
  <c r="I446" i="14"/>
  <c r="H446" i="14"/>
  <c r="G446" i="14"/>
  <c r="F446" i="14"/>
  <c r="N445" i="14"/>
  <c r="M445" i="14"/>
  <c r="L445" i="14"/>
  <c r="K445" i="14"/>
  <c r="J445" i="14"/>
  <c r="I445" i="14"/>
  <c r="H445" i="14"/>
  <c r="G445" i="14"/>
  <c r="F445" i="14"/>
  <c r="N444" i="14"/>
  <c r="M444" i="14"/>
  <c r="L444" i="14"/>
  <c r="K444" i="14"/>
  <c r="J444" i="14"/>
  <c r="I444" i="14"/>
  <c r="H444" i="14"/>
  <c r="G444" i="14"/>
  <c r="F444" i="14"/>
  <c r="N443" i="14"/>
  <c r="M443" i="14"/>
  <c r="L443" i="14"/>
  <c r="K443" i="14"/>
  <c r="J443" i="14"/>
  <c r="I443" i="14"/>
  <c r="H443" i="14"/>
  <c r="G443" i="14"/>
  <c r="F443" i="14"/>
  <c r="N442" i="14"/>
  <c r="M442" i="14"/>
  <c r="L442" i="14"/>
  <c r="K442" i="14"/>
  <c r="J442" i="14"/>
  <c r="I442" i="14"/>
  <c r="H442" i="14"/>
  <c r="G442" i="14"/>
  <c r="F442" i="14"/>
  <c r="N441" i="14"/>
  <c r="M441" i="14"/>
  <c r="L441" i="14"/>
  <c r="K441" i="14"/>
  <c r="J441" i="14"/>
  <c r="I441" i="14"/>
  <c r="H441" i="14"/>
  <c r="G441" i="14"/>
  <c r="F441" i="14"/>
  <c r="N440" i="14"/>
  <c r="M440" i="14"/>
  <c r="L440" i="14"/>
  <c r="K440" i="14"/>
  <c r="J440" i="14"/>
  <c r="I440" i="14"/>
  <c r="H440" i="14"/>
  <c r="G440" i="14"/>
  <c r="F440" i="14"/>
  <c r="N439" i="14"/>
  <c r="M439" i="14"/>
  <c r="L439" i="14"/>
  <c r="K439" i="14"/>
  <c r="J439" i="14"/>
  <c r="I439" i="14"/>
  <c r="H439" i="14"/>
  <c r="G439" i="14"/>
  <c r="F439" i="14"/>
  <c r="N438" i="14"/>
  <c r="M438" i="14"/>
  <c r="L438" i="14"/>
  <c r="K438" i="14"/>
  <c r="J438" i="14"/>
  <c r="I438" i="14"/>
  <c r="H438" i="14"/>
  <c r="G438" i="14"/>
  <c r="F438" i="14"/>
  <c r="N437" i="14"/>
  <c r="M437" i="14"/>
  <c r="L437" i="14"/>
  <c r="K437" i="14"/>
  <c r="J437" i="14"/>
  <c r="I437" i="14"/>
  <c r="H437" i="14"/>
  <c r="G437" i="14"/>
  <c r="F437" i="14"/>
  <c r="N436" i="14"/>
  <c r="M436" i="14"/>
  <c r="L436" i="14"/>
  <c r="K436" i="14"/>
  <c r="J436" i="14"/>
  <c r="I436" i="14"/>
  <c r="H436" i="14"/>
  <c r="G436" i="14"/>
  <c r="F436" i="14"/>
  <c r="N435" i="14"/>
  <c r="M435" i="14"/>
  <c r="L435" i="14"/>
  <c r="K435" i="14"/>
  <c r="J435" i="14"/>
  <c r="I435" i="14"/>
  <c r="H435" i="14"/>
  <c r="G435" i="14"/>
  <c r="F435" i="14"/>
  <c r="N434" i="14"/>
  <c r="M434" i="14"/>
  <c r="L434" i="14"/>
  <c r="K434" i="14"/>
  <c r="J434" i="14"/>
  <c r="I434" i="14"/>
  <c r="H434" i="14"/>
  <c r="G434" i="14"/>
  <c r="F434" i="14"/>
  <c r="N433" i="14"/>
  <c r="M433" i="14"/>
  <c r="L433" i="14"/>
  <c r="K433" i="14"/>
  <c r="J433" i="14"/>
  <c r="I433" i="14"/>
  <c r="H433" i="14"/>
  <c r="G433" i="14"/>
  <c r="F433" i="14"/>
  <c r="N432" i="14"/>
  <c r="M432" i="14"/>
  <c r="L432" i="14"/>
  <c r="K432" i="14"/>
  <c r="J432" i="14"/>
  <c r="I432" i="14"/>
  <c r="H432" i="14"/>
  <c r="G432" i="14"/>
  <c r="F432" i="14"/>
  <c r="N431" i="14"/>
  <c r="M431" i="14"/>
  <c r="L431" i="14"/>
  <c r="K431" i="14"/>
  <c r="J431" i="14"/>
  <c r="I431" i="14"/>
  <c r="H431" i="14"/>
  <c r="G431" i="14"/>
  <c r="F431" i="14"/>
  <c r="N430" i="14"/>
  <c r="M430" i="14"/>
  <c r="L430" i="14"/>
  <c r="K430" i="14"/>
  <c r="J430" i="14"/>
  <c r="I430" i="14"/>
  <c r="H430" i="14"/>
  <c r="G430" i="14"/>
  <c r="F430" i="14"/>
  <c r="N429" i="14"/>
  <c r="M429" i="14"/>
  <c r="L429" i="14"/>
  <c r="K429" i="14"/>
  <c r="J429" i="14"/>
  <c r="I429" i="14"/>
  <c r="H429" i="14"/>
  <c r="G429" i="14"/>
  <c r="F429" i="14"/>
  <c r="N428" i="14"/>
  <c r="M428" i="14"/>
  <c r="L428" i="14"/>
  <c r="K428" i="14"/>
  <c r="J428" i="14"/>
  <c r="I428" i="14"/>
  <c r="H428" i="14"/>
  <c r="G428" i="14"/>
  <c r="F428" i="14"/>
  <c r="N427" i="14"/>
  <c r="M427" i="14"/>
  <c r="L427" i="14"/>
  <c r="K427" i="14"/>
  <c r="J427" i="14"/>
  <c r="I427" i="14"/>
  <c r="H427" i="14"/>
  <c r="G427" i="14"/>
  <c r="F427" i="14"/>
  <c r="N426" i="14"/>
  <c r="M426" i="14"/>
  <c r="L426" i="14"/>
  <c r="K426" i="14"/>
  <c r="J426" i="14"/>
  <c r="I426" i="14"/>
  <c r="H426" i="14"/>
  <c r="G426" i="14"/>
  <c r="F426" i="14"/>
  <c r="N425" i="14"/>
  <c r="M425" i="14"/>
  <c r="L425" i="14"/>
  <c r="K425" i="14"/>
  <c r="J425" i="14"/>
  <c r="I425" i="14"/>
  <c r="H425" i="14"/>
  <c r="G425" i="14"/>
  <c r="F425" i="14"/>
  <c r="N424" i="14"/>
  <c r="M424" i="14"/>
  <c r="L424" i="14"/>
  <c r="K424" i="14"/>
  <c r="J424" i="14"/>
  <c r="I424" i="14"/>
  <c r="H424" i="14"/>
  <c r="G424" i="14"/>
  <c r="F424" i="14"/>
  <c r="N423" i="14"/>
  <c r="M423" i="14"/>
  <c r="L423" i="14"/>
  <c r="K423" i="14"/>
  <c r="J423" i="14"/>
  <c r="I423" i="14"/>
  <c r="H423" i="14"/>
  <c r="G423" i="14"/>
  <c r="F423" i="14"/>
  <c r="N422" i="14"/>
  <c r="M422" i="14"/>
  <c r="L422" i="14"/>
  <c r="K422" i="14"/>
  <c r="J422" i="14"/>
  <c r="I422" i="14"/>
  <c r="H422" i="14"/>
  <c r="G422" i="14"/>
  <c r="F422" i="14"/>
  <c r="N421" i="14"/>
  <c r="M421" i="14"/>
  <c r="L421" i="14"/>
  <c r="K421" i="14"/>
  <c r="J421" i="14"/>
  <c r="I421" i="14"/>
  <c r="H421" i="14"/>
  <c r="G421" i="14"/>
  <c r="F421" i="14"/>
  <c r="N420" i="14"/>
  <c r="M420" i="14"/>
  <c r="L420" i="14"/>
  <c r="K420" i="14"/>
  <c r="J420" i="14"/>
  <c r="I420" i="14"/>
  <c r="H420" i="14"/>
  <c r="G420" i="14"/>
  <c r="F420" i="14"/>
  <c r="N419" i="14"/>
  <c r="M419" i="14"/>
  <c r="L419" i="14"/>
  <c r="K419" i="14"/>
  <c r="J419" i="14"/>
  <c r="I419" i="14"/>
  <c r="H419" i="14"/>
  <c r="G419" i="14"/>
  <c r="F419" i="14"/>
  <c r="N418" i="14"/>
  <c r="M418" i="14"/>
  <c r="L418" i="14"/>
  <c r="K418" i="14"/>
  <c r="J418" i="14"/>
  <c r="I418" i="14"/>
  <c r="H418" i="14"/>
  <c r="G418" i="14"/>
  <c r="F418" i="14"/>
  <c r="N417" i="14"/>
  <c r="M417" i="14"/>
  <c r="L417" i="14"/>
  <c r="K417" i="14"/>
  <c r="J417" i="14"/>
  <c r="I417" i="14"/>
  <c r="H417" i="14"/>
  <c r="G417" i="14"/>
  <c r="F417" i="14"/>
  <c r="N416" i="14"/>
  <c r="M416" i="14"/>
  <c r="L416" i="14"/>
  <c r="K416" i="14"/>
  <c r="J416" i="14"/>
  <c r="I416" i="14"/>
  <c r="H416" i="14"/>
  <c r="G416" i="14"/>
  <c r="F416" i="14"/>
  <c r="N415" i="14"/>
  <c r="M415" i="14"/>
  <c r="L415" i="14"/>
  <c r="K415" i="14"/>
  <c r="J415" i="14"/>
  <c r="I415" i="14"/>
  <c r="H415" i="14"/>
  <c r="G415" i="14"/>
  <c r="F415" i="14"/>
  <c r="N414" i="14"/>
  <c r="M414" i="14"/>
  <c r="L414" i="14"/>
  <c r="K414" i="14"/>
  <c r="J414" i="14"/>
  <c r="I414" i="14"/>
  <c r="H414" i="14"/>
  <c r="G414" i="14"/>
  <c r="F414" i="14"/>
  <c r="N413" i="14"/>
  <c r="M413" i="14"/>
  <c r="L413" i="14"/>
  <c r="K413" i="14"/>
  <c r="J413" i="14"/>
  <c r="I413" i="14"/>
  <c r="H413" i="14"/>
  <c r="G413" i="14"/>
  <c r="F413" i="14"/>
  <c r="N412" i="14"/>
  <c r="M412" i="14"/>
  <c r="L412" i="14"/>
  <c r="K412" i="14"/>
  <c r="J412" i="14"/>
  <c r="I412" i="14"/>
  <c r="H412" i="14"/>
  <c r="G412" i="14"/>
  <c r="F412" i="14"/>
  <c r="N411" i="14"/>
  <c r="M411" i="14"/>
  <c r="L411" i="14"/>
  <c r="K411" i="14"/>
  <c r="J411" i="14"/>
  <c r="I411" i="14"/>
  <c r="H411" i="14"/>
  <c r="G411" i="14"/>
  <c r="F411" i="14"/>
  <c r="N410" i="14"/>
  <c r="M410" i="14"/>
  <c r="L410" i="14"/>
  <c r="K410" i="14"/>
  <c r="J410" i="14"/>
  <c r="I410" i="14"/>
  <c r="H410" i="14"/>
  <c r="G410" i="14"/>
  <c r="F410" i="14"/>
  <c r="N409" i="14"/>
  <c r="M409" i="14"/>
  <c r="L409" i="14"/>
  <c r="K409" i="14"/>
  <c r="J409" i="14"/>
  <c r="I409" i="14"/>
  <c r="H409" i="14"/>
  <c r="G409" i="14"/>
  <c r="F409" i="14"/>
  <c r="N408" i="14"/>
  <c r="M408" i="14"/>
  <c r="L408" i="14"/>
  <c r="K408" i="14"/>
  <c r="J408" i="14"/>
  <c r="I408" i="14"/>
  <c r="H408" i="14"/>
  <c r="G408" i="14"/>
  <c r="F408" i="14"/>
  <c r="N407" i="14"/>
  <c r="M407" i="14"/>
  <c r="L407" i="14"/>
  <c r="K407" i="14"/>
  <c r="J407" i="14"/>
  <c r="I407" i="14"/>
  <c r="H407" i="14"/>
  <c r="G407" i="14"/>
  <c r="F407" i="14"/>
  <c r="N406" i="14"/>
  <c r="M406" i="14"/>
  <c r="L406" i="14"/>
  <c r="K406" i="14"/>
  <c r="J406" i="14"/>
  <c r="I406" i="14"/>
  <c r="H406" i="14"/>
  <c r="G406" i="14"/>
  <c r="F406" i="14"/>
  <c r="N405" i="14"/>
  <c r="M405" i="14"/>
  <c r="L405" i="14"/>
  <c r="K405" i="14"/>
  <c r="J405" i="14"/>
  <c r="I405" i="14"/>
  <c r="H405" i="14"/>
  <c r="G405" i="14"/>
  <c r="F405" i="14"/>
  <c r="N404" i="14"/>
  <c r="M404" i="14"/>
  <c r="L404" i="14"/>
  <c r="K404" i="14"/>
  <c r="J404" i="14"/>
  <c r="I404" i="14"/>
  <c r="H404" i="14"/>
  <c r="G404" i="14"/>
  <c r="F404" i="14"/>
  <c r="N403" i="14"/>
  <c r="M403" i="14"/>
  <c r="L403" i="14"/>
  <c r="K403" i="14"/>
  <c r="J403" i="14"/>
  <c r="I403" i="14"/>
  <c r="H403" i="14"/>
  <c r="G403" i="14"/>
  <c r="F403" i="14"/>
  <c r="N402" i="14"/>
  <c r="M402" i="14"/>
  <c r="L402" i="14"/>
  <c r="K402" i="14"/>
  <c r="J402" i="14"/>
  <c r="I402" i="14"/>
  <c r="H402" i="14"/>
  <c r="G402" i="14"/>
  <c r="F402" i="14"/>
  <c r="N401" i="14"/>
  <c r="M401" i="14"/>
  <c r="L401" i="14"/>
  <c r="K401" i="14"/>
  <c r="J401" i="14"/>
  <c r="I401" i="14"/>
  <c r="H401" i="14"/>
  <c r="G401" i="14"/>
  <c r="F401" i="14"/>
  <c r="N400" i="14"/>
  <c r="M400" i="14"/>
  <c r="L400" i="14"/>
  <c r="K400" i="14"/>
  <c r="J400" i="14"/>
  <c r="I400" i="14"/>
  <c r="H400" i="14"/>
  <c r="G400" i="14"/>
  <c r="F400" i="14"/>
  <c r="N399" i="14"/>
  <c r="M399" i="14"/>
  <c r="L399" i="14"/>
  <c r="K399" i="14"/>
  <c r="J399" i="14"/>
  <c r="I399" i="14"/>
  <c r="H399" i="14"/>
  <c r="G399" i="14"/>
  <c r="F399" i="14"/>
  <c r="N398" i="14"/>
  <c r="M398" i="14"/>
  <c r="L398" i="14"/>
  <c r="K398" i="14"/>
  <c r="J398" i="14"/>
  <c r="I398" i="14"/>
  <c r="H398" i="14"/>
  <c r="G398" i="14"/>
  <c r="F398" i="14"/>
  <c r="N397" i="14"/>
  <c r="M397" i="14"/>
  <c r="L397" i="14"/>
  <c r="K397" i="14"/>
  <c r="J397" i="14"/>
  <c r="I397" i="14"/>
  <c r="H397" i="14"/>
  <c r="G397" i="14"/>
  <c r="F397" i="14"/>
  <c r="N396" i="14"/>
  <c r="M396" i="14"/>
  <c r="L396" i="14"/>
  <c r="K396" i="14"/>
  <c r="J396" i="14"/>
  <c r="I396" i="14"/>
  <c r="H396" i="14"/>
  <c r="G396" i="14"/>
  <c r="F396" i="14"/>
  <c r="N395" i="14"/>
  <c r="M395" i="14"/>
  <c r="L395" i="14"/>
  <c r="K395" i="14"/>
  <c r="J395" i="14"/>
  <c r="I395" i="14"/>
  <c r="H395" i="14"/>
  <c r="G395" i="14"/>
  <c r="F395" i="14"/>
  <c r="N394" i="14"/>
  <c r="M394" i="14"/>
  <c r="L394" i="14"/>
  <c r="K394" i="14"/>
  <c r="J394" i="14"/>
  <c r="I394" i="14"/>
  <c r="H394" i="14"/>
  <c r="G394" i="14"/>
  <c r="F394" i="14"/>
  <c r="N393" i="14"/>
  <c r="M393" i="14"/>
  <c r="L393" i="14"/>
  <c r="K393" i="14"/>
  <c r="J393" i="14"/>
  <c r="I393" i="14"/>
  <c r="H393" i="14"/>
  <c r="G393" i="14"/>
  <c r="F393" i="14"/>
  <c r="N392" i="14"/>
  <c r="M392" i="14"/>
  <c r="L392" i="14"/>
  <c r="K392" i="14"/>
  <c r="J392" i="14"/>
  <c r="I392" i="14"/>
  <c r="H392" i="14"/>
  <c r="G392" i="14"/>
  <c r="F392" i="14"/>
  <c r="N391" i="14"/>
  <c r="M391" i="14"/>
  <c r="L391" i="14"/>
  <c r="K391" i="14"/>
  <c r="J391" i="14"/>
  <c r="I391" i="14"/>
  <c r="H391" i="14"/>
  <c r="G391" i="14"/>
  <c r="F391" i="14"/>
  <c r="N390" i="14"/>
  <c r="M390" i="14"/>
  <c r="L390" i="14"/>
  <c r="K390" i="14"/>
  <c r="J390" i="14"/>
  <c r="I390" i="14"/>
  <c r="H390" i="14"/>
  <c r="G390" i="14"/>
  <c r="F390" i="14"/>
  <c r="N389" i="14"/>
  <c r="M389" i="14"/>
  <c r="L389" i="14"/>
  <c r="K389" i="14"/>
  <c r="J389" i="14"/>
  <c r="I389" i="14"/>
  <c r="H389" i="14"/>
  <c r="G389" i="14"/>
  <c r="F389" i="14"/>
  <c r="N388" i="14"/>
  <c r="M388" i="14"/>
  <c r="L388" i="14"/>
  <c r="K388" i="14"/>
  <c r="J388" i="14"/>
  <c r="I388" i="14"/>
  <c r="H388" i="14"/>
  <c r="G388" i="14"/>
  <c r="F388" i="14"/>
  <c r="N387" i="14"/>
  <c r="M387" i="14"/>
  <c r="L387" i="14"/>
  <c r="K387" i="14"/>
  <c r="J387" i="14"/>
  <c r="I387" i="14"/>
  <c r="H387" i="14"/>
  <c r="G387" i="14"/>
  <c r="F387" i="14"/>
  <c r="N386" i="14"/>
  <c r="M386" i="14"/>
  <c r="L386" i="14"/>
  <c r="K386" i="14"/>
  <c r="J386" i="14"/>
  <c r="I386" i="14"/>
  <c r="H386" i="14"/>
  <c r="G386" i="14"/>
  <c r="F386" i="14"/>
  <c r="N385" i="14"/>
  <c r="M385" i="14"/>
  <c r="L385" i="14"/>
  <c r="K385" i="14"/>
  <c r="J385" i="14"/>
  <c r="I385" i="14"/>
  <c r="H385" i="14"/>
  <c r="G385" i="14"/>
  <c r="F385" i="14"/>
  <c r="N384" i="14"/>
  <c r="M384" i="14"/>
  <c r="L384" i="14"/>
  <c r="K384" i="14"/>
  <c r="J384" i="14"/>
  <c r="I384" i="14"/>
  <c r="H384" i="14"/>
  <c r="G384" i="14"/>
  <c r="F384" i="14"/>
  <c r="N383" i="14"/>
  <c r="M383" i="14"/>
  <c r="L383" i="14"/>
  <c r="K383" i="14"/>
  <c r="J383" i="14"/>
  <c r="I383" i="14"/>
  <c r="H383" i="14"/>
  <c r="G383" i="14"/>
  <c r="F383" i="14"/>
  <c r="N382" i="14"/>
  <c r="M382" i="14"/>
  <c r="L382" i="14"/>
  <c r="K382" i="14"/>
  <c r="J382" i="14"/>
  <c r="I382" i="14"/>
  <c r="H382" i="14"/>
  <c r="G382" i="14"/>
  <c r="F382" i="14"/>
  <c r="N381" i="14"/>
  <c r="M381" i="14"/>
  <c r="L381" i="14"/>
  <c r="K381" i="14"/>
  <c r="J381" i="14"/>
  <c r="I381" i="14"/>
  <c r="H381" i="14"/>
  <c r="G381" i="14"/>
  <c r="F381" i="14"/>
  <c r="N380" i="14"/>
  <c r="M380" i="14"/>
  <c r="L380" i="14"/>
  <c r="K380" i="14"/>
  <c r="J380" i="14"/>
  <c r="I380" i="14"/>
  <c r="H380" i="14"/>
  <c r="G380" i="14"/>
  <c r="F380" i="14"/>
  <c r="N379" i="14"/>
  <c r="M379" i="14"/>
  <c r="L379" i="14"/>
  <c r="K379" i="14"/>
  <c r="J379" i="14"/>
  <c r="I379" i="14"/>
  <c r="H379" i="14"/>
  <c r="G379" i="14"/>
  <c r="F379" i="14"/>
  <c r="N378" i="14"/>
  <c r="M378" i="14"/>
  <c r="L378" i="14"/>
  <c r="K378" i="14"/>
  <c r="J378" i="14"/>
  <c r="I378" i="14"/>
  <c r="H378" i="14"/>
  <c r="G378" i="14"/>
  <c r="F378" i="14"/>
  <c r="N377" i="14"/>
  <c r="M377" i="14"/>
  <c r="L377" i="14"/>
  <c r="K377" i="14"/>
  <c r="J377" i="14"/>
  <c r="I377" i="14"/>
  <c r="H377" i="14"/>
  <c r="G377" i="14"/>
  <c r="F377" i="14"/>
  <c r="N376" i="14"/>
  <c r="M376" i="14"/>
  <c r="L376" i="14"/>
  <c r="K376" i="14"/>
  <c r="J376" i="14"/>
  <c r="I376" i="14"/>
  <c r="H376" i="14"/>
  <c r="G376" i="14"/>
  <c r="F376" i="14"/>
  <c r="N375" i="14"/>
  <c r="M375" i="14"/>
  <c r="L375" i="14"/>
  <c r="K375" i="14"/>
  <c r="J375" i="14"/>
  <c r="I375" i="14"/>
  <c r="H375" i="14"/>
  <c r="G375" i="14"/>
  <c r="F375" i="14"/>
  <c r="N374" i="14"/>
  <c r="M374" i="14"/>
  <c r="L374" i="14"/>
  <c r="K374" i="14"/>
  <c r="J374" i="14"/>
  <c r="I374" i="14"/>
  <c r="H374" i="14"/>
  <c r="G374" i="14"/>
  <c r="F374" i="14"/>
  <c r="N373" i="14"/>
  <c r="M373" i="14"/>
  <c r="L373" i="14"/>
  <c r="K373" i="14"/>
  <c r="J373" i="14"/>
  <c r="I373" i="14"/>
  <c r="H373" i="14"/>
  <c r="G373" i="14"/>
  <c r="F373" i="14"/>
  <c r="N372" i="14"/>
  <c r="M372" i="14"/>
  <c r="L372" i="14"/>
  <c r="K372" i="14"/>
  <c r="J372" i="14"/>
  <c r="I372" i="14"/>
  <c r="H372" i="14"/>
  <c r="G372" i="14"/>
  <c r="F372" i="14"/>
  <c r="N371" i="14"/>
  <c r="M371" i="14"/>
  <c r="L371" i="14"/>
  <c r="K371" i="14"/>
  <c r="J371" i="14"/>
  <c r="I371" i="14"/>
  <c r="H371" i="14"/>
  <c r="G371" i="14"/>
  <c r="F371" i="14"/>
  <c r="N370" i="14"/>
  <c r="M370" i="14"/>
  <c r="L370" i="14"/>
  <c r="K370" i="14"/>
  <c r="J370" i="14"/>
  <c r="I370" i="14"/>
  <c r="H370" i="14"/>
  <c r="G370" i="14"/>
  <c r="F370" i="14"/>
  <c r="N369" i="14"/>
  <c r="M369" i="14"/>
  <c r="L369" i="14"/>
  <c r="K369" i="14"/>
  <c r="J369" i="14"/>
  <c r="I369" i="14"/>
  <c r="H369" i="14"/>
  <c r="G369" i="14"/>
  <c r="F369" i="14"/>
  <c r="N368" i="14"/>
  <c r="M368" i="14"/>
  <c r="L368" i="14"/>
  <c r="K368" i="14"/>
  <c r="J368" i="14"/>
  <c r="I368" i="14"/>
  <c r="H368" i="14"/>
  <c r="G368" i="14"/>
  <c r="F368" i="14"/>
  <c r="N367" i="14"/>
  <c r="M367" i="14"/>
  <c r="L367" i="14"/>
  <c r="K367" i="14"/>
  <c r="J367" i="14"/>
  <c r="I367" i="14"/>
  <c r="H367" i="14"/>
  <c r="G367" i="14"/>
  <c r="F367" i="14"/>
  <c r="N366" i="14"/>
  <c r="M366" i="14"/>
  <c r="L366" i="14"/>
  <c r="K366" i="14"/>
  <c r="J366" i="14"/>
  <c r="I366" i="14"/>
  <c r="H366" i="14"/>
  <c r="G366" i="14"/>
  <c r="F366" i="14"/>
  <c r="N365" i="14"/>
  <c r="M365" i="14"/>
  <c r="L365" i="14"/>
  <c r="K365" i="14"/>
  <c r="J365" i="14"/>
  <c r="I365" i="14"/>
  <c r="H365" i="14"/>
  <c r="G365" i="14"/>
  <c r="F365" i="14"/>
  <c r="N364" i="14"/>
  <c r="M364" i="14"/>
  <c r="L364" i="14"/>
  <c r="K364" i="14"/>
  <c r="J364" i="14"/>
  <c r="I364" i="14"/>
  <c r="H364" i="14"/>
  <c r="G364" i="14"/>
  <c r="F364" i="14"/>
  <c r="N363" i="14"/>
  <c r="M363" i="14"/>
  <c r="L363" i="14"/>
  <c r="K363" i="14"/>
  <c r="J363" i="14"/>
  <c r="I363" i="14"/>
  <c r="H363" i="14"/>
  <c r="G363" i="14"/>
  <c r="F363" i="14"/>
  <c r="N362" i="14"/>
  <c r="M362" i="14"/>
  <c r="L362" i="14"/>
  <c r="K362" i="14"/>
  <c r="J362" i="14"/>
  <c r="I362" i="14"/>
  <c r="H362" i="14"/>
  <c r="G362" i="14"/>
  <c r="F362" i="14"/>
  <c r="N361" i="14"/>
  <c r="M361" i="14"/>
  <c r="L361" i="14"/>
  <c r="K361" i="14"/>
  <c r="J361" i="14"/>
  <c r="I361" i="14"/>
  <c r="H361" i="14"/>
  <c r="G361" i="14"/>
  <c r="F361" i="14"/>
  <c r="N360" i="14"/>
  <c r="M360" i="14"/>
  <c r="L360" i="14"/>
  <c r="K360" i="14"/>
  <c r="J360" i="14"/>
  <c r="I360" i="14"/>
  <c r="H360" i="14"/>
  <c r="G360" i="14"/>
  <c r="F360" i="14"/>
  <c r="N359" i="14"/>
  <c r="M359" i="14"/>
  <c r="L359" i="14"/>
  <c r="K359" i="14"/>
  <c r="J359" i="14"/>
  <c r="I359" i="14"/>
  <c r="H359" i="14"/>
  <c r="G359" i="14"/>
  <c r="F359" i="14"/>
  <c r="N358" i="14"/>
  <c r="M358" i="14"/>
  <c r="L358" i="14"/>
  <c r="K358" i="14"/>
  <c r="J358" i="14"/>
  <c r="I358" i="14"/>
  <c r="H358" i="14"/>
  <c r="G358" i="14"/>
  <c r="F358" i="14"/>
  <c r="N357" i="14"/>
  <c r="M357" i="14"/>
  <c r="L357" i="14"/>
  <c r="K357" i="14"/>
  <c r="J357" i="14"/>
  <c r="I357" i="14"/>
  <c r="H357" i="14"/>
  <c r="G357" i="14"/>
  <c r="F357" i="14"/>
  <c r="N356" i="14"/>
  <c r="M356" i="14"/>
  <c r="L356" i="14"/>
  <c r="K356" i="14"/>
  <c r="J356" i="14"/>
  <c r="I356" i="14"/>
  <c r="H356" i="14"/>
  <c r="G356" i="14"/>
  <c r="F356" i="14"/>
  <c r="N355" i="14"/>
  <c r="M355" i="14"/>
  <c r="L355" i="14"/>
  <c r="K355" i="14"/>
  <c r="J355" i="14"/>
  <c r="I355" i="14"/>
  <c r="H355" i="14"/>
  <c r="G355" i="14"/>
  <c r="F355" i="14"/>
  <c r="N354" i="14"/>
  <c r="M354" i="14"/>
  <c r="L354" i="14"/>
  <c r="K354" i="14"/>
  <c r="J354" i="14"/>
  <c r="I354" i="14"/>
  <c r="H354" i="14"/>
  <c r="G354" i="14"/>
  <c r="F354" i="14"/>
  <c r="N353" i="14"/>
  <c r="M353" i="14"/>
  <c r="L353" i="14"/>
  <c r="K353" i="14"/>
  <c r="J353" i="14"/>
  <c r="I353" i="14"/>
  <c r="H353" i="14"/>
  <c r="G353" i="14"/>
  <c r="F353" i="14"/>
  <c r="N352" i="14"/>
  <c r="M352" i="14"/>
  <c r="L352" i="14"/>
  <c r="K352" i="14"/>
  <c r="J352" i="14"/>
  <c r="I352" i="14"/>
  <c r="H352" i="14"/>
  <c r="G352" i="14"/>
  <c r="F352" i="14"/>
  <c r="N351" i="14"/>
  <c r="M351" i="14"/>
  <c r="L351" i="14"/>
  <c r="K351" i="14"/>
  <c r="J351" i="14"/>
  <c r="I351" i="14"/>
  <c r="H351" i="14"/>
  <c r="G351" i="14"/>
  <c r="F351" i="14"/>
  <c r="N350" i="14"/>
  <c r="M350" i="14"/>
  <c r="L350" i="14"/>
  <c r="K350" i="14"/>
  <c r="J350" i="14"/>
  <c r="I350" i="14"/>
  <c r="H350" i="14"/>
  <c r="G350" i="14"/>
  <c r="F350" i="14"/>
  <c r="N349" i="14"/>
  <c r="M349" i="14"/>
  <c r="L349" i="14"/>
  <c r="K349" i="14"/>
  <c r="J349" i="14"/>
  <c r="I349" i="14"/>
  <c r="H349" i="14"/>
  <c r="G349" i="14"/>
  <c r="F349" i="14"/>
  <c r="N348" i="14"/>
  <c r="M348" i="14"/>
  <c r="L348" i="14"/>
  <c r="K348" i="14"/>
  <c r="J348" i="14"/>
  <c r="I348" i="14"/>
  <c r="H348" i="14"/>
  <c r="G348" i="14"/>
  <c r="F348" i="14"/>
  <c r="N347" i="14"/>
  <c r="M347" i="14"/>
  <c r="L347" i="14"/>
  <c r="K347" i="14"/>
  <c r="J347" i="14"/>
  <c r="I347" i="14"/>
  <c r="H347" i="14"/>
  <c r="G347" i="14"/>
  <c r="F347" i="14"/>
  <c r="N346" i="14"/>
  <c r="M346" i="14"/>
  <c r="L346" i="14"/>
  <c r="K346" i="14"/>
  <c r="J346" i="14"/>
  <c r="I346" i="14"/>
  <c r="H346" i="14"/>
  <c r="G346" i="14"/>
  <c r="F346" i="14"/>
  <c r="N345" i="14"/>
  <c r="M345" i="14"/>
  <c r="L345" i="14"/>
  <c r="K345" i="14"/>
  <c r="J345" i="14"/>
  <c r="I345" i="14"/>
  <c r="H345" i="14"/>
  <c r="G345" i="14"/>
  <c r="F345" i="14"/>
  <c r="N344" i="14"/>
  <c r="M344" i="14"/>
  <c r="L344" i="14"/>
  <c r="K344" i="14"/>
  <c r="J344" i="14"/>
  <c r="I344" i="14"/>
  <c r="H344" i="14"/>
  <c r="G344" i="14"/>
  <c r="F344" i="14"/>
  <c r="N343" i="14"/>
  <c r="M343" i="14"/>
  <c r="L343" i="14"/>
  <c r="K343" i="14"/>
  <c r="J343" i="14"/>
  <c r="I343" i="14"/>
  <c r="H343" i="14"/>
  <c r="G343" i="14"/>
  <c r="F343" i="14"/>
  <c r="N342" i="14"/>
  <c r="M342" i="14"/>
  <c r="L342" i="14"/>
  <c r="K342" i="14"/>
  <c r="J342" i="14"/>
  <c r="I342" i="14"/>
  <c r="H342" i="14"/>
  <c r="G342" i="14"/>
  <c r="F342" i="14"/>
  <c r="N341" i="14"/>
  <c r="M341" i="14"/>
  <c r="L341" i="14"/>
  <c r="K341" i="14"/>
  <c r="J341" i="14"/>
  <c r="I341" i="14"/>
  <c r="H341" i="14"/>
  <c r="G341" i="14"/>
  <c r="F341" i="14"/>
  <c r="N340" i="14"/>
  <c r="M340" i="14"/>
  <c r="L340" i="14"/>
  <c r="K340" i="14"/>
  <c r="J340" i="14"/>
  <c r="I340" i="14"/>
  <c r="H340" i="14"/>
  <c r="G340" i="14"/>
  <c r="F340" i="14"/>
  <c r="N339" i="14"/>
  <c r="M339" i="14"/>
  <c r="L339" i="14"/>
  <c r="K339" i="14"/>
  <c r="J339" i="14"/>
  <c r="I339" i="14"/>
  <c r="H339" i="14"/>
  <c r="G339" i="14"/>
  <c r="F339" i="14"/>
  <c r="N338" i="14"/>
  <c r="M338" i="14"/>
  <c r="L338" i="14"/>
  <c r="K338" i="14"/>
  <c r="J338" i="14"/>
  <c r="I338" i="14"/>
  <c r="H338" i="14"/>
  <c r="G338" i="14"/>
  <c r="F338" i="14"/>
  <c r="N337" i="14"/>
  <c r="M337" i="14"/>
  <c r="L337" i="14"/>
  <c r="K337" i="14"/>
  <c r="J337" i="14"/>
  <c r="I337" i="14"/>
  <c r="H337" i="14"/>
  <c r="G337" i="14"/>
  <c r="F337" i="14"/>
  <c r="N336" i="14"/>
  <c r="M336" i="14"/>
  <c r="L336" i="14"/>
  <c r="K336" i="14"/>
  <c r="J336" i="14"/>
  <c r="I336" i="14"/>
  <c r="H336" i="14"/>
  <c r="G336" i="14"/>
  <c r="F336" i="14"/>
  <c r="N335" i="14"/>
  <c r="M335" i="14"/>
  <c r="L335" i="14"/>
  <c r="K335" i="14"/>
  <c r="J335" i="14"/>
  <c r="I335" i="14"/>
  <c r="H335" i="14"/>
  <c r="G335" i="14"/>
  <c r="F335" i="14"/>
  <c r="N334" i="14"/>
  <c r="M334" i="14"/>
  <c r="L334" i="14"/>
  <c r="K334" i="14"/>
  <c r="J334" i="14"/>
  <c r="I334" i="14"/>
  <c r="H334" i="14"/>
  <c r="G334" i="14"/>
  <c r="F334" i="14"/>
  <c r="N333" i="14"/>
  <c r="M333" i="14"/>
  <c r="L333" i="14"/>
  <c r="K333" i="14"/>
  <c r="J333" i="14"/>
  <c r="I333" i="14"/>
  <c r="H333" i="14"/>
  <c r="G333" i="14"/>
  <c r="F333" i="14"/>
  <c r="N332" i="14"/>
  <c r="M332" i="14"/>
  <c r="L332" i="14"/>
  <c r="K332" i="14"/>
  <c r="J332" i="14"/>
  <c r="I332" i="14"/>
  <c r="H332" i="14"/>
  <c r="G332" i="14"/>
  <c r="F332" i="14"/>
  <c r="N331" i="14"/>
  <c r="M331" i="14"/>
  <c r="L331" i="14"/>
  <c r="K331" i="14"/>
  <c r="J331" i="14"/>
  <c r="I331" i="14"/>
  <c r="H331" i="14"/>
  <c r="G331" i="14"/>
  <c r="F331" i="14"/>
  <c r="N330" i="14"/>
  <c r="M330" i="14"/>
  <c r="L330" i="14"/>
  <c r="K330" i="14"/>
  <c r="J330" i="14"/>
  <c r="I330" i="14"/>
  <c r="H330" i="14"/>
  <c r="G330" i="14"/>
  <c r="F330" i="14"/>
  <c r="N329" i="14"/>
  <c r="M329" i="14"/>
  <c r="L329" i="14"/>
  <c r="K329" i="14"/>
  <c r="J329" i="14"/>
  <c r="I329" i="14"/>
  <c r="H329" i="14"/>
  <c r="G329" i="14"/>
  <c r="F329" i="14"/>
  <c r="N328" i="14"/>
  <c r="M328" i="14"/>
  <c r="L328" i="14"/>
  <c r="K328" i="14"/>
  <c r="J328" i="14"/>
  <c r="I328" i="14"/>
  <c r="H328" i="14"/>
  <c r="G328" i="14"/>
  <c r="F328" i="14"/>
  <c r="N327" i="14"/>
  <c r="M327" i="14"/>
  <c r="L327" i="14"/>
  <c r="K327" i="14"/>
  <c r="J327" i="14"/>
  <c r="I327" i="14"/>
  <c r="H327" i="14"/>
  <c r="G327" i="14"/>
  <c r="F327" i="14"/>
  <c r="N326" i="14"/>
  <c r="M326" i="14"/>
  <c r="L326" i="14"/>
  <c r="K326" i="14"/>
  <c r="J326" i="14"/>
  <c r="I326" i="14"/>
  <c r="H326" i="14"/>
  <c r="G326" i="14"/>
  <c r="F326" i="14"/>
  <c r="N325" i="14"/>
  <c r="M325" i="14"/>
  <c r="L325" i="14"/>
  <c r="K325" i="14"/>
  <c r="J325" i="14"/>
  <c r="I325" i="14"/>
  <c r="H325" i="14"/>
  <c r="G325" i="14"/>
  <c r="F325" i="14"/>
  <c r="N324" i="14"/>
  <c r="M324" i="14"/>
  <c r="L324" i="14"/>
  <c r="K324" i="14"/>
  <c r="J324" i="14"/>
  <c r="I324" i="14"/>
  <c r="H324" i="14"/>
  <c r="G324" i="14"/>
  <c r="F324" i="14"/>
  <c r="N323" i="14"/>
  <c r="M323" i="14"/>
  <c r="L323" i="14"/>
  <c r="K323" i="14"/>
  <c r="J323" i="14"/>
  <c r="I323" i="14"/>
  <c r="H323" i="14"/>
  <c r="G323" i="14"/>
  <c r="F323" i="14"/>
  <c r="N322" i="14"/>
  <c r="M322" i="14"/>
  <c r="L322" i="14"/>
  <c r="K322" i="14"/>
  <c r="J322" i="14"/>
  <c r="I322" i="14"/>
  <c r="H322" i="14"/>
  <c r="G322" i="14"/>
  <c r="F322" i="14"/>
  <c r="N321" i="14"/>
  <c r="M321" i="14"/>
  <c r="L321" i="14"/>
  <c r="K321" i="14"/>
  <c r="J321" i="14"/>
  <c r="I321" i="14"/>
  <c r="H321" i="14"/>
  <c r="G321" i="14"/>
  <c r="F321" i="14"/>
  <c r="N320" i="14"/>
  <c r="M320" i="14"/>
  <c r="L320" i="14"/>
  <c r="K320" i="14"/>
  <c r="J320" i="14"/>
  <c r="I320" i="14"/>
  <c r="H320" i="14"/>
  <c r="G320" i="14"/>
  <c r="F320" i="14"/>
  <c r="N319" i="14"/>
  <c r="M319" i="14"/>
  <c r="L319" i="14"/>
  <c r="K319" i="14"/>
  <c r="J319" i="14"/>
  <c r="I319" i="14"/>
  <c r="H319" i="14"/>
  <c r="G319" i="14"/>
  <c r="F319" i="14"/>
  <c r="N318" i="14"/>
  <c r="M318" i="14"/>
  <c r="L318" i="14"/>
  <c r="K318" i="14"/>
  <c r="J318" i="14"/>
  <c r="I318" i="14"/>
  <c r="H318" i="14"/>
  <c r="G318" i="14"/>
  <c r="F318" i="14"/>
  <c r="N317" i="14"/>
  <c r="M317" i="14"/>
  <c r="L317" i="14"/>
  <c r="K317" i="14"/>
  <c r="J317" i="14"/>
  <c r="I317" i="14"/>
  <c r="H317" i="14"/>
  <c r="G317" i="14"/>
  <c r="F317" i="14"/>
  <c r="N316" i="14"/>
  <c r="M316" i="14"/>
  <c r="L316" i="14"/>
  <c r="K316" i="14"/>
  <c r="J316" i="14"/>
  <c r="I316" i="14"/>
  <c r="H316" i="14"/>
  <c r="G316" i="14"/>
  <c r="F316" i="14"/>
  <c r="N315" i="14"/>
  <c r="M315" i="14"/>
  <c r="L315" i="14"/>
  <c r="K315" i="14"/>
  <c r="J315" i="14"/>
  <c r="I315" i="14"/>
  <c r="H315" i="14"/>
  <c r="G315" i="14"/>
  <c r="F315" i="14"/>
  <c r="N314" i="14"/>
  <c r="M314" i="14"/>
  <c r="L314" i="14"/>
  <c r="K314" i="14"/>
  <c r="J314" i="14"/>
  <c r="I314" i="14"/>
  <c r="H314" i="14"/>
  <c r="G314" i="14"/>
  <c r="F314" i="14"/>
  <c r="N313" i="14"/>
  <c r="M313" i="14"/>
  <c r="L313" i="14"/>
  <c r="K313" i="14"/>
  <c r="J313" i="14"/>
  <c r="I313" i="14"/>
  <c r="H313" i="14"/>
  <c r="G313" i="14"/>
  <c r="F313" i="14"/>
  <c r="N312" i="14"/>
  <c r="M312" i="14"/>
  <c r="L312" i="14"/>
  <c r="K312" i="14"/>
  <c r="J312" i="14"/>
  <c r="I312" i="14"/>
  <c r="H312" i="14"/>
  <c r="G312" i="14"/>
  <c r="F312" i="14"/>
  <c r="N311" i="14"/>
  <c r="M311" i="14"/>
  <c r="L311" i="14"/>
  <c r="K311" i="14"/>
  <c r="J311" i="14"/>
  <c r="I311" i="14"/>
  <c r="H311" i="14"/>
  <c r="G311" i="14"/>
  <c r="F311" i="14"/>
  <c r="N310" i="14"/>
  <c r="M310" i="14"/>
  <c r="L310" i="14"/>
  <c r="K310" i="14"/>
  <c r="J310" i="14"/>
  <c r="I310" i="14"/>
  <c r="H310" i="14"/>
  <c r="G310" i="14"/>
  <c r="F310" i="14"/>
  <c r="N309" i="14"/>
  <c r="M309" i="14"/>
  <c r="L309" i="14"/>
  <c r="K309" i="14"/>
  <c r="J309" i="14"/>
  <c r="I309" i="14"/>
  <c r="H309" i="14"/>
  <c r="G309" i="14"/>
  <c r="F309" i="14"/>
  <c r="N308" i="14"/>
  <c r="M308" i="14"/>
  <c r="L308" i="14"/>
  <c r="K308" i="14"/>
  <c r="J308" i="14"/>
  <c r="I308" i="14"/>
  <c r="H308" i="14"/>
  <c r="G308" i="14"/>
  <c r="F308" i="14"/>
  <c r="N307" i="14"/>
  <c r="M307" i="14"/>
  <c r="L307" i="14"/>
  <c r="K307" i="14"/>
  <c r="J307" i="14"/>
  <c r="I307" i="14"/>
  <c r="H307" i="14"/>
  <c r="G307" i="14"/>
  <c r="F307" i="14"/>
  <c r="N306" i="14"/>
  <c r="M306" i="14"/>
  <c r="L306" i="14"/>
  <c r="K306" i="14"/>
  <c r="J306" i="14"/>
  <c r="I306" i="14"/>
  <c r="H306" i="14"/>
  <c r="G306" i="14"/>
  <c r="F306" i="14"/>
  <c r="N305" i="14"/>
  <c r="M305" i="14"/>
  <c r="L305" i="14"/>
  <c r="K305" i="14"/>
  <c r="J305" i="14"/>
  <c r="I305" i="14"/>
  <c r="H305" i="14"/>
  <c r="G305" i="14"/>
  <c r="F305" i="14"/>
  <c r="N304" i="14"/>
  <c r="M304" i="14"/>
  <c r="L304" i="14"/>
  <c r="K304" i="14"/>
  <c r="J304" i="14"/>
  <c r="I304" i="14"/>
  <c r="H304" i="14"/>
  <c r="G304" i="14"/>
  <c r="F304" i="14"/>
  <c r="N303" i="14"/>
  <c r="M303" i="14"/>
  <c r="L303" i="14"/>
  <c r="K303" i="14"/>
  <c r="J303" i="14"/>
  <c r="I303" i="14"/>
  <c r="H303" i="14"/>
  <c r="G303" i="14"/>
  <c r="F303" i="14"/>
  <c r="N302" i="14"/>
  <c r="M302" i="14"/>
  <c r="L302" i="14"/>
  <c r="K302" i="14"/>
  <c r="J302" i="14"/>
  <c r="I302" i="14"/>
  <c r="H302" i="14"/>
  <c r="G302" i="14"/>
  <c r="F302" i="14"/>
  <c r="N301" i="14"/>
  <c r="M301" i="14"/>
  <c r="L301" i="14"/>
  <c r="K301" i="14"/>
  <c r="J301" i="14"/>
  <c r="I301" i="14"/>
  <c r="H301" i="14"/>
  <c r="G301" i="14"/>
  <c r="F301" i="14"/>
  <c r="N300" i="14"/>
  <c r="M300" i="14"/>
  <c r="L300" i="14"/>
  <c r="K300" i="14"/>
  <c r="J300" i="14"/>
  <c r="I300" i="14"/>
  <c r="H300" i="14"/>
  <c r="G300" i="14"/>
  <c r="F300" i="14"/>
  <c r="N299" i="14"/>
  <c r="M299" i="14"/>
  <c r="L299" i="14"/>
  <c r="K299" i="14"/>
  <c r="J299" i="14"/>
  <c r="I299" i="14"/>
  <c r="H299" i="14"/>
  <c r="G299" i="14"/>
  <c r="F299" i="14"/>
  <c r="N298" i="14"/>
  <c r="M298" i="14"/>
  <c r="L298" i="14"/>
  <c r="K298" i="14"/>
  <c r="J298" i="14"/>
  <c r="I298" i="14"/>
  <c r="H298" i="14"/>
  <c r="G298" i="14"/>
  <c r="F298" i="14"/>
  <c r="N297" i="14"/>
  <c r="M297" i="14"/>
  <c r="L297" i="14"/>
  <c r="K297" i="14"/>
  <c r="J297" i="14"/>
  <c r="I297" i="14"/>
  <c r="H297" i="14"/>
  <c r="G297" i="14"/>
  <c r="F297" i="14"/>
  <c r="N296" i="14"/>
  <c r="M296" i="14"/>
  <c r="L296" i="14"/>
  <c r="K296" i="14"/>
  <c r="J296" i="14"/>
  <c r="I296" i="14"/>
  <c r="H296" i="14"/>
  <c r="G296" i="14"/>
  <c r="F296" i="14"/>
  <c r="N295" i="14"/>
  <c r="M295" i="14"/>
  <c r="L295" i="14"/>
  <c r="K295" i="14"/>
  <c r="J295" i="14"/>
  <c r="I295" i="14"/>
  <c r="H295" i="14"/>
  <c r="G295" i="14"/>
  <c r="F295" i="14"/>
  <c r="N294" i="14"/>
  <c r="M294" i="14"/>
  <c r="L294" i="14"/>
  <c r="K294" i="14"/>
  <c r="J294" i="14"/>
  <c r="I294" i="14"/>
  <c r="H294" i="14"/>
  <c r="G294" i="14"/>
  <c r="F294" i="14"/>
  <c r="N293" i="14"/>
  <c r="M293" i="14"/>
  <c r="L293" i="14"/>
  <c r="K293" i="14"/>
  <c r="J293" i="14"/>
  <c r="I293" i="14"/>
  <c r="H293" i="14"/>
  <c r="G293" i="14"/>
  <c r="F293" i="14"/>
  <c r="N292" i="14"/>
  <c r="M292" i="14"/>
  <c r="L292" i="14"/>
  <c r="K292" i="14"/>
  <c r="J292" i="14"/>
  <c r="I292" i="14"/>
  <c r="H292" i="14"/>
  <c r="G292" i="14"/>
  <c r="F292" i="14"/>
  <c r="N291" i="14"/>
  <c r="M291" i="14"/>
  <c r="L291" i="14"/>
  <c r="K291" i="14"/>
  <c r="J291" i="14"/>
  <c r="I291" i="14"/>
  <c r="H291" i="14"/>
  <c r="G291" i="14"/>
  <c r="F291" i="14"/>
  <c r="N290" i="14"/>
  <c r="M290" i="14"/>
  <c r="L290" i="14"/>
  <c r="K290" i="14"/>
  <c r="J290" i="14"/>
  <c r="I290" i="14"/>
  <c r="H290" i="14"/>
  <c r="G290" i="14"/>
  <c r="F290" i="14"/>
  <c r="N289" i="14"/>
  <c r="M289" i="14"/>
  <c r="L289" i="14"/>
  <c r="K289" i="14"/>
  <c r="J289" i="14"/>
  <c r="I289" i="14"/>
  <c r="H289" i="14"/>
  <c r="G289" i="14"/>
  <c r="F289" i="14"/>
  <c r="N288" i="14"/>
  <c r="M288" i="14"/>
  <c r="L288" i="14"/>
  <c r="K288" i="14"/>
  <c r="J288" i="14"/>
  <c r="I288" i="14"/>
  <c r="H288" i="14"/>
  <c r="G288" i="14"/>
  <c r="F288" i="14"/>
  <c r="N287" i="14"/>
  <c r="M287" i="14"/>
  <c r="L287" i="14"/>
  <c r="K287" i="14"/>
  <c r="J287" i="14"/>
  <c r="I287" i="14"/>
  <c r="H287" i="14"/>
  <c r="G287" i="14"/>
  <c r="F287" i="14"/>
  <c r="N286" i="14"/>
  <c r="M286" i="14"/>
  <c r="L286" i="14"/>
  <c r="K286" i="14"/>
  <c r="J286" i="14"/>
  <c r="I286" i="14"/>
  <c r="H286" i="14"/>
  <c r="G286" i="14"/>
  <c r="F286" i="14"/>
  <c r="N285" i="14"/>
  <c r="M285" i="14"/>
  <c r="L285" i="14"/>
  <c r="K285" i="14"/>
  <c r="J285" i="14"/>
  <c r="I285" i="14"/>
  <c r="H285" i="14"/>
  <c r="G285" i="14"/>
  <c r="F285" i="14"/>
  <c r="N284" i="14"/>
  <c r="M284" i="14"/>
  <c r="L284" i="14"/>
  <c r="K284" i="14"/>
  <c r="J284" i="14"/>
  <c r="I284" i="14"/>
  <c r="H284" i="14"/>
  <c r="G284" i="14"/>
  <c r="F284" i="14"/>
  <c r="N283" i="14"/>
  <c r="M283" i="14"/>
  <c r="L283" i="14"/>
  <c r="K283" i="14"/>
  <c r="J283" i="14"/>
  <c r="I283" i="14"/>
  <c r="H283" i="14"/>
  <c r="G283" i="14"/>
  <c r="F283" i="14"/>
  <c r="N282" i="14"/>
  <c r="M282" i="14"/>
  <c r="L282" i="14"/>
  <c r="K282" i="14"/>
  <c r="J282" i="14"/>
  <c r="I282" i="14"/>
  <c r="H282" i="14"/>
  <c r="G282" i="14"/>
  <c r="F282" i="14"/>
  <c r="N281" i="14"/>
  <c r="M281" i="14"/>
  <c r="L281" i="14"/>
  <c r="K281" i="14"/>
  <c r="J281" i="14"/>
  <c r="I281" i="14"/>
  <c r="H281" i="14"/>
  <c r="G281" i="14"/>
  <c r="F281" i="14"/>
  <c r="N280" i="14"/>
  <c r="M280" i="14"/>
  <c r="L280" i="14"/>
  <c r="K280" i="14"/>
  <c r="J280" i="14"/>
  <c r="I280" i="14"/>
  <c r="H280" i="14"/>
  <c r="G280" i="14"/>
  <c r="F280" i="14"/>
  <c r="N279" i="14"/>
  <c r="M279" i="14"/>
  <c r="L279" i="14"/>
  <c r="K279" i="14"/>
  <c r="J279" i="14"/>
  <c r="I279" i="14"/>
  <c r="H279" i="14"/>
  <c r="G279" i="14"/>
  <c r="F279" i="14"/>
  <c r="N278" i="14"/>
  <c r="M278" i="14"/>
  <c r="L278" i="14"/>
  <c r="K278" i="14"/>
  <c r="J278" i="14"/>
  <c r="I278" i="14"/>
  <c r="H278" i="14"/>
  <c r="G278" i="14"/>
  <c r="F278" i="14"/>
  <c r="N277" i="14"/>
  <c r="M277" i="14"/>
  <c r="L277" i="14"/>
  <c r="K277" i="14"/>
  <c r="J277" i="14"/>
  <c r="I277" i="14"/>
  <c r="H277" i="14"/>
  <c r="G277" i="14"/>
  <c r="F277" i="14"/>
  <c r="N276" i="14"/>
  <c r="M276" i="14"/>
  <c r="L276" i="14"/>
  <c r="K276" i="14"/>
  <c r="J276" i="14"/>
  <c r="I276" i="14"/>
  <c r="H276" i="14"/>
  <c r="G276" i="14"/>
  <c r="F276" i="14"/>
  <c r="N275" i="14"/>
  <c r="M275" i="14"/>
  <c r="L275" i="14"/>
  <c r="K275" i="14"/>
  <c r="J275" i="14"/>
  <c r="I275" i="14"/>
  <c r="H275" i="14"/>
  <c r="G275" i="14"/>
  <c r="F275" i="14"/>
  <c r="N274" i="14"/>
  <c r="M274" i="14"/>
  <c r="L274" i="14"/>
  <c r="K274" i="14"/>
  <c r="J274" i="14"/>
  <c r="I274" i="14"/>
  <c r="H274" i="14"/>
  <c r="G274" i="14"/>
  <c r="F274" i="14"/>
  <c r="N273" i="14"/>
  <c r="M273" i="14"/>
  <c r="L273" i="14"/>
  <c r="K273" i="14"/>
  <c r="J273" i="14"/>
  <c r="I273" i="14"/>
  <c r="H273" i="14"/>
  <c r="G273" i="14"/>
  <c r="F273" i="14"/>
  <c r="N272" i="14"/>
  <c r="M272" i="14"/>
  <c r="L272" i="14"/>
  <c r="K272" i="14"/>
  <c r="J272" i="14"/>
  <c r="I272" i="14"/>
  <c r="H272" i="14"/>
  <c r="G272" i="14"/>
  <c r="F272" i="14"/>
  <c r="N271" i="14"/>
  <c r="M271" i="14"/>
  <c r="L271" i="14"/>
  <c r="K271" i="14"/>
  <c r="J271" i="14"/>
  <c r="I271" i="14"/>
  <c r="H271" i="14"/>
  <c r="G271" i="14"/>
  <c r="F271" i="14"/>
  <c r="N270" i="14"/>
  <c r="M270" i="14"/>
  <c r="L270" i="14"/>
  <c r="K270" i="14"/>
  <c r="J270" i="14"/>
  <c r="I270" i="14"/>
  <c r="H270" i="14"/>
  <c r="G270" i="14"/>
  <c r="F270" i="14"/>
  <c r="N269" i="14"/>
  <c r="M269" i="14"/>
  <c r="L269" i="14"/>
  <c r="K269" i="14"/>
  <c r="J269" i="14"/>
  <c r="I269" i="14"/>
  <c r="H269" i="14"/>
  <c r="G269" i="14"/>
  <c r="F269" i="14"/>
  <c r="N268" i="14"/>
  <c r="M268" i="14"/>
  <c r="L268" i="14"/>
  <c r="K268" i="14"/>
  <c r="J268" i="14"/>
  <c r="I268" i="14"/>
  <c r="H268" i="14"/>
  <c r="G268" i="14"/>
  <c r="F268" i="14"/>
  <c r="N267" i="14"/>
  <c r="M267" i="14"/>
  <c r="L267" i="14"/>
  <c r="K267" i="14"/>
  <c r="J267" i="14"/>
  <c r="I267" i="14"/>
  <c r="H267" i="14"/>
  <c r="G267" i="14"/>
  <c r="F267" i="14"/>
  <c r="N266" i="14"/>
  <c r="M266" i="14"/>
  <c r="L266" i="14"/>
  <c r="K266" i="14"/>
  <c r="J266" i="14"/>
  <c r="I266" i="14"/>
  <c r="H266" i="14"/>
  <c r="G266" i="14"/>
  <c r="F266" i="14"/>
  <c r="N265" i="14"/>
  <c r="M265" i="14"/>
  <c r="L265" i="14"/>
  <c r="K265" i="14"/>
  <c r="J265" i="14"/>
  <c r="I265" i="14"/>
  <c r="H265" i="14"/>
  <c r="G265" i="14"/>
  <c r="F265" i="14"/>
  <c r="N264" i="14"/>
  <c r="M264" i="14"/>
  <c r="L264" i="14"/>
  <c r="K264" i="14"/>
  <c r="J264" i="14"/>
  <c r="I264" i="14"/>
  <c r="H264" i="14"/>
  <c r="G264" i="14"/>
  <c r="F264" i="14"/>
  <c r="N263" i="14"/>
  <c r="M263" i="14"/>
  <c r="L263" i="14"/>
  <c r="K263" i="14"/>
  <c r="J263" i="14"/>
  <c r="I263" i="14"/>
  <c r="H263" i="14"/>
  <c r="G263" i="14"/>
  <c r="F263" i="14"/>
  <c r="N262" i="14"/>
  <c r="M262" i="14"/>
  <c r="L262" i="14"/>
  <c r="K262" i="14"/>
  <c r="J262" i="14"/>
  <c r="I262" i="14"/>
  <c r="H262" i="14"/>
  <c r="G262" i="14"/>
  <c r="F262" i="14"/>
  <c r="N261" i="14"/>
  <c r="M261" i="14"/>
  <c r="L261" i="14"/>
  <c r="K261" i="14"/>
  <c r="J261" i="14"/>
  <c r="I261" i="14"/>
  <c r="H261" i="14"/>
  <c r="G261" i="14"/>
  <c r="F261" i="14"/>
  <c r="N260" i="14"/>
  <c r="M260" i="14"/>
  <c r="L260" i="14"/>
  <c r="K260" i="14"/>
  <c r="J260" i="14"/>
  <c r="I260" i="14"/>
  <c r="H260" i="14"/>
  <c r="G260" i="14"/>
  <c r="F260" i="14"/>
  <c r="N259" i="14"/>
  <c r="M259" i="14"/>
  <c r="L259" i="14"/>
  <c r="K259" i="14"/>
  <c r="J259" i="14"/>
  <c r="I259" i="14"/>
  <c r="H259" i="14"/>
  <c r="G259" i="14"/>
  <c r="F259" i="14"/>
  <c r="N258" i="14"/>
  <c r="M258" i="14"/>
  <c r="L258" i="14"/>
  <c r="K258" i="14"/>
  <c r="J258" i="14"/>
  <c r="I258" i="14"/>
  <c r="H258" i="14"/>
  <c r="G258" i="14"/>
  <c r="F258" i="14"/>
  <c r="N257" i="14"/>
  <c r="M257" i="14"/>
  <c r="L257" i="14"/>
  <c r="K257" i="14"/>
  <c r="J257" i="14"/>
  <c r="I257" i="14"/>
  <c r="H257" i="14"/>
  <c r="G257" i="14"/>
  <c r="F257" i="14"/>
  <c r="N256" i="14"/>
  <c r="M256" i="14"/>
  <c r="L256" i="14"/>
  <c r="K256" i="14"/>
  <c r="J256" i="14"/>
  <c r="I256" i="14"/>
  <c r="H256" i="14"/>
  <c r="G256" i="14"/>
  <c r="F256" i="14"/>
  <c r="N255" i="14"/>
  <c r="M255" i="14"/>
  <c r="L255" i="14"/>
  <c r="K255" i="14"/>
  <c r="J255" i="14"/>
  <c r="I255" i="14"/>
  <c r="H255" i="14"/>
  <c r="G255" i="14"/>
  <c r="F255" i="14"/>
  <c r="N254" i="14"/>
  <c r="M254" i="14"/>
  <c r="L254" i="14"/>
  <c r="K254" i="14"/>
  <c r="J254" i="14"/>
  <c r="I254" i="14"/>
  <c r="H254" i="14"/>
  <c r="G254" i="14"/>
  <c r="F254" i="14"/>
  <c r="N253" i="14"/>
  <c r="M253" i="14"/>
  <c r="L253" i="14"/>
  <c r="K253" i="14"/>
  <c r="J253" i="14"/>
  <c r="I253" i="14"/>
  <c r="H253" i="14"/>
  <c r="G253" i="14"/>
  <c r="F253" i="14"/>
  <c r="N252" i="14"/>
  <c r="M252" i="14"/>
  <c r="L252" i="14"/>
  <c r="K252" i="14"/>
  <c r="J252" i="14"/>
  <c r="I252" i="14"/>
  <c r="H252" i="14"/>
  <c r="G252" i="14"/>
  <c r="F252" i="14"/>
  <c r="N251" i="14"/>
  <c r="M251" i="14"/>
  <c r="L251" i="14"/>
  <c r="K251" i="14"/>
  <c r="J251" i="14"/>
  <c r="I251" i="14"/>
  <c r="H251" i="14"/>
  <c r="G251" i="14"/>
  <c r="F251" i="14"/>
  <c r="N250" i="14"/>
  <c r="M250" i="14"/>
  <c r="L250" i="14"/>
  <c r="K250" i="14"/>
  <c r="J250" i="14"/>
  <c r="I250" i="14"/>
  <c r="H250" i="14"/>
  <c r="G250" i="14"/>
  <c r="F250" i="14"/>
  <c r="N249" i="14"/>
  <c r="M249" i="14"/>
  <c r="L249" i="14"/>
  <c r="K249" i="14"/>
  <c r="J249" i="14"/>
  <c r="I249" i="14"/>
  <c r="H249" i="14"/>
  <c r="G249" i="14"/>
  <c r="F249" i="14"/>
  <c r="N248" i="14"/>
  <c r="M248" i="14"/>
  <c r="L248" i="14"/>
  <c r="K248" i="14"/>
  <c r="J248" i="14"/>
  <c r="I248" i="14"/>
  <c r="H248" i="14"/>
  <c r="G248" i="14"/>
  <c r="F248" i="14"/>
  <c r="N247" i="14"/>
  <c r="M247" i="14"/>
  <c r="L247" i="14"/>
  <c r="K247" i="14"/>
  <c r="J247" i="14"/>
  <c r="I247" i="14"/>
  <c r="H247" i="14"/>
  <c r="G247" i="14"/>
  <c r="F247" i="14"/>
  <c r="N246" i="14"/>
  <c r="M246" i="14"/>
  <c r="L246" i="14"/>
  <c r="K246" i="14"/>
  <c r="J246" i="14"/>
  <c r="I246" i="14"/>
  <c r="H246" i="14"/>
  <c r="G246" i="14"/>
  <c r="F246" i="14"/>
  <c r="N245" i="14"/>
  <c r="M245" i="14"/>
  <c r="L245" i="14"/>
  <c r="K245" i="14"/>
  <c r="J245" i="14"/>
  <c r="I245" i="14"/>
  <c r="H245" i="14"/>
  <c r="G245" i="14"/>
  <c r="F245" i="14"/>
  <c r="N244" i="14"/>
  <c r="M244" i="14"/>
  <c r="L244" i="14"/>
  <c r="K244" i="14"/>
  <c r="J244" i="14"/>
  <c r="I244" i="14"/>
  <c r="H244" i="14"/>
  <c r="G244" i="14"/>
  <c r="F244" i="14"/>
  <c r="N243" i="14"/>
  <c r="M243" i="14"/>
  <c r="L243" i="14"/>
  <c r="K243" i="14"/>
  <c r="J243" i="14"/>
  <c r="I243" i="14"/>
  <c r="H243" i="14"/>
  <c r="G243" i="14"/>
  <c r="F243" i="14"/>
  <c r="N242" i="14"/>
  <c r="M242" i="14"/>
  <c r="L242" i="14"/>
  <c r="K242" i="14"/>
  <c r="J242" i="14"/>
  <c r="I242" i="14"/>
  <c r="H242" i="14"/>
  <c r="G242" i="14"/>
  <c r="F242" i="14"/>
  <c r="N241" i="14"/>
  <c r="M241" i="14"/>
  <c r="L241" i="14"/>
  <c r="K241" i="14"/>
  <c r="J241" i="14"/>
  <c r="I241" i="14"/>
  <c r="H241" i="14"/>
  <c r="G241" i="14"/>
  <c r="F241" i="14"/>
  <c r="N240" i="14"/>
  <c r="M240" i="14"/>
  <c r="L240" i="14"/>
  <c r="K240" i="14"/>
  <c r="J240" i="14"/>
  <c r="I240" i="14"/>
  <c r="H240" i="14"/>
  <c r="G240" i="14"/>
  <c r="F240" i="14"/>
  <c r="N239" i="14"/>
  <c r="M239" i="14"/>
  <c r="L239" i="14"/>
  <c r="K239" i="14"/>
  <c r="J239" i="14"/>
  <c r="I239" i="14"/>
  <c r="H239" i="14"/>
  <c r="G239" i="14"/>
  <c r="F239" i="14"/>
  <c r="N238" i="14"/>
  <c r="M238" i="14"/>
  <c r="L238" i="14"/>
  <c r="K238" i="14"/>
  <c r="J238" i="14"/>
  <c r="I238" i="14"/>
  <c r="H238" i="14"/>
  <c r="G238" i="14"/>
  <c r="F238" i="14"/>
  <c r="N237" i="14"/>
  <c r="M237" i="14"/>
  <c r="L237" i="14"/>
  <c r="K237" i="14"/>
  <c r="J237" i="14"/>
  <c r="I237" i="14"/>
  <c r="H237" i="14"/>
  <c r="G237" i="14"/>
  <c r="F237" i="14"/>
  <c r="N236" i="14"/>
  <c r="M236" i="14"/>
  <c r="L236" i="14"/>
  <c r="K236" i="14"/>
  <c r="J236" i="14"/>
  <c r="I236" i="14"/>
  <c r="H236" i="14"/>
  <c r="G236" i="14"/>
  <c r="F236" i="14"/>
  <c r="N235" i="14"/>
  <c r="M235" i="14"/>
  <c r="L235" i="14"/>
  <c r="K235" i="14"/>
  <c r="J235" i="14"/>
  <c r="I235" i="14"/>
  <c r="H235" i="14"/>
  <c r="G235" i="14"/>
  <c r="F235" i="14"/>
  <c r="N234" i="14"/>
  <c r="M234" i="14"/>
  <c r="L234" i="14"/>
  <c r="K234" i="14"/>
  <c r="J234" i="14"/>
  <c r="I234" i="14"/>
  <c r="H234" i="14"/>
  <c r="G234" i="14"/>
  <c r="F234" i="14"/>
  <c r="N233" i="14"/>
  <c r="M233" i="14"/>
  <c r="L233" i="14"/>
  <c r="K233" i="14"/>
  <c r="J233" i="14"/>
  <c r="I233" i="14"/>
  <c r="H233" i="14"/>
  <c r="G233" i="14"/>
  <c r="F233" i="14"/>
  <c r="N232" i="14"/>
  <c r="M232" i="14"/>
  <c r="L232" i="14"/>
  <c r="K232" i="14"/>
  <c r="J232" i="14"/>
  <c r="I232" i="14"/>
  <c r="H232" i="14"/>
  <c r="G232" i="14"/>
  <c r="F232" i="14"/>
  <c r="N231" i="14"/>
  <c r="M231" i="14"/>
  <c r="L231" i="14"/>
  <c r="K231" i="14"/>
  <c r="J231" i="14"/>
  <c r="I231" i="14"/>
  <c r="H231" i="14"/>
  <c r="G231" i="14"/>
  <c r="F231" i="14"/>
  <c r="N230" i="14"/>
  <c r="M230" i="14"/>
  <c r="L230" i="14"/>
  <c r="K230" i="14"/>
  <c r="J230" i="14"/>
  <c r="I230" i="14"/>
  <c r="H230" i="14"/>
  <c r="G230" i="14"/>
  <c r="F230" i="14"/>
  <c r="N229" i="14"/>
  <c r="M229" i="14"/>
  <c r="L229" i="14"/>
  <c r="K229" i="14"/>
  <c r="J229" i="14"/>
  <c r="I229" i="14"/>
  <c r="H229" i="14"/>
  <c r="G229" i="14"/>
  <c r="F229" i="14"/>
  <c r="N228" i="14"/>
  <c r="M228" i="14"/>
  <c r="L228" i="14"/>
  <c r="K228" i="14"/>
  <c r="J228" i="14"/>
  <c r="I228" i="14"/>
  <c r="H228" i="14"/>
  <c r="G228" i="14"/>
  <c r="F228" i="14"/>
  <c r="N227" i="14"/>
  <c r="M227" i="14"/>
  <c r="L227" i="14"/>
  <c r="K227" i="14"/>
  <c r="J227" i="14"/>
  <c r="I227" i="14"/>
  <c r="H227" i="14"/>
  <c r="G227" i="14"/>
  <c r="F227" i="14"/>
  <c r="N226" i="14"/>
  <c r="M226" i="14"/>
  <c r="L226" i="14"/>
  <c r="K226" i="14"/>
  <c r="J226" i="14"/>
  <c r="I226" i="14"/>
  <c r="H226" i="14"/>
  <c r="G226" i="14"/>
  <c r="F226" i="14"/>
  <c r="N225" i="14"/>
  <c r="M225" i="14"/>
  <c r="L225" i="14"/>
  <c r="K225" i="14"/>
  <c r="J225" i="14"/>
  <c r="I225" i="14"/>
  <c r="H225" i="14"/>
  <c r="G225" i="14"/>
  <c r="F225" i="14"/>
  <c r="N224" i="14"/>
  <c r="M224" i="14"/>
  <c r="L224" i="14"/>
  <c r="K224" i="14"/>
  <c r="J224" i="14"/>
  <c r="I224" i="14"/>
  <c r="H224" i="14"/>
  <c r="G224" i="14"/>
  <c r="F224" i="14"/>
  <c r="N223" i="14"/>
  <c r="M223" i="14"/>
  <c r="L223" i="14"/>
  <c r="K223" i="14"/>
  <c r="J223" i="14"/>
  <c r="I223" i="14"/>
  <c r="H223" i="14"/>
  <c r="G223" i="14"/>
  <c r="F223" i="14"/>
  <c r="N222" i="14"/>
  <c r="M222" i="14"/>
  <c r="L222" i="14"/>
  <c r="K222" i="14"/>
  <c r="J222" i="14"/>
  <c r="I222" i="14"/>
  <c r="H222" i="14"/>
  <c r="G222" i="14"/>
  <c r="F222" i="14"/>
  <c r="N221" i="14"/>
  <c r="M221" i="14"/>
  <c r="L221" i="14"/>
  <c r="K221" i="14"/>
  <c r="J221" i="14"/>
  <c r="I221" i="14"/>
  <c r="H221" i="14"/>
  <c r="G221" i="14"/>
  <c r="F221" i="14"/>
  <c r="N220" i="14"/>
  <c r="M220" i="14"/>
  <c r="L220" i="14"/>
  <c r="K220" i="14"/>
  <c r="J220" i="14"/>
  <c r="I220" i="14"/>
  <c r="H220" i="14"/>
  <c r="G220" i="14"/>
  <c r="F220" i="14"/>
  <c r="N219" i="14"/>
  <c r="M219" i="14"/>
  <c r="L219" i="14"/>
  <c r="K219" i="14"/>
  <c r="J219" i="14"/>
  <c r="I219" i="14"/>
  <c r="H219" i="14"/>
  <c r="G219" i="14"/>
  <c r="F219" i="14"/>
  <c r="N218" i="14"/>
  <c r="M218" i="14"/>
  <c r="L218" i="14"/>
  <c r="K218" i="14"/>
  <c r="J218" i="14"/>
  <c r="I218" i="14"/>
  <c r="H218" i="14"/>
  <c r="G218" i="14"/>
  <c r="F218" i="14"/>
  <c r="N217" i="14"/>
  <c r="M217" i="14"/>
  <c r="L217" i="14"/>
  <c r="K217" i="14"/>
  <c r="J217" i="14"/>
  <c r="I217" i="14"/>
  <c r="H217" i="14"/>
  <c r="G217" i="14"/>
  <c r="F217" i="14"/>
  <c r="N216" i="14"/>
  <c r="M216" i="14"/>
  <c r="L216" i="14"/>
  <c r="K216" i="14"/>
  <c r="J216" i="14"/>
  <c r="I216" i="14"/>
  <c r="H216" i="14"/>
  <c r="G216" i="14"/>
  <c r="F216" i="14"/>
  <c r="N215" i="14"/>
  <c r="M215" i="14"/>
  <c r="L215" i="14"/>
  <c r="K215" i="14"/>
  <c r="J215" i="14"/>
  <c r="I215" i="14"/>
  <c r="H215" i="14"/>
  <c r="G215" i="14"/>
  <c r="F215" i="14"/>
  <c r="N214" i="14"/>
  <c r="M214" i="14"/>
  <c r="L214" i="14"/>
  <c r="K214" i="14"/>
  <c r="J214" i="14"/>
  <c r="I214" i="14"/>
  <c r="H214" i="14"/>
  <c r="G214" i="14"/>
  <c r="F214" i="14"/>
  <c r="N213" i="14"/>
  <c r="M213" i="14"/>
  <c r="L213" i="14"/>
  <c r="K213" i="14"/>
  <c r="J213" i="14"/>
  <c r="I213" i="14"/>
  <c r="H213" i="14"/>
  <c r="G213" i="14"/>
  <c r="F213" i="14"/>
  <c r="N212" i="14"/>
  <c r="M212" i="14"/>
  <c r="L212" i="14"/>
  <c r="K212" i="14"/>
  <c r="J212" i="14"/>
  <c r="I212" i="14"/>
  <c r="H212" i="14"/>
  <c r="G212" i="14"/>
  <c r="F212" i="14"/>
  <c r="N211" i="14"/>
  <c r="M211" i="14"/>
  <c r="L211" i="14"/>
  <c r="K211" i="14"/>
  <c r="J211" i="14"/>
  <c r="I211" i="14"/>
  <c r="H211" i="14"/>
  <c r="G211" i="14"/>
  <c r="F211" i="14"/>
  <c r="N210" i="14"/>
  <c r="M210" i="14"/>
  <c r="L210" i="14"/>
  <c r="K210" i="14"/>
  <c r="J210" i="14"/>
  <c r="I210" i="14"/>
  <c r="H210" i="14"/>
  <c r="G210" i="14"/>
  <c r="F210" i="14"/>
  <c r="N209" i="14"/>
  <c r="M209" i="14"/>
  <c r="L209" i="14"/>
  <c r="K209" i="14"/>
  <c r="J209" i="14"/>
  <c r="I209" i="14"/>
  <c r="H209" i="14"/>
  <c r="G209" i="14"/>
  <c r="F209" i="14"/>
  <c r="N208" i="14"/>
  <c r="M208" i="14"/>
  <c r="L208" i="14"/>
  <c r="K208" i="14"/>
  <c r="J208" i="14"/>
  <c r="I208" i="14"/>
  <c r="H208" i="14"/>
  <c r="G208" i="14"/>
  <c r="F208" i="14"/>
  <c r="N207" i="14"/>
  <c r="M207" i="14"/>
  <c r="L207" i="14"/>
  <c r="K207" i="14"/>
  <c r="J207" i="14"/>
  <c r="I207" i="14"/>
  <c r="H207" i="14"/>
  <c r="G207" i="14"/>
  <c r="F207" i="14"/>
  <c r="N206" i="14"/>
  <c r="M206" i="14"/>
  <c r="L206" i="14"/>
  <c r="K206" i="14"/>
  <c r="J206" i="14"/>
  <c r="I206" i="14"/>
  <c r="H206" i="14"/>
  <c r="G206" i="14"/>
  <c r="F206" i="14"/>
  <c r="N205" i="14"/>
  <c r="M205" i="14"/>
  <c r="L205" i="14"/>
  <c r="K205" i="14"/>
  <c r="J205" i="14"/>
  <c r="I205" i="14"/>
  <c r="H205" i="14"/>
  <c r="G205" i="14"/>
  <c r="F205" i="14"/>
  <c r="N204" i="14"/>
  <c r="M204" i="14"/>
  <c r="L204" i="14"/>
  <c r="K204" i="14"/>
  <c r="J204" i="14"/>
  <c r="I204" i="14"/>
  <c r="H204" i="14"/>
  <c r="G204" i="14"/>
  <c r="F204" i="14"/>
  <c r="N203" i="14"/>
  <c r="M203" i="14"/>
  <c r="L203" i="14"/>
  <c r="K203" i="14"/>
  <c r="J203" i="14"/>
  <c r="I203" i="14"/>
  <c r="H203" i="14"/>
  <c r="G203" i="14"/>
  <c r="F203" i="14"/>
  <c r="N202" i="14"/>
  <c r="M202" i="14"/>
  <c r="L202" i="14"/>
  <c r="K202" i="14"/>
  <c r="J202" i="14"/>
  <c r="I202" i="14"/>
  <c r="H202" i="14"/>
  <c r="G202" i="14"/>
  <c r="F202" i="14"/>
  <c r="N201" i="14"/>
  <c r="M201" i="14"/>
  <c r="L201" i="14"/>
  <c r="K201" i="14"/>
  <c r="J201" i="14"/>
  <c r="I201" i="14"/>
  <c r="H201" i="14"/>
  <c r="G201" i="14"/>
  <c r="F201" i="14"/>
  <c r="N200" i="14"/>
  <c r="M200" i="14"/>
  <c r="L200" i="14"/>
  <c r="K200" i="14"/>
  <c r="J200" i="14"/>
  <c r="I200" i="14"/>
  <c r="H200" i="14"/>
  <c r="G200" i="14"/>
  <c r="F200" i="14"/>
  <c r="N199" i="14"/>
  <c r="M199" i="14"/>
  <c r="L199" i="14"/>
  <c r="K199" i="14"/>
  <c r="J199" i="14"/>
  <c r="I199" i="14"/>
  <c r="H199" i="14"/>
  <c r="G199" i="14"/>
  <c r="F199" i="14"/>
  <c r="N198" i="14"/>
  <c r="M198" i="14"/>
  <c r="L198" i="14"/>
  <c r="K198" i="14"/>
  <c r="J198" i="14"/>
  <c r="I198" i="14"/>
  <c r="H198" i="14"/>
  <c r="G198" i="14"/>
  <c r="F198" i="14"/>
  <c r="N197" i="14"/>
  <c r="M197" i="14"/>
  <c r="L197" i="14"/>
  <c r="K197" i="14"/>
  <c r="J197" i="14"/>
  <c r="I197" i="14"/>
  <c r="H197" i="14"/>
  <c r="G197" i="14"/>
  <c r="F197" i="14"/>
  <c r="N196" i="14"/>
  <c r="M196" i="14"/>
  <c r="L196" i="14"/>
  <c r="K196" i="14"/>
  <c r="J196" i="14"/>
  <c r="I196" i="14"/>
  <c r="H196" i="14"/>
  <c r="G196" i="14"/>
  <c r="F196" i="14"/>
  <c r="N195" i="14"/>
  <c r="M195" i="14"/>
  <c r="L195" i="14"/>
  <c r="K195" i="14"/>
  <c r="J195" i="14"/>
  <c r="I195" i="14"/>
  <c r="H195" i="14"/>
  <c r="G195" i="14"/>
  <c r="F195" i="14"/>
  <c r="N194" i="14"/>
  <c r="M194" i="14"/>
  <c r="L194" i="14"/>
  <c r="K194" i="14"/>
  <c r="J194" i="14"/>
  <c r="I194" i="14"/>
  <c r="H194" i="14"/>
  <c r="G194" i="14"/>
  <c r="F194" i="14"/>
  <c r="N193" i="14"/>
  <c r="M193" i="14"/>
  <c r="L193" i="14"/>
  <c r="K193" i="14"/>
  <c r="J193" i="14"/>
  <c r="I193" i="14"/>
  <c r="H193" i="14"/>
  <c r="G193" i="14"/>
  <c r="F193" i="14"/>
  <c r="N192" i="14"/>
  <c r="M192" i="14"/>
  <c r="L192" i="14"/>
  <c r="K192" i="14"/>
  <c r="J192" i="14"/>
  <c r="I192" i="14"/>
  <c r="H192" i="14"/>
  <c r="G192" i="14"/>
  <c r="F192" i="14"/>
  <c r="N191" i="14"/>
  <c r="M191" i="14"/>
  <c r="L191" i="14"/>
  <c r="K191" i="14"/>
  <c r="J191" i="14"/>
  <c r="I191" i="14"/>
  <c r="H191" i="14"/>
  <c r="G191" i="14"/>
  <c r="F191" i="14"/>
  <c r="N190" i="14"/>
  <c r="M190" i="14"/>
  <c r="L190" i="14"/>
  <c r="K190" i="14"/>
  <c r="J190" i="14"/>
  <c r="I190" i="14"/>
  <c r="H190" i="14"/>
  <c r="G190" i="14"/>
  <c r="F190" i="14"/>
  <c r="N189" i="14"/>
  <c r="M189" i="14"/>
  <c r="L189" i="14"/>
  <c r="K189" i="14"/>
  <c r="J189" i="14"/>
  <c r="I189" i="14"/>
  <c r="H189" i="14"/>
  <c r="G189" i="14"/>
  <c r="F189" i="14"/>
  <c r="N188" i="14"/>
  <c r="M188" i="14"/>
  <c r="L188" i="14"/>
  <c r="K188" i="14"/>
  <c r="J188" i="14"/>
  <c r="I188" i="14"/>
  <c r="H188" i="14"/>
  <c r="G188" i="14"/>
  <c r="F188" i="14"/>
  <c r="N187" i="14"/>
  <c r="M187" i="14"/>
  <c r="L187" i="14"/>
  <c r="K187" i="14"/>
  <c r="J187" i="14"/>
  <c r="I187" i="14"/>
  <c r="H187" i="14"/>
  <c r="G187" i="14"/>
  <c r="F187" i="14"/>
  <c r="N186" i="14"/>
  <c r="M186" i="14"/>
  <c r="L186" i="14"/>
  <c r="K186" i="14"/>
  <c r="J186" i="14"/>
  <c r="I186" i="14"/>
  <c r="H186" i="14"/>
  <c r="G186" i="14"/>
  <c r="F186" i="14"/>
  <c r="N185" i="14"/>
  <c r="M185" i="14"/>
  <c r="L185" i="14"/>
  <c r="K185" i="14"/>
  <c r="J185" i="14"/>
  <c r="I185" i="14"/>
  <c r="H185" i="14"/>
  <c r="G185" i="14"/>
  <c r="F185" i="14"/>
  <c r="N184" i="14"/>
  <c r="M184" i="14"/>
  <c r="L184" i="14"/>
  <c r="K184" i="14"/>
  <c r="J184" i="14"/>
  <c r="I184" i="14"/>
  <c r="H184" i="14"/>
  <c r="G184" i="14"/>
  <c r="F184" i="14"/>
  <c r="N183" i="14"/>
  <c r="M183" i="14"/>
  <c r="L183" i="14"/>
  <c r="K183" i="14"/>
  <c r="J183" i="14"/>
  <c r="I183" i="14"/>
  <c r="H183" i="14"/>
  <c r="G183" i="14"/>
  <c r="F183" i="14"/>
  <c r="N182" i="14"/>
  <c r="M182" i="14"/>
  <c r="L182" i="14"/>
  <c r="K182" i="14"/>
  <c r="J182" i="14"/>
  <c r="I182" i="14"/>
  <c r="H182" i="14"/>
  <c r="G182" i="14"/>
  <c r="F182" i="14"/>
  <c r="N181" i="14"/>
  <c r="M181" i="14"/>
  <c r="L181" i="14"/>
  <c r="K181" i="14"/>
  <c r="J181" i="14"/>
  <c r="I181" i="14"/>
  <c r="H181" i="14"/>
  <c r="G181" i="14"/>
  <c r="F181" i="14"/>
  <c r="N180" i="14"/>
  <c r="M180" i="14"/>
  <c r="L180" i="14"/>
  <c r="K180" i="14"/>
  <c r="J180" i="14"/>
  <c r="I180" i="14"/>
  <c r="H180" i="14"/>
  <c r="G180" i="14"/>
  <c r="F180" i="14"/>
  <c r="N179" i="14"/>
  <c r="M179" i="14"/>
  <c r="L179" i="14"/>
  <c r="K179" i="14"/>
  <c r="J179" i="14"/>
  <c r="I179" i="14"/>
  <c r="H179" i="14"/>
  <c r="G179" i="14"/>
  <c r="F179" i="14"/>
  <c r="N178" i="14"/>
  <c r="M178" i="14"/>
  <c r="L178" i="14"/>
  <c r="K178" i="14"/>
  <c r="J178" i="14"/>
  <c r="I178" i="14"/>
  <c r="H178" i="14"/>
  <c r="G178" i="14"/>
  <c r="F178" i="14"/>
  <c r="N177" i="14"/>
  <c r="M177" i="14"/>
  <c r="L177" i="14"/>
  <c r="K177" i="14"/>
  <c r="J177" i="14"/>
  <c r="I177" i="14"/>
  <c r="H177" i="14"/>
  <c r="G177" i="14"/>
  <c r="F177" i="14"/>
  <c r="N176" i="14"/>
  <c r="M176" i="14"/>
  <c r="L176" i="14"/>
  <c r="K176" i="14"/>
  <c r="J176" i="14"/>
  <c r="I176" i="14"/>
  <c r="H176" i="14"/>
  <c r="G176" i="14"/>
  <c r="F176" i="14"/>
  <c r="N175" i="14"/>
  <c r="M175" i="14"/>
  <c r="L175" i="14"/>
  <c r="K175" i="14"/>
  <c r="J175" i="14"/>
  <c r="I175" i="14"/>
  <c r="H175" i="14"/>
  <c r="G175" i="14"/>
  <c r="F175" i="14"/>
  <c r="N174" i="14"/>
  <c r="M174" i="14"/>
  <c r="L174" i="14"/>
  <c r="K174" i="14"/>
  <c r="J174" i="14"/>
  <c r="I174" i="14"/>
  <c r="H174" i="14"/>
  <c r="G174" i="14"/>
  <c r="F174" i="14"/>
  <c r="N173" i="14"/>
  <c r="M173" i="14"/>
  <c r="L173" i="14"/>
  <c r="K173" i="14"/>
  <c r="J173" i="14"/>
  <c r="I173" i="14"/>
  <c r="H173" i="14"/>
  <c r="G173" i="14"/>
  <c r="F173" i="14"/>
  <c r="N172" i="14"/>
  <c r="M172" i="14"/>
  <c r="L172" i="14"/>
  <c r="K172" i="14"/>
  <c r="J172" i="14"/>
  <c r="I172" i="14"/>
  <c r="H172" i="14"/>
  <c r="G172" i="14"/>
  <c r="F172" i="14"/>
  <c r="N171" i="14"/>
  <c r="M171" i="14"/>
  <c r="L171" i="14"/>
  <c r="K171" i="14"/>
  <c r="J171" i="14"/>
  <c r="I171" i="14"/>
  <c r="H171" i="14"/>
  <c r="G171" i="14"/>
  <c r="F171" i="14"/>
  <c r="N170" i="14"/>
  <c r="M170" i="14"/>
  <c r="L170" i="14"/>
  <c r="K170" i="14"/>
  <c r="J170" i="14"/>
  <c r="I170" i="14"/>
  <c r="H170" i="14"/>
  <c r="G170" i="14"/>
  <c r="F170" i="14"/>
  <c r="N169" i="14"/>
  <c r="M169" i="14"/>
  <c r="L169" i="14"/>
  <c r="K169" i="14"/>
  <c r="J169" i="14"/>
  <c r="I169" i="14"/>
  <c r="H169" i="14"/>
  <c r="G169" i="14"/>
  <c r="F169" i="14"/>
  <c r="N168" i="14"/>
  <c r="M168" i="14"/>
  <c r="L168" i="14"/>
  <c r="K168" i="14"/>
  <c r="J168" i="14"/>
  <c r="I168" i="14"/>
  <c r="H168" i="14"/>
  <c r="G168" i="14"/>
  <c r="F168" i="14"/>
  <c r="N167" i="14"/>
  <c r="M167" i="14"/>
  <c r="L167" i="14"/>
  <c r="K167" i="14"/>
  <c r="J167" i="14"/>
  <c r="I167" i="14"/>
  <c r="H167" i="14"/>
  <c r="G167" i="14"/>
  <c r="F167" i="14"/>
  <c r="N166" i="14"/>
  <c r="M166" i="14"/>
  <c r="L166" i="14"/>
  <c r="K166" i="14"/>
  <c r="J166" i="14"/>
  <c r="I166" i="14"/>
  <c r="H166" i="14"/>
  <c r="G166" i="14"/>
  <c r="F166" i="14"/>
  <c r="N165" i="14"/>
  <c r="M165" i="14"/>
  <c r="L165" i="14"/>
  <c r="K165" i="14"/>
  <c r="J165" i="14"/>
  <c r="I165" i="14"/>
  <c r="H165" i="14"/>
  <c r="G165" i="14"/>
  <c r="F165" i="14"/>
  <c r="N164" i="14"/>
  <c r="M164" i="14"/>
  <c r="L164" i="14"/>
  <c r="K164" i="14"/>
  <c r="J164" i="14"/>
  <c r="I164" i="14"/>
  <c r="H164" i="14"/>
  <c r="G164" i="14"/>
  <c r="F164" i="14"/>
  <c r="N163" i="14"/>
  <c r="M163" i="14"/>
  <c r="L163" i="14"/>
  <c r="K163" i="14"/>
  <c r="J163" i="14"/>
  <c r="I163" i="14"/>
  <c r="H163" i="14"/>
  <c r="G163" i="14"/>
  <c r="F163" i="14"/>
  <c r="N162" i="14"/>
  <c r="M162" i="14"/>
  <c r="L162" i="14"/>
  <c r="K162" i="14"/>
  <c r="J162" i="14"/>
  <c r="I162" i="14"/>
  <c r="H162" i="14"/>
  <c r="G162" i="14"/>
  <c r="F162" i="14"/>
  <c r="N161" i="14"/>
  <c r="M161" i="14"/>
  <c r="L161" i="14"/>
  <c r="K161" i="14"/>
  <c r="J161" i="14"/>
  <c r="I161" i="14"/>
  <c r="H161" i="14"/>
  <c r="G161" i="14"/>
  <c r="F161" i="14"/>
  <c r="N160" i="14"/>
  <c r="M160" i="14"/>
  <c r="L160" i="14"/>
  <c r="K160" i="14"/>
  <c r="J160" i="14"/>
  <c r="I160" i="14"/>
  <c r="H160" i="14"/>
  <c r="G160" i="14"/>
  <c r="F160" i="14"/>
  <c r="N159" i="14"/>
  <c r="M159" i="14"/>
  <c r="L159" i="14"/>
  <c r="K159" i="14"/>
  <c r="J159" i="14"/>
  <c r="I159" i="14"/>
  <c r="H159" i="14"/>
  <c r="G159" i="14"/>
  <c r="F159" i="14"/>
  <c r="N158" i="14"/>
  <c r="M158" i="14"/>
  <c r="L158" i="14"/>
  <c r="K158" i="14"/>
  <c r="J158" i="14"/>
  <c r="I158" i="14"/>
  <c r="H158" i="14"/>
  <c r="G158" i="14"/>
  <c r="F158" i="14"/>
  <c r="N157" i="14"/>
  <c r="M157" i="14"/>
  <c r="L157" i="14"/>
  <c r="K157" i="14"/>
  <c r="J157" i="14"/>
  <c r="I157" i="14"/>
  <c r="H157" i="14"/>
  <c r="G157" i="14"/>
  <c r="F157" i="14"/>
  <c r="N156" i="14"/>
  <c r="M156" i="14"/>
  <c r="L156" i="14"/>
  <c r="K156" i="14"/>
  <c r="J156" i="14"/>
  <c r="I156" i="14"/>
  <c r="H156" i="14"/>
  <c r="G156" i="14"/>
  <c r="F156" i="14"/>
  <c r="N155" i="14"/>
  <c r="M155" i="14"/>
  <c r="L155" i="14"/>
  <c r="K155" i="14"/>
  <c r="J155" i="14"/>
  <c r="I155" i="14"/>
  <c r="H155" i="14"/>
  <c r="G155" i="14"/>
  <c r="F155" i="14"/>
  <c r="N154" i="14"/>
  <c r="M154" i="14"/>
  <c r="L154" i="14"/>
  <c r="K154" i="14"/>
  <c r="J154" i="14"/>
  <c r="I154" i="14"/>
  <c r="H154" i="14"/>
  <c r="G154" i="14"/>
  <c r="F154" i="14"/>
  <c r="N153" i="14"/>
  <c r="M153" i="14"/>
  <c r="L153" i="14"/>
  <c r="K153" i="14"/>
  <c r="J153" i="14"/>
  <c r="I153" i="14"/>
  <c r="H153" i="14"/>
  <c r="G153" i="14"/>
  <c r="F153" i="14"/>
  <c r="N152" i="14"/>
  <c r="M152" i="14"/>
  <c r="L152" i="14"/>
  <c r="K152" i="14"/>
  <c r="J152" i="14"/>
  <c r="I152" i="14"/>
  <c r="H152" i="14"/>
  <c r="G152" i="14"/>
  <c r="F152" i="14"/>
  <c r="N151" i="14"/>
  <c r="M151" i="14"/>
  <c r="L151" i="14"/>
  <c r="K151" i="14"/>
  <c r="J151" i="14"/>
  <c r="I151" i="14"/>
  <c r="H151" i="14"/>
  <c r="G151" i="14"/>
  <c r="F151" i="14"/>
  <c r="N150" i="14"/>
  <c r="M150" i="14"/>
  <c r="L150" i="14"/>
  <c r="K150" i="14"/>
  <c r="J150" i="14"/>
  <c r="I150" i="14"/>
  <c r="H150" i="14"/>
  <c r="G150" i="14"/>
  <c r="F150" i="14"/>
  <c r="N149" i="14"/>
  <c r="M149" i="14"/>
  <c r="L149" i="14"/>
  <c r="K149" i="14"/>
  <c r="J149" i="14"/>
  <c r="I149" i="14"/>
  <c r="H149" i="14"/>
  <c r="G149" i="14"/>
  <c r="F149" i="14"/>
  <c r="N148" i="14"/>
  <c r="M148" i="14"/>
  <c r="L148" i="14"/>
  <c r="K148" i="14"/>
  <c r="J148" i="14"/>
  <c r="I148" i="14"/>
  <c r="H148" i="14"/>
  <c r="G148" i="14"/>
  <c r="F148" i="14"/>
  <c r="N147" i="14"/>
  <c r="M147" i="14"/>
  <c r="L147" i="14"/>
  <c r="K147" i="14"/>
  <c r="J147" i="14"/>
  <c r="I147" i="14"/>
  <c r="H147" i="14"/>
  <c r="G147" i="14"/>
  <c r="F147" i="14"/>
  <c r="N146" i="14"/>
  <c r="M146" i="14"/>
  <c r="L146" i="14"/>
  <c r="K146" i="14"/>
  <c r="J146" i="14"/>
  <c r="I146" i="14"/>
  <c r="H146" i="14"/>
  <c r="G146" i="14"/>
  <c r="F146" i="14"/>
  <c r="N145" i="14"/>
  <c r="M145" i="14"/>
  <c r="L145" i="14"/>
  <c r="K145" i="14"/>
  <c r="J145" i="14"/>
  <c r="I145" i="14"/>
  <c r="H145" i="14"/>
  <c r="G145" i="14"/>
  <c r="F145" i="14"/>
  <c r="N144" i="14"/>
  <c r="M144" i="14"/>
  <c r="L144" i="14"/>
  <c r="K144" i="14"/>
  <c r="J144" i="14"/>
  <c r="I144" i="14"/>
  <c r="H144" i="14"/>
  <c r="G144" i="14"/>
  <c r="F144" i="14"/>
  <c r="N143" i="14"/>
  <c r="M143" i="14"/>
  <c r="L143" i="14"/>
  <c r="K143" i="14"/>
  <c r="J143" i="14"/>
  <c r="I143" i="14"/>
  <c r="H143" i="14"/>
  <c r="G143" i="14"/>
  <c r="F143" i="14"/>
  <c r="N142" i="14"/>
  <c r="M142" i="14"/>
  <c r="L142" i="14"/>
  <c r="K142" i="14"/>
  <c r="J142" i="14"/>
  <c r="I142" i="14"/>
  <c r="H142" i="14"/>
  <c r="G142" i="14"/>
  <c r="F142" i="14"/>
  <c r="N141" i="14"/>
  <c r="M141" i="14"/>
  <c r="L141" i="14"/>
  <c r="K141" i="14"/>
  <c r="J141" i="14"/>
  <c r="I141" i="14"/>
  <c r="H141" i="14"/>
  <c r="G141" i="14"/>
  <c r="F141" i="14"/>
  <c r="N140" i="14"/>
  <c r="M140" i="14"/>
  <c r="L140" i="14"/>
  <c r="K140" i="14"/>
  <c r="J140" i="14"/>
  <c r="I140" i="14"/>
  <c r="H140" i="14"/>
  <c r="G140" i="14"/>
  <c r="F140" i="14"/>
  <c r="N139" i="14"/>
  <c r="M139" i="14"/>
  <c r="L139" i="14"/>
  <c r="K139" i="14"/>
  <c r="J139" i="14"/>
  <c r="I139" i="14"/>
  <c r="H139" i="14"/>
  <c r="G139" i="14"/>
  <c r="F139" i="14"/>
  <c r="N138" i="14"/>
  <c r="M138" i="14"/>
  <c r="L138" i="14"/>
  <c r="K138" i="14"/>
  <c r="J138" i="14"/>
  <c r="I138" i="14"/>
  <c r="H138" i="14"/>
  <c r="G138" i="14"/>
  <c r="F138" i="14"/>
  <c r="N137" i="14"/>
  <c r="M137" i="14"/>
  <c r="L137" i="14"/>
  <c r="K137" i="14"/>
  <c r="J137" i="14"/>
  <c r="I137" i="14"/>
  <c r="H137" i="14"/>
  <c r="G137" i="14"/>
  <c r="F137" i="14"/>
  <c r="N136" i="14"/>
  <c r="M136" i="14"/>
  <c r="L136" i="14"/>
  <c r="K136" i="14"/>
  <c r="J136" i="14"/>
  <c r="I136" i="14"/>
  <c r="H136" i="14"/>
  <c r="G136" i="14"/>
  <c r="F136" i="14"/>
  <c r="N135" i="14"/>
  <c r="M135" i="14"/>
  <c r="L135" i="14"/>
  <c r="K135" i="14"/>
  <c r="J135" i="14"/>
  <c r="I135" i="14"/>
  <c r="H135" i="14"/>
  <c r="G135" i="14"/>
  <c r="F135" i="14"/>
  <c r="N134" i="14"/>
  <c r="M134" i="14"/>
  <c r="L134" i="14"/>
  <c r="K134" i="14"/>
  <c r="J134" i="14"/>
  <c r="I134" i="14"/>
  <c r="H134" i="14"/>
  <c r="G134" i="14"/>
  <c r="F134" i="14"/>
  <c r="N133" i="14"/>
  <c r="M133" i="14"/>
  <c r="L133" i="14"/>
  <c r="K133" i="14"/>
  <c r="J133" i="14"/>
  <c r="I133" i="14"/>
  <c r="H133" i="14"/>
  <c r="G133" i="14"/>
  <c r="F133" i="14"/>
  <c r="N132" i="14"/>
  <c r="M132" i="14"/>
  <c r="L132" i="14"/>
  <c r="K132" i="14"/>
  <c r="J132" i="14"/>
  <c r="I132" i="14"/>
  <c r="H132" i="14"/>
  <c r="G132" i="14"/>
  <c r="F132" i="14"/>
  <c r="N131" i="14"/>
  <c r="M131" i="14"/>
  <c r="L131" i="14"/>
  <c r="K131" i="14"/>
  <c r="J131" i="14"/>
  <c r="I131" i="14"/>
  <c r="H131" i="14"/>
  <c r="G131" i="14"/>
  <c r="F131" i="14"/>
  <c r="N130" i="14"/>
  <c r="M130" i="14"/>
  <c r="L130" i="14"/>
  <c r="K130" i="14"/>
  <c r="J130" i="14"/>
  <c r="I130" i="14"/>
  <c r="H130" i="14"/>
  <c r="G130" i="14"/>
  <c r="F130" i="14"/>
  <c r="N129" i="14"/>
  <c r="M129" i="14"/>
  <c r="L129" i="14"/>
  <c r="K129" i="14"/>
  <c r="J129" i="14"/>
  <c r="I129" i="14"/>
  <c r="H129" i="14"/>
  <c r="G129" i="14"/>
  <c r="F129" i="14"/>
  <c r="N128" i="14"/>
  <c r="M128" i="14"/>
  <c r="L128" i="14"/>
  <c r="K128" i="14"/>
  <c r="J128" i="14"/>
  <c r="I128" i="14"/>
  <c r="H128" i="14"/>
  <c r="G128" i="14"/>
  <c r="F128" i="14"/>
  <c r="N127" i="14"/>
  <c r="M127" i="14"/>
  <c r="L127" i="14"/>
  <c r="K127" i="14"/>
  <c r="J127" i="14"/>
  <c r="I127" i="14"/>
  <c r="H127" i="14"/>
  <c r="G127" i="14"/>
  <c r="F127" i="14"/>
  <c r="N126" i="14"/>
  <c r="M126" i="14"/>
  <c r="L126" i="14"/>
  <c r="K126" i="14"/>
  <c r="J126" i="14"/>
  <c r="I126" i="14"/>
  <c r="H126" i="14"/>
  <c r="G126" i="14"/>
  <c r="F126" i="14"/>
  <c r="N125" i="14"/>
  <c r="M125" i="14"/>
  <c r="L125" i="14"/>
  <c r="K125" i="14"/>
  <c r="J125" i="14"/>
  <c r="I125" i="14"/>
  <c r="H125" i="14"/>
  <c r="G125" i="14"/>
  <c r="F125" i="14"/>
  <c r="N124" i="14"/>
  <c r="M124" i="14"/>
  <c r="L124" i="14"/>
  <c r="K124" i="14"/>
  <c r="J124" i="14"/>
  <c r="I124" i="14"/>
  <c r="H124" i="14"/>
  <c r="G124" i="14"/>
  <c r="F124" i="14"/>
  <c r="N123" i="14"/>
  <c r="M123" i="14"/>
  <c r="L123" i="14"/>
  <c r="K123" i="14"/>
  <c r="J123" i="14"/>
  <c r="I123" i="14"/>
  <c r="H123" i="14"/>
  <c r="G123" i="14"/>
  <c r="F123" i="14"/>
  <c r="N122" i="14"/>
  <c r="M122" i="14"/>
  <c r="L122" i="14"/>
  <c r="K122" i="14"/>
  <c r="J122" i="14"/>
  <c r="I122" i="14"/>
  <c r="H122" i="14"/>
  <c r="G122" i="14"/>
  <c r="F122" i="14"/>
  <c r="N121" i="14"/>
  <c r="M121" i="14"/>
  <c r="L121" i="14"/>
  <c r="K121" i="14"/>
  <c r="J121" i="14"/>
  <c r="I121" i="14"/>
  <c r="H121" i="14"/>
  <c r="G121" i="14"/>
  <c r="F121" i="14"/>
  <c r="N120" i="14"/>
  <c r="M120" i="14"/>
  <c r="L120" i="14"/>
  <c r="K120" i="14"/>
  <c r="J120" i="14"/>
  <c r="I120" i="14"/>
  <c r="H120" i="14"/>
  <c r="G120" i="14"/>
  <c r="F120" i="14"/>
  <c r="N119" i="14"/>
  <c r="M119" i="14"/>
  <c r="L119" i="14"/>
  <c r="K119" i="14"/>
  <c r="J119" i="14"/>
  <c r="I119" i="14"/>
  <c r="H119" i="14"/>
  <c r="G119" i="14"/>
  <c r="F119" i="14"/>
  <c r="N118" i="14"/>
  <c r="M118" i="14"/>
  <c r="L118" i="14"/>
  <c r="K118" i="14"/>
  <c r="J118" i="14"/>
  <c r="I118" i="14"/>
  <c r="H118" i="14"/>
  <c r="G118" i="14"/>
  <c r="F118" i="14"/>
  <c r="N117" i="14"/>
  <c r="M117" i="14"/>
  <c r="L117" i="14"/>
  <c r="K117" i="14"/>
  <c r="J117" i="14"/>
  <c r="I117" i="14"/>
  <c r="H117" i="14"/>
  <c r="G117" i="14"/>
  <c r="F117" i="14"/>
  <c r="N116" i="14"/>
  <c r="M116" i="14"/>
  <c r="L116" i="14"/>
  <c r="K116" i="14"/>
  <c r="J116" i="14"/>
  <c r="I116" i="14"/>
  <c r="H116" i="14"/>
  <c r="G116" i="14"/>
  <c r="F116" i="14"/>
  <c r="N115" i="14"/>
  <c r="M115" i="14"/>
  <c r="L115" i="14"/>
  <c r="K115" i="14"/>
  <c r="J115" i="14"/>
  <c r="I115" i="14"/>
  <c r="H115" i="14"/>
  <c r="G115" i="14"/>
  <c r="F115" i="14"/>
  <c r="N114" i="14"/>
  <c r="M114" i="14"/>
  <c r="L114" i="14"/>
  <c r="K114" i="14"/>
  <c r="J114" i="14"/>
  <c r="I114" i="14"/>
  <c r="H114" i="14"/>
  <c r="G114" i="14"/>
  <c r="F114" i="14"/>
  <c r="N113" i="14"/>
  <c r="M113" i="14"/>
  <c r="L113" i="14"/>
  <c r="K113" i="14"/>
  <c r="J113" i="14"/>
  <c r="I113" i="14"/>
  <c r="H113" i="14"/>
  <c r="G113" i="14"/>
  <c r="F113" i="14"/>
  <c r="N112" i="14"/>
  <c r="M112" i="14"/>
  <c r="L112" i="14"/>
  <c r="K112" i="14"/>
  <c r="J112" i="14"/>
  <c r="I112" i="14"/>
  <c r="H112" i="14"/>
  <c r="G112" i="14"/>
  <c r="F112" i="14"/>
  <c r="N111" i="14"/>
  <c r="M111" i="14"/>
  <c r="L111" i="14"/>
  <c r="K111" i="14"/>
  <c r="J111" i="14"/>
  <c r="I111" i="14"/>
  <c r="H111" i="14"/>
  <c r="G111" i="14"/>
  <c r="F111" i="14"/>
  <c r="N110" i="14"/>
  <c r="M110" i="14"/>
  <c r="L110" i="14"/>
  <c r="K110" i="14"/>
  <c r="J110" i="14"/>
  <c r="I110" i="14"/>
  <c r="H110" i="14"/>
  <c r="G110" i="14"/>
  <c r="F110" i="14"/>
  <c r="N109" i="14"/>
  <c r="M109" i="14"/>
  <c r="L109" i="14"/>
  <c r="K109" i="14"/>
  <c r="J109" i="14"/>
  <c r="I109" i="14"/>
  <c r="H109" i="14"/>
  <c r="G109" i="14"/>
  <c r="F109" i="14"/>
  <c r="N108" i="14"/>
  <c r="M108" i="14"/>
  <c r="L108" i="14"/>
  <c r="K108" i="14"/>
  <c r="J108" i="14"/>
  <c r="I108" i="14"/>
  <c r="H108" i="14"/>
  <c r="G108" i="14"/>
  <c r="F108" i="14"/>
  <c r="N107" i="14"/>
  <c r="M107" i="14"/>
  <c r="L107" i="14"/>
  <c r="K107" i="14"/>
  <c r="J107" i="14"/>
  <c r="I107" i="14"/>
  <c r="H107" i="14"/>
  <c r="G107" i="14"/>
  <c r="F107" i="14"/>
  <c r="N106" i="14"/>
  <c r="M106" i="14"/>
  <c r="L106" i="14"/>
  <c r="K106" i="14"/>
  <c r="J106" i="14"/>
  <c r="I106" i="14"/>
  <c r="H106" i="14"/>
  <c r="G106" i="14"/>
  <c r="F106" i="14"/>
  <c r="N105" i="14"/>
  <c r="M105" i="14"/>
  <c r="L105" i="14"/>
  <c r="K105" i="14"/>
  <c r="J105" i="14"/>
  <c r="I105" i="14"/>
  <c r="H105" i="14"/>
  <c r="G105" i="14"/>
  <c r="F105" i="14"/>
  <c r="N104" i="14"/>
  <c r="M104" i="14"/>
  <c r="L104" i="14"/>
  <c r="K104" i="14"/>
  <c r="J104" i="14"/>
  <c r="I104" i="14"/>
  <c r="H104" i="14"/>
  <c r="G104" i="14"/>
  <c r="F104" i="14"/>
  <c r="N103" i="14"/>
  <c r="M103" i="14"/>
  <c r="L103" i="14"/>
  <c r="K103" i="14"/>
  <c r="J103" i="14"/>
  <c r="I103" i="14"/>
  <c r="H103" i="14"/>
  <c r="G103" i="14"/>
  <c r="F103" i="14"/>
  <c r="N102" i="14"/>
  <c r="M102" i="14"/>
  <c r="L102" i="14"/>
  <c r="K102" i="14"/>
  <c r="J102" i="14"/>
  <c r="I102" i="14"/>
  <c r="H102" i="14"/>
  <c r="G102" i="14"/>
  <c r="F102" i="14"/>
  <c r="N101" i="14"/>
  <c r="M101" i="14"/>
  <c r="L101" i="14"/>
  <c r="K101" i="14"/>
  <c r="J101" i="14"/>
  <c r="I101" i="14"/>
  <c r="H101" i="14"/>
  <c r="G101" i="14"/>
  <c r="F101" i="14"/>
  <c r="N100" i="14"/>
  <c r="M100" i="14"/>
  <c r="L100" i="14"/>
  <c r="K100" i="14"/>
  <c r="J100" i="14"/>
  <c r="I100" i="14"/>
  <c r="H100" i="14"/>
  <c r="G100" i="14"/>
  <c r="F100" i="14"/>
  <c r="N99" i="14"/>
  <c r="M99" i="14"/>
  <c r="L99" i="14"/>
  <c r="K99" i="14"/>
  <c r="J99" i="14"/>
  <c r="I99" i="14"/>
  <c r="H99" i="14"/>
  <c r="G99" i="14"/>
  <c r="F99" i="14"/>
  <c r="N98" i="14"/>
  <c r="M98" i="14"/>
  <c r="L98" i="14"/>
  <c r="K98" i="14"/>
  <c r="J98" i="14"/>
  <c r="I98" i="14"/>
  <c r="H98" i="14"/>
  <c r="G98" i="14"/>
  <c r="F98" i="14"/>
  <c r="N97" i="14"/>
  <c r="M97" i="14"/>
  <c r="L97" i="14"/>
  <c r="K97" i="14"/>
  <c r="J97" i="14"/>
  <c r="I97" i="14"/>
  <c r="H97" i="14"/>
  <c r="G97" i="14"/>
  <c r="F97" i="14"/>
  <c r="N96" i="14"/>
  <c r="M96" i="14"/>
  <c r="L96" i="14"/>
  <c r="K96" i="14"/>
  <c r="J96" i="14"/>
  <c r="I96" i="14"/>
  <c r="H96" i="14"/>
  <c r="G96" i="14"/>
  <c r="F96" i="14"/>
  <c r="N95" i="14"/>
  <c r="M95" i="14"/>
  <c r="L95" i="14"/>
  <c r="K95" i="14"/>
  <c r="J95" i="14"/>
  <c r="I95" i="14"/>
  <c r="H95" i="14"/>
  <c r="G95" i="14"/>
  <c r="F95" i="14"/>
  <c r="N94" i="14"/>
  <c r="M94" i="14"/>
  <c r="L94" i="14"/>
  <c r="K94" i="14"/>
  <c r="J94" i="14"/>
  <c r="I94" i="14"/>
  <c r="H94" i="14"/>
  <c r="G94" i="14"/>
  <c r="F94" i="14"/>
  <c r="N93" i="14"/>
  <c r="M93" i="14"/>
  <c r="L93" i="14"/>
  <c r="K93" i="14"/>
  <c r="J93" i="14"/>
  <c r="I93" i="14"/>
  <c r="H93" i="14"/>
  <c r="G93" i="14"/>
  <c r="F93" i="14"/>
  <c r="N92" i="14"/>
  <c r="M92" i="14"/>
  <c r="L92" i="14"/>
  <c r="K92" i="14"/>
  <c r="J92" i="14"/>
  <c r="I92" i="14"/>
  <c r="H92" i="14"/>
  <c r="G92" i="14"/>
  <c r="F92" i="14"/>
  <c r="N91" i="14"/>
  <c r="M91" i="14"/>
  <c r="L91" i="14"/>
  <c r="K91" i="14"/>
  <c r="J91" i="14"/>
  <c r="I91" i="14"/>
  <c r="H91" i="14"/>
  <c r="G91" i="14"/>
  <c r="F91" i="14"/>
  <c r="N90" i="14"/>
  <c r="M90" i="14"/>
  <c r="L90" i="14"/>
  <c r="K90" i="14"/>
  <c r="J90" i="14"/>
  <c r="I90" i="14"/>
  <c r="H90" i="14"/>
  <c r="G90" i="14"/>
  <c r="F90" i="14"/>
  <c r="N89" i="14"/>
  <c r="M89" i="14"/>
  <c r="L89" i="14"/>
  <c r="K89" i="14"/>
  <c r="J89" i="14"/>
  <c r="I89" i="14"/>
  <c r="H89" i="14"/>
  <c r="G89" i="14"/>
  <c r="F89" i="14"/>
  <c r="N88" i="14"/>
  <c r="M88" i="14"/>
  <c r="L88" i="14"/>
  <c r="K88" i="14"/>
  <c r="J88" i="14"/>
  <c r="I88" i="14"/>
  <c r="H88" i="14"/>
  <c r="G88" i="14"/>
  <c r="F88" i="14"/>
  <c r="N87" i="14"/>
  <c r="M87" i="14"/>
  <c r="L87" i="14"/>
  <c r="K87" i="14"/>
  <c r="J87" i="14"/>
  <c r="I87" i="14"/>
  <c r="H87" i="14"/>
  <c r="G87" i="14"/>
  <c r="F87" i="14"/>
  <c r="N86" i="14"/>
  <c r="M86" i="14"/>
  <c r="L86" i="14"/>
  <c r="K86" i="14"/>
  <c r="J86" i="14"/>
  <c r="I86" i="14"/>
  <c r="H86" i="14"/>
  <c r="G86" i="14"/>
  <c r="F86" i="14"/>
  <c r="N85" i="14"/>
  <c r="M85" i="14"/>
  <c r="L85" i="14"/>
  <c r="K85" i="14"/>
  <c r="J85" i="14"/>
  <c r="I85" i="14"/>
  <c r="H85" i="14"/>
  <c r="G85" i="14"/>
  <c r="F85" i="14"/>
  <c r="N84" i="14"/>
  <c r="M84" i="14"/>
  <c r="L84" i="14"/>
  <c r="K84" i="14"/>
  <c r="J84" i="14"/>
  <c r="I84" i="14"/>
  <c r="H84" i="14"/>
  <c r="G84" i="14"/>
  <c r="F84" i="14"/>
  <c r="N83" i="14"/>
  <c r="M83" i="14"/>
  <c r="L83" i="14"/>
  <c r="K83" i="14"/>
  <c r="J83" i="14"/>
  <c r="I83" i="14"/>
  <c r="H83" i="14"/>
  <c r="G83" i="14"/>
  <c r="F83" i="14"/>
  <c r="N82" i="14"/>
  <c r="M82" i="14"/>
  <c r="L82" i="14"/>
  <c r="K82" i="14"/>
  <c r="J82" i="14"/>
  <c r="I82" i="14"/>
  <c r="H82" i="14"/>
  <c r="G82" i="14"/>
  <c r="F82" i="14"/>
  <c r="N81" i="14"/>
  <c r="M81" i="14"/>
  <c r="L81" i="14"/>
  <c r="K81" i="14"/>
  <c r="J81" i="14"/>
  <c r="I81" i="14"/>
  <c r="H81" i="14"/>
  <c r="G81" i="14"/>
  <c r="F81" i="14"/>
  <c r="N80" i="14"/>
  <c r="M80" i="14"/>
  <c r="L80" i="14"/>
  <c r="K80" i="14"/>
  <c r="J80" i="14"/>
  <c r="I80" i="14"/>
  <c r="H80" i="14"/>
  <c r="G80" i="14"/>
  <c r="F80" i="14"/>
  <c r="N79" i="14"/>
  <c r="M79" i="14"/>
  <c r="L79" i="14"/>
  <c r="K79" i="14"/>
  <c r="J79" i="14"/>
  <c r="I79" i="14"/>
  <c r="H79" i="14"/>
  <c r="G79" i="14"/>
  <c r="F79" i="14"/>
  <c r="N78" i="14"/>
  <c r="M78" i="14"/>
  <c r="L78" i="14"/>
  <c r="K78" i="14"/>
  <c r="J78" i="14"/>
  <c r="I78" i="14"/>
  <c r="H78" i="14"/>
  <c r="G78" i="14"/>
  <c r="F78" i="14"/>
  <c r="N77" i="14"/>
  <c r="M77" i="14"/>
  <c r="L77" i="14"/>
  <c r="K77" i="14"/>
  <c r="J77" i="14"/>
  <c r="I77" i="14"/>
  <c r="H77" i="14"/>
  <c r="G77" i="14"/>
  <c r="F77" i="14"/>
  <c r="N76" i="14"/>
  <c r="M76" i="14"/>
  <c r="L76" i="14"/>
  <c r="K76" i="14"/>
  <c r="J76" i="14"/>
  <c r="I76" i="14"/>
  <c r="H76" i="14"/>
  <c r="G76" i="14"/>
  <c r="F76" i="14"/>
  <c r="N75" i="14"/>
  <c r="M75" i="14"/>
  <c r="L75" i="14"/>
  <c r="K75" i="14"/>
  <c r="J75" i="14"/>
  <c r="I75" i="14"/>
  <c r="H75" i="14"/>
  <c r="G75" i="14"/>
  <c r="F75" i="14"/>
  <c r="N74" i="14"/>
  <c r="M74" i="14"/>
  <c r="L74" i="14"/>
  <c r="K74" i="14"/>
  <c r="J74" i="14"/>
  <c r="I74" i="14"/>
  <c r="H74" i="14"/>
  <c r="G74" i="14"/>
  <c r="F74" i="14"/>
  <c r="N73" i="14"/>
  <c r="M73" i="14"/>
  <c r="L73" i="14"/>
  <c r="K73" i="14"/>
  <c r="J73" i="14"/>
  <c r="I73" i="14"/>
  <c r="H73" i="14"/>
  <c r="G73" i="14"/>
  <c r="F73" i="14"/>
  <c r="N72" i="14"/>
  <c r="M72" i="14"/>
  <c r="L72" i="14"/>
  <c r="K72" i="14"/>
  <c r="J72" i="14"/>
  <c r="I72" i="14"/>
  <c r="H72" i="14"/>
  <c r="G72" i="14"/>
  <c r="F72" i="14"/>
  <c r="N71" i="14"/>
  <c r="M71" i="14"/>
  <c r="L71" i="14"/>
  <c r="K71" i="14"/>
  <c r="J71" i="14"/>
  <c r="I71" i="14"/>
  <c r="H71" i="14"/>
  <c r="G71" i="14"/>
  <c r="F71" i="14"/>
  <c r="N70" i="14"/>
  <c r="M70" i="14"/>
  <c r="L70" i="14"/>
  <c r="K70" i="14"/>
  <c r="J70" i="14"/>
  <c r="I70" i="14"/>
  <c r="H70" i="14"/>
  <c r="G70" i="14"/>
  <c r="F70" i="14"/>
  <c r="N69" i="14"/>
  <c r="M69" i="14"/>
  <c r="L69" i="14"/>
  <c r="K69" i="14"/>
  <c r="J69" i="14"/>
  <c r="I69" i="14"/>
  <c r="H69" i="14"/>
  <c r="G69" i="14"/>
  <c r="F69" i="14"/>
  <c r="N68" i="14"/>
  <c r="M68" i="14"/>
  <c r="L68" i="14"/>
  <c r="K68" i="14"/>
  <c r="J68" i="14"/>
  <c r="I68" i="14"/>
  <c r="H68" i="14"/>
  <c r="G68" i="14"/>
  <c r="F68" i="14"/>
  <c r="N67" i="14"/>
  <c r="M67" i="14"/>
  <c r="L67" i="14"/>
  <c r="K67" i="14"/>
  <c r="J67" i="14"/>
  <c r="I67" i="14"/>
  <c r="H67" i="14"/>
  <c r="G67" i="14"/>
  <c r="F67" i="14"/>
  <c r="N66" i="14"/>
  <c r="M66" i="14"/>
  <c r="L66" i="14"/>
  <c r="K66" i="14"/>
  <c r="J66" i="14"/>
  <c r="I66" i="14"/>
  <c r="H66" i="14"/>
  <c r="G66" i="14"/>
  <c r="F66" i="14"/>
  <c r="N65" i="14"/>
  <c r="M65" i="14"/>
  <c r="L65" i="14"/>
  <c r="K65" i="14"/>
  <c r="J65" i="14"/>
  <c r="I65" i="14"/>
  <c r="H65" i="14"/>
  <c r="G65" i="14"/>
  <c r="F65" i="14"/>
  <c r="N64" i="14"/>
  <c r="M64" i="14"/>
  <c r="L64" i="14"/>
  <c r="K64" i="14"/>
  <c r="J64" i="14"/>
  <c r="I64" i="14"/>
  <c r="H64" i="14"/>
  <c r="G64" i="14"/>
  <c r="F64" i="14"/>
  <c r="N63" i="14"/>
  <c r="M63" i="14"/>
  <c r="L63" i="14"/>
  <c r="K63" i="14"/>
  <c r="J63" i="14"/>
  <c r="I63" i="14"/>
  <c r="H63" i="14"/>
  <c r="G63" i="14"/>
  <c r="F63" i="14"/>
  <c r="N62" i="14"/>
  <c r="M62" i="14"/>
  <c r="L62" i="14"/>
  <c r="K62" i="14"/>
  <c r="J62" i="14"/>
  <c r="I62" i="14"/>
  <c r="H62" i="14"/>
  <c r="G62" i="14"/>
  <c r="F62" i="14"/>
  <c r="N61" i="14"/>
  <c r="M61" i="14"/>
  <c r="L61" i="14"/>
  <c r="K61" i="14"/>
  <c r="J61" i="14"/>
  <c r="I61" i="14"/>
  <c r="H61" i="14"/>
  <c r="G61" i="14"/>
  <c r="F61" i="14"/>
  <c r="N60" i="14"/>
  <c r="M60" i="14"/>
  <c r="L60" i="14"/>
  <c r="K60" i="14"/>
  <c r="J60" i="14"/>
  <c r="I60" i="14"/>
  <c r="H60" i="14"/>
  <c r="G60" i="14"/>
  <c r="F60" i="14"/>
  <c r="N59" i="14"/>
  <c r="M59" i="14"/>
  <c r="L59" i="14"/>
  <c r="K59" i="14"/>
  <c r="J59" i="14"/>
  <c r="I59" i="14"/>
  <c r="H59" i="14"/>
  <c r="G59" i="14"/>
  <c r="F59" i="14"/>
  <c r="N58" i="14"/>
  <c r="M58" i="14"/>
  <c r="L58" i="14"/>
  <c r="K58" i="14"/>
  <c r="J58" i="14"/>
  <c r="I58" i="14"/>
  <c r="H58" i="14"/>
  <c r="G58" i="14"/>
  <c r="F58" i="14"/>
  <c r="N57" i="14"/>
  <c r="M57" i="14"/>
  <c r="L57" i="14"/>
  <c r="K57" i="14"/>
  <c r="J57" i="14"/>
  <c r="I57" i="14"/>
  <c r="H57" i="14"/>
  <c r="G57" i="14"/>
  <c r="F57" i="14"/>
  <c r="N56" i="14"/>
  <c r="M56" i="14"/>
  <c r="L56" i="14"/>
  <c r="K56" i="14"/>
  <c r="J56" i="14"/>
  <c r="I56" i="14"/>
  <c r="H56" i="14"/>
  <c r="G56" i="14"/>
  <c r="F56" i="14"/>
  <c r="N55" i="14"/>
  <c r="M55" i="14"/>
  <c r="L55" i="14"/>
  <c r="K55" i="14"/>
  <c r="J55" i="14"/>
  <c r="I55" i="14"/>
  <c r="H55" i="14"/>
  <c r="G55" i="14"/>
  <c r="F55" i="14"/>
  <c r="N54" i="14"/>
  <c r="M54" i="14"/>
  <c r="L54" i="14"/>
  <c r="K54" i="14"/>
  <c r="J54" i="14"/>
  <c r="I54" i="14"/>
  <c r="H54" i="14"/>
  <c r="G54" i="14"/>
  <c r="F54" i="14"/>
  <c r="N53" i="14"/>
  <c r="M53" i="14"/>
  <c r="L53" i="14"/>
  <c r="K53" i="14"/>
  <c r="J53" i="14"/>
  <c r="I53" i="14"/>
  <c r="H53" i="14"/>
  <c r="G53" i="14"/>
  <c r="F53" i="14"/>
  <c r="N52" i="14"/>
  <c r="M52" i="14"/>
  <c r="L52" i="14"/>
  <c r="K52" i="14"/>
  <c r="J52" i="14"/>
  <c r="I52" i="14"/>
  <c r="H52" i="14"/>
  <c r="G52" i="14"/>
  <c r="F52" i="14"/>
  <c r="N51" i="14"/>
  <c r="M51" i="14"/>
  <c r="L51" i="14"/>
  <c r="K51" i="14"/>
  <c r="J51" i="14"/>
  <c r="I51" i="14"/>
  <c r="H51" i="14"/>
  <c r="G51" i="14"/>
  <c r="F51" i="14"/>
  <c r="N50" i="14"/>
  <c r="M50" i="14"/>
  <c r="L50" i="14"/>
  <c r="K50" i="14"/>
  <c r="J50" i="14"/>
  <c r="I50" i="14"/>
  <c r="H50" i="14"/>
  <c r="G50" i="14"/>
  <c r="F50" i="14"/>
  <c r="N49" i="14"/>
  <c r="M49" i="14"/>
  <c r="L49" i="14"/>
  <c r="K49" i="14"/>
  <c r="J49" i="14"/>
  <c r="I49" i="14"/>
  <c r="H49" i="14"/>
  <c r="G49" i="14"/>
  <c r="F49" i="14"/>
  <c r="N48" i="14"/>
  <c r="M48" i="14"/>
  <c r="L48" i="14"/>
  <c r="K48" i="14"/>
  <c r="J48" i="14"/>
  <c r="I48" i="14"/>
  <c r="H48" i="14"/>
  <c r="G48" i="14"/>
  <c r="F48" i="14"/>
  <c r="N47" i="14"/>
  <c r="M47" i="14"/>
  <c r="L47" i="14"/>
  <c r="K47" i="14"/>
  <c r="J47" i="14"/>
  <c r="I47" i="14"/>
  <c r="H47" i="14"/>
  <c r="G47" i="14"/>
  <c r="F47" i="14"/>
  <c r="N46" i="14"/>
  <c r="M46" i="14"/>
  <c r="L46" i="14"/>
  <c r="K46" i="14"/>
  <c r="J46" i="14"/>
  <c r="I46" i="14"/>
  <c r="H46" i="14"/>
  <c r="G46" i="14"/>
  <c r="F46" i="14"/>
  <c r="N45" i="14"/>
  <c r="M45" i="14"/>
  <c r="L45" i="14"/>
  <c r="K45" i="14"/>
  <c r="J45" i="14"/>
  <c r="I45" i="14"/>
  <c r="H45" i="14"/>
  <c r="G45" i="14"/>
  <c r="F45" i="14"/>
  <c r="N44" i="14"/>
  <c r="M44" i="14"/>
  <c r="L44" i="14"/>
  <c r="K44" i="14"/>
  <c r="J44" i="14"/>
  <c r="I44" i="14"/>
  <c r="H44" i="14"/>
  <c r="G44" i="14"/>
  <c r="F44" i="14"/>
  <c r="N43" i="14"/>
  <c r="M43" i="14"/>
  <c r="L43" i="14"/>
  <c r="K43" i="14"/>
  <c r="J43" i="14"/>
  <c r="I43" i="14"/>
  <c r="H43" i="14"/>
  <c r="G43" i="14"/>
  <c r="F43" i="14"/>
  <c r="N42" i="14"/>
  <c r="M42" i="14"/>
  <c r="L42" i="14"/>
  <c r="K42" i="14"/>
  <c r="J42" i="14"/>
  <c r="I42" i="14"/>
  <c r="H42" i="14"/>
  <c r="G42" i="14"/>
  <c r="F42" i="14"/>
  <c r="N41" i="14"/>
  <c r="M41" i="14"/>
  <c r="L41" i="14"/>
  <c r="K41" i="14"/>
  <c r="J41" i="14"/>
  <c r="I41" i="14"/>
  <c r="H41" i="14"/>
  <c r="G41" i="14"/>
  <c r="F41" i="14"/>
  <c r="N40" i="14"/>
  <c r="M40" i="14"/>
  <c r="L40" i="14"/>
  <c r="K40" i="14"/>
  <c r="J40" i="14"/>
  <c r="I40" i="14"/>
  <c r="H40" i="14"/>
  <c r="G40" i="14"/>
  <c r="F40" i="14"/>
  <c r="N39" i="14"/>
  <c r="M39" i="14"/>
  <c r="L39" i="14"/>
  <c r="K39" i="14"/>
  <c r="J39" i="14"/>
  <c r="I39" i="14"/>
  <c r="H39" i="14"/>
  <c r="G39" i="14"/>
  <c r="F39" i="14"/>
  <c r="N38" i="14"/>
  <c r="M38" i="14"/>
  <c r="L38" i="14"/>
  <c r="K38" i="14"/>
  <c r="J38" i="14"/>
  <c r="I38" i="14"/>
  <c r="H38" i="14"/>
  <c r="G38" i="14"/>
  <c r="F38" i="14"/>
  <c r="N37" i="14"/>
  <c r="M37" i="14"/>
  <c r="L37" i="14"/>
  <c r="K37" i="14"/>
  <c r="J37" i="14"/>
  <c r="I37" i="14"/>
  <c r="H37" i="14"/>
  <c r="G37" i="14"/>
  <c r="F37" i="14"/>
  <c r="N36" i="14"/>
  <c r="M36" i="14"/>
  <c r="L36" i="14"/>
  <c r="K36" i="14"/>
  <c r="J36" i="14"/>
  <c r="I36" i="14"/>
  <c r="H36" i="14"/>
  <c r="G36" i="14"/>
  <c r="F36" i="14"/>
  <c r="N35" i="14"/>
  <c r="M35" i="14"/>
  <c r="L35" i="14"/>
  <c r="K35" i="14"/>
  <c r="J35" i="14"/>
  <c r="I35" i="14"/>
  <c r="H35" i="14"/>
  <c r="G35" i="14"/>
  <c r="F35" i="14"/>
  <c r="N34" i="14"/>
  <c r="M34" i="14"/>
  <c r="L34" i="14"/>
  <c r="K34" i="14"/>
  <c r="J34" i="14"/>
  <c r="I34" i="14"/>
  <c r="H34" i="14"/>
  <c r="G34" i="14"/>
  <c r="F34" i="14"/>
  <c r="N33" i="14"/>
  <c r="M33" i="14"/>
  <c r="L33" i="14"/>
  <c r="K33" i="14"/>
  <c r="J33" i="14"/>
  <c r="I33" i="14"/>
  <c r="H33" i="14"/>
  <c r="G33" i="14"/>
  <c r="F33" i="14"/>
  <c r="N32" i="14"/>
  <c r="M32" i="14"/>
  <c r="L32" i="14"/>
  <c r="K32" i="14"/>
  <c r="J32" i="14"/>
  <c r="I32" i="14"/>
  <c r="H32" i="14"/>
  <c r="G32" i="14"/>
  <c r="F32" i="14"/>
  <c r="N31" i="14"/>
  <c r="M31" i="14"/>
  <c r="L31" i="14"/>
  <c r="K31" i="14"/>
  <c r="J31" i="14"/>
  <c r="I31" i="14"/>
  <c r="H31" i="14"/>
  <c r="G31" i="14"/>
  <c r="F31" i="14"/>
  <c r="N30" i="14"/>
  <c r="M30" i="14"/>
  <c r="L30" i="14"/>
  <c r="K30" i="14"/>
  <c r="J30" i="14"/>
  <c r="I30" i="14"/>
  <c r="H30" i="14"/>
  <c r="G30" i="14"/>
  <c r="F30" i="14"/>
  <c r="N29" i="14"/>
  <c r="M29" i="14"/>
  <c r="L29" i="14"/>
  <c r="K29" i="14"/>
  <c r="J29" i="14"/>
  <c r="I29" i="14"/>
  <c r="H29" i="14"/>
  <c r="G29" i="14"/>
  <c r="F29" i="14"/>
  <c r="N28" i="14"/>
  <c r="M28" i="14"/>
  <c r="L28" i="14"/>
  <c r="K28" i="14"/>
  <c r="J28" i="14"/>
  <c r="I28" i="14"/>
  <c r="H28" i="14"/>
  <c r="G28" i="14"/>
  <c r="F28" i="14"/>
  <c r="N27" i="14"/>
  <c r="M27" i="14"/>
  <c r="L27" i="14"/>
  <c r="K27" i="14"/>
  <c r="J27" i="14"/>
  <c r="I27" i="14"/>
  <c r="H27" i="14"/>
  <c r="G27" i="14"/>
  <c r="F27" i="14"/>
  <c r="N26" i="14"/>
  <c r="M26" i="14"/>
  <c r="L26" i="14"/>
  <c r="K26" i="14"/>
  <c r="J26" i="14"/>
  <c r="I26" i="14"/>
  <c r="H26" i="14"/>
  <c r="G26" i="14"/>
  <c r="F26" i="14"/>
  <c r="N25" i="14"/>
  <c r="M25" i="14"/>
  <c r="L25" i="14"/>
  <c r="K25" i="14"/>
  <c r="J25" i="14"/>
  <c r="I25" i="14"/>
  <c r="H25" i="14"/>
  <c r="G25" i="14"/>
  <c r="F25" i="14"/>
  <c r="N24" i="14"/>
  <c r="M24" i="14"/>
  <c r="L24" i="14"/>
  <c r="K24" i="14"/>
  <c r="J24" i="14"/>
  <c r="I24" i="14"/>
  <c r="H24" i="14"/>
  <c r="G24" i="14"/>
  <c r="F24" i="14"/>
  <c r="N23" i="14"/>
  <c r="M23" i="14"/>
  <c r="L23" i="14"/>
  <c r="K23" i="14"/>
  <c r="J23" i="14"/>
  <c r="I23" i="14"/>
  <c r="H23" i="14"/>
  <c r="G23" i="14"/>
  <c r="F23" i="14"/>
  <c r="N22" i="14"/>
  <c r="M22" i="14"/>
  <c r="L22" i="14"/>
  <c r="K22" i="14"/>
  <c r="J22" i="14"/>
  <c r="I22" i="14"/>
  <c r="H22" i="14"/>
  <c r="G22" i="14"/>
  <c r="F22" i="14"/>
  <c r="N21" i="14"/>
  <c r="M21" i="14"/>
  <c r="L21" i="14"/>
  <c r="K21" i="14"/>
  <c r="J21" i="14"/>
  <c r="I21" i="14"/>
  <c r="H21" i="14"/>
  <c r="G21" i="14"/>
  <c r="F21" i="14"/>
  <c r="N20" i="14"/>
  <c r="M20" i="14"/>
  <c r="L20" i="14"/>
  <c r="K20" i="14"/>
  <c r="J20" i="14"/>
  <c r="I20" i="14"/>
  <c r="H20" i="14"/>
  <c r="G20" i="14"/>
  <c r="F20" i="14"/>
  <c r="N19" i="14"/>
  <c r="M19" i="14"/>
  <c r="L19" i="14"/>
  <c r="K19" i="14"/>
  <c r="J19" i="14"/>
  <c r="I19" i="14"/>
  <c r="H19" i="14"/>
  <c r="G19" i="14"/>
  <c r="F19" i="14"/>
  <c r="N18" i="14"/>
  <c r="M18" i="14"/>
  <c r="L18" i="14"/>
  <c r="K18" i="14"/>
  <c r="J18" i="14"/>
  <c r="I18" i="14"/>
  <c r="H18" i="14"/>
  <c r="G18" i="14"/>
  <c r="F18" i="14"/>
  <c r="N17" i="14"/>
  <c r="M17" i="14"/>
  <c r="L17" i="14"/>
  <c r="K17" i="14"/>
  <c r="J17" i="14"/>
  <c r="I17" i="14"/>
  <c r="H17" i="14"/>
  <c r="G17" i="14"/>
  <c r="F17" i="14"/>
  <c r="N16" i="14"/>
  <c r="M16" i="14"/>
  <c r="L16" i="14"/>
  <c r="K16" i="14"/>
  <c r="J16" i="14"/>
  <c r="I16" i="14"/>
  <c r="H16" i="14"/>
  <c r="G16" i="14"/>
  <c r="F16" i="14"/>
  <c r="N15" i="14"/>
  <c r="M15" i="14"/>
  <c r="L15" i="14"/>
  <c r="K15" i="14"/>
  <c r="J15" i="14"/>
  <c r="I15" i="14"/>
  <c r="H15" i="14"/>
  <c r="G15" i="14"/>
  <c r="F15" i="14"/>
  <c r="N14" i="14"/>
  <c r="M14" i="14"/>
  <c r="L14" i="14"/>
  <c r="K14" i="14"/>
  <c r="J14" i="14"/>
  <c r="I14" i="14"/>
  <c r="H14" i="14"/>
  <c r="G14" i="14"/>
  <c r="F14" i="14"/>
  <c r="N13" i="14"/>
  <c r="M13" i="14"/>
  <c r="L13" i="14"/>
  <c r="K13" i="14"/>
  <c r="J13" i="14"/>
  <c r="I13" i="14"/>
  <c r="H13" i="14"/>
  <c r="G13" i="14"/>
  <c r="F13" i="14"/>
  <c r="N12" i="14"/>
  <c r="M12" i="14"/>
  <c r="L12" i="14"/>
  <c r="K12" i="14"/>
  <c r="J12" i="14"/>
  <c r="I12" i="14"/>
  <c r="H12" i="14"/>
  <c r="G12" i="14"/>
  <c r="F12" i="14"/>
  <c r="N11" i="14"/>
  <c r="M11" i="14"/>
  <c r="L11" i="14"/>
  <c r="K11" i="14"/>
  <c r="J11" i="14"/>
  <c r="I11" i="14"/>
  <c r="H11" i="14"/>
  <c r="G11" i="14"/>
  <c r="F11" i="14"/>
  <c r="N10" i="14"/>
  <c r="M10" i="14"/>
  <c r="L10" i="14"/>
  <c r="K10" i="14"/>
  <c r="J10" i="14"/>
  <c r="I10" i="14"/>
  <c r="H10" i="14"/>
  <c r="G10" i="14"/>
  <c r="F10" i="14"/>
  <c r="N9" i="14"/>
  <c r="M9" i="14"/>
  <c r="L9" i="14"/>
  <c r="K9" i="14"/>
  <c r="J9" i="14"/>
  <c r="I9" i="14"/>
  <c r="H9" i="14"/>
  <c r="G9" i="14"/>
  <c r="F9" i="14"/>
  <c r="N8" i="14"/>
  <c r="M8" i="14"/>
  <c r="L8" i="14"/>
  <c r="K8" i="14"/>
  <c r="J8" i="14"/>
  <c r="I8" i="14"/>
  <c r="H8" i="14"/>
  <c r="G8" i="14"/>
  <c r="F8" i="14"/>
  <c r="N7" i="14"/>
  <c r="M7" i="14"/>
  <c r="L7" i="14"/>
  <c r="K7" i="14"/>
  <c r="J7" i="14"/>
  <c r="I7" i="14"/>
  <c r="H7" i="14"/>
  <c r="G7" i="14"/>
  <c r="F7" i="14"/>
  <c r="N6" i="14"/>
  <c r="M6" i="14"/>
  <c r="L6" i="14"/>
  <c r="K6" i="14"/>
  <c r="J6" i="14"/>
  <c r="I6" i="14"/>
  <c r="H6" i="14"/>
  <c r="G6" i="14"/>
  <c r="F6" i="14"/>
  <c r="N5" i="14"/>
  <c r="M5" i="14"/>
  <c r="L5" i="14"/>
  <c r="K5" i="14"/>
  <c r="J5" i="14"/>
  <c r="I5" i="14"/>
  <c r="H5" i="14"/>
  <c r="G5" i="14"/>
  <c r="F5" i="14"/>
  <c r="N4" i="14"/>
  <c r="M4" i="14"/>
  <c r="L4" i="14"/>
  <c r="K4" i="14"/>
  <c r="J4" i="14"/>
  <c r="I4" i="14"/>
  <c r="H4" i="14"/>
  <c r="G4" i="14"/>
  <c r="F4" i="14"/>
  <c r="N3" i="14"/>
  <c r="M3" i="14"/>
  <c r="L3" i="14"/>
  <c r="K3" i="14"/>
  <c r="J3" i="14"/>
  <c r="I3" i="14"/>
  <c r="H3" i="14"/>
  <c r="G3" i="14"/>
  <c r="F3" i="14"/>
  <c r="N2" i="14"/>
  <c r="M2" i="14"/>
  <c r="L2" i="14"/>
  <c r="K2" i="14"/>
  <c r="J2" i="14"/>
  <c r="I2" i="14"/>
  <c r="H2" i="14"/>
  <c r="G2" i="14"/>
  <c r="F2" i="14"/>
  <c r="H7" i="10" l="1"/>
  <c r="I7" i="10"/>
  <c r="N7" i="10"/>
  <c r="O7" i="10"/>
  <c r="O3" i="10"/>
  <c r="O4" i="10"/>
  <c r="O5" i="10"/>
  <c r="O6" i="10"/>
  <c r="O2" i="10"/>
  <c r="N3" i="10"/>
  <c r="N4" i="10"/>
  <c r="N5" i="10"/>
  <c r="N6" i="10"/>
  <c r="N2" i="10"/>
  <c r="M7" i="10"/>
  <c r="M3" i="10"/>
  <c r="M4" i="10"/>
  <c r="M5" i="10"/>
  <c r="M6" i="10"/>
  <c r="M2" i="10"/>
  <c r="L7" i="10"/>
  <c r="L3" i="10"/>
  <c r="L4" i="10"/>
  <c r="L5" i="10"/>
  <c r="L6" i="10"/>
  <c r="L2" i="10"/>
  <c r="K7" i="10"/>
  <c r="K4" i="10"/>
  <c r="K5" i="10"/>
  <c r="K6" i="10"/>
  <c r="K3" i="10"/>
  <c r="K2" i="10"/>
  <c r="J3" i="10"/>
  <c r="J4" i="10"/>
  <c r="J5" i="10"/>
  <c r="J6" i="10"/>
  <c r="J7" i="10"/>
  <c r="J2" i="10"/>
  <c r="I3" i="10"/>
  <c r="I4" i="10"/>
  <c r="I5" i="10"/>
  <c r="I6" i="10"/>
  <c r="I2" i="10"/>
  <c r="H3" i="10"/>
  <c r="H4" i="10"/>
  <c r="H5" i="10"/>
  <c r="H6" i="10"/>
  <c r="H2" i="10"/>
  <c r="G3" i="10"/>
  <c r="G4" i="10"/>
  <c r="G5" i="10"/>
  <c r="G6" i="10"/>
  <c r="G7" i="10"/>
  <c r="G2" i="10"/>
  <c r="C3" i="10"/>
  <c r="B3" i="10" s="1"/>
  <c r="C4" i="10"/>
  <c r="B4" i="10" s="1"/>
  <c r="C5" i="10"/>
  <c r="B5" i="10" s="1"/>
  <c r="C6" i="10"/>
  <c r="B6" i="10" s="1"/>
  <c r="C7" i="10"/>
  <c r="B7" i="10" s="1"/>
  <c r="C2" i="10"/>
  <c r="B2" i="10" s="1"/>
</calcChain>
</file>

<file path=xl/sharedStrings.xml><?xml version="1.0" encoding="utf-8"?>
<sst xmlns="http://schemas.openxmlformats.org/spreadsheetml/2006/main" count="4881" uniqueCount="155">
  <si>
    <t>Id</t>
  </si>
  <si>
    <t>CodMunicipio</t>
  </si>
  <si>
    <t>NomeMunicipio</t>
  </si>
  <si>
    <t>IndiceImposto</t>
  </si>
  <si>
    <t>Icms</t>
  </si>
  <si>
    <t>IcmsLei2508</t>
  </si>
  <si>
    <t>IcmsTotal</t>
  </si>
  <si>
    <t>Ipi</t>
  </si>
  <si>
    <t>Ipva</t>
  </si>
  <si>
    <t>IndiceFundo</t>
  </si>
  <si>
    <t>FundoReducaoDesigualdades</t>
  </si>
  <si>
    <t>CotaParteCide</t>
  </si>
  <si>
    <t>CompensacaoFinanceira</t>
  </si>
  <si>
    <t>Ano</t>
  </si>
  <si>
    <t>Mes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</si>
  <si>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</si>
  <si>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</si>
  <si>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</si>
  <si>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</si>
  <si>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</si>
  <si>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</si>
  <si>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</si>
  <si>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</si>
  <si>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</si>
  <si>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</si>
  <si>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</si>
  <si>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</si>
  <si>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ESPERANÇA</t>
  </si>
  <si>
    <t>BOM JESUS DO NORTE</t>
  </si>
  <si>
    <t>BREJETUBA</t>
  </si>
  <si>
    <t>CACH. ITAPEMIRIM</t>
  </si>
  <si>
    <t>CARIACICA</t>
  </si>
  <si>
    <t>CASTELO</t>
  </si>
  <si>
    <t>COLATINA</t>
  </si>
  <si>
    <t>CONC. DA BARRA</t>
  </si>
  <si>
    <t>CONC. CASTELO</t>
  </si>
  <si>
    <t>DIVINO SÃO LOURENÇO</t>
  </si>
  <si>
    <t>DOMINGOS MARTINS</t>
  </si>
  <si>
    <t>DORES DO RIO PRETO</t>
  </si>
  <si>
    <t>ECOPORANGA</t>
  </si>
  <si>
    <t>FUNDÃO</t>
  </si>
  <si>
    <t>GOVERNADOR LINDENBERG</t>
  </si>
  <si>
    <t>GUAÇUI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</si>
  <si>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</si>
  <si>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</si>
  <si>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</si>
  <si>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</si>
  <si>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</si>
  <si>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</si>
  <si>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</si>
  <si>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</si>
  <si>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</si>
  <si>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IUNA</t>
  </si>
  <si>
    <t>JAGUARE</t>
  </si>
  <si>
    <t>JERONIMO MONTEIRO</t>
  </si>
  <si>
    <t>JOÃO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</si>
  <si>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</si>
  <si>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</si>
  <si>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</si>
  <si>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</si>
  <si>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</si>
  <si>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</si>
  <si>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</si>
  <si>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</si>
  <si>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</si>
  <si>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</si>
  <si>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</si>
  <si>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</si>
  <si>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</si>
  <si>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</si>
  <si>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</si>
  <si>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</si>
  <si>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</si>
  <si>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</si>
  <si>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</si>
  <si>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</si>
  <si>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</si>
  <si>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</si>
  <si>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</si>
  <si>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SÃO DOMINGOS DO NORTE</t>
  </si>
  <si>
    <t>SÃO GABRIEL DA PALHA</t>
  </si>
  <si>
    <t>SÃO JOSE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</si>
  <si>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</si>
  <si>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</si>
  <si>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</si>
  <si>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</si>
  <si>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</si>
  <si>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</si>
  <si>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</si>
  <si>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</si>
  <si>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VALERIO</t>
  </si>
  <si>
    <t>VILA VELHA</t>
  </si>
  <si>
    <t>VITORIA</t>
  </si>
  <si>
    <t>Soma de Icms</t>
  </si>
  <si>
    <t>Soma de IcmsLei2508</t>
  </si>
  <si>
    <t>Soma de IcmsTotal</t>
  </si>
  <si>
    <t>Rótulos de Linha</t>
  </si>
  <si>
    <t>Total Geral</t>
  </si>
  <si>
    <t>Soma de Ipi</t>
  </si>
  <si>
    <t>Soma de FundoReducaoDesigualdades</t>
  </si>
  <si>
    <t>Soma de CotaParteCide</t>
  </si>
  <si>
    <t>Soma de CompensacaoFinanceira</t>
  </si>
  <si>
    <t>ICMS LEI 2508</t>
  </si>
  <si>
    <t>ICMS TOTAL</t>
  </si>
  <si>
    <t>IPI</t>
  </si>
  <si>
    <t>IPVA</t>
  </si>
  <si>
    <t>FUNDO DE REDUÇÂO DAS DESIGUALDADES</t>
  </si>
  <si>
    <t>ICMS REPASSADO AO MUNICIPIO</t>
  </si>
  <si>
    <t>ICMS  (75 VAF %)</t>
  </si>
  <si>
    <t>ICMS EDUCACIONAL 
(12,5)</t>
  </si>
  <si>
    <t>Número de Propriedades Rurais (7,0 -3,5%)</t>
  </si>
  <si>
    <t>Gestão de Saúde
(2,5%-0)</t>
  </si>
  <si>
    <t>Consórcio de Prestação de Serviço de Saúde (1%-0%)</t>
  </si>
  <si>
    <t>Área do Município (5%-0))</t>
  </si>
  <si>
    <t>10 municípios com maiores VAF (0,5%-0)</t>
  </si>
  <si>
    <t>Comercialização Rural (6% - 6%)</t>
  </si>
  <si>
    <t>Gasto com Saúde e Saneamento (3%-3%)</t>
  </si>
  <si>
    <t>RECEITA DE ICMS SEM FUNDEB</t>
  </si>
  <si>
    <t>RECEITA DE ICMS TOTAL</t>
  </si>
  <si>
    <t>MUNICÍPIO</t>
  </si>
  <si>
    <t>BOA ESPERANCA</t>
  </si>
  <si>
    <t>CACHOEIRO DE ITAPEMIRIM</t>
  </si>
  <si>
    <t>CONCEICAO DA BARRA</t>
  </si>
  <si>
    <t>CONCEICAO DO CASTELO</t>
  </si>
  <si>
    <t>DIVINO DE SAO LOURENCO</t>
  </si>
  <si>
    <t>FUNDAO</t>
  </si>
  <si>
    <t>GUACUI</t>
  </si>
  <si>
    <t>IBIRACU</t>
  </si>
  <si>
    <t>ITAGUACU</t>
  </si>
  <si>
    <t>JOAO NEIVA</t>
  </si>
  <si>
    <t>SAO DOMINGOS DO NORTE</t>
  </si>
  <si>
    <t>SAO GABRIEL DA PALHA</t>
  </si>
  <si>
    <t>SAO JOSE DO CALCADO</t>
  </si>
  <si>
    <t>SAO MATEUS</t>
  </si>
  <si>
    <t>SAO ROQUE DO CANAA</t>
  </si>
  <si>
    <t>VILA PAVAO</t>
  </si>
  <si>
    <t>Código IBGE</t>
  </si>
  <si>
    <t>ANO</t>
  </si>
  <si>
    <t>Orçamento</t>
  </si>
  <si>
    <t>Despesa Educação</t>
  </si>
  <si>
    <t xml:space="preserve">Cota parte </t>
  </si>
  <si>
    <t xml:space="preserve">% Cota Parte na LOZ do municipio </t>
  </si>
  <si>
    <t xml:space="preserve">Cota Educacional </t>
  </si>
  <si>
    <t xml:space="preserve">% Educacional na Cota parte </t>
  </si>
  <si>
    <t xml:space="preserve">% educacional na LOA </t>
  </si>
  <si>
    <t>Faixa 1</t>
  </si>
  <si>
    <t>Até 10%</t>
  </si>
  <si>
    <t>Maior que 50%</t>
  </si>
  <si>
    <t>Faixa 02</t>
  </si>
  <si>
    <t>(10%-29%)</t>
  </si>
  <si>
    <t>(30% - 49%)</t>
  </si>
  <si>
    <t>(10% - 29%)</t>
  </si>
  <si>
    <t>(30%_49%)</t>
  </si>
  <si>
    <t>ICMS EDUCACIONAL 
ESTIMADO 2026 (12%)</t>
  </si>
  <si>
    <t>ICMS EDUCACIONAL 
DISTRIBUÍDO 2025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</si>
</sst>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center"/>
    </xf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33" borderId="0" xfId="0" applyNumberFormat="1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 wrapText="1"/>
    </xf>
    <xf numFmtId="164" fontId="0" fillId="34" borderId="0" xfId="0" applyNumberFormat="1" applyFill="1" applyAlignment="1">
      <alignment horizontal="center"/>
    </xf>
    <xf numFmtId="164" fontId="18" fillId="33" borderId="0" xfId="0" applyNumberFormat="1" applyFont="1" applyFill="1" applyAlignment="1">
      <alignment horizontal="center" vertical="center" wrapText="1"/>
    </xf>
    <xf numFmtId="164" fontId="18" fillId="0" borderId="0" xfId="0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6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ra Resende" refreshedDate="46081.704883449071" createdVersion="5" refreshedVersion="5" minRefreshableVersion="3" recordCount="936" xr:uid="{00000000-000A-0000-FFFF-FFFF00000000}">
  <cacheSource type="worksheet">
    <worksheetSource ref="A1:O937" sheet="2025"/>
  </cacheSource>
  <cacheFields count="15">
    <cacheField name="Id" numFmtId="0">
      <sharedItems containsSemiMixedTypes="0" containsString="0" containsNumber="1" containsInteger="1" minValue="40405" maxValue="41964"/>
    </cacheField>
    <cacheField name="CodMunicipio" numFmtId="0">
      <sharedItems containsSemiMixedTypes="0" containsString="0" containsNumber="1" containsInteger="1" minValue="1718402" maxValue="3205309"/>
    </cacheField>
    <cacheField name="NomeMunicipio" numFmtId="0">
      <sharedItems count="78">
        <s v="AFONSO CLAUDIO"/>
        <s v="AGUA DOCE DO NORTE"/>
        <s v="AGUIA BRANCA"/>
        <s v="ALEGRE"/>
        <s v="ALFREDO CHAVES"/>
        <s v="ALTO RIO NOVO"/>
        <s v="ANCHIETA"/>
        <s v="APIACA"/>
        <s v="ARACRUZ"/>
        <s v="ATILIO VIVACQUA"/>
        <s v="BAIXO GUANDU"/>
        <s v="BARRA DE SAO FRANCISCO"/>
        <s v="BOA ESPERANÇA"/>
        <s v="BOM JESUS DO NORTE"/>
        <s v="BREJETUBA"/>
        <s v="CACH. ITAPEMIRIM"/>
        <s v="CARIACICA"/>
        <s v="CASTELO"/>
        <s v="COLATINA"/>
        <s v="CONC. DA BARRA"/>
        <s v="CONC. CASTELO"/>
        <s v="DIVINO SÃO LOURENÇO"/>
        <s v="DOMINGOS MARTINS"/>
        <s v="DORES DO RIO PRETO"/>
        <s v="ECOPORANGA"/>
        <s v="FUNDÃO"/>
        <s v="GOVERNADOR LINDENBERG"/>
        <s v="GUAÇUI"/>
        <s v="GUARAPARI"/>
        <s v="IBATIBA"/>
        <s v="IBIRAÇU"/>
        <s v="IBITIRAMA"/>
        <s v="ICONHA"/>
        <s v="IRUPI"/>
        <s v="ITAGUAÇU"/>
        <s v="ITAPEMIRIM"/>
        <s v="ITARANA"/>
        <s v="IUNA"/>
        <s v="JAGUARE"/>
        <s v="JERONIMO MONTEIRO"/>
        <s v="JOÃO NEIVA"/>
        <s v="LARANJA DA TERRA"/>
        <s v="LINHARES"/>
        <s v="MANTENOPOLIS"/>
        <s v="MARATAIZES"/>
        <s v="MARECHAL FLORIANO"/>
        <s v="MARILANDIA"/>
        <s v="MIMOSO DO SUL"/>
        <s v="MONTANHA"/>
        <s v="MUCURICI"/>
        <s v="MUNIZ FREIRE"/>
        <s v="MUQUI"/>
        <s v="NOVA VENECIA"/>
        <s v="PANCAS"/>
        <s v="PEDRO CANARIO"/>
        <s v="PINHEIROS"/>
        <s v="PIUMA"/>
        <s v="PONTO BELO"/>
        <s v="PRESIDENTE KENNEDY"/>
        <s v="RIO BANANAL"/>
        <s v="RIO NOVO DO SUL"/>
        <s v="SANTA LEOPOLDINA"/>
        <s v="SANTA MARIA DE JETIBA"/>
        <s v="SANTA TERESA"/>
        <s v="SÃO DOMINGOS DO NORTE"/>
        <s v="SÃO GABRIEL DA PALHA"/>
        <s v="SÃO JOSE DO CALÇADO"/>
        <s v="SÃO MATEUS"/>
        <s v="SÃO ROQUE DO CANAÃ"/>
        <s v="SERRA"/>
        <s v="SOORETAMA"/>
        <s v="VARGEM ALTA"/>
        <s v="VENDA NOVA DO IMIGRANTE"/>
        <s v="VIANA"/>
        <s v="VILA PAVÃO"/>
        <s v="VILA VALERIO"/>
        <s v="VILA VELHA"/>
        <s v="VITORIA"/>
      </sharedItems>
    </cacheField>
    <cacheField name="IndiceImposto" numFmtId="0">
      <sharedItems containsSemiMixedTypes="0" containsString="0" containsNumber="1" minValue="0.187" maxValue="14.551"/>
    </cacheField>
    <cacheField name="Icms" numFmtId="0">
      <sharedItems containsSemiMixedTypes="0" containsString="0" containsNumber="1" minValue="713336.4" maxValue="78984127.450000003"/>
    </cacheField>
    <cacheField name="IcmsLei2508" numFmtId="0">
      <sharedItems containsSemiMixedTypes="0" containsString="0" containsNumber="1" containsInteger="1" minValue="0" maxValue="0"/>
    </cacheField>
    <cacheField name="IcmsTotal" numFmtId="0">
      <sharedItems containsSemiMixedTypes="0" containsString="0" containsNumber="1" minValue="713336.4" maxValue="78984127.450000003"/>
    </cacheField>
    <cacheField name="Ipi" numFmtId="0">
      <sharedItems containsSemiMixedTypes="0" containsString="0" containsNumber="1" minValue="8929.4" maxValue="1026377.56"/>
    </cacheField>
    <cacheField name="Ipva" numFmtId="0">
      <sharedItems containsSemiMixedTypes="0" containsString="0" containsNumber="1" minValue="14822.91" maxValue="29327015.760000002"/>
    </cacheField>
    <cacheField name="IndiceFundo" numFmtId="0">
      <sharedItems containsSemiMixedTypes="0" containsString="0" containsNumber="1" minValue="0.29299999999999998" maxValue="9.2110000000000003"/>
    </cacheField>
    <cacheField name="FundoReducaoDesigualdades" numFmtId="0">
      <sharedItems containsSemiMixedTypes="0" containsString="0" containsNumber="1" minValue="9676.0400000000009" maxValue="1537826.46"/>
    </cacheField>
    <cacheField name="CotaParteCide" numFmtId="0">
      <sharedItems containsSemiMixedTypes="0" containsString="0" containsNumber="1" minValue="0" maxValue="117883.55"/>
    </cacheField>
    <cacheField name="CompensacaoFinanceira" numFmtId="0">
      <sharedItems containsSemiMixedTypes="0" containsString="0" containsNumber="1" minValue="0" maxValue="2187924.7000000002"/>
    </cacheField>
    <cacheField name="Ano" numFmtId="0">
      <sharedItems containsSemiMixedTypes="0" containsString="0" containsNumber="1" containsInteger="1" minValue="2025" maxValue="2025"/>
    </cacheField>
    <cacheField name="Me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ra Resende" refreshedDate="46086.630332291665" createdVersion="5" refreshedVersion="5" minRefreshableVersion="3" recordCount="5694" xr:uid="{00000000-000A-0000-FFFF-FFFF01000000}">
  <cacheSource type="worksheet">
    <worksheetSource ref="A1:O5695" sheet="Geral"/>
  </cacheSource>
  <cacheFields count="15">
    <cacheField name="Id" numFmtId="0">
      <sharedItems containsSemiMixedTypes="0" containsString="0" containsNumber="1" containsInteger="1" minValue="31357" maxValue="41964"/>
    </cacheField>
    <cacheField name="CodMunicipio" numFmtId="0">
      <sharedItems containsSemiMixedTypes="0" containsString="0" containsNumber="1" containsInteger="1" minValue="1718402" maxValue="3205309"/>
    </cacheField>
    <cacheField name="NomeMunicipio" numFmtId="0">
      <sharedItems count="95">
        <s v="AFONSO CLAUDIO"/>
        <s v="AGUA DOCE DO NORTE"/>
        <s v="AGUIA BRANCA"/>
        <s v="ALEGRE"/>
        <s v="ALFREDO CHAVES"/>
        <s v="ALTO RIO NOVO"/>
        <s v="ANCHIETA"/>
        <s v="APIACA"/>
        <s v="ARACRUZ"/>
        <s v="ATILIO VIVACQUA"/>
        <s v="BAIXO GUANDU"/>
        <s v="BARRA DE SAO FRANCISCO"/>
        <s v="BOA ESPERANCA"/>
        <s v="BOM JESUS DO NORTE"/>
        <s v="BREJETUBA"/>
        <s v="CACHOEIRO DE ITAPEMIRIM"/>
        <s v="CARIACICA"/>
        <s v="CASTELO"/>
        <s v="COLATINA"/>
        <s v="CONCEICAO DA BARRA"/>
        <s v="CONCEICAO DO CASTELO"/>
        <s v="DIVINO DE SAO LOURENCO"/>
        <s v="DOMINGOS MARTINS"/>
        <s v="DORES DO RIO PRETO"/>
        <s v="ECOPORANGA"/>
        <s v="FUNDAO"/>
        <s v="GOVERNADOR LINDENBERG"/>
        <s v="GUACUI"/>
        <s v="GUARAPARI"/>
        <s v="IBATIBA"/>
        <s v="IBIRACU"/>
        <s v="IBITIRAMA"/>
        <s v="ICONHA"/>
        <s v="IRUPI"/>
        <s v="ITAGUACU"/>
        <s v="ITAPEMIRIM"/>
        <s v="ITARANA"/>
        <s v="IUNA"/>
        <s v="JAGUARE"/>
        <s v="JERONIMO MONTEIRO"/>
        <s v="JOAO NEIVA"/>
        <s v="LARANJA DA TERRA"/>
        <s v="LINHARES"/>
        <s v="MANTENOPOLIS"/>
        <s v="MARATAIZES"/>
        <s v="MARECHAL FLORIANO"/>
        <s v="MARILANDIA"/>
        <s v="MIMOSO DO SUL"/>
        <s v="MONTANHA"/>
        <s v="MUCURICI"/>
        <s v="MUNIZ FREIRE"/>
        <s v="MUQUI"/>
        <s v="NOVA VENECIA"/>
        <s v="PANCAS"/>
        <s v="PEDRO CANARIO"/>
        <s v="PINHEIROS"/>
        <s v="PIUMA"/>
        <s v="PONTO BELO"/>
        <s v="PRESIDENTE KENNEDY"/>
        <s v="RIO BANANAL"/>
        <s v="RIO NOVO DO SUL"/>
        <s v="SANTA LEOPOLDINA"/>
        <s v="SANTA MARIA DE JETIBA"/>
        <s v="SANTA TERESA"/>
        <s v="SAO DOMINGOS DO NORTE"/>
        <s v="SAO GABRIEL DA PALHA"/>
        <s v="SAO JOSE DO CALCADO"/>
        <s v="SAO MATEUS"/>
        <s v="SAO ROQUE DO CANAA"/>
        <s v="SERRA"/>
        <s v="SOORETAMA"/>
        <s v="VARGEM ALTA"/>
        <s v="VENDA NOVA DO IMIGRANTE"/>
        <s v="VIANA"/>
        <s v="VILA PAVAO"/>
        <s v="VILA VALERIO"/>
        <s v="VILA VELHA"/>
        <s v="VITORIA"/>
        <s v="CACH. ITAPEMIRIM" u="1"/>
        <s v="SÃO ROQUE DO CANAÃ" u="1"/>
        <s v="DIVINO SÃO LOURENÇO" u="1"/>
        <s v="SÃO DOMINGOS DO NORTE" u="1"/>
        <s v="CONC. DA BARRA" u="1"/>
        <s v="DIVINO DE SÃO LOURENÇO" u="1"/>
        <s v="IBIRAÇU" u="1"/>
        <s v="GUAÇUI" u="1"/>
        <s v="SÃO MATEUS" u="1"/>
        <s v="FUNDÃO" u="1"/>
        <s v="ITAGUAÇU" u="1"/>
        <s v="VILA PAVÃO" u="1"/>
        <s v="CONC. CASTELO" u="1"/>
        <s v="BOA ESPERANÇA" u="1"/>
        <s v="SÃO GABRIEL DA PALHA" u="1"/>
        <s v="SÃO JOSE DO CALÇADO" u="1"/>
        <s v="JOÃO NEIVA" u="1"/>
      </sharedItems>
    </cacheField>
    <cacheField name="IndiceImposto" numFmtId="0">
      <sharedItems containsSemiMixedTypes="0" containsString="0" containsNumber="1" minValue="0" maxValue="15.843"/>
    </cacheField>
    <cacheField name="Icms" numFmtId="0">
      <sharedItems containsSemiMixedTypes="0" containsString="0" containsNumber="1" minValue="288280.11" maxValue="78984127.450000003"/>
    </cacheField>
    <cacheField name="IcmsLei2508" numFmtId="0">
      <sharedItems containsSemiMixedTypes="0" containsString="0" containsNumber="1" minValue="0" maxValue="6728628.5999999996"/>
    </cacheField>
    <cacheField name="IcmsTotal" numFmtId="0">
      <sharedItems containsSemiMixedTypes="0" containsString="0" containsNumber="1" minValue="305838.03000000003" maxValue="78984127.450000003"/>
    </cacheField>
    <cacheField name="Ipi" numFmtId="0">
      <sharedItems containsSemiMixedTypes="0" containsString="0" containsNumber="1" minValue="3808.78" maxValue="1229327.79"/>
    </cacheField>
    <cacheField name="Ipva" numFmtId="0">
      <sharedItems containsSemiMixedTypes="0" containsString="0" containsNumber="1" minValue="5113.3" maxValue="29327015.760000002"/>
    </cacheField>
    <cacheField name="IndiceFundo" numFmtId="0">
      <sharedItems containsSemiMixedTypes="0" containsString="0" containsNumber="1" minValue="0.14199999999999999" maxValue="15.84"/>
    </cacheField>
    <cacheField name="FundoReducaoDesigualdades" numFmtId="0">
      <sharedItems containsSemiMixedTypes="0" containsString="0" containsNumber="1" minValue="114.61" maxValue="2271700.63"/>
    </cacheField>
    <cacheField name="CotaParteCide" numFmtId="0">
      <sharedItems containsSemiMixedTypes="0" containsString="0" containsNumber="1" minValue="0" maxValue="164674.26"/>
    </cacheField>
    <cacheField name="CompensacaoFinanceira" numFmtId="0">
      <sharedItems containsSemiMixedTypes="0" containsString="0" containsNumber="1" minValue="0" maxValue="15881084.67"/>
    </cacheField>
    <cacheField name="Ano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Mes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6">
  <r>
    <n v="40405"/>
    <n v="3200102"/>
    <x v="0"/>
    <n v="0.67100000000000004"/>
    <n v="3055161.86"/>
    <n v="0"/>
    <n v="3055161.86"/>
    <n v="32040.78"/>
    <n v="132414.57"/>
    <n v="1.0169999999999999"/>
    <n v="34719.93"/>
    <n v="12020.76"/>
    <n v="0"/>
    <n v="2025"/>
    <n v="1"/>
  </r>
  <r>
    <n v="40406"/>
    <n v="3200169"/>
    <x v="1"/>
    <n v="0.309"/>
    <n v="1397892.26"/>
    <n v="0"/>
    <n v="1397892.26"/>
    <n v="14755"/>
    <n v="42301.97"/>
    <n v="0.46500000000000002"/>
    <n v="15988.76"/>
    <n v="5501.45"/>
    <n v="0"/>
    <n v="2025"/>
    <n v="1"/>
  </r>
  <r>
    <n v="40407"/>
    <n v="3200136"/>
    <x v="2"/>
    <n v="0.51900000000000002"/>
    <n v="2345678.63"/>
    <n v="0"/>
    <n v="2345678.63"/>
    <n v="24782.66"/>
    <n v="39007.910000000003"/>
    <n v="0.35799999999999998"/>
    <n v="26854.91"/>
    <n v="4230.88"/>
    <n v="0"/>
    <n v="2025"/>
    <n v="1"/>
  </r>
  <r>
    <n v="40408"/>
    <n v="3200201"/>
    <x v="3"/>
    <n v="0.41799999999999998"/>
    <n v="1905182.56"/>
    <n v="0"/>
    <n v="1905182.56"/>
    <n v="19959.830000000002"/>
    <n v="158721.48000000001"/>
    <n v="0.98699999999999999"/>
    <n v="21628.81"/>
    <n v="11667.73"/>
    <n v="0"/>
    <n v="2025"/>
    <n v="1"/>
  </r>
  <r>
    <n v="40409"/>
    <n v="3200300"/>
    <x v="4"/>
    <n v="0.442"/>
    <n v="2008527.33"/>
    <n v="0"/>
    <n v="2008527.33"/>
    <n v="21105.85"/>
    <n v="121432.45"/>
    <n v="0.56599999999999995"/>
    <n v="22870.65"/>
    <n v="6689.2"/>
    <n v="0"/>
    <n v="2025"/>
    <n v="1"/>
  </r>
  <r>
    <n v="40410"/>
    <n v="3200359"/>
    <x v="5"/>
    <n v="0.25800000000000001"/>
    <n v="1166277.8"/>
    <n v="0"/>
    <n v="1166277.8"/>
    <n v="12319.7"/>
    <n v="27052.09"/>
    <n v="0.32800000000000001"/>
    <n v="13349.84"/>
    <n v="3879.72"/>
    <n v="0"/>
    <n v="2025"/>
    <n v="1"/>
  </r>
  <r>
    <n v="40411"/>
    <n v="3200409"/>
    <x v="6"/>
    <n v="3.4780000000000002"/>
    <n v="15911381.609999999"/>
    <n v="0"/>
    <n v="15911381.609999999"/>
    <n v="166077.26"/>
    <n v="209851.54"/>
    <n v="0.93"/>
    <n v="179964.1"/>
    <n v="11001.72"/>
    <n v="0"/>
    <n v="2025"/>
    <n v="1"/>
  </r>
  <r>
    <n v="40412"/>
    <n v="3200508"/>
    <x v="7"/>
    <n v="0.23799999999999999"/>
    <n v="1071906.77"/>
    <n v="0"/>
    <n v="1071906.77"/>
    <n v="11364.69"/>
    <n v="104181.54"/>
    <n v="0.32500000000000001"/>
    <n v="12314.97"/>
    <n v="3847.18"/>
    <n v="0"/>
    <n v="2025"/>
    <n v="1"/>
  </r>
  <r>
    <n v="40413"/>
    <n v="3200607"/>
    <x v="8"/>
    <n v="4.4800000000000004"/>
    <n v="20217748.309999999"/>
    <n v="0"/>
    <n v="20217748.309999999"/>
    <n v="213923.56"/>
    <n v="537045.29"/>
    <n v="2.456"/>
    <n v="231811.14"/>
    <n v="29041.58"/>
    <n v="0"/>
    <n v="2025"/>
    <n v="1"/>
  </r>
  <r>
    <n v="40414"/>
    <n v="3200706"/>
    <x v="9"/>
    <n v="0.39500000000000002"/>
    <n v="1780969.11"/>
    <n v="0"/>
    <n v="1780969.11"/>
    <n v="18861.560000000001"/>
    <n v="62199.08"/>
    <n v="0.44600000000000001"/>
    <n v="20438.7"/>
    <n v="5269.8"/>
    <n v="0"/>
    <n v="2025"/>
    <n v="1"/>
  </r>
  <r>
    <n v="40415"/>
    <n v="3200805"/>
    <x v="10"/>
    <n v="0.54"/>
    <n v="2459340.31"/>
    <n v="0"/>
    <n v="2459340.31"/>
    <n v="25785.43"/>
    <n v="327812.32"/>
    <n v="1.016"/>
    <n v="27941.52"/>
    <n v="12019.21"/>
    <n v="0"/>
    <n v="2025"/>
    <n v="1"/>
  </r>
  <r>
    <n v="40416"/>
    <n v="3200904"/>
    <x v="11"/>
    <n v="0.81299999999999994"/>
    <n v="3701231.94"/>
    <n v="0"/>
    <n v="3701231.94"/>
    <n v="38821.4"/>
    <n v="350127.7"/>
    <n v="1.3140000000000001"/>
    <n v="42067.51"/>
    <n v="15536.81"/>
    <n v="0"/>
    <n v="2025"/>
    <n v="1"/>
  </r>
  <r>
    <n v="40417"/>
    <n v="3107109"/>
    <x v="12"/>
    <n v="0.48699999999999999"/>
    <n v="2198979.52"/>
    <n v="0"/>
    <n v="2198979.52"/>
    <n v="23254.639999999999"/>
    <n v="77196.88"/>
    <n v="0.56299999999999994"/>
    <n v="25199.119999999999"/>
    <n v="6654.03"/>
    <n v="0"/>
    <n v="2025"/>
    <n v="1"/>
  </r>
  <r>
    <n v="40418"/>
    <n v="3201100"/>
    <x v="13"/>
    <n v="0.247"/>
    <n v="1107833.5"/>
    <n v="0"/>
    <n v="1107833.5"/>
    <n v="11794.45"/>
    <n v="425197.64"/>
    <n v="0.442"/>
    <n v="12780.66"/>
    <n v="5225.7"/>
    <n v="0"/>
    <n v="2025"/>
    <n v="1"/>
  </r>
  <r>
    <n v="40419"/>
    <n v="3201159"/>
    <x v="14"/>
    <n v="0.40699999999999997"/>
    <n v="1848541.33"/>
    <n v="0"/>
    <n v="1848541.33"/>
    <n v="19434.57"/>
    <n v="81036.789999999994"/>
    <n v="0.47799999999999998"/>
    <n v="21059.63"/>
    <n v="5646.87"/>
    <n v="0"/>
    <n v="2025"/>
    <n v="1"/>
  </r>
  <r>
    <n v="40420"/>
    <n v="3201209"/>
    <x v="15"/>
    <n v="2.5920000000000001"/>
    <n v="11790179.460000001"/>
    <n v="0"/>
    <n v="11790179.460000001"/>
    <n v="123770.06"/>
    <n v="1620445.21"/>
    <n v="4.3239999999999998"/>
    <n v="134119.29999999999"/>
    <n v="51130.76"/>
    <n v="0"/>
    <n v="2025"/>
    <n v="1"/>
  </r>
  <r>
    <n v="40421"/>
    <n v="3201308"/>
    <x v="16"/>
    <n v="8.3239999999999998"/>
    <n v="37579332.630000003"/>
    <n v="0"/>
    <n v="37579332.630000003"/>
    <n v="397477.61"/>
    <n v="2594121.79"/>
    <n v="6.5110000000000001"/>
    <n v="430713.38"/>
    <n v="76994.539999999994"/>
    <n v="0"/>
    <n v="2025"/>
    <n v="1"/>
  </r>
  <r>
    <n v="40422"/>
    <n v="3201407"/>
    <x v="17"/>
    <n v="0.80700000000000005"/>
    <n v="3665970.58"/>
    <n v="0"/>
    <n v="3665970.58"/>
    <n v="38534.89"/>
    <n v="490407.12"/>
    <n v="1.165"/>
    <n v="41757.050000000003"/>
    <n v="13770.76"/>
    <n v="0"/>
    <n v="2025"/>
    <n v="1"/>
  </r>
  <r>
    <n v="40423"/>
    <n v="3201506"/>
    <x v="18"/>
    <n v="2.0139999999999998"/>
    <n v="9160844.5299999993"/>
    <n v="0"/>
    <n v="9160844.5299999993"/>
    <n v="96170.1"/>
    <n v="864790.33"/>
    <n v="2.875"/>
    <n v="104211.52"/>
    <n v="34000.03"/>
    <n v="0"/>
    <n v="2025"/>
    <n v="1"/>
  </r>
  <r>
    <n v="40424"/>
    <n v="3201605"/>
    <x v="19"/>
    <n v="0.60099999999999998"/>
    <n v="2753712.26"/>
    <n v="0"/>
    <n v="2753712.26"/>
    <n v="28698.23"/>
    <n v="139055.82"/>
    <n v="0.96399999999999997"/>
    <n v="31097.88"/>
    <n v="11402.63"/>
    <n v="0"/>
    <n v="2025"/>
    <n v="1"/>
  </r>
  <r>
    <n v="40425"/>
    <n v="3201704"/>
    <x v="20"/>
    <n v="0.371"/>
    <n v="1689262.36"/>
    <n v="0"/>
    <n v="1689262.36"/>
    <n v="17715.54"/>
    <n v="78371.87"/>
    <n v="0.46400000000000002"/>
    <n v="19196.86"/>
    <n v="5485.25"/>
    <n v="0"/>
    <n v="2025"/>
    <n v="1"/>
  </r>
  <r>
    <n v="40426"/>
    <n v="3201803"/>
    <x v="21"/>
    <n v="0.187"/>
    <n v="847504.56"/>
    <n v="0"/>
    <n v="847504.56"/>
    <n v="8929.4"/>
    <n v="27134.06"/>
    <n v="0.29699999999999999"/>
    <n v="9676.0400000000009"/>
    <n v="3517.14"/>
    <n v="0"/>
    <n v="2025"/>
    <n v="1"/>
  </r>
  <r>
    <n v="40427"/>
    <n v="3201902"/>
    <x v="22"/>
    <n v="1.0620000000000001"/>
    <n v="4843384.9000000004"/>
    <n v="0"/>
    <n v="4843384.9000000004"/>
    <n v="50711.34"/>
    <n v="246962.16"/>
    <n v="1.0780000000000001"/>
    <n v="54951.66"/>
    <n v="12750.53"/>
    <n v="0"/>
    <n v="2025"/>
    <n v="1"/>
  </r>
  <r>
    <n v="40428"/>
    <n v="3202009"/>
    <x v="23"/>
    <n v="0.34899999999999998"/>
    <n v="1568931.51"/>
    <n v="0"/>
    <n v="1568931.51"/>
    <n v="16665.03"/>
    <n v="164506.17000000001"/>
    <n v="0.317"/>
    <n v="18058.5"/>
    <n v="3750.48"/>
    <n v="0"/>
    <n v="2025"/>
    <n v="1"/>
  </r>
  <r>
    <n v="40429"/>
    <n v="3202108"/>
    <x v="24"/>
    <n v="0.57099999999999995"/>
    <n v="2612483.5299999998"/>
    <n v="0"/>
    <n v="2612483.5299999998"/>
    <n v="27265.7"/>
    <n v="97435.77"/>
    <n v="0.81599999999999995"/>
    <n v="29545.58"/>
    <n v="9652.31"/>
    <n v="0"/>
    <n v="2025"/>
    <n v="1"/>
  </r>
  <r>
    <n v="40430"/>
    <n v="3202207"/>
    <x v="25"/>
    <n v="0.36799999999999999"/>
    <n v="1653682.93"/>
    <n v="0"/>
    <n v="1653682.93"/>
    <n v="17572.29"/>
    <n v="121220.82"/>
    <n v="0.69699999999999995"/>
    <n v="19041.63"/>
    <n v="8244.6200000000008"/>
    <n v="0"/>
    <n v="2025"/>
    <n v="1"/>
  </r>
  <r>
    <n v="40431"/>
    <n v="3202256"/>
    <x v="26"/>
    <n v="0.53100000000000003"/>
    <n v="2402924.13"/>
    <n v="0"/>
    <n v="2402924.13"/>
    <n v="25355.67"/>
    <n v="59353.29"/>
    <n v="0.45200000000000001"/>
    <n v="27475.83"/>
    <n v="5342.14"/>
    <n v="0"/>
    <n v="2025"/>
    <n v="1"/>
  </r>
  <r>
    <n v="40432"/>
    <n v="3202306"/>
    <x v="27"/>
    <n v="0.36699999999999999"/>
    <n v="1660618.79"/>
    <n v="0"/>
    <n v="1660618.79"/>
    <n v="17524.54"/>
    <n v="331943.75"/>
    <n v="0.98899999999999999"/>
    <n v="18989.88"/>
    <n v="11695.65"/>
    <n v="0"/>
    <n v="2025"/>
    <n v="1"/>
  </r>
  <r>
    <n v="40433"/>
    <n v="3202405"/>
    <x v="28"/>
    <n v="0.79"/>
    <n v="3574559.77"/>
    <n v="0"/>
    <n v="3574559.77"/>
    <n v="37723.129999999997"/>
    <n v="2156539.94"/>
    <n v="2.9359999999999999"/>
    <n v="40877.42"/>
    <n v="34712.99"/>
    <n v="0"/>
    <n v="2025"/>
    <n v="1"/>
  </r>
  <r>
    <n v="40434"/>
    <n v="3202454"/>
    <x v="29"/>
    <n v="0.33900000000000002"/>
    <n v="1537481.89"/>
    <n v="0"/>
    <n v="1537481.89"/>
    <n v="16187.52"/>
    <n v="326285.28999999998"/>
    <n v="0.87"/>
    <n v="17541.060000000001"/>
    <n v="10291.69"/>
    <n v="0"/>
    <n v="2025"/>
    <n v="1"/>
  </r>
  <r>
    <n v="40435"/>
    <n v="3202504"/>
    <x v="30"/>
    <n v="0.307"/>
    <n v="1380128.28"/>
    <n v="0"/>
    <n v="1380128.28"/>
    <n v="14659.49"/>
    <n v="62735.46"/>
    <n v="0.46100000000000002"/>
    <n v="15885.28"/>
    <n v="5452.25"/>
    <n v="0"/>
    <n v="2025"/>
    <n v="1"/>
  </r>
  <r>
    <n v="40436"/>
    <n v="3202553"/>
    <x v="31"/>
    <n v="0.28399999999999997"/>
    <n v="1280666.07"/>
    <n v="0"/>
    <n v="1280666.07"/>
    <n v="13561.23"/>
    <n v="57668.9"/>
    <n v="0.35499999999999998"/>
    <n v="14695.17"/>
    <n v="4201.43"/>
    <n v="0"/>
    <n v="2025"/>
    <n v="1"/>
  </r>
  <r>
    <n v="40437"/>
    <n v="3202603"/>
    <x v="32"/>
    <n v="0.314"/>
    <n v="1420583.51"/>
    <n v="0"/>
    <n v="1420583.51"/>
    <n v="14993.75"/>
    <n v="135487.81"/>
    <n v="0.53700000000000003"/>
    <n v="16247.48"/>
    <n v="6346.92"/>
    <n v="0"/>
    <n v="2025"/>
    <n v="1"/>
  </r>
  <r>
    <n v="40438"/>
    <n v="3202652"/>
    <x v="33"/>
    <n v="0.316"/>
    <n v="1429496.08"/>
    <n v="0"/>
    <n v="1429496.08"/>
    <n v="15089.25"/>
    <n v="133067.94"/>
    <n v="0.56399999999999995"/>
    <n v="16350.97"/>
    <n v="6669.77"/>
    <n v="0"/>
    <n v="2025"/>
    <n v="1"/>
  </r>
  <r>
    <n v="40439"/>
    <n v="3202702"/>
    <x v="34"/>
    <n v="0.40400000000000003"/>
    <n v="1822632.93"/>
    <n v="0"/>
    <n v="1822632.93"/>
    <n v="19291.32"/>
    <n v="50159.08"/>
    <n v="0.56200000000000006"/>
    <n v="20904.39"/>
    <n v="6651.1"/>
    <n v="0"/>
    <n v="2025"/>
    <n v="1"/>
  </r>
  <r>
    <n v="40440"/>
    <n v="3202801"/>
    <x v="35"/>
    <n v="3.4060000000000001"/>
    <n v="15522667.84"/>
    <n v="0"/>
    <n v="15522667.84"/>
    <n v="162639.20000000001"/>
    <n v="275391.31"/>
    <n v="1.2130000000000001"/>
    <n v="176238.56"/>
    <n v="14342.66"/>
    <n v="0"/>
    <n v="2025"/>
    <n v="1"/>
  </r>
  <r>
    <n v="40441"/>
    <n v="3202900"/>
    <x v="36"/>
    <n v="0.39200000000000002"/>
    <n v="1772599.69"/>
    <n v="0"/>
    <n v="1772599.69"/>
    <n v="18718.310000000001"/>
    <n v="70528.61"/>
    <n v="0.44600000000000001"/>
    <n v="20283.48"/>
    <n v="5278.6"/>
    <n v="0"/>
    <n v="2025"/>
    <n v="1"/>
  </r>
  <r>
    <n v="40442"/>
    <n v="3203007"/>
    <x v="37"/>
    <n v="0.5"/>
    <n v="2264041.5699999998"/>
    <n v="0"/>
    <n v="2264041.5699999998"/>
    <n v="23875.4"/>
    <n v="201274.11"/>
    <n v="0.91200000000000003"/>
    <n v="25871.78"/>
    <n v="10786.75"/>
    <n v="0"/>
    <n v="2025"/>
    <n v="1"/>
  </r>
  <r>
    <n v="40443"/>
    <n v="3203056"/>
    <x v="38"/>
    <n v="1.109"/>
    <n v="5027177.68"/>
    <n v="0"/>
    <n v="5027177.68"/>
    <n v="52955.63"/>
    <n v="161313.45000000001"/>
    <n v="0.98399999999999999"/>
    <n v="57383.61"/>
    <n v="11629.8"/>
    <n v="0"/>
    <n v="2025"/>
    <n v="1"/>
  </r>
  <r>
    <n v="40444"/>
    <n v="3203106"/>
    <x v="39"/>
    <n v="0.216"/>
    <n v="977802.4"/>
    <n v="0"/>
    <n v="977802.4"/>
    <n v="10314.17"/>
    <n v="42175.34"/>
    <n v="0.45900000000000002"/>
    <n v="11176.61"/>
    <n v="5429.43"/>
    <n v="0"/>
    <n v="2025"/>
    <n v="1"/>
  </r>
  <r>
    <n v="40445"/>
    <n v="3203130"/>
    <x v="40"/>
    <n v="0.376"/>
    <n v="1707527.87"/>
    <n v="0"/>
    <n v="1707527.87"/>
    <n v="17954.3"/>
    <n v="68711.509999999995"/>
    <n v="0.63600000000000001"/>
    <n v="19455.580000000002"/>
    <n v="7524.61"/>
    <n v="0"/>
    <n v="2025"/>
    <n v="1"/>
  </r>
  <r>
    <n v="40446"/>
    <n v="3203163"/>
    <x v="41"/>
    <n v="0.42799999999999999"/>
    <n v="1934009.55"/>
    <n v="0"/>
    <n v="1934009.55"/>
    <n v="20437.34"/>
    <n v="67897.460000000006"/>
    <n v="0.45300000000000001"/>
    <n v="22146.25"/>
    <n v="5355.25"/>
    <n v="0"/>
    <n v="2025"/>
    <n v="1"/>
  </r>
  <r>
    <n v="40447"/>
    <n v="3203205"/>
    <x v="42"/>
    <n v="4.431"/>
    <n v="20144865.140000001"/>
    <n v="0"/>
    <n v="20144865.140000001"/>
    <n v="211583.77"/>
    <n v="1245824.74"/>
    <n v="4.0759999999999996"/>
    <n v="229275.71"/>
    <n v="48200.53"/>
    <n v="0"/>
    <n v="2025"/>
    <n v="1"/>
  </r>
  <r>
    <n v="40448"/>
    <n v="3203304"/>
    <x v="43"/>
    <n v="0.314"/>
    <n v="1414518.63"/>
    <n v="0"/>
    <n v="1414518.63"/>
    <n v="14993.75"/>
    <n v="100221.11"/>
    <n v="0.54300000000000004"/>
    <n v="16247.48"/>
    <n v="6415.38"/>
    <n v="0"/>
    <n v="2025"/>
    <n v="1"/>
  </r>
  <r>
    <n v="40449"/>
    <n v="3203320"/>
    <x v="44"/>
    <n v="0.58499999999999996"/>
    <n v="2659955.27"/>
    <n v="0"/>
    <n v="2659955.27"/>
    <n v="27934.22"/>
    <n v="488135.67999999999"/>
    <n v="1.24"/>
    <n v="30269.98"/>
    <n v="14666.07"/>
    <n v="0"/>
    <n v="2025"/>
    <n v="1"/>
  </r>
  <r>
    <n v="40450"/>
    <n v="3203346"/>
    <x v="45"/>
    <n v="0.55500000000000005"/>
    <n v="2520693.4500000002"/>
    <n v="0"/>
    <n v="2520693.4500000002"/>
    <n v="26501.69"/>
    <n v="126453.13"/>
    <n v="0.69199999999999995"/>
    <n v="28717.67"/>
    <n v="8187.09"/>
    <n v="0"/>
    <n v="2025"/>
    <n v="1"/>
  </r>
  <r>
    <n v="40451"/>
    <n v="3203353"/>
    <x v="46"/>
    <n v="0.505"/>
    <n v="2284437.9900000002"/>
    <n v="0"/>
    <n v="2284437.9900000002"/>
    <n v="24114.15"/>
    <n v="152068.85"/>
    <n v="0.47"/>
    <n v="26130.5"/>
    <n v="5554.65"/>
    <n v="0"/>
    <n v="2025"/>
    <n v="1"/>
  </r>
  <r>
    <n v="40452"/>
    <n v="3203403"/>
    <x v="47"/>
    <n v="0.46899999999999997"/>
    <n v="2129420.83"/>
    <n v="0"/>
    <n v="2129420.83"/>
    <n v="22395.119999999999"/>
    <n v="192213.08"/>
    <n v="0.85899999999999999"/>
    <n v="24267.72"/>
    <n v="10152.120000000001"/>
    <n v="0"/>
    <n v="2025"/>
    <n v="1"/>
  </r>
  <r>
    <n v="40453"/>
    <n v="3203502"/>
    <x v="48"/>
    <n v="0.51500000000000001"/>
    <n v="2339327.5299999998"/>
    <n v="0"/>
    <n v="2339327.5299999998"/>
    <n v="24591.66"/>
    <n v="150337.56"/>
    <n v="0.70899999999999996"/>
    <n v="26647.94"/>
    <n v="8381.25"/>
    <n v="0"/>
    <n v="2025"/>
    <n v="1"/>
  </r>
  <r>
    <n v="40454"/>
    <n v="3203601"/>
    <x v="49"/>
    <n v="0.30599999999999999"/>
    <n v="1386572.34"/>
    <n v="0"/>
    <n v="1386572.34"/>
    <n v="14611.74"/>
    <n v="32668.6"/>
    <n v="0.30199999999999999"/>
    <n v="15833.53"/>
    <n v="3576.21"/>
    <n v="0"/>
    <n v="2025"/>
    <n v="1"/>
  </r>
  <r>
    <n v="40455"/>
    <n v="3203700"/>
    <x v="50"/>
    <n v="0.505"/>
    <n v="2293945.08"/>
    <n v="0"/>
    <n v="2293945.08"/>
    <n v="24114.15"/>
    <n v="97727.75"/>
    <n v="0.69899999999999995"/>
    <n v="26130.5"/>
    <n v="8266.0499999999993"/>
    <n v="0"/>
    <n v="2025"/>
    <n v="1"/>
  </r>
  <r>
    <n v="40456"/>
    <n v="3203809"/>
    <x v="51"/>
    <n v="0.32"/>
    <n v="1443551.15"/>
    <n v="0"/>
    <n v="1443551.15"/>
    <n v="15280.25"/>
    <n v="78586.41"/>
    <n v="0.56499999999999995"/>
    <n v="16557.939999999999"/>
    <n v="6675.16"/>
    <n v="0"/>
    <n v="2025"/>
    <n v="1"/>
  </r>
  <r>
    <n v="40457"/>
    <n v="3203908"/>
    <x v="52"/>
    <n v="1.2250000000000001"/>
    <n v="5573120.1399999997"/>
    <n v="0"/>
    <n v="5573120.1399999997"/>
    <n v="58494.720000000001"/>
    <n v="271058.92"/>
    <n v="1.476"/>
    <n v="63385.86"/>
    <n v="17456.939999999999"/>
    <n v="0"/>
    <n v="2025"/>
    <n v="1"/>
  </r>
  <r>
    <n v="40458"/>
    <n v="3204005"/>
    <x v="53"/>
    <n v="0.435"/>
    <n v="1977251.38"/>
    <n v="0"/>
    <n v="1977251.38"/>
    <n v="20771.599999999999"/>
    <n v="73161.45"/>
    <n v="0.70899999999999996"/>
    <n v="22508.45"/>
    <n v="8380.18"/>
    <n v="0"/>
    <n v="2025"/>
    <n v="1"/>
  </r>
  <r>
    <n v="40459"/>
    <n v="3204054"/>
    <x v="54"/>
    <n v="0.33400000000000002"/>
    <n v="1512823.65"/>
    <n v="0"/>
    <n v="1512823.65"/>
    <n v="15948.76"/>
    <n v="131975.69"/>
    <n v="0.81"/>
    <n v="17282.349999999999"/>
    <n v="9579.82"/>
    <n v="0"/>
    <n v="2025"/>
    <n v="1"/>
  </r>
  <r>
    <n v="40460"/>
    <n v="3204104"/>
    <x v="55"/>
    <n v="0.755"/>
    <n v="3427523.07"/>
    <n v="0"/>
    <n v="3427523.07"/>
    <n v="36051.85"/>
    <n v="120110.42"/>
    <n v="0.85099999999999998"/>
    <n v="39066.379999999997"/>
    <n v="10065.75"/>
    <n v="0"/>
    <n v="2025"/>
    <n v="1"/>
  </r>
  <r>
    <n v="40461"/>
    <n v="3204203"/>
    <x v="56"/>
    <n v="0.36499999999999999"/>
    <n v="1639248.63"/>
    <n v="0"/>
    <n v="1639248.63"/>
    <n v="17429.04"/>
    <n v="324301"/>
    <n v="0.753"/>
    <n v="18886.39"/>
    <n v="8905.61"/>
    <n v="0"/>
    <n v="2025"/>
    <n v="1"/>
  </r>
  <r>
    <n v="40462"/>
    <n v="3204252"/>
    <x v="57"/>
    <n v="0.27"/>
    <n v="1216147.1399999999"/>
    <n v="0"/>
    <n v="1216147.1399999999"/>
    <n v="12892.71"/>
    <n v="24730.22"/>
    <n v="0.316"/>
    <n v="13970.76"/>
    <n v="3735.21"/>
    <n v="0"/>
    <n v="2025"/>
    <n v="1"/>
  </r>
  <r>
    <n v="40463"/>
    <n v="1718402"/>
    <x v="58"/>
    <n v="0.39100000000000001"/>
    <n v="1774454.14"/>
    <n v="0"/>
    <n v="1774454.14"/>
    <n v="18670.560000000001"/>
    <n v="196554.28"/>
    <n v="0.56399999999999995"/>
    <n v="20231.73"/>
    <n v="6667.61"/>
    <n v="0"/>
    <n v="2025"/>
    <n v="1"/>
  </r>
  <r>
    <n v="40464"/>
    <n v="3204351"/>
    <x v="59"/>
    <n v="0.88200000000000001"/>
    <n v="4006175.12"/>
    <n v="0"/>
    <n v="4006175.12"/>
    <n v="42116.2"/>
    <n v="115151.17"/>
    <n v="0.71399999999999997"/>
    <n v="45637.82"/>
    <n v="8438.93"/>
    <n v="0"/>
    <n v="2025"/>
    <n v="1"/>
  </r>
  <r>
    <n v="40465"/>
    <n v="3204401"/>
    <x v="60"/>
    <n v="0.312"/>
    <n v="1407245.21"/>
    <n v="0"/>
    <n v="1407245.21"/>
    <n v="14898.25"/>
    <n v="68881.119999999995"/>
    <n v="0.45300000000000001"/>
    <n v="16143.99"/>
    <n v="5351.39"/>
    <n v="0"/>
    <n v="2025"/>
    <n v="1"/>
  </r>
  <r>
    <n v="40466"/>
    <n v="3204500"/>
    <x v="61"/>
    <n v="0.51800000000000002"/>
    <n v="2351958.7799999998"/>
    <n v="0"/>
    <n v="2351958.7799999998"/>
    <n v="24734.91"/>
    <n v="52328.66"/>
    <n v="0.47899999999999998"/>
    <n v="26803.16"/>
    <n v="5665.53"/>
    <n v="0"/>
    <n v="2025"/>
    <n v="1"/>
  </r>
  <r>
    <n v="40467"/>
    <n v="3204559"/>
    <x v="62"/>
    <n v="2.1909999999999998"/>
    <n v="9967720.1899999995"/>
    <n v="0"/>
    <n v="9967720.1899999995"/>
    <n v="104621.99"/>
    <n v="593163.96"/>
    <n v="1.236"/>
    <n v="113370.14"/>
    <n v="14620.87"/>
    <n v="0"/>
    <n v="2025"/>
    <n v="1"/>
  </r>
  <r>
    <n v="40468"/>
    <n v="3204609"/>
    <x v="63"/>
    <n v="0.66"/>
    <n v="2990160.93"/>
    <n v="0"/>
    <n v="2990160.93"/>
    <n v="31515.52"/>
    <n v="153710.5"/>
    <n v="0.82699999999999996"/>
    <n v="34150.75"/>
    <n v="9778.16"/>
    <n v="0"/>
    <n v="2025"/>
    <n v="1"/>
  </r>
  <r>
    <n v="40469"/>
    <n v="3204658"/>
    <x v="64"/>
    <n v="0.42099999999999999"/>
    <n v="1907814.99"/>
    <n v="0"/>
    <n v="1907814.99"/>
    <n v="20103.080000000002"/>
    <n v="57807.040000000001"/>
    <n v="0.34300000000000003"/>
    <n v="21784.04"/>
    <n v="4057.84"/>
    <n v="0"/>
    <n v="2025"/>
    <n v="1"/>
  </r>
  <r>
    <n v="40470"/>
    <n v="3204708"/>
    <x v="65"/>
    <n v="0.72299999999999998"/>
    <n v="3294101.13"/>
    <n v="0"/>
    <n v="3294101.13"/>
    <n v="34523.82"/>
    <n v="172703.19"/>
    <n v="1.1040000000000001"/>
    <n v="37410.6"/>
    <n v="13049.31"/>
    <n v="0"/>
    <n v="2025"/>
    <n v="1"/>
  </r>
  <r>
    <n v="40471"/>
    <n v="3204807"/>
    <x v="66"/>
    <n v="0.28599999999999998"/>
    <n v="1289414.72"/>
    <n v="0"/>
    <n v="1289414.72"/>
    <n v="13656.73"/>
    <n v="95668.2"/>
    <n v="0.45"/>
    <n v="14798.66"/>
    <n v="5321.93"/>
    <n v="0"/>
    <n v="2025"/>
    <n v="1"/>
  </r>
  <r>
    <n v="40472"/>
    <n v="3204906"/>
    <x v="67"/>
    <n v="1.998"/>
    <n v="9059875.2400000002"/>
    <n v="0"/>
    <n v="9059875.2400000002"/>
    <n v="95406.09"/>
    <n v="972401.14"/>
    <n v="2.9870000000000001"/>
    <n v="103383.63"/>
    <n v="35326.699999999997"/>
    <n v="0"/>
    <n v="2025"/>
    <n v="1"/>
  </r>
  <r>
    <n v="40473"/>
    <n v="3204955"/>
    <x v="68"/>
    <n v="0.3"/>
    <n v="1360982.05"/>
    <n v="0"/>
    <n v="1360982.05"/>
    <n v="14325.24"/>
    <n v="55169.96"/>
    <n v="0.45"/>
    <n v="15523.06"/>
    <n v="5323.17"/>
    <n v="0"/>
    <n v="2025"/>
    <n v="1"/>
  </r>
  <r>
    <n v="40474"/>
    <n v="3205002"/>
    <x v="69"/>
    <n v="14.551"/>
    <n v="66058636.68"/>
    <n v="0"/>
    <n v="66058636.68"/>
    <n v="694821.81"/>
    <n v="3066248.8"/>
    <n v="8.6910000000000007"/>
    <n v="752920.53"/>
    <n v="102774.58"/>
    <n v="0"/>
    <n v="2025"/>
    <n v="1"/>
  </r>
  <r>
    <n v="40475"/>
    <n v="3205010"/>
    <x v="70"/>
    <n v="0.78200000000000003"/>
    <n v="3540056.88"/>
    <n v="0"/>
    <n v="3540056.88"/>
    <n v="37341.120000000003"/>
    <n v="109689.96"/>
    <n v="0.95199999999999996"/>
    <n v="40463.46"/>
    <n v="11255.19"/>
    <n v="0"/>
    <n v="2025"/>
    <n v="1"/>
  </r>
  <r>
    <n v="40476"/>
    <n v="3205036"/>
    <x v="71"/>
    <n v="0.45700000000000002"/>
    <n v="2078731.95"/>
    <n v="0"/>
    <n v="2078731.95"/>
    <n v="21822.11"/>
    <n v="135103.51999999999"/>
    <n v="0.71699999999999997"/>
    <n v="23646.81"/>
    <n v="8483.5"/>
    <n v="0"/>
    <n v="2025"/>
    <n v="1"/>
  </r>
  <r>
    <n v="40477"/>
    <n v="3205069"/>
    <x v="72"/>
    <n v="0.67"/>
    <n v="3032265.07"/>
    <n v="0"/>
    <n v="3032265.07"/>
    <n v="31993.03"/>
    <n v="232853.12"/>
    <n v="0.85"/>
    <n v="34668.18"/>
    <n v="10052.799999999999"/>
    <n v="0"/>
    <n v="2025"/>
    <n v="1"/>
  </r>
  <r>
    <n v="40478"/>
    <n v="2112803"/>
    <x v="73"/>
    <n v="3.3740000000000001"/>
    <n v="15221724.32"/>
    <n v="0"/>
    <n v="15221724.32"/>
    <n v="161111.18"/>
    <n v="557570.06999999995"/>
    <n v="1.9590000000000001"/>
    <n v="174582.77"/>
    <n v="23167.45"/>
    <n v="0"/>
    <n v="2025"/>
    <n v="1"/>
  </r>
  <r>
    <n v="40479"/>
    <n v="3205150"/>
    <x v="74"/>
    <n v="0.36799999999999999"/>
    <n v="1661059.13"/>
    <n v="0"/>
    <n v="1661059.13"/>
    <n v="17572.29"/>
    <n v="46200.24"/>
    <n v="0.34699999999999998"/>
    <n v="19041.63"/>
    <n v="4107.5"/>
    <n v="0"/>
    <n v="2025"/>
    <n v="1"/>
  </r>
  <r>
    <n v="40480"/>
    <n v="3205176"/>
    <x v="75"/>
    <n v="0.7"/>
    <n v="3167428.98"/>
    <n v="0"/>
    <n v="3167428.98"/>
    <n v="33425.56"/>
    <n v="98055.83"/>
    <n v="0.56399999999999995"/>
    <n v="36220.49"/>
    <n v="6672.54"/>
    <n v="0"/>
    <n v="2025"/>
    <n v="1"/>
  </r>
  <r>
    <n v="40481"/>
    <n v="3205200"/>
    <x v="76"/>
    <n v="6.6219999999999999"/>
    <n v="29781476.129999999"/>
    <n v="0"/>
    <n v="29781476.129999999"/>
    <n v="316205.76"/>
    <n v="3877684.63"/>
    <n v="8.0009999999999994"/>
    <n v="342645.85"/>
    <n v="94611.47"/>
    <n v="0"/>
    <n v="2025"/>
    <n v="1"/>
  </r>
  <r>
    <n v="40482"/>
    <n v="3205309"/>
    <x v="77"/>
    <n v="10.878"/>
    <n v="49853048.439999998"/>
    <n v="0"/>
    <n v="49853048.439999998"/>
    <n v="519433.14"/>
    <n v="4157461.26"/>
    <n v="9.2110000000000003"/>
    <n v="562866.43999999994"/>
    <n v="108917.73"/>
    <n v="0"/>
    <n v="2025"/>
    <n v="1"/>
  </r>
  <r>
    <n v="40561"/>
    <n v="3200102"/>
    <x v="0"/>
    <n v="0.67100000000000004"/>
    <n v="2559618.9"/>
    <n v="0"/>
    <n v="2559618.9"/>
    <n v="36270.379999999997"/>
    <n v="168041.82"/>
    <n v="1.0169999999999999"/>
    <n v="51544.53"/>
    <n v="0"/>
    <n v="15397.86"/>
    <n v="2025"/>
    <n v="2"/>
  </r>
  <r>
    <n v="40562"/>
    <n v="3200169"/>
    <x v="1"/>
    <n v="0.309"/>
    <n v="1178721.69"/>
    <n v="0"/>
    <n v="1178721.69"/>
    <n v="16702.75"/>
    <n v="53990.29"/>
    <n v="0.46500000000000002"/>
    <n v="23736.6"/>
    <n v="0"/>
    <n v="7090.82"/>
    <n v="2025"/>
    <n v="2"/>
  </r>
  <r>
    <n v="40563"/>
    <n v="3200136"/>
    <x v="2"/>
    <n v="0.51900000000000002"/>
    <n v="1979794.69"/>
    <n v="0"/>
    <n v="1979794.69"/>
    <n v="28054.14"/>
    <n v="53227.58"/>
    <n v="0.35799999999999998"/>
    <n v="39868.269999999997"/>
    <n v="0"/>
    <n v="11909.82"/>
    <n v="2025"/>
    <n v="2"/>
  </r>
  <r>
    <n v="40564"/>
    <n v="3200201"/>
    <x v="3"/>
    <n v="0.41799999999999998"/>
    <n v="1594516.72"/>
    <n v="0"/>
    <n v="1594516.72"/>
    <n v="22594.66"/>
    <n v="143606.56"/>
    <n v="0.98699999999999999"/>
    <n v="32109.71"/>
    <n v="0"/>
    <n v="9592.11"/>
    <n v="2025"/>
    <n v="2"/>
  </r>
  <r>
    <n v="40565"/>
    <n v="3200300"/>
    <x v="4"/>
    <n v="0.442"/>
    <n v="1686067.91"/>
    <n v="0"/>
    <n v="1686067.91"/>
    <n v="23891.96"/>
    <n v="111874.63"/>
    <n v="0.56599999999999995"/>
    <n v="33953.33"/>
    <n v="0"/>
    <n v="10142.85"/>
    <n v="2025"/>
    <n v="2"/>
  </r>
  <r>
    <n v="40566"/>
    <n v="3200359"/>
    <x v="5"/>
    <n v="0.25800000000000001"/>
    <n v="984175.38"/>
    <n v="0"/>
    <n v="984175.38"/>
    <n v="13945.99"/>
    <n v="22627.69"/>
    <n v="0.32800000000000001"/>
    <n v="19818.91"/>
    <n v="0"/>
    <n v="5920.49"/>
    <n v="2025"/>
    <n v="2"/>
  </r>
  <r>
    <n v="40567"/>
    <n v="3200409"/>
    <x v="6"/>
    <n v="3.4780000000000002"/>
    <n v="13267294.529999999"/>
    <n v="0"/>
    <n v="13267294.529999999"/>
    <n v="188000.57"/>
    <n v="237429.35"/>
    <n v="0.93"/>
    <n v="267171.21000000002"/>
    <n v="0"/>
    <n v="79811.88"/>
    <n v="2025"/>
    <n v="2"/>
  </r>
  <r>
    <n v="40568"/>
    <n v="3200508"/>
    <x v="7"/>
    <n v="0.23799999999999999"/>
    <n v="907882.73"/>
    <n v="0"/>
    <n v="907882.73"/>
    <n v="12864.9"/>
    <n v="102988.47"/>
    <n v="0.32500000000000001"/>
    <n v="18282.560000000001"/>
    <n v="0"/>
    <n v="5461.54"/>
    <n v="2025"/>
    <n v="2"/>
  </r>
  <r>
    <n v="40569"/>
    <n v="3200607"/>
    <x v="8"/>
    <n v="4.4800000000000004"/>
    <n v="17089557.079999998"/>
    <n v="0"/>
    <n v="17089557.079999998"/>
    <n v="242162.89"/>
    <n v="509452.41"/>
    <n v="2.456"/>
    <n v="344142.32"/>
    <n v="0"/>
    <n v="102805.41"/>
    <n v="2025"/>
    <n v="2"/>
  </r>
  <r>
    <n v="40570"/>
    <n v="3200706"/>
    <x v="9"/>
    <n v="0.39500000000000002"/>
    <n v="1506780.13"/>
    <n v="0"/>
    <n v="1506780.13"/>
    <n v="21351.42"/>
    <n v="45822.35"/>
    <n v="0.44600000000000001"/>
    <n v="30342.91"/>
    <n v="0"/>
    <n v="9064.32"/>
    <n v="2025"/>
    <n v="2"/>
  </r>
  <r>
    <n v="40571"/>
    <n v="3200805"/>
    <x v="10"/>
    <n v="0.54"/>
    <n v="2059901.96"/>
    <n v="0"/>
    <n v="2059901.96"/>
    <n v="29189.279999999999"/>
    <n v="293643.95"/>
    <n v="1.016"/>
    <n v="41481.440000000002"/>
    <n v="0"/>
    <n v="12391.72"/>
    <n v="2025"/>
    <n v="2"/>
  </r>
  <r>
    <n v="40572"/>
    <n v="3200904"/>
    <x v="11"/>
    <n v="0.81299999999999994"/>
    <n v="3101296.86"/>
    <n v="0"/>
    <n v="3101296.86"/>
    <n v="43946.080000000002"/>
    <n v="379594.96"/>
    <n v="1.3140000000000001"/>
    <n v="62452.62"/>
    <n v="0"/>
    <n v="18656.43"/>
    <n v="2025"/>
    <n v="2"/>
  </r>
  <r>
    <n v="40573"/>
    <n v="3107109"/>
    <x v="12"/>
    <n v="0.48699999999999999"/>
    <n v="1857726.41"/>
    <n v="0"/>
    <n v="1857726.41"/>
    <n v="26324.400000000001"/>
    <n v="64623.72"/>
    <n v="0.56299999999999994"/>
    <n v="37410.120000000003"/>
    <n v="0"/>
    <n v="11175.5"/>
    <n v="2025"/>
    <n v="2"/>
  </r>
  <r>
    <n v="40574"/>
    <n v="3201100"/>
    <x v="13"/>
    <n v="0.247"/>
    <n v="942214.44"/>
    <n v="0"/>
    <n v="942214.44"/>
    <n v="13351.39"/>
    <n v="310843.32"/>
    <n v="0.442"/>
    <n v="18973.919999999998"/>
    <n v="0"/>
    <n v="5668.07"/>
    <n v="2025"/>
    <n v="2"/>
  </r>
  <r>
    <n v="40575"/>
    <n v="3201159"/>
    <x v="14"/>
    <n v="0.40699999999999997"/>
    <n v="1552555.75"/>
    <n v="0"/>
    <n v="1552555.75"/>
    <n v="22000.07"/>
    <n v="85482.04"/>
    <n v="0.47799999999999998"/>
    <n v="31264.71"/>
    <n v="0"/>
    <n v="9339.69"/>
    <n v="2025"/>
    <n v="2"/>
  </r>
  <r>
    <n v="40576"/>
    <n v="3201209"/>
    <x v="15"/>
    <n v="2.5920000000000001"/>
    <n v="9887529.4499999993"/>
    <n v="0"/>
    <n v="9887529.4499999993"/>
    <n v="140108.53"/>
    <n v="1388217.19"/>
    <n v="4.3239999999999998"/>
    <n v="199110.92"/>
    <n v="0"/>
    <n v="59480.27"/>
    <n v="2025"/>
    <n v="2"/>
  </r>
  <r>
    <n v="40577"/>
    <n v="3201308"/>
    <x v="16"/>
    <n v="8.3239999999999998"/>
    <n v="31753007.420000002"/>
    <n v="0"/>
    <n v="31753007.420000002"/>
    <n v="449947.3"/>
    <n v="3006468.46"/>
    <n v="6.5110000000000001"/>
    <n v="639428.73"/>
    <n v="0"/>
    <n v="191016.12"/>
    <n v="2025"/>
    <n v="2"/>
  </r>
  <r>
    <n v="40578"/>
    <n v="3201407"/>
    <x v="17"/>
    <n v="0.80700000000000005"/>
    <n v="3078409.07"/>
    <n v="0"/>
    <n v="3078409.07"/>
    <n v="43621.75"/>
    <n v="442979.2"/>
    <n v="1.165"/>
    <n v="61991.71"/>
    <n v="0"/>
    <n v="18518.740000000002"/>
    <n v="2025"/>
    <n v="2"/>
  </r>
  <r>
    <n v="40579"/>
    <n v="3201506"/>
    <x v="18"/>
    <n v="2.0139999999999998"/>
    <n v="7682671.4100000001"/>
    <n v="0"/>
    <n v="7682671.4100000001"/>
    <n v="108865.19"/>
    <n v="930125.14"/>
    <n v="2.875"/>
    <n v="154710.42000000001"/>
    <n v="0"/>
    <n v="46216.54"/>
    <n v="2025"/>
    <n v="2"/>
  </r>
  <r>
    <n v="40580"/>
    <n v="3201605"/>
    <x v="19"/>
    <n v="0.60099999999999998"/>
    <n v="2292594.6"/>
    <n v="0"/>
    <n v="2292594.6"/>
    <n v="32486.58"/>
    <n v="117414.62"/>
    <n v="0.96399999999999997"/>
    <n v="46167.31"/>
    <n v="0"/>
    <n v="13791.53"/>
    <n v="2025"/>
    <n v="2"/>
  </r>
  <r>
    <n v="40581"/>
    <n v="3201704"/>
    <x v="20"/>
    <n v="0.371"/>
    <n v="1415228.95"/>
    <n v="0"/>
    <n v="1415228.95"/>
    <n v="20054.12"/>
    <n v="77237.98"/>
    <n v="0.46400000000000002"/>
    <n v="28499.29"/>
    <n v="0"/>
    <n v="8513.57"/>
    <n v="2025"/>
    <n v="2"/>
  </r>
  <r>
    <n v="40582"/>
    <n v="3201803"/>
    <x v="21"/>
    <n v="0.187"/>
    <n v="713336.4"/>
    <n v="0"/>
    <n v="713336.4"/>
    <n v="10108.14"/>
    <n v="25321.64"/>
    <n v="0.29699999999999999"/>
    <n v="14364.87"/>
    <n v="0"/>
    <n v="4291.21"/>
    <n v="2025"/>
    <n v="2"/>
  </r>
  <r>
    <n v="40583"/>
    <n v="3201902"/>
    <x v="22"/>
    <n v="1.0620000000000001"/>
    <n v="4051140.55"/>
    <n v="0"/>
    <n v="4051140.55"/>
    <n v="57405.58"/>
    <n v="330753.74"/>
    <n v="1.0780000000000001"/>
    <n v="81580.17"/>
    <n v="0"/>
    <n v="24370.39"/>
    <n v="2025"/>
    <n v="2"/>
  </r>
  <r>
    <n v="40584"/>
    <n v="3202009"/>
    <x v="23"/>
    <n v="0.34899999999999998"/>
    <n v="1331307.01"/>
    <n v="0"/>
    <n v="1331307.01"/>
    <n v="18864.919999999998"/>
    <n v="155317.38"/>
    <n v="0.317"/>
    <n v="26809.3"/>
    <n v="0"/>
    <n v="8008.72"/>
    <n v="2025"/>
    <n v="2"/>
  </r>
  <r>
    <n v="40585"/>
    <n v="3202108"/>
    <x v="24"/>
    <n v="0.57099999999999995"/>
    <n v="2178155.6"/>
    <n v="0"/>
    <n v="2178155.6"/>
    <n v="30864.959999999999"/>
    <n v="84486.17"/>
    <n v="0.81599999999999995"/>
    <n v="43862.79"/>
    <n v="0"/>
    <n v="13103.1"/>
    <n v="2025"/>
    <n v="2"/>
  </r>
  <r>
    <n v="40586"/>
    <n v="3202207"/>
    <x v="25"/>
    <n v="0.36799999999999999"/>
    <n v="1403785.06"/>
    <n v="0"/>
    <n v="1403785.06"/>
    <n v="19891.95"/>
    <n v="88730.42"/>
    <n v="0.69699999999999995"/>
    <n v="28268.83"/>
    <n v="0"/>
    <n v="8444.73"/>
    <n v="2025"/>
    <n v="2"/>
  </r>
  <r>
    <n v="40587"/>
    <n v="3202256"/>
    <x v="26"/>
    <n v="0.53100000000000003"/>
    <n v="2025570.26"/>
    <n v="0"/>
    <n v="2025570.26"/>
    <n v="28702.79"/>
    <n v="98631.4"/>
    <n v="0.45200000000000001"/>
    <n v="40790.080000000002"/>
    <n v="0"/>
    <n v="12185.19"/>
    <n v="2025"/>
    <n v="2"/>
  </r>
  <r>
    <n v="40588"/>
    <n v="3202306"/>
    <x v="27"/>
    <n v="0.36699999999999999"/>
    <n v="1399970.41"/>
    <n v="0"/>
    <n v="1399970.41"/>
    <n v="19837.900000000001"/>
    <n v="281323.69"/>
    <n v="0.98899999999999999"/>
    <n v="28192.02"/>
    <n v="0"/>
    <n v="8421.7800000000007"/>
    <n v="2025"/>
    <n v="2"/>
  </r>
  <r>
    <n v="40589"/>
    <n v="3202405"/>
    <x v="28"/>
    <n v="0.79"/>
    <n v="3013560.3"/>
    <n v="0"/>
    <n v="3013560.3"/>
    <n v="42702.83"/>
    <n v="1870175.47"/>
    <n v="2.9359999999999999"/>
    <n v="60685.81"/>
    <n v="0"/>
    <n v="18128.63"/>
    <n v="2025"/>
    <n v="2"/>
  </r>
  <r>
    <n v="40590"/>
    <n v="3202454"/>
    <x v="29"/>
    <n v="0.33900000000000002"/>
    <n v="1293160.68"/>
    <n v="0"/>
    <n v="1293160.68"/>
    <n v="18324.38"/>
    <n v="337621.22"/>
    <n v="0.87"/>
    <n v="26041.13"/>
    <n v="0"/>
    <n v="7779.25"/>
    <n v="2025"/>
    <n v="2"/>
  </r>
  <r>
    <n v="40591"/>
    <n v="3202504"/>
    <x v="30"/>
    <n v="0.307"/>
    <n v="1171092.3999999999"/>
    <n v="0"/>
    <n v="1171092.3999999999"/>
    <n v="16594.64"/>
    <n v="57660.72"/>
    <n v="0.46100000000000002"/>
    <n v="23582.97"/>
    <n v="0"/>
    <n v="7044.92"/>
    <n v="2025"/>
    <n v="2"/>
  </r>
  <r>
    <n v="40592"/>
    <n v="3202553"/>
    <x v="31"/>
    <n v="0.28399999999999997"/>
    <n v="1083355.8600000001"/>
    <n v="0"/>
    <n v="1083355.8600000001"/>
    <n v="15351.4"/>
    <n v="35824.57"/>
    <n v="0.35499999999999998"/>
    <n v="21816.17"/>
    <n v="0"/>
    <n v="6517.13"/>
    <n v="2025"/>
    <n v="2"/>
  </r>
  <r>
    <n v="40593"/>
    <n v="3202603"/>
    <x v="32"/>
    <n v="0.314"/>
    <n v="1197794.8600000001"/>
    <n v="0"/>
    <n v="1197794.8600000001"/>
    <n v="16973.02"/>
    <n v="98299.76"/>
    <n v="0.53700000000000003"/>
    <n v="24120.69"/>
    <n v="0"/>
    <n v="7205.56"/>
    <n v="2025"/>
    <n v="2"/>
  </r>
  <r>
    <n v="40594"/>
    <n v="3202652"/>
    <x v="33"/>
    <n v="0.316"/>
    <n v="1205424.1100000001"/>
    <n v="0"/>
    <n v="1205424.1100000001"/>
    <n v="17081.13"/>
    <n v="150507.5"/>
    <n v="0.56399999999999995"/>
    <n v="24274.33"/>
    <n v="0"/>
    <n v="7251.45"/>
    <n v="2025"/>
    <n v="2"/>
  </r>
  <r>
    <n v="40595"/>
    <n v="3202702"/>
    <x v="34"/>
    <n v="0.40400000000000003"/>
    <n v="1541111.86"/>
    <n v="0"/>
    <n v="1541111.86"/>
    <n v="21837.9"/>
    <n v="57921.77"/>
    <n v="0.56200000000000006"/>
    <n v="31034.27"/>
    <n v="0"/>
    <n v="9270.84"/>
    <n v="2025"/>
    <n v="2"/>
  </r>
  <r>
    <n v="40596"/>
    <n v="3202801"/>
    <x v="35"/>
    <n v="3.4060000000000001"/>
    <n v="12992640.939999999"/>
    <n v="0"/>
    <n v="12992640.939999999"/>
    <n v="184108.66"/>
    <n v="233735.45"/>
    <n v="1.2130000000000001"/>
    <n v="261640.35"/>
    <n v="0"/>
    <n v="78159.649999999994"/>
    <n v="2025"/>
    <n v="2"/>
  </r>
  <r>
    <n v="40597"/>
    <n v="3202900"/>
    <x v="36"/>
    <n v="0.39200000000000002"/>
    <n v="1495336.23"/>
    <n v="0"/>
    <n v="1495336.23"/>
    <n v="21189.25"/>
    <n v="142673.04"/>
    <n v="0.44600000000000001"/>
    <n v="30112.45"/>
    <n v="0"/>
    <n v="8995.4699999999993"/>
    <n v="2025"/>
    <n v="2"/>
  </r>
  <r>
    <n v="40598"/>
    <n v="3203007"/>
    <x v="37"/>
    <n v="0.5"/>
    <n v="1907316.62"/>
    <n v="0"/>
    <n v="1907316.62"/>
    <n v="27027.11"/>
    <n v="209702.06"/>
    <n v="0.91200000000000003"/>
    <n v="38408.74"/>
    <n v="0"/>
    <n v="11473.82"/>
    <n v="2025"/>
    <n v="2"/>
  </r>
  <r>
    <n v="40599"/>
    <n v="3203056"/>
    <x v="38"/>
    <n v="1.109"/>
    <n v="4230428.3"/>
    <n v="0"/>
    <n v="4230428.3"/>
    <n v="59946.13"/>
    <n v="198192.25"/>
    <n v="0.98399999999999999"/>
    <n v="85190.59"/>
    <n v="0"/>
    <n v="25448.93"/>
    <n v="2025"/>
    <n v="2"/>
  </r>
  <r>
    <n v="40600"/>
    <n v="3203106"/>
    <x v="39"/>
    <n v="0.216"/>
    <n v="823960.78"/>
    <n v="0"/>
    <n v="823960.78"/>
    <n v="11675.71"/>
    <n v="36932.120000000003"/>
    <n v="0.45900000000000002"/>
    <n v="16592.57"/>
    <n v="0"/>
    <n v="4956.6899999999996"/>
    <n v="2025"/>
    <n v="2"/>
  </r>
  <r>
    <n v="40601"/>
    <n v="3203130"/>
    <x v="40"/>
    <n v="0.376"/>
    <n v="1434302.14"/>
    <n v="0"/>
    <n v="1434302.14"/>
    <n v="20324.39"/>
    <n v="79093.539999999994"/>
    <n v="0.63600000000000001"/>
    <n v="28883.38"/>
    <n v="0"/>
    <n v="8628.31"/>
    <n v="2025"/>
    <n v="2"/>
  </r>
  <r>
    <n v="40602"/>
    <n v="3203163"/>
    <x v="41"/>
    <n v="0.42799999999999999"/>
    <n v="1632663.05"/>
    <n v="0"/>
    <n v="1632663.05"/>
    <n v="23135.200000000001"/>
    <n v="73249.460000000006"/>
    <n v="0.45300000000000001"/>
    <n v="32877.879999999997"/>
    <n v="0"/>
    <n v="9821.59"/>
    <n v="2025"/>
    <n v="2"/>
  </r>
  <r>
    <n v="40603"/>
    <n v="3203205"/>
    <x v="42"/>
    <n v="4.431"/>
    <n v="16902640.059999999"/>
    <n v="0"/>
    <n v="16902640.059999999"/>
    <n v="239514.23999999999"/>
    <n v="1254309.27"/>
    <n v="4.0759999999999996"/>
    <n v="340378.27"/>
    <n v="0"/>
    <n v="101680.97"/>
    <n v="2025"/>
    <n v="2"/>
  </r>
  <r>
    <n v="40604"/>
    <n v="3203304"/>
    <x v="43"/>
    <n v="0.314"/>
    <n v="1197794.8600000001"/>
    <n v="0"/>
    <n v="1197794.8600000001"/>
    <n v="16973.02"/>
    <n v="91519.65"/>
    <n v="0.54300000000000004"/>
    <n v="24120.69"/>
    <n v="0"/>
    <n v="7205.56"/>
    <n v="2025"/>
    <n v="2"/>
  </r>
  <r>
    <n v="40605"/>
    <n v="3203320"/>
    <x v="44"/>
    <n v="0.58499999999999996"/>
    <n v="2231560.46"/>
    <n v="0"/>
    <n v="2231560.46"/>
    <n v="31621.72"/>
    <n v="349158.18"/>
    <n v="1.24"/>
    <n v="44938.23"/>
    <n v="0"/>
    <n v="13424.37"/>
    <n v="2025"/>
    <n v="2"/>
  </r>
  <r>
    <n v="40606"/>
    <n v="3203346"/>
    <x v="45"/>
    <n v="0.55500000000000005"/>
    <n v="2117121.4700000002"/>
    <n v="0"/>
    <n v="2117121.4700000002"/>
    <n v="30000.09"/>
    <n v="131781.82"/>
    <n v="0.69199999999999995"/>
    <n v="42633.7"/>
    <n v="0"/>
    <n v="12735.94"/>
    <n v="2025"/>
    <n v="2"/>
  </r>
  <r>
    <n v="40607"/>
    <n v="3203353"/>
    <x v="46"/>
    <n v="0.505"/>
    <n v="1926389.8"/>
    <n v="0"/>
    <n v="1926389.8"/>
    <n v="27297.38"/>
    <n v="175636.59"/>
    <n v="0.47"/>
    <n v="38792.82"/>
    <n v="0"/>
    <n v="11588.56"/>
    <n v="2025"/>
    <n v="2"/>
  </r>
  <r>
    <n v="40608"/>
    <n v="3203403"/>
    <x v="47"/>
    <n v="0.46899999999999997"/>
    <n v="1789063.01"/>
    <n v="0"/>
    <n v="1789063.01"/>
    <n v="25351.43"/>
    <n v="157028.49"/>
    <n v="0.85899999999999999"/>
    <n v="36027.4"/>
    <n v="0"/>
    <n v="10762.44"/>
    <n v="2025"/>
    <n v="2"/>
  </r>
  <r>
    <n v="40609"/>
    <n v="3203502"/>
    <x v="48"/>
    <n v="0.51500000000000001"/>
    <n v="1964536.12"/>
    <n v="0"/>
    <n v="1964536.12"/>
    <n v="27837.919999999998"/>
    <n v="152428.42000000001"/>
    <n v="0.70899999999999996"/>
    <n v="39561.01"/>
    <n v="0"/>
    <n v="11818.03"/>
    <n v="2025"/>
    <n v="2"/>
  </r>
  <r>
    <n v="40610"/>
    <n v="3203601"/>
    <x v="49"/>
    <n v="0.30599999999999999"/>
    <n v="1167277.78"/>
    <n v="0"/>
    <n v="1167277.78"/>
    <n v="16540.59"/>
    <n v="29432.86"/>
    <n v="0.30199999999999999"/>
    <n v="23506.15"/>
    <n v="0"/>
    <n v="7021.98"/>
    <n v="2025"/>
    <n v="2"/>
  </r>
  <r>
    <n v="40611"/>
    <n v="3203700"/>
    <x v="50"/>
    <n v="0.505"/>
    <n v="1926389.8"/>
    <n v="0"/>
    <n v="1926389.8"/>
    <n v="27297.38"/>
    <n v="84535.58"/>
    <n v="0.69899999999999995"/>
    <n v="38792.82"/>
    <n v="0"/>
    <n v="11588.56"/>
    <n v="2025"/>
    <n v="2"/>
  </r>
  <r>
    <n v="40612"/>
    <n v="3203809"/>
    <x v="51"/>
    <n v="0.32"/>
    <n v="1220682.6599999999"/>
    <n v="0"/>
    <n v="1220682.6599999999"/>
    <n v="17297.349999999999"/>
    <n v="43409.86"/>
    <n v="0.56499999999999995"/>
    <n v="24581.599999999999"/>
    <n v="0"/>
    <n v="7343.24"/>
    <n v="2025"/>
    <n v="2"/>
  </r>
  <r>
    <n v="40613"/>
    <n v="3203908"/>
    <x v="52"/>
    <n v="1.2250000000000001"/>
    <n v="4672925.7699999996"/>
    <n v="0"/>
    <n v="4672925.7699999996"/>
    <n v="66216.42"/>
    <n v="344907.79"/>
    <n v="1.476"/>
    <n v="94101.42"/>
    <n v="0"/>
    <n v="28110.85"/>
    <n v="2025"/>
    <n v="2"/>
  </r>
  <r>
    <n v="40614"/>
    <n v="3204005"/>
    <x v="53"/>
    <n v="0.435"/>
    <n v="1659365.48"/>
    <n v="0"/>
    <n v="1659365.48"/>
    <n v="23513.58"/>
    <n v="76775.69"/>
    <n v="0.70899999999999996"/>
    <n v="33415.599999999999"/>
    <n v="0"/>
    <n v="9982.2199999999993"/>
    <n v="2025"/>
    <n v="2"/>
  </r>
  <r>
    <n v="40615"/>
    <n v="3204054"/>
    <x v="54"/>
    <n v="0.33400000000000002"/>
    <n v="1274087.55"/>
    <n v="0"/>
    <n v="1274087.55"/>
    <n v="18054.11"/>
    <n v="135035.95000000001"/>
    <n v="0.81"/>
    <n v="25657.040000000001"/>
    <n v="0"/>
    <n v="7664.51"/>
    <n v="2025"/>
    <n v="2"/>
  </r>
  <r>
    <n v="40616"/>
    <n v="3204104"/>
    <x v="55"/>
    <n v="0.755"/>
    <n v="2880048.13"/>
    <n v="0"/>
    <n v="2880048.13"/>
    <n v="40810.93"/>
    <n v="120363.3"/>
    <n v="0.85099999999999998"/>
    <n v="57997.2"/>
    <n v="0"/>
    <n v="17325.46"/>
    <n v="2025"/>
    <n v="2"/>
  </r>
  <r>
    <n v="40617"/>
    <n v="3204203"/>
    <x v="56"/>
    <n v="0.36499999999999999"/>
    <n v="1392341.16"/>
    <n v="0"/>
    <n v="1392341.16"/>
    <n v="19729.79"/>
    <n v="311782.23"/>
    <n v="0.753"/>
    <n v="28038.38"/>
    <n v="0"/>
    <n v="8375.89"/>
    <n v="2025"/>
    <n v="2"/>
  </r>
  <r>
    <n v="40618"/>
    <n v="3204252"/>
    <x v="57"/>
    <n v="0.27"/>
    <n v="1029950.97"/>
    <n v="0"/>
    <n v="1029950.97"/>
    <n v="14594.64"/>
    <n v="28518.45"/>
    <n v="0.316"/>
    <n v="20740.72"/>
    <n v="0"/>
    <n v="6195.86"/>
    <n v="2025"/>
    <n v="2"/>
  </r>
  <r>
    <n v="40619"/>
    <n v="1718402"/>
    <x v="58"/>
    <n v="0.39100000000000001"/>
    <n v="1491521.6"/>
    <n v="0"/>
    <n v="1491521.6"/>
    <n v="21135.200000000001"/>
    <n v="169421.95"/>
    <n v="0.56399999999999995"/>
    <n v="30035.64"/>
    <n v="0"/>
    <n v="8972.5300000000007"/>
    <n v="2025"/>
    <n v="2"/>
  </r>
  <r>
    <n v="40620"/>
    <n v="3204351"/>
    <x v="59"/>
    <n v="0.88200000000000001"/>
    <n v="3364506.54"/>
    <n v="0"/>
    <n v="3364506.54"/>
    <n v="47675.82"/>
    <n v="229726.39"/>
    <n v="0.71399999999999997"/>
    <n v="67753.02"/>
    <n v="0"/>
    <n v="20239.810000000001"/>
    <n v="2025"/>
    <n v="2"/>
  </r>
  <r>
    <n v="40621"/>
    <n v="3204401"/>
    <x v="60"/>
    <n v="0.312"/>
    <n v="1190165.58"/>
    <n v="0"/>
    <n v="1190165.58"/>
    <n v="16864.919999999998"/>
    <n v="76111.570000000007"/>
    <n v="0.45300000000000001"/>
    <n v="23967.05"/>
    <n v="0"/>
    <n v="7159.66"/>
    <n v="2025"/>
    <n v="2"/>
  </r>
  <r>
    <n v="40622"/>
    <n v="3204500"/>
    <x v="61"/>
    <n v="0.51800000000000002"/>
    <n v="1975980.04"/>
    <n v="0"/>
    <n v="1975980.04"/>
    <n v="28000.080000000002"/>
    <n v="74175.83"/>
    <n v="0.47899999999999998"/>
    <n v="39791.449999999997"/>
    <n v="0"/>
    <n v="11886.88"/>
    <n v="2025"/>
    <n v="2"/>
  </r>
  <r>
    <n v="40623"/>
    <n v="3204559"/>
    <x v="62"/>
    <n v="2.1909999999999998"/>
    <n v="8357861.5099999998"/>
    <n v="0"/>
    <n v="8357861.5099999998"/>
    <n v="118432.79"/>
    <n v="1015365.8"/>
    <n v="1.236"/>
    <n v="168307.11"/>
    <n v="0"/>
    <n v="50278.27"/>
    <n v="2025"/>
    <n v="2"/>
  </r>
  <r>
    <n v="40624"/>
    <n v="3204609"/>
    <x v="63"/>
    <n v="0.66"/>
    <n v="2517657.98"/>
    <n v="0"/>
    <n v="2517657.98"/>
    <n v="35675.78"/>
    <n v="193754.56"/>
    <n v="0.82699999999999996"/>
    <n v="50699.54"/>
    <n v="0"/>
    <n v="15145.44"/>
    <n v="2025"/>
    <n v="2"/>
  </r>
  <r>
    <n v="40625"/>
    <n v="3204658"/>
    <x v="64"/>
    <n v="0.42099999999999999"/>
    <n v="1605960.62"/>
    <n v="0"/>
    <n v="1605960.62"/>
    <n v="22756.82"/>
    <n v="65417.25"/>
    <n v="0.34300000000000003"/>
    <n v="32340.16"/>
    <n v="0"/>
    <n v="9660.9500000000007"/>
    <n v="2025"/>
    <n v="2"/>
  </r>
  <r>
    <n v="40626"/>
    <n v="3204708"/>
    <x v="65"/>
    <n v="0.72299999999999998"/>
    <n v="2757979.85"/>
    <n v="0"/>
    <n v="2757979.85"/>
    <n v="39081.199999999997"/>
    <n v="183190.98"/>
    <n v="1.1040000000000001"/>
    <n v="55539.040000000001"/>
    <n v="0"/>
    <n v="16591.14"/>
    <n v="2025"/>
    <n v="2"/>
  </r>
  <r>
    <n v="40627"/>
    <n v="3204807"/>
    <x v="66"/>
    <n v="0.28599999999999998"/>
    <n v="1090985.1200000001"/>
    <n v="0"/>
    <n v="1090985.1200000001"/>
    <n v="15459.51"/>
    <n v="78322.62"/>
    <n v="0.45"/>
    <n v="21969.8"/>
    <n v="0"/>
    <n v="6563.02"/>
    <n v="2025"/>
    <n v="2"/>
  </r>
  <r>
    <n v="40628"/>
    <n v="3204906"/>
    <x v="67"/>
    <n v="1.998"/>
    <n v="7621637.2800000003"/>
    <n v="0"/>
    <n v="7621637.2800000003"/>
    <n v="108000.33"/>
    <n v="803775.74"/>
    <n v="2.9870000000000001"/>
    <n v="153481.32999999999"/>
    <n v="0"/>
    <n v="45849.38"/>
    <n v="2025"/>
    <n v="2"/>
  </r>
  <r>
    <n v="40629"/>
    <n v="3204955"/>
    <x v="68"/>
    <n v="0.3"/>
    <n v="1144389.97"/>
    <n v="0"/>
    <n v="1144389.97"/>
    <n v="16216.26"/>
    <n v="62815.71"/>
    <n v="0.45"/>
    <n v="23045.24"/>
    <n v="0"/>
    <n v="6884.29"/>
    <n v="2025"/>
    <n v="2"/>
  </r>
  <r>
    <n v="40630"/>
    <n v="3205002"/>
    <x v="69"/>
    <n v="14.551"/>
    <n v="55506728.810000002"/>
    <n v="0"/>
    <n v="55506728.810000002"/>
    <n v="786542.91"/>
    <n v="2922606.86"/>
    <n v="8.6910000000000007"/>
    <n v="1117771.2"/>
    <n v="0"/>
    <n v="333911.03999999998"/>
    <n v="2025"/>
    <n v="2"/>
  </r>
  <r>
    <n v="40631"/>
    <n v="3205010"/>
    <x v="70"/>
    <n v="0.78200000000000003"/>
    <n v="2983043.21"/>
    <n v="0"/>
    <n v="2983043.21"/>
    <n v="42270.400000000001"/>
    <n v="150645.44"/>
    <n v="0.95199999999999996"/>
    <n v="60071.27"/>
    <n v="0"/>
    <n v="17945.05"/>
    <n v="2025"/>
    <n v="2"/>
  </r>
  <r>
    <n v="40632"/>
    <n v="3205036"/>
    <x v="71"/>
    <n v="0.45700000000000002"/>
    <n v="1743287.41"/>
    <n v="0"/>
    <n v="1743287.41"/>
    <n v="24702.78"/>
    <n v="123259.77"/>
    <n v="0.71699999999999997"/>
    <n v="35105.589999999997"/>
    <n v="0"/>
    <n v="10487.07"/>
    <n v="2025"/>
    <n v="2"/>
  </r>
  <r>
    <n v="40633"/>
    <n v="3205069"/>
    <x v="72"/>
    <n v="0.67"/>
    <n v="2555804.29"/>
    <n v="0"/>
    <n v="2555804.29"/>
    <n v="36216.32"/>
    <n v="272915.53000000003"/>
    <n v="0.85"/>
    <n v="51467.71"/>
    <n v="0"/>
    <n v="15374.92"/>
    <n v="2025"/>
    <n v="2"/>
  </r>
  <r>
    <n v="40634"/>
    <n v="2112803"/>
    <x v="73"/>
    <n v="3.3740000000000001"/>
    <n v="12870572.68"/>
    <n v="0"/>
    <n v="12870572.68"/>
    <n v="182378.93"/>
    <n v="384816.49"/>
    <n v="1.9590000000000001"/>
    <n v="259182.19"/>
    <n v="0"/>
    <n v="77425.320000000007"/>
    <n v="2025"/>
    <n v="2"/>
  </r>
  <r>
    <n v="40635"/>
    <n v="3205150"/>
    <x v="74"/>
    <n v="0.36799999999999999"/>
    <n v="1403785.06"/>
    <n v="0"/>
    <n v="1403785.06"/>
    <n v="19891.95"/>
    <n v="55042.96"/>
    <n v="0.34699999999999998"/>
    <n v="28268.83"/>
    <n v="0"/>
    <n v="8444.73"/>
    <n v="2025"/>
    <n v="2"/>
  </r>
  <r>
    <n v="40636"/>
    <n v="3205176"/>
    <x v="75"/>
    <n v="0.7"/>
    <n v="2670243.31"/>
    <n v="0"/>
    <n v="2670243.31"/>
    <n v="37837.949999999997"/>
    <n v="169342.33"/>
    <n v="0.56399999999999995"/>
    <n v="53772.23"/>
    <n v="0"/>
    <n v="16063.34"/>
    <n v="2025"/>
    <n v="2"/>
  </r>
  <r>
    <n v="40637"/>
    <n v="3205200"/>
    <x v="76"/>
    <n v="6.6219999999999999"/>
    <n v="25260501.550000001"/>
    <n v="0"/>
    <n v="25260501.550000001"/>
    <n v="357947.02"/>
    <n v="3574302.58"/>
    <n v="8.0009999999999994"/>
    <n v="508685.37"/>
    <n v="0"/>
    <n v="151959.24"/>
    <n v="2025"/>
    <n v="2"/>
  </r>
  <r>
    <n v="40638"/>
    <n v="3205309"/>
    <x v="77"/>
    <n v="10.878"/>
    <n v="41495580.630000003"/>
    <n v="0"/>
    <n v="41495580.630000003"/>
    <n v="588001.77"/>
    <n v="4165885.8"/>
    <n v="9.2110000000000003"/>
    <n v="835620.58"/>
    <n v="0"/>
    <n v="249624.39"/>
    <n v="2025"/>
    <n v="2"/>
  </r>
  <r>
    <n v="41029"/>
    <n v="3200102"/>
    <x v="0"/>
    <n v="0.67100000000000004"/>
    <n v="3138890.45"/>
    <n v="0"/>
    <n v="3138890.45"/>
    <n v="41016.44"/>
    <n v="280807.76"/>
    <n v="1.0169999999999999"/>
    <n v="53805.93"/>
    <n v="0"/>
    <n v="15819.68"/>
    <n v="2025"/>
    <n v="6"/>
  </r>
  <r>
    <n v="41030"/>
    <n v="3200169"/>
    <x v="1"/>
    <n v="0.309"/>
    <n v="1445480.1"/>
    <n v="0"/>
    <n v="1445480.1"/>
    <n v="18888.34"/>
    <n v="142985.39000000001"/>
    <n v="0.46500000000000002"/>
    <n v="24777.99"/>
    <n v="0"/>
    <n v="7285.07"/>
    <n v="2025"/>
    <n v="6"/>
  </r>
  <r>
    <n v="41031"/>
    <n v="3200136"/>
    <x v="2"/>
    <n v="0.51900000000000002"/>
    <n v="2427845.2200000002"/>
    <n v="0"/>
    <n v="2427845.2200000002"/>
    <n v="31725.08"/>
    <n v="134466.84"/>
    <n v="0.35799999999999998"/>
    <n v="41617.4"/>
    <n v="0"/>
    <n v="12236.09"/>
    <n v="2025"/>
    <n v="6"/>
  </r>
  <r>
    <n v="41032"/>
    <n v="3200201"/>
    <x v="3"/>
    <n v="0.41799999999999998"/>
    <n v="1955374.4"/>
    <n v="0"/>
    <n v="1955374.4"/>
    <n v="25551.22"/>
    <n v="252140.78"/>
    <n v="0.98699999999999999"/>
    <n v="33518.449999999997"/>
    <n v="0"/>
    <n v="9854.8799999999992"/>
    <n v="2025"/>
    <n v="6"/>
  </r>
  <r>
    <n v="41033"/>
    <n v="3200300"/>
    <x v="4"/>
    <n v="0.442"/>
    <n v="2067644.68"/>
    <n v="0"/>
    <n v="2067644.68"/>
    <n v="27018.28"/>
    <n v="208200.87"/>
    <n v="0.56599999999999995"/>
    <n v="35442.949999999997"/>
    <n v="0"/>
    <n v="10420.709999999999"/>
    <n v="2025"/>
    <n v="6"/>
  </r>
  <r>
    <n v="41034"/>
    <n v="3200359"/>
    <x v="5"/>
    <n v="0.25800000000000001"/>
    <n v="1206905.72"/>
    <n v="0"/>
    <n v="1206905.72"/>
    <n v="15770.85"/>
    <n v="86176.63"/>
    <n v="0.32800000000000001"/>
    <n v="20688.419999999998"/>
    <n v="0"/>
    <n v="6082.68"/>
    <n v="2025"/>
    <n v="6"/>
  </r>
  <r>
    <n v="41035"/>
    <n v="3200409"/>
    <x v="6"/>
    <n v="3.4780000000000002"/>
    <n v="16269837.619999999"/>
    <n v="0"/>
    <n v="16269837.619999999"/>
    <n v="212600.84"/>
    <n v="412877.09"/>
    <n v="0.93"/>
    <n v="278892.71999999997"/>
    <n v="0"/>
    <n v="81998.289999999994"/>
    <n v="2025"/>
    <n v="6"/>
  </r>
  <r>
    <n v="41036"/>
    <n v="3200508"/>
    <x v="7"/>
    <n v="0.23799999999999999"/>
    <n v="1113347.1100000001"/>
    <n v="0"/>
    <n v="1113347.1100000001"/>
    <n v="14548.3"/>
    <n v="113722.67"/>
    <n v="0.32500000000000001"/>
    <n v="19084.66"/>
    <n v="0"/>
    <n v="5611.15"/>
    <n v="2025"/>
    <n v="6"/>
  </r>
  <r>
    <n v="41037"/>
    <n v="3200607"/>
    <x v="8"/>
    <n v="4.4800000000000004"/>
    <n v="20957122.640000001"/>
    <n v="0"/>
    <n v="20957122.640000001"/>
    <n v="273850.42"/>
    <n v="1278729.3899999999"/>
    <n v="2.456"/>
    <n v="359240.76"/>
    <n v="0"/>
    <n v="105621.73"/>
    <n v="2025"/>
    <n v="6"/>
  </r>
  <r>
    <n v="41038"/>
    <n v="3200706"/>
    <x v="9"/>
    <n v="0.39500000000000002"/>
    <n v="1847782.01"/>
    <n v="0"/>
    <n v="1847782.01"/>
    <n v="24145.29"/>
    <n v="100776.93"/>
    <n v="0.44600000000000001"/>
    <n v="31674.13"/>
    <n v="0"/>
    <n v="9312.6299999999992"/>
    <n v="2025"/>
    <n v="6"/>
  </r>
  <r>
    <n v="41039"/>
    <n v="3200805"/>
    <x v="10"/>
    <n v="0.54"/>
    <n v="2526081.7599999998"/>
    <n v="0"/>
    <n v="2526081.7599999998"/>
    <n v="33008.76"/>
    <n v="657624.02"/>
    <n v="1.016"/>
    <n v="43301.34"/>
    <n v="0"/>
    <n v="12731.19"/>
    <n v="2025"/>
    <n v="6"/>
  </r>
  <r>
    <n v="41040"/>
    <n v="3200904"/>
    <x v="11"/>
    <n v="0.81299999999999994"/>
    <n v="3803156.39"/>
    <n v="0"/>
    <n v="3803156.39"/>
    <n v="49696.52"/>
    <n v="815148.37"/>
    <n v="1.3140000000000001"/>
    <n v="65192.57"/>
    <n v="0"/>
    <n v="19167.509999999998"/>
    <n v="2025"/>
    <n v="6"/>
  </r>
  <r>
    <n v="41041"/>
    <n v="3107109"/>
    <x v="12"/>
    <n v="0.48699999999999999"/>
    <n v="2278151.52"/>
    <n v="0"/>
    <n v="2278151.52"/>
    <n v="29769.01"/>
    <n v="163612.18"/>
    <n v="0.56299999999999994"/>
    <n v="39051.4"/>
    <n v="0"/>
    <n v="11481.65"/>
    <n v="2025"/>
    <n v="6"/>
  </r>
  <r>
    <n v="41042"/>
    <n v="3201100"/>
    <x v="13"/>
    <n v="0.247"/>
    <n v="1155448.49"/>
    <n v="0"/>
    <n v="1155448.49"/>
    <n v="15098.45"/>
    <n v="374391.12"/>
    <n v="0.442"/>
    <n v="19806.36"/>
    <n v="0"/>
    <n v="5823.34"/>
    <n v="2025"/>
    <n v="6"/>
  </r>
  <r>
    <n v="41043"/>
    <n v="3201159"/>
    <x v="14"/>
    <n v="0.40699999999999997"/>
    <n v="1903917.19"/>
    <n v="0"/>
    <n v="1903917.19"/>
    <n v="24878.82"/>
    <n v="157579.96"/>
    <n v="0.47799999999999998"/>
    <n v="32636.39"/>
    <n v="0"/>
    <n v="9595.5499999999993"/>
    <n v="2025"/>
    <n v="6"/>
  </r>
  <r>
    <n v="41044"/>
    <n v="3201209"/>
    <x v="15"/>
    <n v="2.5920000000000001"/>
    <n v="12125192.390000001"/>
    <n v="0"/>
    <n v="12125192.390000001"/>
    <n v="158442.03"/>
    <n v="2564164.02"/>
    <n v="4.3239999999999998"/>
    <n v="207846.44"/>
    <n v="0"/>
    <n v="61109.71"/>
    <n v="2025"/>
    <n v="6"/>
  </r>
  <r>
    <n v="41045"/>
    <n v="3201308"/>
    <x v="16"/>
    <n v="8.3239999999999998"/>
    <n v="38939082.270000003"/>
    <n v="0"/>
    <n v="38939082.270000003"/>
    <n v="508823.86"/>
    <n v="3379631.84"/>
    <n v="6.5110000000000001"/>
    <n v="667482.16"/>
    <n v="0"/>
    <n v="196248.94"/>
    <n v="2025"/>
    <n v="6"/>
  </r>
  <r>
    <n v="41046"/>
    <n v="3201407"/>
    <x v="17"/>
    <n v="0.80700000000000005"/>
    <n v="3775088.84"/>
    <n v="0"/>
    <n v="3775088.84"/>
    <n v="49329.75"/>
    <n v="626483.80000000005"/>
    <n v="1.165"/>
    <n v="64711.45"/>
    <n v="0"/>
    <n v="19026.060000000001"/>
    <n v="2025"/>
    <n v="6"/>
  </r>
  <r>
    <n v="41047"/>
    <n v="3201506"/>
    <x v="18"/>
    <n v="2.0139999999999998"/>
    <n v="9421349.3100000005"/>
    <n v="0"/>
    <n v="9421349.3100000005"/>
    <n v="123110.44"/>
    <n v="1959548"/>
    <n v="2.875"/>
    <n v="161497.96"/>
    <n v="0"/>
    <n v="47482.62"/>
    <n v="2025"/>
    <n v="6"/>
  </r>
  <r>
    <n v="41048"/>
    <n v="3201605"/>
    <x v="19"/>
    <n v="0.60099999999999998"/>
    <n v="2811435.43"/>
    <n v="0"/>
    <n v="2811435.43"/>
    <n v="36737.519999999997"/>
    <n v="262891.42"/>
    <n v="0.96399999999999997"/>
    <n v="48192.79"/>
    <n v="0"/>
    <n v="14169.34"/>
    <n v="2025"/>
    <n v="6"/>
  </r>
  <r>
    <n v="41049"/>
    <n v="3201704"/>
    <x v="20"/>
    <n v="0.371"/>
    <n v="1735511.72"/>
    <n v="0"/>
    <n v="1735511.72"/>
    <n v="22678.240000000002"/>
    <n v="117814.98"/>
    <n v="0.46400000000000002"/>
    <n v="29749.62"/>
    <n v="0"/>
    <n v="8746.7999999999993"/>
    <n v="2025"/>
    <n v="6"/>
  </r>
  <r>
    <n v="41050"/>
    <n v="3201803"/>
    <x v="21"/>
    <n v="0.187"/>
    <n v="874772.75"/>
    <n v="0"/>
    <n v="874772.75"/>
    <n v="11430.81"/>
    <n v="46558.01"/>
    <n v="0.29699999999999999"/>
    <n v="14995.09"/>
    <n v="0"/>
    <n v="4408.76"/>
    <n v="2025"/>
    <n v="6"/>
  </r>
  <r>
    <n v="41051"/>
    <n v="3201902"/>
    <x v="22"/>
    <n v="1.0620000000000001"/>
    <n v="4967960.7699999996"/>
    <n v="0"/>
    <n v="4967960.7699999996"/>
    <n v="64917.22"/>
    <n v="456615.79"/>
    <n v="1.0780000000000001"/>
    <n v="85159.31"/>
    <n v="0"/>
    <n v="25038.01"/>
    <n v="2025"/>
    <n v="6"/>
  </r>
  <r>
    <n v="41052"/>
    <n v="3202009"/>
    <x v="23"/>
    <n v="0.34899999999999998"/>
    <n v="1632597.27"/>
    <n v="0"/>
    <n v="1632597.27"/>
    <n v="21333.439999999999"/>
    <n v="176692.06"/>
    <n v="0.317"/>
    <n v="27985.5"/>
    <n v="0"/>
    <n v="8228.1200000000008"/>
    <n v="2025"/>
    <n v="6"/>
  </r>
  <r>
    <n v="41053"/>
    <n v="3202108"/>
    <x v="24"/>
    <n v="0.57099999999999995"/>
    <n v="2671097.56"/>
    <n v="0"/>
    <n v="2671097.56"/>
    <n v="34903.699999999997"/>
    <n v="225746.78"/>
    <n v="0.81599999999999995"/>
    <n v="45787.16"/>
    <n v="0"/>
    <n v="13462.05"/>
    <n v="2025"/>
    <n v="6"/>
  </r>
  <r>
    <n v="41054"/>
    <n v="3202207"/>
    <x v="25"/>
    <n v="0.36799999999999999"/>
    <n v="1721477.93"/>
    <n v="0"/>
    <n v="1721477.93"/>
    <n v="22494.86"/>
    <n v="189139.22"/>
    <n v="0.69699999999999995"/>
    <n v="29509.06"/>
    <n v="0"/>
    <n v="8676.07"/>
    <n v="2025"/>
    <n v="6"/>
  </r>
  <r>
    <n v="41055"/>
    <n v="3202256"/>
    <x v="26"/>
    <n v="0.53100000000000003"/>
    <n v="2483980.38"/>
    <n v="0"/>
    <n v="2483980.38"/>
    <n v="32458.61"/>
    <n v="178583.87"/>
    <n v="0.45200000000000001"/>
    <n v="42579.65"/>
    <n v="0"/>
    <n v="12519"/>
    <n v="2025"/>
    <n v="6"/>
  </r>
  <r>
    <n v="41056"/>
    <n v="3202306"/>
    <x v="27"/>
    <n v="0.36699999999999999"/>
    <n v="1716800"/>
    <n v="0"/>
    <n v="1716800"/>
    <n v="22433.73"/>
    <n v="415281.86"/>
    <n v="0.98899999999999999"/>
    <n v="29428.87"/>
    <n v="0"/>
    <n v="8652.49"/>
    <n v="2025"/>
    <n v="6"/>
  </r>
  <r>
    <n v="41057"/>
    <n v="3202405"/>
    <x v="28"/>
    <n v="0.79"/>
    <n v="3695564.05"/>
    <n v="0"/>
    <n v="3695564.05"/>
    <n v="48290.59"/>
    <n v="2530023.15"/>
    <n v="2.9359999999999999"/>
    <n v="63348.26"/>
    <n v="0"/>
    <n v="18625.259999999998"/>
    <n v="2025"/>
    <n v="6"/>
  </r>
  <r>
    <n v="41058"/>
    <n v="3202454"/>
    <x v="29"/>
    <n v="0.33900000000000002"/>
    <n v="1585817.97"/>
    <n v="0"/>
    <n v="1585817.97"/>
    <n v="20722.16"/>
    <n v="486427.16"/>
    <n v="0.87"/>
    <n v="27183.62"/>
    <n v="0"/>
    <n v="7992.36"/>
    <n v="2025"/>
    <n v="6"/>
  </r>
  <r>
    <n v="41059"/>
    <n v="3202504"/>
    <x v="30"/>
    <n v="0.307"/>
    <n v="1436124.27"/>
    <n v="0"/>
    <n v="1436124.27"/>
    <n v="18766.09"/>
    <n v="144155.26999999999"/>
    <n v="0.46100000000000002"/>
    <n v="24617.62"/>
    <n v="0"/>
    <n v="7237.92"/>
    <n v="2025"/>
    <n v="6"/>
  </r>
  <r>
    <n v="41060"/>
    <n v="3202553"/>
    <x v="31"/>
    <n v="0.28399999999999997"/>
    <n v="1328531.8799999999"/>
    <n v="0"/>
    <n v="1328531.8799999999"/>
    <n v="17360.16"/>
    <n v="86059.520000000004"/>
    <n v="0.35499999999999998"/>
    <n v="22773.3"/>
    <n v="0"/>
    <n v="6695.66"/>
    <n v="2025"/>
    <n v="6"/>
  </r>
  <r>
    <n v="41061"/>
    <n v="3202603"/>
    <x v="32"/>
    <n v="0.314"/>
    <n v="1468869.77"/>
    <n v="0"/>
    <n v="1468869.77"/>
    <n v="19193.98"/>
    <n v="261752.35"/>
    <n v="0.53700000000000003"/>
    <n v="25178.93"/>
    <n v="0"/>
    <n v="7402.95"/>
    <n v="2025"/>
    <n v="6"/>
  </r>
  <r>
    <n v="41062"/>
    <n v="3202652"/>
    <x v="33"/>
    <n v="0.316"/>
    <n v="1478225.61"/>
    <n v="0"/>
    <n v="1478225.61"/>
    <n v="19316.240000000002"/>
    <n v="199068.73"/>
    <n v="0.56399999999999995"/>
    <n v="25339.3"/>
    <n v="0"/>
    <n v="7450.1"/>
    <n v="2025"/>
    <n v="6"/>
  </r>
  <r>
    <n v="41063"/>
    <n v="3202702"/>
    <x v="34"/>
    <n v="0.40400000000000003"/>
    <n v="1889883.38"/>
    <n v="0"/>
    <n v="1889883.38"/>
    <n v="24695.439999999999"/>
    <n v="114754.38"/>
    <n v="0.56200000000000006"/>
    <n v="32395.82"/>
    <n v="0"/>
    <n v="9524.82"/>
    <n v="2025"/>
    <n v="6"/>
  </r>
  <r>
    <n v="41064"/>
    <n v="3202801"/>
    <x v="35"/>
    <n v="3.4060000000000001"/>
    <n v="15933026.699999999"/>
    <n v="0"/>
    <n v="15933026.699999999"/>
    <n v="208199.67"/>
    <n v="417580.59"/>
    <n v="1.2130000000000001"/>
    <n v="273119.2"/>
    <n v="0"/>
    <n v="80300.800000000003"/>
    <n v="2025"/>
    <n v="6"/>
  </r>
  <r>
    <n v="41065"/>
    <n v="3202900"/>
    <x v="36"/>
    <n v="0.39200000000000002"/>
    <n v="1833748.24"/>
    <n v="0"/>
    <n v="1833748.24"/>
    <n v="23961.91"/>
    <n v="201150.05"/>
    <n v="0.44600000000000001"/>
    <n v="31433.57"/>
    <n v="0"/>
    <n v="9241.9"/>
    <n v="2025"/>
    <n v="6"/>
  </r>
  <r>
    <n v="41066"/>
    <n v="3203007"/>
    <x v="37"/>
    <n v="0.5"/>
    <n v="2338964.58"/>
    <n v="0"/>
    <n v="2338964.58"/>
    <n v="30563.66"/>
    <n v="349085.69"/>
    <n v="0.91200000000000003"/>
    <n v="40093.83"/>
    <n v="0"/>
    <n v="11788.14"/>
    <n v="2025"/>
    <n v="6"/>
  </r>
  <r>
    <n v="41067"/>
    <n v="3203056"/>
    <x v="38"/>
    <n v="1.109"/>
    <n v="5187823.43"/>
    <n v="0"/>
    <n v="5187823.43"/>
    <n v="67790.2"/>
    <n v="409192"/>
    <n v="0.98399999999999999"/>
    <n v="88928.13"/>
    <n v="0"/>
    <n v="26146.09"/>
    <n v="2025"/>
    <n v="6"/>
  </r>
  <r>
    <n v="41068"/>
    <n v="3203106"/>
    <x v="39"/>
    <n v="0.216"/>
    <n v="1010432.69"/>
    <n v="0"/>
    <n v="1010432.69"/>
    <n v="13203.5"/>
    <n v="73402.38"/>
    <n v="0.45900000000000002"/>
    <n v="17320.54"/>
    <n v="0"/>
    <n v="5092.4799999999996"/>
    <n v="2025"/>
    <n v="6"/>
  </r>
  <r>
    <n v="41069"/>
    <n v="3203130"/>
    <x v="40"/>
    <n v="0.376"/>
    <n v="1758901.35"/>
    <n v="0"/>
    <n v="1758901.35"/>
    <n v="22983.88"/>
    <n v="193248.13"/>
    <n v="0.63600000000000001"/>
    <n v="30150.57"/>
    <n v="0"/>
    <n v="8864.68"/>
    <n v="2025"/>
    <n v="6"/>
  </r>
  <r>
    <n v="41070"/>
    <n v="3203163"/>
    <x v="41"/>
    <n v="0.42799999999999999"/>
    <n v="2002153.67"/>
    <n v="0"/>
    <n v="2002153.67"/>
    <n v="26162.5"/>
    <n v="85036.2"/>
    <n v="0.45300000000000001"/>
    <n v="34320.32"/>
    <n v="0"/>
    <n v="10090.65"/>
    <n v="2025"/>
    <n v="6"/>
  </r>
  <r>
    <n v="41071"/>
    <n v="3203205"/>
    <x v="42"/>
    <n v="4.431"/>
    <n v="20727904.079999998"/>
    <n v="0"/>
    <n v="20727904.079999998"/>
    <n v="270855.18"/>
    <n v="2628377.4500000002"/>
    <n v="4.0759999999999996"/>
    <n v="355311.56"/>
    <n v="0"/>
    <n v="104466.49"/>
    <n v="2025"/>
    <n v="6"/>
  </r>
  <r>
    <n v="41072"/>
    <n v="3203304"/>
    <x v="43"/>
    <n v="0.314"/>
    <n v="1468869.77"/>
    <n v="0"/>
    <n v="1468869.77"/>
    <n v="19193.98"/>
    <n v="175993.9"/>
    <n v="0.54300000000000004"/>
    <n v="25178.93"/>
    <n v="0"/>
    <n v="7402.95"/>
    <n v="2025"/>
    <n v="6"/>
  </r>
  <r>
    <n v="41073"/>
    <n v="3203320"/>
    <x v="44"/>
    <n v="0.58499999999999996"/>
    <n v="2736588.55"/>
    <n v="0"/>
    <n v="2736588.55"/>
    <n v="35759.49"/>
    <n v="508063.45"/>
    <n v="1.24"/>
    <n v="46909.79"/>
    <n v="0"/>
    <n v="13792.12"/>
    <n v="2025"/>
    <n v="6"/>
  </r>
  <r>
    <n v="41074"/>
    <n v="3203346"/>
    <x v="45"/>
    <n v="0.55500000000000005"/>
    <n v="2596250.66"/>
    <n v="0"/>
    <n v="2596250.66"/>
    <n v="33925.67"/>
    <n v="207226.9"/>
    <n v="0.69199999999999995"/>
    <n v="44504.15"/>
    <n v="0"/>
    <n v="13084.83"/>
    <n v="2025"/>
    <n v="6"/>
  </r>
  <r>
    <n v="41075"/>
    <n v="3203353"/>
    <x v="46"/>
    <n v="0.505"/>
    <n v="2362354.19"/>
    <n v="0"/>
    <n v="2362354.19"/>
    <n v="30869.3"/>
    <n v="192733.12"/>
    <n v="0.47"/>
    <n v="40494.78"/>
    <n v="0"/>
    <n v="11906.02"/>
    <n v="2025"/>
    <n v="6"/>
  </r>
  <r>
    <n v="41076"/>
    <n v="3203403"/>
    <x v="47"/>
    <n v="0.46899999999999997"/>
    <n v="2193948.77"/>
    <n v="0"/>
    <n v="2193948.77"/>
    <n v="28668.720000000001"/>
    <n v="280563.62"/>
    <n v="0.85899999999999999"/>
    <n v="37608.01"/>
    <n v="0"/>
    <n v="11057.27"/>
    <n v="2025"/>
    <n v="6"/>
  </r>
  <r>
    <n v="41077"/>
    <n v="3203502"/>
    <x v="48"/>
    <n v="0.51500000000000001"/>
    <n v="2409133.52"/>
    <n v="0"/>
    <n v="2409133.52"/>
    <n v="31480.57"/>
    <n v="284998.53999999998"/>
    <n v="0.70899999999999996"/>
    <n v="41296.65"/>
    <n v="0"/>
    <n v="12141.78"/>
    <n v="2025"/>
    <n v="6"/>
  </r>
  <r>
    <n v="41078"/>
    <n v="3203601"/>
    <x v="49"/>
    <n v="0.30599999999999999"/>
    <n v="1431446.34"/>
    <n v="0"/>
    <n v="1431446.34"/>
    <n v="18704.96"/>
    <n v="55453.919999999998"/>
    <n v="0.30199999999999999"/>
    <n v="24537.43"/>
    <n v="0"/>
    <n v="7214.34"/>
    <n v="2025"/>
    <n v="6"/>
  </r>
  <r>
    <n v="41079"/>
    <n v="3203700"/>
    <x v="50"/>
    <n v="0.505"/>
    <n v="2362354.19"/>
    <n v="0"/>
    <n v="2362354.19"/>
    <n v="30869.3"/>
    <n v="150489.51999999999"/>
    <n v="0.69899999999999995"/>
    <n v="40494.78"/>
    <n v="0"/>
    <n v="11906.02"/>
    <n v="2025"/>
    <n v="6"/>
  </r>
  <r>
    <n v="41080"/>
    <n v="3203809"/>
    <x v="51"/>
    <n v="0.32"/>
    <n v="1496937.33"/>
    <n v="0"/>
    <n v="1496937.33"/>
    <n v="19560.740000000002"/>
    <n v="117625.53"/>
    <n v="0.56499999999999995"/>
    <n v="25660.06"/>
    <n v="0"/>
    <n v="7544.41"/>
    <n v="2025"/>
    <n v="6"/>
  </r>
  <r>
    <n v="41081"/>
    <n v="3203908"/>
    <x v="52"/>
    <n v="1.2250000000000001"/>
    <n v="5730463.25"/>
    <n v="0"/>
    <n v="5730463.25"/>
    <n v="74880.98"/>
    <n v="738846.68"/>
    <n v="1.476"/>
    <n v="98229.89"/>
    <n v="0"/>
    <n v="28880.94"/>
    <n v="2025"/>
    <n v="6"/>
  </r>
  <r>
    <n v="41082"/>
    <n v="3204005"/>
    <x v="53"/>
    <n v="0.435"/>
    <n v="2034899.19"/>
    <n v="0"/>
    <n v="2034899.19"/>
    <n v="26590.39"/>
    <n v="178000.59"/>
    <n v="0.70899999999999996"/>
    <n v="34881.64"/>
    <n v="0"/>
    <n v="10255.68"/>
    <n v="2025"/>
    <n v="6"/>
  </r>
  <r>
    <n v="41083"/>
    <n v="3204054"/>
    <x v="54"/>
    <n v="0.33400000000000002"/>
    <n v="1562428.35"/>
    <n v="0"/>
    <n v="1562428.35"/>
    <n v="20416.53"/>
    <n v="198195.85"/>
    <n v="0.81"/>
    <n v="26782.69"/>
    <n v="0"/>
    <n v="7874.48"/>
    <n v="2025"/>
    <n v="6"/>
  </r>
  <r>
    <n v="41084"/>
    <n v="3204104"/>
    <x v="55"/>
    <n v="0.755"/>
    <n v="3531836.51"/>
    <n v="0"/>
    <n v="3531836.51"/>
    <n v="46151.13"/>
    <n v="244504.34"/>
    <n v="0.85099999999999998"/>
    <n v="60541.69"/>
    <n v="0"/>
    <n v="17800.09"/>
    <n v="2025"/>
    <n v="6"/>
  </r>
  <r>
    <n v="41085"/>
    <n v="3204203"/>
    <x v="56"/>
    <n v="0.36499999999999999"/>
    <n v="1707444.15"/>
    <n v="0"/>
    <n v="1707444.15"/>
    <n v="22311.47"/>
    <n v="345508.24"/>
    <n v="0.753"/>
    <n v="29268.49"/>
    <n v="0"/>
    <n v="8605.34"/>
    <n v="2025"/>
    <n v="6"/>
  </r>
  <r>
    <n v="41086"/>
    <n v="3204252"/>
    <x v="57"/>
    <n v="0.27"/>
    <n v="1263040.8700000001"/>
    <n v="0"/>
    <n v="1263040.8700000001"/>
    <n v="16504.38"/>
    <n v="56232.88"/>
    <n v="0.316"/>
    <n v="21650.67"/>
    <n v="0"/>
    <n v="6365.6"/>
    <n v="2025"/>
    <n v="6"/>
  </r>
  <r>
    <n v="41087"/>
    <n v="1718402"/>
    <x v="58"/>
    <n v="0.39100000000000001"/>
    <n v="1829070.31"/>
    <n v="0"/>
    <n v="1829070.31"/>
    <n v="23900.78"/>
    <n v="231481.98"/>
    <n v="0.56399999999999995"/>
    <n v="31353.38"/>
    <n v="0"/>
    <n v="9218.32"/>
    <n v="2025"/>
    <n v="6"/>
  </r>
  <r>
    <n v="41088"/>
    <n v="3204351"/>
    <x v="59"/>
    <n v="0.88200000000000001"/>
    <n v="4125933.51"/>
    <n v="0"/>
    <n v="4125933.51"/>
    <n v="53914.3"/>
    <n v="363850.44"/>
    <n v="0.71399999999999997"/>
    <n v="70725.52"/>
    <n v="0"/>
    <n v="20794.28"/>
    <n v="2025"/>
    <n v="6"/>
  </r>
  <r>
    <n v="41089"/>
    <n v="3204401"/>
    <x v="60"/>
    <n v="0.312"/>
    <n v="1459513.92"/>
    <n v="0"/>
    <n v="1459513.92"/>
    <n v="19071.73"/>
    <n v="113937.53"/>
    <n v="0.45300000000000001"/>
    <n v="25018.55"/>
    <n v="0"/>
    <n v="7355.8"/>
    <n v="2025"/>
    <n v="6"/>
  </r>
  <r>
    <n v="41090"/>
    <n v="3204500"/>
    <x v="61"/>
    <n v="0.51800000000000002"/>
    <n v="2423167.2799999998"/>
    <n v="0"/>
    <n v="2423167.2799999998"/>
    <n v="31663.96"/>
    <n v="113930.74"/>
    <n v="0.47899999999999998"/>
    <n v="41537.21"/>
    <n v="0"/>
    <n v="12212.51"/>
    <n v="2025"/>
    <n v="6"/>
  </r>
  <r>
    <n v="41091"/>
    <n v="3204559"/>
    <x v="62"/>
    <n v="2.1909999999999998"/>
    <n v="10249342.77"/>
    <n v="0"/>
    <n v="10249342.77"/>
    <n v="133929.97"/>
    <n v="785734.2"/>
    <n v="1.236"/>
    <n v="175691.19"/>
    <n v="0"/>
    <n v="51655.63"/>
    <n v="2025"/>
    <n v="6"/>
  </r>
  <r>
    <n v="41092"/>
    <n v="3204609"/>
    <x v="63"/>
    <n v="0.66"/>
    <n v="3087433.26"/>
    <n v="0"/>
    <n v="3087433.26"/>
    <n v="40344.04"/>
    <n v="326290.49"/>
    <n v="0.82699999999999996"/>
    <n v="52923.86"/>
    <n v="0"/>
    <n v="15560.34"/>
    <n v="2025"/>
    <n v="6"/>
  </r>
  <r>
    <n v="41093"/>
    <n v="3204658"/>
    <x v="64"/>
    <n v="0.42099999999999999"/>
    <n v="1969408.16"/>
    <n v="0"/>
    <n v="1969408.16"/>
    <n v="25734.6"/>
    <n v="141920.95999999999"/>
    <n v="0.34300000000000003"/>
    <n v="33759.01"/>
    <n v="0"/>
    <n v="9925.61"/>
    <n v="2025"/>
    <n v="6"/>
  </r>
  <r>
    <n v="41094"/>
    <n v="3204708"/>
    <x v="65"/>
    <n v="0.72299999999999998"/>
    <n v="3382142.77"/>
    <n v="0"/>
    <n v="3382142.77"/>
    <n v="44195.06"/>
    <n v="469583.09"/>
    <n v="1.1040000000000001"/>
    <n v="57975.68"/>
    <n v="0"/>
    <n v="17045.650000000001"/>
    <n v="2025"/>
    <n v="6"/>
  </r>
  <r>
    <n v="41095"/>
    <n v="3204807"/>
    <x v="66"/>
    <n v="0.28599999999999998"/>
    <n v="1337887.75"/>
    <n v="0"/>
    <n v="1337887.75"/>
    <n v="17482.419999999998"/>
    <n v="108399.54"/>
    <n v="0.45"/>
    <n v="22933.67"/>
    <n v="0"/>
    <n v="6742.82"/>
    <n v="2025"/>
    <n v="6"/>
  </r>
  <r>
    <n v="41096"/>
    <n v="3204906"/>
    <x v="67"/>
    <n v="1.998"/>
    <n v="9346502.4600000009"/>
    <n v="0"/>
    <n v="9346502.4600000009"/>
    <n v="122132.4"/>
    <n v="1783669.24"/>
    <n v="2.9870000000000001"/>
    <n v="160214.96"/>
    <n v="0"/>
    <n v="47105.4"/>
    <n v="2025"/>
    <n v="6"/>
  </r>
  <r>
    <n v="41097"/>
    <n v="3204955"/>
    <x v="68"/>
    <n v="0.3"/>
    <n v="1403378.76"/>
    <n v="0"/>
    <n v="1403378.76"/>
    <n v="18338.2"/>
    <n v="125190.11"/>
    <n v="0.45"/>
    <n v="24056.3"/>
    <n v="0"/>
    <n v="7072.88"/>
    <n v="2025"/>
    <n v="6"/>
  </r>
  <r>
    <n v="41098"/>
    <n v="3205002"/>
    <x v="69"/>
    <n v="14.551"/>
    <n v="68068547.129999995"/>
    <n v="0"/>
    <n v="68068547.129999995"/>
    <n v="889463.73"/>
    <n v="5867034.6200000001"/>
    <n v="8.6910000000000007"/>
    <n v="1166810.78"/>
    <n v="0"/>
    <n v="343058.42"/>
    <n v="2025"/>
    <n v="6"/>
  </r>
  <r>
    <n v="41099"/>
    <n v="3205010"/>
    <x v="70"/>
    <n v="0.78200000000000003"/>
    <n v="3658140.61"/>
    <n v="0"/>
    <n v="3658140.61"/>
    <n v="47801.57"/>
    <n v="301388.24"/>
    <n v="0.95199999999999996"/>
    <n v="62706.75"/>
    <n v="0"/>
    <n v="18436.650000000001"/>
    <n v="2025"/>
    <n v="6"/>
  </r>
  <r>
    <n v="41100"/>
    <n v="3205036"/>
    <x v="71"/>
    <n v="0.45700000000000002"/>
    <n v="2137813.61"/>
    <n v="0"/>
    <n v="2137813.61"/>
    <n v="27935.19"/>
    <n v="243676.84"/>
    <n v="0.71699999999999997"/>
    <n v="36645.760000000002"/>
    <n v="0"/>
    <n v="10774.36"/>
    <n v="2025"/>
    <n v="6"/>
  </r>
  <r>
    <n v="41101"/>
    <n v="3205069"/>
    <x v="72"/>
    <n v="0.67"/>
    <n v="3134212.54"/>
    <n v="0"/>
    <n v="3134212.54"/>
    <n v="40955.31"/>
    <n v="432478.9"/>
    <n v="0.85"/>
    <n v="53725.74"/>
    <n v="0"/>
    <n v="15796.11"/>
    <n v="2025"/>
    <n v="6"/>
  </r>
  <r>
    <n v="41102"/>
    <n v="2112803"/>
    <x v="73"/>
    <n v="3.3740000000000001"/>
    <n v="15783332.960000001"/>
    <n v="0"/>
    <n v="15783332.960000001"/>
    <n v="206243.6"/>
    <n v="646470.18000000005"/>
    <n v="1.9590000000000001"/>
    <n v="270553.19"/>
    <n v="0"/>
    <n v="79546.36"/>
    <n v="2025"/>
    <n v="6"/>
  </r>
  <r>
    <n v="41103"/>
    <n v="3205150"/>
    <x v="74"/>
    <n v="0.36799999999999999"/>
    <n v="1721477.93"/>
    <n v="0"/>
    <n v="1721477.93"/>
    <n v="22494.86"/>
    <n v="122281.75"/>
    <n v="0.34699999999999998"/>
    <n v="29509.06"/>
    <n v="0"/>
    <n v="8676.07"/>
    <n v="2025"/>
    <n v="6"/>
  </r>
  <r>
    <n v="41104"/>
    <n v="3205176"/>
    <x v="75"/>
    <n v="0.7"/>
    <n v="3274550.39"/>
    <n v="0"/>
    <n v="3274550.39"/>
    <n v="42789.13"/>
    <n v="269957.63"/>
    <n v="0.56399999999999995"/>
    <n v="56131.37"/>
    <n v="0"/>
    <n v="16503.39"/>
    <n v="2025"/>
    <n v="6"/>
  </r>
  <r>
    <n v="41105"/>
    <n v="3205200"/>
    <x v="76"/>
    <n v="6.6219999999999999"/>
    <n v="30977246.850000001"/>
    <n v="0"/>
    <n v="30977246.850000001"/>
    <n v="404785.16"/>
    <n v="7030687.2300000004"/>
    <n v="8.0009999999999994"/>
    <n v="531002.75"/>
    <n v="0"/>
    <n v="156122.10999999999"/>
    <n v="2025"/>
    <n v="6"/>
  </r>
  <r>
    <n v="41106"/>
    <n v="3205309"/>
    <x v="77"/>
    <n v="10.878"/>
    <n v="50886513.329999998"/>
    <n v="0"/>
    <n v="50886513.329999998"/>
    <n v="664943.06000000006"/>
    <n v="6416011.8499999996"/>
    <n v="9.2110000000000003"/>
    <n v="872281.48"/>
    <n v="0"/>
    <n v="256462.8"/>
    <n v="2025"/>
    <n v="6"/>
  </r>
  <r>
    <n v="41185"/>
    <n v="3200102"/>
    <x v="0"/>
    <n v="0.67100000000000004"/>
    <n v="3477855.92"/>
    <n v="0"/>
    <n v="3477855.92"/>
    <n v="35191.19"/>
    <n v="294106.17"/>
    <n v="1.004"/>
    <n v="48608.93"/>
    <n v="12224.5"/>
    <n v="15952.38"/>
    <n v="2025"/>
    <n v="7"/>
  </r>
  <r>
    <n v="41186"/>
    <n v="3200169"/>
    <x v="1"/>
    <n v="0.309"/>
    <n v="1601575.94"/>
    <n v="0"/>
    <n v="1601575.94"/>
    <n v="16205.78"/>
    <n v="144284.13"/>
    <n v="0.45700000000000002"/>
    <n v="22384.73"/>
    <n v="5568.32"/>
    <n v="7346.18"/>
    <n v="2025"/>
    <n v="7"/>
  </r>
  <r>
    <n v="41187"/>
    <n v="3200136"/>
    <x v="2"/>
    <n v="0.51900000000000002"/>
    <n v="2690025.64"/>
    <n v="0"/>
    <n v="2690025.64"/>
    <n v="27219.41"/>
    <n v="157375.92000000001"/>
    <n v="0.35099999999999998"/>
    <n v="37597.67"/>
    <n v="4280.8500000000004"/>
    <n v="12338.72"/>
    <n v="2025"/>
    <n v="7"/>
  </r>
  <r>
    <n v="41188"/>
    <n v="3200201"/>
    <x v="3"/>
    <n v="0.41799999999999998"/>
    <n v="2166533.21"/>
    <n v="0"/>
    <n v="2166533.21"/>
    <n v="21922.38"/>
    <n v="275706.38"/>
    <n v="0.98299999999999998"/>
    <n v="30280.97"/>
    <n v="11971.83"/>
    <n v="9937.5499999999993"/>
    <n v="2025"/>
    <n v="7"/>
  </r>
  <r>
    <n v="41189"/>
    <n v="3200300"/>
    <x v="4"/>
    <n v="0.442"/>
    <n v="2290927.4300000002"/>
    <n v="0"/>
    <n v="2290927.4300000002"/>
    <n v="23181.08"/>
    <n v="214685.5"/>
    <n v="0.55500000000000005"/>
    <n v="32019.59"/>
    <n v="6763.57"/>
    <n v="10508.12"/>
    <n v="2025"/>
    <n v="7"/>
  </r>
  <r>
    <n v="41190"/>
    <n v="3200359"/>
    <x v="5"/>
    <n v="0.25800000000000001"/>
    <n v="1337238.19"/>
    <n v="0"/>
    <n v="1337238.19"/>
    <n v="13531.04"/>
    <n v="92548.63"/>
    <n v="0.32300000000000001"/>
    <n v="18690.16"/>
    <n v="3927.97"/>
    <n v="6133.7"/>
    <n v="2025"/>
    <n v="7"/>
  </r>
  <r>
    <n v="41191"/>
    <n v="3200409"/>
    <x v="6"/>
    <n v="3.4780000000000002"/>
    <n v="18026800.050000001"/>
    <n v="0"/>
    <n v="18026800.050000001"/>
    <n v="182406.77"/>
    <n v="396198.32"/>
    <n v="1.0049999999999999"/>
    <n v="251955.04"/>
    <n v="12244.99"/>
    <n v="82686.09"/>
    <n v="2025"/>
    <n v="7"/>
  </r>
  <r>
    <n v="41192"/>
    <n v="3200508"/>
    <x v="7"/>
    <n v="0.23799999999999999"/>
    <n v="1233576.33"/>
    <n v="0"/>
    <n v="1233576.33"/>
    <n v="12482.12"/>
    <n v="162765.29"/>
    <n v="0.31900000000000001"/>
    <n v="17241.310000000001"/>
    <n v="3887.45"/>
    <n v="5658.22"/>
    <n v="2025"/>
    <n v="7"/>
  </r>
  <r>
    <n v="41193"/>
    <n v="3200607"/>
    <x v="8"/>
    <n v="4.4800000000000004"/>
    <n v="23220259.989999998"/>
    <n v="0"/>
    <n v="23220259.989999998"/>
    <n v="234957.55"/>
    <n v="1369092.74"/>
    <n v="2.4649999999999999"/>
    <n v="324542.44"/>
    <n v="30018.78"/>
    <n v="106507.67"/>
    <n v="2025"/>
    <n v="7"/>
  </r>
  <r>
    <n v="41194"/>
    <n v="3200706"/>
    <x v="9"/>
    <n v="0.39500000000000002"/>
    <n v="2047322.03"/>
    <n v="0"/>
    <n v="2047322.03"/>
    <n v="20716.12"/>
    <n v="91982.07"/>
    <n v="0.438"/>
    <n v="28614.79"/>
    <n v="5338.8"/>
    <n v="9390.74"/>
    <n v="2025"/>
    <n v="7"/>
  </r>
  <r>
    <n v="41195"/>
    <n v="3200805"/>
    <x v="10"/>
    <n v="0.54"/>
    <n v="2798870.6"/>
    <n v="0"/>
    <n v="2798870.6"/>
    <n v="28320.78"/>
    <n v="669269.53"/>
    <n v="1.0069999999999999"/>
    <n v="39118.949999999997"/>
    <n v="12261.32"/>
    <n v="12837.98"/>
    <n v="2025"/>
    <n v="7"/>
  </r>
  <r>
    <n v="41196"/>
    <n v="3200904"/>
    <x v="11"/>
    <n v="0.81299999999999994"/>
    <n v="4213855.2300000004"/>
    <n v="0"/>
    <n v="4213855.2300000004"/>
    <n v="42638.5"/>
    <n v="697804.74"/>
    <n v="1.3120000000000001"/>
    <n v="58895.76"/>
    <n v="15977.26"/>
    <n v="19328.29"/>
    <n v="2025"/>
    <n v="7"/>
  </r>
  <r>
    <n v="41197"/>
    <n v="3107109"/>
    <x v="12"/>
    <n v="0.48699999999999999"/>
    <n v="2524166.64"/>
    <n v="0"/>
    <n v="2524166.64"/>
    <n v="25541.14"/>
    <n v="169960.09"/>
    <n v="0.55200000000000005"/>
    <n v="35279.5"/>
    <n v="6719.93"/>
    <n v="11577.95"/>
    <n v="2025"/>
    <n v="7"/>
  </r>
  <r>
    <n v="41198"/>
    <n v="3201100"/>
    <x v="13"/>
    <n v="0.247"/>
    <n v="1280224.18"/>
    <n v="0"/>
    <n v="1280224.18"/>
    <n v="12954.13"/>
    <n v="371482.86"/>
    <n v="0.435"/>
    <n v="17893.3"/>
    <n v="5301.83"/>
    <n v="5872.19"/>
    <n v="2025"/>
    <n v="7"/>
  </r>
  <r>
    <n v="41199"/>
    <n v="3201159"/>
    <x v="14"/>
    <n v="0.40699999999999997"/>
    <n v="2109519.14"/>
    <n v="0"/>
    <n v="2109519.14"/>
    <n v="21345.47"/>
    <n v="198832.35"/>
    <n v="0.54600000000000004"/>
    <n v="29484.1"/>
    <n v="6655.05"/>
    <n v="9676.0300000000007"/>
    <n v="2025"/>
    <n v="7"/>
  </r>
  <r>
    <n v="41200"/>
    <n v="3201209"/>
    <x v="15"/>
    <n v="2.5920000000000001"/>
    <n v="13434579.029999999"/>
    <n v="0"/>
    <n v="13434579.029999999"/>
    <n v="135939.72"/>
    <n v="2828952.03"/>
    <n v="4.298"/>
    <n v="187770.98"/>
    <n v="52346.2"/>
    <n v="61622.3"/>
    <n v="2025"/>
    <n v="7"/>
  </r>
  <r>
    <n v="41201"/>
    <n v="3201308"/>
    <x v="16"/>
    <n v="8.3239999999999998"/>
    <n v="43144072.380000003"/>
    <n v="0"/>
    <n v="43144072.380000003"/>
    <n v="436559.51"/>
    <n v="3788252.97"/>
    <n v="6.4569999999999999"/>
    <n v="603011.44999999995"/>
    <n v="78646.97"/>
    <n v="197895.06"/>
    <n v="2025"/>
    <n v="7"/>
  </r>
  <r>
    <n v="41202"/>
    <n v="3201407"/>
    <x v="17"/>
    <n v="0.80700000000000005"/>
    <n v="4182756.66"/>
    <n v="0"/>
    <n v="4182756.66"/>
    <n v="42323.83"/>
    <n v="597936.11"/>
    <n v="1.1639999999999999"/>
    <n v="58461.1"/>
    <n v="14182.23"/>
    <n v="19185.650000000001"/>
    <n v="2025"/>
    <n v="7"/>
  </r>
  <r>
    <n v="41203"/>
    <n v="3201506"/>
    <x v="18"/>
    <n v="2.0139999999999998"/>
    <n v="10438750.800000001"/>
    <n v="0"/>
    <n v="10438750.800000001"/>
    <n v="105626"/>
    <n v="2000817.47"/>
    <n v="2.86"/>
    <n v="145899.21"/>
    <n v="34836.06"/>
    <n v="47880.9"/>
    <n v="2025"/>
    <n v="7"/>
  </r>
  <r>
    <n v="41204"/>
    <n v="3201605"/>
    <x v="19"/>
    <n v="0.60099999999999998"/>
    <n v="3115039.35"/>
    <n v="0"/>
    <n v="3115039.35"/>
    <n v="31519.97"/>
    <n v="274817.51"/>
    <n v="0.94399999999999995"/>
    <n v="43537.95"/>
    <n v="11498.38"/>
    <n v="14288.19"/>
    <n v="2025"/>
    <n v="7"/>
  </r>
  <r>
    <n v="41205"/>
    <n v="3201704"/>
    <x v="20"/>
    <n v="0.371"/>
    <n v="1922927.79"/>
    <n v="0"/>
    <n v="1922927.79"/>
    <n v="19457.419999999998"/>
    <n v="122282.15"/>
    <n v="0.45600000000000002"/>
    <n v="26876.17"/>
    <n v="5551.83"/>
    <n v="8820.17"/>
    <n v="2025"/>
    <n v="7"/>
  </r>
  <r>
    <n v="41206"/>
    <n v="3201803"/>
    <x v="21"/>
    <n v="0.187"/>
    <n v="969238.53"/>
    <n v="0"/>
    <n v="969238.53"/>
    <n v="9807.3799999999992"/>
    <n v="45067.68"/>
    <n v="0.29299999999999998"/>
    <n v="13546.74"/>
    <n v="3573.47"/>
    <n v="4445.74"/>
    <n v="2025"/>
    <n v="7"/>
  </r>
  <r>
    <n v="41207"/>
    <n v="3201902"/>
    <x v="22"/>
    <n v="1.0620000000000001"/>
    <n v="5504445.5700000003"/>
    <n v="0"/>
    <n v="5504445.5700000003"/>
    <n v="55697.53"/>
    <n v="501476.99"/>
    <n v="1.147"/>
    <n v="76933.94"/>
    <n v="13970.83"/>
    <n v="25248.02"/>
    <n v="2025"/>
    <n v="7"/>
  </r>
  <r>
    <n v="41208"/>
    <n v="3202009"/>
    <x v="23"/>
    <n v="0.34899999999999998"/>
    <n v="1808899.74"/>
    <n v="0"/>
    <n v="1808899.74"/>
    <n v="18303.61"/>
    <n v="160035.18"/>
    <n v="0.312"/>
    <n v="25282.44"/>
    <n v="3800.01"/>
    <n v="8297.14"/>
    <n v="2025"/>
    <n v="7"/>
  </r>
  <r>
    <n v="41209"/>
    <n v="3202108"/>
    <x v="24"/>
    <n v="0.57099999999999995"/>
    <n v="2959546.53"/>
    <n v="0"/>
    <n v="2959546.53"/>
    <n v="29946.6"/>
    <n v="223677.56"/>
    <n v="0.79200000000000004"/>
    <n v="41364.68"/>
    <n v="9642.5400000000009"/>
    <n v="13574.97"/>
    <n v="2025"/>
    <n v="7"/>
  </r>
  <r>
    <n v="41210"/>
    <n v="3202207"/>
    <x v="25"/>
    <n v="0.36799999999999999"/>
    <n v="1907378.51"/>
    <n v="0"/>
    <n v="1907378.51"/>
    <n v="19300.080000000002"/>
    <n v="173879.92"/>
    <n v="0.68600000000000005"/>
    <n v="26658.85"/>
    <n v="8350.2999999999993"/>
    <n v="8748.84"/>
    <n v="2025"/>
    <n v="7"/>
  </r>
  <r>
    <n v="41211"/>
    <n v="3202256"/>
    <x v="26"/>
    <n v="0.53100000000000003"/>
    <n v="2752222.78"/>
    <n v="0"/>
    <n v="2752222.78"/>
    <n v="27848.76"/>
    <n v="202359.13"/>
    <n v="0.44400000000000001"/>
    <n v="38466.97"/>
    <n v="5406.2"/>
    <n v="12624.01"/>
    <n v="2025"/>
    <n v="7"/>
  </r>
  <r>
    <n v="41212"/>
    <n v="3202306"/>
    <x v="27"/>
    <n v="0.36699999999999999"/>
    <n v="1902195.4"/>
    <n v="0"/>
    <n v="1902195.4"/>
    <n v="19247.64"/>
    <n v="439451.74"/>
    <n v="0.99"/>
    <n v="26586.41"/>
    <n v="12052.89"/>
    <n v="8725.07"/>
    <n v="2025"/>
    <n v="7"/>
  </r>
  <r>
    <n v="41213"/>
    <n v="3202405"/>
    <x v="28"/>
    <n v="0.79"/>
    <n v="4094644.09"/>
    <n v="0"/>
    <n v="4094644.09"/>
    <n v="41432.25"/>
    <n v="2593676.8199999998"/>
    <n v="3.0129999999999999"/>
    <n v="57229.58"/>
    <n v="36700.57"/>
    <n v="18781.490000000002"/>
    <n v="2025"/>
    <n v="7"/>
  </r>
  <r>
    <n v="41214"/>
    <n v="3202454"/>
    <x v="29"/>
    <n v="0.33900000000000002"/>
    <n v="1757068.81"/>
    <n v="0"/>
    <n v="1757068.81"/>
    <n v="17779.150000000001"/>
    <n v="484316.41"/>
    <n v="0.86499999999999999"/>
    <n v="24558.01"/>
    <n v="10535.77"/>
    <n v="8059.4"/>
    <n v="2025"/>
    <n v="7"/>
  </r>
  <r>
    <n v="41215"/>
    <n v="3202504"/>
    <x v="30"/>
    <n v="0.307"/>
    <n v="1591209.77"/>
    <n v="0"/>
    <n v="1591209.77"/>
    <n v="16100.88"/>
    <n v="156209.51"/>
    <n v="0.45400000000000001"/>
    <n v="22239.85"/>
    <n v="5524.07"/>
    <n v="7298.63"/>
    <n v="2025"/>
    <n v="7"/>
  </r>
  <r>
    <n v="41216"/>
    <n v="3202553"/>
    <x v="31"/>
    <n v="0.28399999999999997"/>
    <n v="1471998.63"/>
    <n v="0"/>
    <n v="1471998.63"/>
    <n v="14894.63"/>
    <n v="99858.87"/>
    <n v="0.35"/>
    <n v="20573.669999999998"/>
    <n v="4258.4399999999996"/>
    <n v="6751.83"/>
    <n v="2025"/>
    <n v="7"/>
  </r>
  <r>
    <n v="41217"/>
    <n v="3202603"/>
    <x v="32"/>
    <n v="0.314"/>
    <n v="1627491.43"/>
    <n v="0"/>
    <n v="1627491.43"/>
    <n v="16468.009999999998"/>
    <n v="213595.79"/>
    <n v="0.52"/>
    <n v="22746.94"/>
    <n v="6330.05"/>
    <n v="7465.05"/>
    <n v="2025"/>
    <n v="7"/>
  </r>
  <r>
    <n v="41218"/>
    <n v="3202652"/>
    <x v="33"/>
    <n v="0.316"/>
    <n v="1637857.63"/>
    <n v="0"/>
    <n v="1637857.63"/>
    <n v="16572.900000000001"/>
    <n v="247054.3"/>
    <n v="0.55700000000000005"/>
    <n v="22891.84"/>
    <n v="6784.36"/>
    <n v="7512.59"/>
    <n v="2025"/>
    <n v="7"/>
  </r>
  <r>
    <n v="41219"/>
    <n v="3202702"/>
    <x v="34"/>
    <n v="0.40400000000000003"/>
    <n v="2093969.87"/>
    <n v="0"/>
    <n v="2093969.87"/>
    <n v="21188.14"/>
    <n v="134431.18"/>
    <n v="0.55200000000000005"/>
    <n v="29266.77"/>
    <n v="6717.84"/>
    <n v="9604.7099999999991"/>
    <n v="2025"/>
    <n v="7"/>
  </r>
  <r>
    <n v="41220"/>
    <n v="3202801"/>
    <x v="35"/>
    <n v="3.4060000000000001"/>
    <n v="17653617.32"/>
    <n v="0"/>
    <n v="17653617.32"/>
    <n v="178630.67"/>
    <n v="400754.98"/>
    <n v="1.2130000000000001"/>
    <n v="246739.19"/>
    <n v="14771.01"/>
    <n v="80974.36"/>
    <n v="2025"/>
    <n v="7"/>
  </r>
  <r>
    <n v="41221"/>
    <n v="3202900"/>
    <x v="36"/>
    <n v="0.39200000000000002"/>
    <n v="2031772.76"/>
    <n v="0"/>
    <n v="2031772.76"/>
    <n v="20558.78"/>
    <n v="173424.18"/>
    <n v="0.438"/>
    <n v="28397.47"/>
    <n v="5334.5"/>
    <n v="9319.42"/>
    <n v="2025"/>
    <n v="7"/>
  </r>
  <r>
    <n v="41222"/>
    <n v="3203007"/>
    <x v="37"/>
    <n v="0.5"/>
    <n v="2591546.88"/>
    <n v="0"/>
    <n v="2591546.88"/>
    <n v="26222.94"/>
    <n v="381823.8"/>
    <n v="0.90300000000000002"/>
    <n v="36221.26"/>
    <n v="11001.33"/>
    <n v="11887.02"/>
    <n v="2025"/>
    <n v="7"/>
  </r>
  <r>
    <n v="41223"/>
    <n v="3203056"/>
    <x v="38"/>
    <n v="1.109"/>
    <n v="5748050.9500000002"/>
    <n v="0"/>
    <n v="5748050.9500000002"/>
    <n v="58162.48"/>
    <n v="437537.4"/>
    <n v="0.98899999999999999"/>
    <n v="80338.740000000005"/>
    <n v="12044.28"/>
    <n v="26365.4"/>
    <n v="2025"/>
    <n v="7"/>
  </r>
  <r>
    <n v="41224"/>
    <n v="3203106"/>
    <x v="39"/>
    <n v="0.216"/>
    <n v="1119548.25"/>
    <n v="0"/>
    <n v="1119548.25"/>
    <n v="11328.31"/>
    <n v="86667.1"/>
    <n v="0.45100000000000001"/>
    <n v="15647.59"/>
    <n v="5497.05"/>
    <n v="5135.1899999999996"/>
    <n v="2025"/>
    <n v="7"/>
  </r>
  <r>
    <n v="41225"/>
    <n v="3203130"/>
    <x v="40"/>
    <n v="0.376"/>
    <n v="1948843.23"/>
    <n v="0"/>
    <n v="1948843.23"/>
    <n v="19719.650000000001"/>
    <n v="191889.81"/>
    <n v="0.61499999999999999"/>
    <n v="27238.38"/>
    <n v="7490.38"/>
    <n v="8939.0400000000009"/>
    <n v="2025"/>
    <n v="7"/>
  </r>
  <r>
    <n v="41226"/>
    <n v="3203163"/>
    <x v="41"/>
    <n v="0.42799999999999999"/>
    <n v="2218364.12"/>
    <n v="0"/>
    <n v="2218364.12"/>
    <n v="22446.84"/>
    <n v="108857.73"/>
    <n v="0.44500000000000001"/>
    <n v="31005.39"/>
    <n v="5421.79"/>
    <n v="10175.290000000001"/>
    <n v="2025"/>
    <n v="7"/>
  </r>
  <r>
    <n v="41227"/>
    <n v="3203205"/>
    <x v="42"/>
    <n v="4.431"/>
    <n v="22966288.399999999"/>
    <n v="0"/>
    <n v="22966288.399999999"/>
    <n v="232387.7"/>
    <n v="2850703.05"/>
    <n v="4.0979999999999999"/>
    <n v="320992.76"/>
    <n v="49909.87"/>
    <n v="105342.75"/>
    <n v="2025"/>
    <n v="7"/>
  </r>
  <r>
    <n v="41228"/>
    <n v="3203304"/>
    <x v="43"/>
    <n v="0.314"/>
    <n v="1627491.43"/>
    <n v="0"/>
    <n v="1627491.43"/>
    <n v="16468.009999999998"/>
    <n v="219384.31"/>
    <n v="0.52400000000000002"/>
    <n v="22746.94"/>
    <n v="6386.46"/>
    <n v="7465.05"/>
    <n v="2025"/>
    <n v="7"/>
  </r>
  <r>
    <n v="41229"/>
    <n v="3203320"/>
    <x v="44"/>
    <n v="0.58499999999999996"/>
    <n v="3032109.85"/>
    <n v="0"/>
    <n v="3032109.85"/>
    <n v="30680.84"/>
    <n v="511145.14"/>
    <n v="1.3140000000000001"/>
    <n v="42378.87"/>
    <n v="16002.2"/>
    <n v="13907.81"/>
    <n v="2025"/>
    <n v="7"/>
  </r>
  <r>
    <n v="41230"/>
    <n v="3203346"/>
    <x v="45"/>
    <n v="0.55500000000000005"/>
    <n v="2876617.01"/>
    <n v="0"/>
    <n v="2876617.01"/>
    <n v="29107.46"/>
    <n v="235240.23"/>
    <n v="0.68500000000000005"/>
    <n v="40205.589999999997"/>
    <n v="8338.2800000000007"/>
    <n v="13194.59"/>
    <n v="2025"/>
    <n v="7"/>
  </r>
  <r>
    <n v="41231"/>
    <n v="3203353"/>
    <x v="46"/>
    <n v="0.505"/>
    <n v="2617462.33"/>
    <n v="0"/>
    <n v="2617462.33"/>
    <n v="26485.17"/>
    <n v="196494.95"/>
    <n v="0.46300000000000002"/>
    <n v="36583.47"/>
    <n v="5635.86"/>
    <n v="12005.89"/>
    <n v="2025"/>
    <n v="7"/>
  </r>
  <r>
    <n v="41232"/>
    <n v="3203403"/>
    <x v="47"/>
    <n v="0.46899999999999997"/>
    <n v="2430870.9700000002"/>
    <n v="0"/>
    <n v="2430870.9700000002"/>
    <n v="24597.119999999999"/>
    <n v="253984.83"/>
    <n v="0.83899999999999997"/>
    <n v="33975.54"/>
    <n v="10219.709999999999"/>
    <n v="11150.02"/>
    <n v="2025"/>
    <n v="7"/>
  </r>
  <r>
    <n v="41233"/>
    <n v="3203502"/>
    <x v="48"/>
    <n v="0.51500000000000001"/>
    <n v="2669293.2999999998"/>
    <n v="0"/>
    <n v="2669293.2999999998"/>
    <n v="27009.63"/>
    <n v="288043.2"/>
    <n v="0.69699999999999995"/>
    <n v="37307.89"/>
    <n v="8488.08"/>
    <n v="12243.63"/>
    <n v="2025"/>
    <n v="7"/>
  </r>
  <r>
    <n v="41234"/>
    <n v="3203601"/>
    <x v="49"/>
    <n v="0.30599999999999999"/>
    <n v="1586026.67"/>
    <n v="0"/>
    <n v="1586026.67"/>
    <n v="16048.44"/>
    <n v="68368.009999999995"/>
    <n v="0.29699999999999999"/>
    <n v="22167.41"/>
    <n v="3618.14"/>
    <n v="7274.85"/>
    <n v="2025"/>
    <n v="7"/>
  </r>
  <r>
    <n v="41235"/>
    <n v="3203700"/>
    <x v="50"/>
    <n v="0.505"/>
    <n v="2617462.33"/>
    <n v="0"/>
    <n v="2617462.33"/>
    <n v="26485.17"/>
    <n v="171494.22"/>
    <n v="0.68500000000000005"/>
    <n v="36583.47"/>
    <n v="8348.3799999999992"/>
    <n v="12005.89"/>
    <n v="2025"/>
    <n v="7"/>
  </r>
  <r>
    <n v="41236"/>
    <n v="3203809"/>
    <x v="51"/>
    <n v="0.32"/>
    <n v="1658590"/>
    <n v="0"/>
    <n v="1658590"/>
    <n v="16782.68"/>
    <n v="130160.26"/>
    <n v="0.55300000000000005"/>
    <n v="23181.61"/>
    <n v="6739.82"/>
    <n v="7607.69"/>
    <n v="2025"/>
    <n v="7"/>
  </r>
  <r>
    <n v="41237"/>
    <n v="3203908"/>
    <x v="52"/>
    <n v="1.2250000000000001"/>
    <n v="6349289.8399999999"/>
    <n v="0"/>
    <n v="6349289.8399999999"/>
    <n v="64246.2"/>
    <n v="762350.98"/>
    <n v="1.4710000000000001"/>
    <n v="88742.080000000002"/>
    <n v="17917.759999999998"/>
    <n v="29123.19"/>
    <n v="2025"/>
    <n v="7"/>
  </r>
  <r>
    <n v="41238"/>
    <n v="3204005"/>
    <x v="53"/>
    <n v="0.435"/>
    <n v="2254645.77"/>
    <n v="0"/>
    <n v="2254645.77"/>
    <n v="22813.96"/>
    <n v="215598.52"/>
    <n v="0.69099999999999995"/>
    <n v="31512.49"/>
    <n v="8416.5300000000007"/>
    <n v="10341.700000000001"/>
    <n v="2025"/>
    <n v="7"/>
  </r>
  <r>
    <n v="41239"/>
    <n v="3204054"/>
    <x v="54"/>
    <n v="0.33400000000000002"/>
    <n v="1731153.3"/>
    <n v="0"/>
    <n v="1731153.3"/>
    <n v="17516.919999999998"/>
    <n v="247292.63"/>
    <n v="0.78400000000000003"/>
    <n v="24195.8"/>
    <n v="9550.2000000000007"/>
    <n v="7940.53"/>
    <n v="2025"/>
    <n v="7"/>
  </r>
  <r>
    <n v="41240"/>
    <n v="3204104"/>
    <x v="55"/>
    <n v="0.755"/>
    <n v="3913235.79"/>
    <n v="0"/>
    <n v="3913235.79"/>
    <n v="39596.639999999999"/>
    <n v="260716.79"/>
    <n v="0.83499999999999996"/>
    <n v="54694.09"/>
    <n v="10167.17"/>
    <n v="17949.400000000001"/>
    <n v="2025"/>
    <n v="7"/>
  </r>
  <r>
    <n v="41241"/>
    <n v="3204203"/>
    <x v="56"/>
    <n v="0.36499999999999999"/>
    <n v="1891829.23"/>
    <n v="0"/>
    <n v="1891829.23"/>
    <n v="19142.75"/>
    <n v="383309.56"/>
    <n v="0.745"/>
    <n v="26441.52"/>
    <n v="9071.51"/>
    <n v="8677.52"/>
    <n v="2025"/>
    <n v="7"/>
  </r>
  <r>
    <n v="41242"/>
    <n v="3204252"/>
    <x v="57"/>
    <n v="0.27"/>
    <n v="1399435.33"/>
    <n v="0"/>
    <n v="1399435.33"/>
    <n v="14160.39"/>
    <n v="75828.27"/>
    <n v="0.31"/>
    <n v="19559.48"/>
    <n v="3771.95"/>
    <n v="6418.99"/>
    <n v="2025"/>
    <n v="7"/>
  </r>
  <r>
    <n v="41243"/>
    <n v="1718402"/>
    <x v="58"/>
    <n v="0.39100000000000001"/>
    <n v="2026589.68"/>
    <n v="0"/>
    <n v="2026589.68"/>
    <n v="20506.34"/>
    <n v="234317.03"/>
    <n v="0.55900000000000005"/>
    <n v="28325.03"/>
    <n v="6804.25"/>
    <n v="9295.65"/>
    <n v="2025"/>
    <n v="7"/>
  </r>
  <r>
    <n v="41244"/>
    <n v="3204351"/>
    <x v="59"/>
    <n v="0.88200000000000001"/>
    <n v="4571488.6900000004"/>
    <n v="0"/>
    <n v="4571488.6900000004"/>
    <n v="46257.27"/>
    <n v="334560.96999999997"/>
    <n v="0.70299999999999996"/>
    <n v="63894.29"/>
    <n v="8558.89"/>
    <n v="20968.7"/>
    <n v="2025"/>
    <n v="7"/>
  </r>
  <r>
    <n v="41245"/>
    <n v="3204401"/>
    <x v="60"/>
    <n v="0.312"/>
    <n v="1617125.25"/>
    <n v="0"/>
    <n v="1617125.25"/>
    <n v="16363.12"/>
    <n v="124976.66"/>
    <n v="0.44400000000000001"/>
    <n v="22602.06"/>
    <n v="5407.98"/>
    <n v="7417.5"/>
    <n v="2025"/>
    <n v="7"/>
  </r>
  <r>
    <n v="41246"/>
    <n v="3204500"/>
    <x v="61"/>
    <n v="0.51800000000000002"/>
    <n v="2684842.57"/>
    <n v="0"/>
    <n v="2684842.57"/>
    <n v="27166.97"/>
    <n v="87487.47"/>
    <n v="0.54800000000000004"/>
    <n v="37525.22"/>
    <n v="6670.64"/>
    <n v="12314.95"/>
    <n v="2025"/>
    <n v="7"/>
  </r>
  <r>
    <n v="41247"/>
    <n v="3204559"/>
    <x v="62"/>
    <n v="2.1909999999999998"/>
    <n v="11356158.42"/>
    <n v="0"/>
    <n v="11356158.42"/>
    <n v="114908.92"/>
    <n v="710731.41"/>
    <n v="1.31"/>
    <n v="158721.54"/>
    <n v="15949.35"/>
    <n v="52088.91"/>
    <n v="2025"/>
    <n v="7"/>
  </r>
  <r>
    <n v="41248"/>
    <n v="3204609"/>
    <x v="63"/>
    <n v="0.66"/>
    <n v="3420841.87"/>
    <n v="0"/>
    <n v="3420841.87"/>
    <n v="34614.28"/>
    <n v="375488.34"/>
    <n v="0.82199999999999995"/>
    <n v="47812.05"/>
    <n v="10014.39"/>
    <n v="15690.86"/>
    <n v="2025"/>
    <n v="7"/>
  </r>
  <r>
    <n v="41249"/>
    <n v="3204658"/>
    <x v="64"/>
    <n v="0.42099999999999999"/>
    <n v="2182082.4900000002"/>
    <n v="0"/>
    <n v="2182082.4900000002"/>
    <n v="22079.72"/>
    <n v="123992.4"/>
    <n v="0.33800000000000002"/>
    <n v="30498.3"/>
    <n v="4115.17"/>
    <n v="10008.870000000001"/>
    <n v="2025"/>
    <n v="7"/>
  </r>
  <r>
    <n v="41250"/>
    <n v="3204708"/>
    <x v="65"/>
    <n v="0.72299999999999998"/>
    <n v="3747376.8"/>
    <n v="0"/>
    <n v="3747376.8"/>
    <n v="37918.370000000003"/>
    <n v="477840.68"/>
    <n v="1.0840000000000001"/>
    <n v="52375.94"/>
    <n v="13201.91"/>
    <n v="17188.63"/>
    <n v="2025"/>
    <n v="7"/>
  </r>
  <r>
    <n v="41251"/>
    <n v="3204807"/>
    <x v="66"/>
    <n v="0.28599999999999998"/>
    <n v="1482364.83"/>
    <n v="0"/>
    <n v="1482364.83"/>
    <n v="14999.52"/>
    <n v="98954.71"/>
    <n v="0.443"/>
    <n v="20718.55"/>
    <n v="5392.24"/>
    <n v="6799.37"/>
    <n v="2025"/>
    <n v="7"/>
  </r>
  <r>
    <n v="41252"/>
    <n v="3204906"/>
    <x v="67"/>
    <n v="1.998"/>
    <n v="10355821.32"/>
    <n v="0"/>
    <n v="10355821.32"/>
    <n v="104786.87"/>
    <n v="1797011.69"/>
    <n v="2.9940000000000002"/>
    <n v="144740.14000000001"/>
    <n v="36465.269999999997"/>
    <n v="47500.52"/>
    <n v="2025"/>
    <n v="7"/>
  </r>
  <r>
    <n v="41253"/>
    <n v="3204955"/>
    <x v="68"/>
    <n v="0.3"/>
    <n v="1554928.13"/>
    <n v="0"/>
    <n v="1554928.13"/>
    <n v="15733.76"/>
    <n v="121598.71"/>
    <n v="0.441"/>
    <n v="21732.75"/>
    <n v="5377.1"/>
    <n v="7132.21"/>
    <n v="2025"/>
    <n v="7"/>
  </r>
  <r>
    <n v="41254"/>
    <n v="3205002"/>
    <x v="69"/>
    <n v="14.551"/>
    <n v="75419197.170000002"/>
    <n v="0"/>
    <n v="75419197.170000002"/>
    <n v="763140.01"/>
    <n v="6318158.2400000002"/>
    <n v="8.8559999999999999"/>
    <n v="1054110.96"/>
    <n v="107861.47"/>
    <n v="345935.97"/>
    <n v="2025"/>
    <n v="7"/>
  </r>
  <r>
    <n v="41255"/>
    <n v="3205010"/>
    <x v="70"/>
    <n v="0.78200000000000003"/>
    <n v="4053179.3"/>
    <n v="0"/>
    <n v="4053179.3"/>
    <n v="41012.68"/>
    <n v="315311.71000000002"/>
    <n v="0.93799999999999994"/>
    <n v="56650.04"/>
    <n v="11424.16"/>
    <n v="18591.29"/>
    <n v="2025"/>
    <n v="7"/>
  </r>
  <r>
    <n v="41256"/>
    <n v="3205036"/>
    <x v="71"/>
    <n v="0.45700000000000002"/>
    <n v="2368673.8199999998"/>
    <n v="0"/>
    <n v="2368673.8199999998"/>
    <n v="23967.77"/>
    <n v="239061.66"/>
    <n v="0.70399999999999996"/>
    <n v="33106.230000000003"/>
    <n v="8577.2999999999993"/>
    <n v="10864.73"/>
    <n v="2025"/>
    <n v="7"/>
  </r>
  <r>
    <n v="41257"/>
    <n v="3205069"/>
    <x v="72"/>
    <n v="0.67"/>
    <n v="3472672.82"/>
    <n v="0"/>
    <n v="3472672.82"/>
    <n v="35138.74"/>
    <n v="419769.31"/>
    <n v="0.83899999999999997"/>
    <n v="48536.480000000003"/>
    <n v="10218.08"/>
    <n v="15928.6"/>
    <n v="2025"/>
    <n v="7"/>
  </r>
  <r>
    <n v="41258"/>
    <n v="2112803"/>
    <x v="73"/>
    <n v="3.3740000000000001"/>
    <n v="17487758.300000001"/>
    <n v="0"/>
    <n v="17487758.300000001"/>
    <n v="176952.4"/>
    <n v="701206.8"/>
    <n v="1.944"/>
    <n v="244421.03"/>
    <n v="23682.69"/>
    <n v="80213.59"/>
    <n v="2025"/>
    <n v="7"/>
  </r>
  <r>
    <n v="41259"/>
    <n v="3205150"/>
    <x v="74"/>
    <n v="0.36799999999999999"/>
    <n v="1907378.51"/>
    <n v="0"/>
    <n v="1907378.51"/>
    <n v="19300.080000000002"/>
    <n v="103504.92"/>
    <n v="0.34100000000000003"/>
    <n v="26658.85"/>
    <n v="4158.2299999999996"/>
    <n v="8748.84"/>
    <n v="2025"/>
    <n v="7"/>
  </r>
  <r>
    <n v="41260"/>
    <n v="3205176"/>
    <x v="75"/>
    <n v="0.7"/>
    <n v="3628165.63"/>
    <n v="0"/>
    <n v="3628165.63"/>
    <n v="36712.120000000003"/>
    <n v="283181.49"/>
    <n v="0.55400000000000005"/>
    <n v="50709.760000000002"/>
    <n v="6747.23"/>
    <n v="16641.82"/>
    <n v="2025"/>
    <n v="7"/>
  </r>
  <r>
    <n v="41261"/>
    <n v="3205200"/>
    <x v="76"/>
    <n v="6.6219999999999999"/>
    <n v="34322446.799999997"/>
    <n v="0"/>
    <n v="34322446.799999997"/>
    <n v="347296.62"/>
    <n v="7362924.9000000004"/>
    <n v="8.01"/>
    <n v="479714.29"/>
    <n v="97562.34"/>
    <n v="157431.65"/>
    <n v="2025"/>
    <n v="7"/>
  </r>
  <r>
    <n v="41262"/>
    <n v="3205309"/>
    <x v="77"/>
    <n v="10.878"/>
    <n v="56381693.880000003"/>
    <n v="0"/>
    <n v="56381693.880000003"/>
    <n v="570506.29"/>
    <n v="6647429.5999999996"/>
    <n v="9.1780000000000008"/>
    <n v="788029.64"/>
    <n v="111789.3"/>
    <n v="258613.96"/>
    <n v="2025"/>
    <n v="7"/>
  </r>
  <r>
    <n v="41263"/>
    <n v="3200102"/>
    <x v="0"/>
    <n v="0.67100000000000004"/>
    <n v="3171632.95"/>
    <n v="0"/>
    <n v="3171632.95"/>
    <n v="38872.67"/>
    <n v="262000.64000000001"/>
    <n v="1.004"/>
    <n v="60641.77"/>
    <n v="0"/>
    <n v="16087.49"/>
    <n v="2025"/>
    <n v="8"/>
  </r>
  <r>
    <n v="41264"/>
    <n v="3200169"/>
    <x v="1"/>
    <n v="0.309"/>
    <n v="1460558.25"/>
    <n v="0"/>
    <n v="1460558.25"/>
    <n v="17901.13"/>
    <n v="99209.94"/>
    <n v="0.45700000000000002"/>
    <n v="27925.95"/>
    <n v="0"/>
    <n v="7408.4"/>
    <n v="2025"/>
    <n v="8"/>
  </r>
  <r>
    <n v="41265"/>
    <n v="3200136"/>
    <x v="2"/>
    <n v="0.51900000000000002"/>
    <n v="2453170.63"/>
    <n v="0"/>
    <n v="2453170.63"/>
    <n v="30066.94"/>
    <n v="105676.11"/>
    <n v="0.35099999999999998"/>
    <n v="46904.74"/>
    <n v="0"/>
    <n v="12443.23"/>
    <n v="2025"/>
    <n v="8"/>
  </r>
  <r>
    <n v="41266"/>
    <n v="3200201"/>
    <x v="3"/>
    <n v="0.41799999999999998"/>
    <n v="1975771.33"/>
    <n v="0"/>
    <n v="1975771.33"/>
    <n v="24215.759999999998"/>
    <n v="226814.97"/>
    <n v="0.98299999999999998"/>
    <n v="37776.839999999997"/>
    <n v="0"/>
    <n v="10021.719999999999"/>
    <n v="2025"/>
    <n v="8"/>
  </r>
  <r>
    <n v="41267"/>
    <n v="3200300"/>
    <x v="4"/>
    <n v="0.442"/>
    <n v="2089212.75"/>
    <n v="0"/>
    <n v="2089212.75"/>
    <n v="25606.14"/>
    <n v="172000.9"/>
    <n v="0.55500000000000005"/>
    <n v="39945.85"/>
    <n v="0"/>
    <n v="10597.13"/>
    <n v="2025"/>
    <n v="8"/>
  </r>
  <r>
    <n v="41268"/>
    <n v="3200359"/>
    <x v="5"/>
    <n v="0.25800000000000001"/>
    <n v="1219495.22"/>
    <n v="0"/>
    <n v="1219495.22"/>
    <n v="14946.57"/>
    <n v="99029.9"/>
    <n v="0.32300000000000001"/>
    <n v="23316.799999999999"/>
    <n v="0"/>
    <n v="6185.65"/>
    <n v="2025"/>
    <n v="8"/>
  </r>
  <r>
    <n v="41269"/>
    <n v="3200409"/>
    <x v="6"/>
    <n v="3.4780000000000002"/>
    <n v="16439551.960000001"/>
    <n v="0"/>
    <n v="16439551.960000001"/>
    <n v="201489.06"/>
    <n v="350240.85"/>
    <n v="1.0049999999999999"/>
    <n v="314325.02"/>
    <n v="0"/>
    <n v="83386.44"/>
    <n v="2025"/>
    <n v="8"/>
  </r>
  <r>
    <n v="41270"/>
    <n v="3200508"/>
    <x v="7"/>
    <n v="0.23799999999999999"/>
    <n v="1124960.73"/>
    <n v="0"/>
    <n v="1124960.73"/>
    <n v="13787.92"/>
    <n v="129240.35"/>
    <n v="0.31900000000000001"/>
    <n v="21509.3"/>
    <n v="0"/>
    <n v="5706.15"/>
    <n v="2025"/>
    <n v="8"/>
  </r>
  <r>
    <n v="41271"/>
    <n v="3200607"/>
    <x v="8"/>
    <n v="4.4800000000000004"/>
    <n v="21175731.100000001"/>
    <n v="0"/>
    <n v="21175731.100000001"/>
    <n v="259537.37"/>
    <n v="1263546.24"/>
    <n v="2.4649999999999999"/>
    <n v="404880.98"/>
    <n v="0"/>
    <n v="107409.79"/>
    <n v="2025"/>
    <n v="8"/>
  </r>
  <r>
    <n v="41272"/>
    <n v="3200706"/>
    <x v="9"/>
    <n v="0.39500000000000002"/>
    <n v="1867056.63"/>
    <n v="0"/>
    <n v="1867056.63"/>
    <n v="22883.32"/>
    <n v="86674.85"/>
    <n v="0.438"/>
    <n v="35698.21"/>
    <n v="0"/>
    <n v="9470.2800000000007"/>
    <n v="2025"/>
    <n v="8"/>
  </r>
  <r>
    <n v="41273"/>
    <n v="3200805"/>
    <x v="10"/>
    <n v="0.54"/>
    <n v="2552431.87"/>
    <n v="0"/>
    <n v="2552431.87"/>
    <n v="31283.52"/>
    <n v="616995.64"/>
    <n v="1.0069999999999999"/>
    <n v="48802.61"/>
    <n v="0"/>
    <n v="12946.72"/>
    <n v="2025"/>
    <n v="8"/>
  </r>
  <r>
    <n v="41274"/>
    <n v="3200904"/>
    <x v="11"/>
    <n v="0.81299999999999994"/>
    <n v="3842827.99"/>
    <n v="0"/>
    <n v="3842827.99"/>
    <n v="47099.08"/>
    <n v="582142.78"/>
    <n v="1.3120000000000001"/>
    <n v="73475.06"/>
    <n v="0"/>
    <n v="19492"/>
    <n v="2025"/>
    <n v="8"/>
  </r>
  <r>
    <n v="41275"/>
    <n v="3107109"/>
    <x v="12"/>
    <n v="0.48699999999999999"/>
    <n v="2301915.44"/>
    <n v="0"/>
    <n v="2301915.44"/>
    <n v="28213.1"/>
    <n v="157341.51999999999"/>
    <n v="0.55200000000000005"/>
    <n v="44012.73"/>
    <n v="0"/>
    <n v="11676.02"/>
    <n v="2025"/>
    <n v="8"/>
  </r>
  <r>
    <n v="41276"/>
    <n v="3201100"/>
    <x v="13"/>
    <n v="0.247"/>
    <n v="1167501.23"/>
    <n v="0"/>
    <n v="1167501.23"/>
    <n v="14309.32"/>
    <n v="357467.18"/>
    <n v="0.435"/>
    <n v="22322.68"/>
    <n v="0"/>
    <n v="5921.92"/>
    <n v="2025"/>
    <n v="8"/>
  </r>
  <r>
    <n v="41277"/>
    <n v="3201159"/>
    <x v="14"/>
    <n v="0.40699999999999997"/>
    <n v="1923777.37"/>
    <n v="0"/>
    <n v="1923777.37"/>
    <n v="23578.51"/>
    <n v="136754.21"/>
    <n v="0.54600000000000004"/>
    <n v="36782.71"/>
    <n v="0"/>
    <n v="9757.99"/>
    <n v="2025"/>
    <n v="8"/>
  </r>
  <r>
    <n v="41278"/>
    <n v="3201209"/>
    <x v="15"/>
    <n v="2.5920000000000001"/>
    <n v="12251672.99"/>
    <n v="0"/>
    <n v="12251672.99"/>
    <n v="150160.91"/>
    <n v="2505148.77"/>
    <n v="4.298"/>
    <n v="234252.57"/>
    <n v="0"/>
    <n v="62144.24"/>
    <n v="2025"/>
    <n v="8"/>
  </r>
  <r>
    <n v="41279"/>
    <n v="3201308"/>
    <x v="16"/>
    <n v="8.3239999999999998"/>
    <n v="39345264.670000002"/>
    <n v="0"/>
    <n v="39345264.670000002"/>
    <n v="482229.7"/>
    <n v="3641379.28"/>
    <n v="6.4569999999999999"/>
    <n v="752283.33"/>
    <n v="0"/>
    <n v="199571.23"/>
    <n v="2025"/>
    <n v="8"/>
  </r>
  <r>
    <n v="41280"/>
    <n v="3201407"/>
    <x v="17"/>
    <n v="0.80700000000000005"/>
    <n v="3814467.64"/>
    <n v="0"/>
    <n v="3814467.64"/>
    <n v="46751.49"/>
    <n v="653337.59"/>
    <n v="1.1639999999999999"/>
    <n v="72932.800000000003"/>
    <n v="0"/>
    <n v="19348.150000000001"/>
    <n v="2025"/>
    <n v="8"/>
  </r>
  <r>
    <n v="41281"/>
    <n v="3201506"/>
    <x v="18"/>
    <n v="2.0139999999999998"/>
    <n v="9519625.5399999991"/>
    <n v="0"/>
    <n v="9519625.5399999991"/>
    <n v="116675.95"/>
    <n v="1764063.5"/>
    <n v="2.86"/>
    <n v="182015.69"/>
    <n v="0"/>
    <n v="48286.45"/>
    <n v="2025"/>
    <n v="8"/>
  </r>
  <r>
    <n v="41282"/>
    <n v="3201605"/>
    <x v="19"/>
    <n v="0.60099999999999998"/>
    <n v="2840762.14"/>
    <n v="0"/>
    <n v="2840762.14"/>
    <n v="34817.4"/>
    <n v="253022.4"/>
    <n v="0.94399999999999995"/>
    <n v="54315.51"/>
    <n v="0"/>
    <n v="14409.22"/>
    <n v="2025"/>
    <n v="8"/>
  </r>
  <r>
    <n v="41283"/>
    <n v="3201704"/>
    <x v="20"/>
    <n v="0.371"/>
    <n v="1753615.26"/>
    <n v="0"/>
    <n v="1753615.26"/>
    <n v="21492.94"/>
    <n v="93930.64"/>
    <n v="0.45600000000000002"/>
    <n v="33529.199999999997"/>
    <n v="0"/>
    <n v="8894.8700000000008"/>
    <n v="2025"/>
    <n v="8"/>
  </r>
  <r>
    <n v="41284"/>
    <n v="3201803"/>
    <x v="21"/>
    <n v="0.187"/>
    <n v="883897.71"/>
    <n v="0"/>
    <n v="883897.71"/>
    <n v="10833.37"/>
    <n v="37083.43"/>
    <n v="0.29299999999999998"/>
    <n v="16900.16"/>
    <n v="0"/>
    <n v="4483.3999999999996"/>
    <n v="2025"/>
    <n v="8"/>
  </r>
  <r>
    <n v="41285"/>
    <n v="3201902"/>
    <x v="22"/>
    <n v="1.0620000000000001"/>
    <n v="5019782.6900000004"/>
    <n v="0"/>
    <n v="5019782.6900000004"/>
    <n v="61524.26"/>
    <n v="404551.05"/>
    <n v="1.147"/>
    <n v="95978.49"/>
    <n v="0"/>
    <n v="25461.87"/>
    <n v="2025"/>
    <n v="8"/>
  </r>
  <r>
    <n v="41286"/>
    <n v="3202009"/>
    <x v="23"/>
    <n v="0.34899999999999998"/>
    <n v="1649627.24"/>
    <n v="0"/>
    <n v="1649627.24"/>
    <n v="20218.419999999998"/>
    <n v="168948.16"/>
    <n v="0.312"/>
    <n v="31540.95"/>
    <n v="0"/>
    <n v="8367.41"/>
    <n v="2025"/>
    <n v="8"/>
  </r>
  <r>
    <n v="41287"/>
    <n v="3202108"/>
    <x v="24"/>
    <n v="0.57099999999999995"/>
    <n v="2698960.37"/>
    <n v="0"/>
    <n v="2698960.37"/>
    <n v="33079.43"/>
    <n v="183321.99"/>
    <n v="0.79200000000000004"/>
    <n v="51604.25"/>
    <n v="0"/>
    <n v="13689.95"/>
    <n v="2025"/>
    <n v="8"/>
  </r>
  <r>
    <n v="41288"/>
    <n v="3202207"/>
    <x v="25"/>
    <n v="0.36799999999999999"/>
    <n v="1739435.07"/>
    <n v="0"/>
    <n v="1739435.07"/>
    <n v="21319.14"/>
    <n v="164734.15"/>
    <n v="0.68600000000000005"/>
    <n v="33258.080000000002"/>
    <n v="0"/>
    <n v="8822.9500000000007"/>
    <n v="2025"/>
    <n v="8"/>
  </r>
  <r>
    <n v="41289"/>
    <n v="3202256"/>
    <x v="26"/>
    <n v="0.53100000000000003"/>
    <n v="2509891.33"/>
    <n v="0"/>
    <n v="2509891.33"/>
    <n v="30762.13"/>
    <n v="168168.31"/>
    <n v="0.44400000000000001"/>
    <n v="47989.24"/>
    <n v="0"/>
    <n v="12730.94"/>
    <n v="2025"/>
    <n v="8"/>
  </r>
  <r>
    <n v="41290"/>
    <n v="3202306"/>
    <x v="27"/>
    <n v="0.36699999999999999"/>
    <n v="1734708.32"/>
    <n v="0"/>
    <n v="1734708.32"/>
    <n v="21261.21"/>
    <n v="386204.31"/>
    <n v="0.99"/>
    <n v="33167.71"/>
    <n v="0"/>
    <n v="8798.9699999999993"/>
    <n v="2025"/>
    <n v="8"/>
  </r>
  <r>
    <n v="41291"/>
    <n v="3202405"/>
    <x v="28"/>
    <n v="0.79"/>
    <n v="3734113.32"/>
    <n v="0"/>
    <n v="3734113.32"/>
    <n v="45766.63"/>
    <n v="2285331.87"/>
    <n v="3.0129999999999999"/>
    <n v="71396.42"/>
    <n v="0"/>
    <n v="18940.57"/>
    <n v="2025"/>
    <n v="8"/>
  </r>
  <r>
    <n v="41292"/>
    <n v="3202454"/>
    <x v="29"/>
    <n v="0.33900000000000002"/>
    <n v="1602360"/>
    <n v="0"/>
    <n v="1602360"/>
    <n v="19639.099999999999"/>
    <n v="371245.15"/>
    <n v="0.86499999999999999"/>
    <n v="30637.200000000001"/>
    <n v="0"/>
    <n v="8127.66"/>
    <n v="2025"/>
    <n v="8"/>
  </r>
  <r>
    <n v="41293"/>
    <n v="3202504"/>
    <x v="30"/>
    <n v="0.307"/>
    <n v="1451104.78"/>
    <n v="0"/>
    <n v="1451104.78"/>
    <n v="17785.259999999998"/>
    <n v="138419.54"/>
    <n v="0.45400000000000001"/>
    <n v="27745.19"/>
    <n v="0"/>
    <n v="7360.45"/>
    <n v="2025"/>
    <n v="8"/>
  </r>
  <r>
    <n v="41294"/>
    <n v="3202553"/>
    <x v="31"/>
    <n v="0.28399999999999997"/>
    <n v="1342390.1"/>
    <n v="0"/>
    <n v="1342390.1"/>
    <n v="16452.810000000001"/>
    <n v="77817.399999999994"/>
    <n v="0.35"/>
    <n v="25666.560000000001"/>
    <n v="0"/>
    <n v="6809.01"/>
    <n v="2025"/>
    <n v="8"/>
  </r>
  <r>
    <n v="41295"/>
    <n v="3202603"/>
    <x v="32"/>
    <n v="0.314"/>
    <n v="1484191.86"/>
    <n v="0"/>
    <n v="1484191.86"/>
    <n v="18190.79"/>
    <n v="197601.54"/>
    <n v="0.52"/>
    <n v="28377.82"/>
    <n v="0"/>
    <n v="7528.28"/>
    <n v="2025"/>
    <n v="8"/>
  </r>
  <r>
    <n v="41296"/>
    <n v="3202652"/>
    <x v="33"/>
    <n v="0.316"/>
    <n v="1493645.32"/>
    <n v="0"/>
    <n v="1493645.32"/>
    <n v="18306.650000000001"/>
    <n v="198664.42"/>
    <n v="0.55700000000000005"/>
    <n v="28558.57"/>
    <n v="0"/>
    <n v="7576.23"/>
    <n v="2025"/>
    <n v="8"/>
  </r>
  <r>
    <n v="41297"/>
    <n v="3202702"/>
    <x v="34"/>
    <n v="0.40400000000000003"/>
    <n v="1909597.2"/>
    <n v="0"/>
    <n v="1909597.2"/>
    <n v="23404.71"/>
    <n v="120161.64"/>
    <n v="0.55200000000000005"/>
    <n v="36511.589999999997"/>
    <n v="0"/>
    <n v="9686.06"/>
    <n v="2025"/>
    <n v="8"/>
  </r>
  <r>
    <n v="41298"/>
    <n v="3202801"/>
    <x v="35"/>
    <n v="3.4060000000000001"/>
    <n v="16099227.699999999"/>
    <n v="0"/>
    <n v="16099227.699999999"/>
    <n v="197317.92"/>
    <n v="354932.68"/>
    <n v="1.2130000000000001"/>
    <n v="307818"/>
    <n v="0"/>
    <n v="81660.210000000006"/>
    <n v="2025"/>
    <n v="8"/>
  </r>
  <r>
    <n v="41299"/>
    <n v="3202900"/>
    <x v="36"/>
    <n v="0.39200000000000002"/>
    <n v="1852876.45"/>
    <n v="0"/>
    <n v="1852876.45"/>
    <n v="22709.52"/>
    <n v="149347.62"/>
    <n v="0.438"/>
    <n v="35427.089999999997"/>
    <n v="0"/>
    <n v="9398.36"/>
    <n v="2025"/>
    <n v="8"/>
  </r>
  <r>
    <n v="41300"/>
    <n v="3203007"/>
    <x v="37"/>
    <n v="0.5"/>
    <n v="2363362.85"/>
    <n v="0"/>
    <n v="2363362.85"/>
    <n v="28966.22"/>
    <n v="330966.52"/>
    <n v="0.90300000000000002"/>
    <n v="45187.61"/>
    <n v="0"/>
    <n v="11987.7"/>
    <n v="2025"/>
    <n v="8"/>
  </r>
  <r>
    <n v="41301"/>
    <n v="3203056"/>
    <x v="38"/>
    <n v="1.109"/>
    <n v="5241938.79"/>
    <n v="0"/>
    <n v="5241938.79"/>
    <n v="64247.08"/>
    <n v="366382.97"/>
    <n v="0.98899999999999999"/>
    <n v="100226.12"/>
    <n v="0"/>
    <n v="26588.720000000001"/>
    <n v="2025"/>
    <n v="8"/>
  </r>
  <r>
    <n v="41302"/>
    <n v="3203106"/>
    <x v="39"/>
    <n v="0.216"/>
    <n v="1020972.75"/>
    <n v="0"/>
    <n v="1020972.75"/>
    <n v="12513.41"/>
    <n v="73587.98"/>
    <n v="0.45100000000000001"/>
    <n v="19521.05"/>
    <n v="0"/>
    <n v="5178.6899999999996"/>
    <n v="2025"/>
    <n v="8"/>
  </r>
  <r>
    <n v="41303"/>
    <n v="3203130"/>
    <x v="40"/>
    <n v="0.376"/>
    <n v="1777248.89"/>
    <n v="0"/>
    <n v="1777248.89"/>
    <n v="21782.6"/>
    <n v="164879.4"/>
    <n v="0.61499999999999999"/>
    <n v="33981.089999999997"/>
    <n v="0"/>
    <n v="9014.75"/>
    <n v="2025"/>
    <n v="8"/>
  </r>
  <r>
    <n v="41304"/>
    <n v="3203163"/>
    <x v="41"/>
    <n v="0.42799999999999999"/>
    <n v="2023038.58"/>
    <n v="0"/>
    <n v="2023038.58"/>
    <n v="24795.09"/>
    <n v="79771.179999999993"/>
    <n v="0.44500000000000001"/>
    <n v="38680.6"/>
    <n v="0"/>
    <n v="10261.469999999999"/>
    <n v="2025"/>
    <n v="8"/>
  </r>
  <r>
    <n v="41305"/>
    <n v="3203205"/>
    <x v="42"/>
    <n v="4.431"/>
    <n v="20944121.59"/>
    <n v="0"/>
    <n v="20944121.59"/>
    <n v="256698.68"/>
    <n v="2397559.1800000002"/>
    <n v="4.0979999999999999"/>
    <n v="400452.6"/>
    <n v="0"/>
    <n v="106235"/>
    <n v="2025"/>
    <n v="8"/>
  </r>
  <r>
    <n v="41306"/>
    <n v="3203304"/>
    <x v="43"/>
    <n v="0.314"/>
    <n v="1484191.86"/>
    <n v="0"/>
    <n v="1484191.86"/>
    <n v="18190.79"/>
    <n v="145790.6"/>
    <n v="0.52400000000000002"/>
    <n v="28377.82"/>
    <n v="0"/>
    <n v="7528.28"/>
    <n v="2025"/>
    <n v="8"/>
  </r>
  <r>
    <n v="41307"/>
    <n v="3203320"/>
    <x v="44"/>
    <n v="0.58499999999999996"/>
    <n v="2765134.51"/>
    <n v="0"/>
    <n v="2765134.51"/>
    <n v="33890.480000000003"/>
    <n v="470860.87"/>
    <n v="1.3140000000000001"/>
    <n v="52869.5"/>
    <n v="0"/>
    <n v="14025.61"/>
    <n v="2025"/>
    <n v="8"/>
  </r>
  <r>
    <n v="41308"/>
    <n v="3203346"/>
    <x v="45"/>
    <n v="0.55500000000000005"/>
    <n v="2623332.75"/>
    <n v="0"/>
    <n v="2623332.75"/>
    <n v="32152.51"/>
    <n v="185184.16"/>
    <n v="0.68500000000000005"/>
    <n v="50158.239999999998"/>
    <n v="0"/>
    <n v="13306.35"/>
    <n v="2025"/>
    <n v="8"/>
  </r>
  <r>
    <n v="41309"/>
    <n v="3203353"/>
    <x v="46"/>
    <n v="0.505"/>
    <n v="2386996.5"/>
    <n v="0"/>
    <n v="2386996.5"/>
    <n v="29255.89"/>
    <n v="144319.76999999999"/>
    <n v="0.46300000000000002"/>
    <n v="45639.48"/>
    <n v="0"/>
    <n v="12107.58"/>
    <n v="2025"/>
    <n v="8"/>
  </r>
  <r>
    <n v="41310"/>
    <n v="3203403"/>
    <x v="47"/>
    <n v="0.46899999999999997"/>
    <n v="2216834.35"/>
    <n v="0"/>
    <n v="2216834.35"/>
    <n v="27170.32"/>
    <n v="263188.93"/>
    <n v="0.83899999999999997"/>
    <n v="42385.98"/>
    <n v="0"/>
    <n v="11244.46"/>
    <n v="2025"/>
    <n v="8"/>
  </r>
  <r>
    <n v="41311"/>
    <n v="3203502"/>
    <x v="48"/>
    <n v="0.51500000000000001"/>
    <n v="2434263.7400000002"/>
    <n v="0"/>
    <n v="2434263.7400000002"/>
    <n v="29835.21"/>
    <n v="251216.7"/>
    <n v="0.69699999999999995"/>
    <n v="46543.24"/>
    <n v="0"/>
    <n v="12347.33"/>
    <n v="2025"/>
    <n v="8"/>
  </r>
  <r>
    <n v="41312"/>
    <n v="3203601"/>
    <x v="49"/>
    <n v="0.30599999999999999"/>
    <n v="1446378.07"/>
    <n v="0"/>
    <n v="1446378.07"/>
    <n v="17727.330000000002"/>
    <n v="45275.12"/>
    <n v="0.29699999999999999"/>
    <n v="27654.81"/>
    <n v="0"/>
    <n v="7336.47"/>
    <n v="2025"/>
    <n v="8"/>
  </r>
  <r>
    <n v="41313"/>
    <n v="3203700"/>
    <x v="50"/>
    <n v="0.505"/>
    <n v="2386996.5"/>
    <n v="0"/>
    <n v="2386996.5"/>
    <n v="29255.89"/>
    <n v="146488.28"/>
    <n v="0.68500000000000005"/>
    <n v="45639.48"/>
    <n v="0"/>
    <n v="12107.58"/>
    <n v="2025"/>
    <n v="8"/>
  </r>
  <r>
    <n v="41314"/>
    <n v="3203809"/>
    <x v="51"/>
    <n v="0.32"/>
    <n v="1512552.24"/>
    <n v="0"/>
    <n v="1512552.24"/>
    <n v="18538.38"/>
    <n v="99116.64"/>
    <n v="0.55300000000000005"/>
    <n v="28920.07"/>
    <n v="0"/>
    <n v="7672.13"/>
    <n v="2025"/>
    <n v="8"/>
  </r>
  <r>
    <n v="41315"/>
    <n v="3203908"/>
    <x v="52"/>
    <n v="1.2250000000000001"/>
    <n v="5790238.96"/>
    <n v="0"/>
    <n v="5790238.96"/>
    <n v="70967.25"/>
    <n v="710313.09"/>
    <n v="1.4710000000000001"/>
    <n v="110709.65"/>
    <n v="0"/>
    <n v="29369.86"/>
    <n v="2025"/>
    <n v="8"/>
  </r>
  <r>
    <n v="41316"/>
    <n v="3204005"/>
    <x v="53"/>
    <n v="0.435"/>
    <n v="2056125.65"/>
    <n v="0"/>
    <n v="2056125.65"/>
    <n v="25200.62"/>
    <n v="168842.38"/>
    <n v="0.69099999999999995"/>
    <n v="39313.22"/>
    <n v="0"/>
    <n v="10429.299999999999"/>
    <n v="2025"/>
    <n v="8"/>
  </r>
  <r>
    <n v="41317"/>
    <n v="3204054"/>
    <x v="54"/>
    <n v="0.33400000000000002"/>
    <n v="1578726.38"/>
    <n v="0"/>
    <n v="1578726.38"/>
    <n v="19349.439999999999"/>
    <n v="234379.04"/>
    <n v="0.78400000000000003"/>
    <n v="30185.32"/>
    <n v="0"/>
    <n v="8007.78"/>
    <n v="2025"/>
    <n v="8"/>
  </r>
  <r>
    <n v="41318"/>
    <n v="3204104"/>
    <x v="55"/>
    <n v="0.755"/>
    <n v="3568677.9"/>
    <n v="0"/>
    <n v="3568677.9"/>
    <n v="43739"/>
    <n v="213969.12"/>
    <n v="0.83499999999999996"/>
    <n v="68233.289999999994"/>
    <n v="0"/>
    <n v="18101.43"/>
    <n v="2025"/>
    <n v="8"/>
  </r>
  <r>
    <n v="41319"/>
    <n v="3204203"/>
    <x v="56"/>
    <n v="0.36499999999999999"/>
    <n v="1725254.86"/>
    <n v="0"/>
    <n v="1725254.86"/>
    <n v="21145.34"/>
    <n v="329222.67"/>
    <n v="0.745"/>
    <n v="32986.959999999999"/>
    <n v="0"/>
    <n v="8751.02"/>
    <n v="2025"/>
    <n v="8"/>
  </r>
  <r>
    <n v="41320"/>
    <n v="3204252"/>
    <x v="57"/>
    <n v="0.27"/>
    <n v="1276215.93"/>
    <n v="0"/>
    <n v="1276215.93"/>
    <n v="15641.76"/>
    <n v="68274.429999999993"/>
    <n v="0.31"/>
    <n v="24401.31"/>
    <n v="0"/>
    <n v="6473.36"/>
    <n v="2025"/>
    <n v="8"/>
  </r>
  <r>
    <n v="41321"/>
    <n v="1718402"/>
    <x v="58"/>
    <n v="0.39100000000000001"/>
    <n v="1848149.74"/>
    <n v="0"/>
    <n v="1848149.74"/>
    <n v="22651.59"/>
    <n v="193572.04"/>
    <n v="0.55900000000000005"/>
    <n v="35336.71"/>
    <n v="0"/>
    <n v="9374.3799999999992"/>
    <n v="2025"/>
    <n v="8"/>
  </r>
  <r>
    <n v="41322"/>
    <n v="3204351"/>
    <x v="59"/>
    <n v="0.88200000000000001"/>
    <n v="4168972.07"/>
    <n v="0"/>
    <n v="4168972.07"/>
    <n v="51096.42"/>
    <n v="221080.95999999999"/>
    <n v="0.70299999999999996"/>
    <n v="79710.94"/>
    <n v="0"/>
    <n v="21146.3"/>
    <n v="2025"/>
    <n v="8"/>
  </r>
  <r>
    <n v="41323"/>
    <n v="3204401"/>
    <x v="60"/>
    <n v="0.312"/>
    <n v="1474738.41"/>
    <n v="0"/>
    <n v="1474738.41"/>
    <n v="18074.919999999998"/>
    <n v="124665.75"/>
    <n v="0.44400000000000001"/>
    <n v="28197.07"/>
    <n v="0"/>
    <n v="7480.32"/>
    <n v="2025"/>
    <n v="8"/>
  </r>
  <r>
    <n v="41324"/>
    <n v="3204500"/>
    <x v="61"/>
    <n v="0.51800000000000002"/>
    <n v="2448443.91"/>
    <n v="0"/>
    <n v="2448443.91"/>
    <n v="30009.01"/>
    <n v="74849.34"/>
    <n v="0.54800000000000004"/>
    <n v="46814.36"/>
    <n v="0"/>
    <n v="12419.26"/>
    <n v="2025"/>
    <n v="8"/>
  </r>
  <r>
    <n v="41325"/>
    <n v="3204559"/>
    <x v="62"/>
    <n v="2.1909999999999998"/>
    <n v="10356256.01"/>
    <n v="0"/>
    <n v="10356256.01"/>
    <n v="126929.99"/>
    <n v="617058.87"/>
    <n v="1.31"/>
    <n v="198012.11"/>
    <n v="0"/>
    <n v="52530.1"/>
    <n v="2025"/>
    <n v="8"/>
  </r>
  <r>
    <n v="41326"/>
    <n v="3204609"/>
    <x v="63"/>
    <n v="0.66"/>
    <n v="3119638.97"/>
    <n v="0"/>
    <n v="3119638.97"/>
    <n v="38235.42"/>
    <n v="305936.96000000002"/>
    <n v="0.82199999999999995"/>
    <n v="59647.65"/>
    <n v="0"/>
    <n v="15823.76"/>
    <n v="2025"/>
    <n v="8"/>
  </r>
  <r>
    <n v="41327"/>
    <n v="3204658"/>
    <x v="64"/>
    <n v="0.42099999999999999"/>
    <n v="1989951.53"/>
    <n v="0"/>
    <n v="1989951.53"/>
    <n v="24389.56"/>
    <n v="104518.39"/>
    <n v="0.33800000000000002"/>
    <n v="38047.96"/>
    <n v="0"/>
    <n v="10093.64"/>
    <n v="2025"/>
    <n v="8"/>
  </r>
  <r>
    <n v="41328"/>
    <n v="3204708"/>
    <x v="65"/>
    <n v="0.72299999999999998"/>
    <n v="3417422.69"/>
    <n v="0"/>
    <n v="3417422.69"/>
    <n v="41885.160000000003"/>
    <n v="453858.08"/>
    <n v="1.0840000000000001"/>
    <n v="65341.279999999999"/>
    <n v="0"/>
    <n v="17334.21"/>
    <n v="2025"/>
    <n v="8"/>
  </r>
  <r>
    <n v="41329"/>
    <n v="3204807"/>
    <x v="66"/>
    <n v="0.28599999999999998"/>
    <n v="1351843.56"/>
    <n v="0"/>
    <n v="1351843.56"/>
    <n v="16568.68"/>
    <n v="91295.43"/>
    <n v="0.443"/>
    <n v="25847.31"/>
    <n v="0"/>
    <n v="6856.96"/>
    <n v="2025"/>
    <n v="8"/>
  </r>
  <r>
    <n v="41330"/>
    <n v="3204906"/>
    <x v="67"/>
    <n v="1.998"/>
    <n v="9443997.9299999997"/>
    <n v="0"/>
    <n v="9443997.9299999997"/>
    <n v="115749.03"/>
    <n v="1694803.64"/>
    <n v="2.9940000000000002"/>
    <n v="180569.69"/>
    <n v="0"/>
    <n v="47902.85"/>
    <n v="2025"/>
    <n v="8"/>
  </r>
  <r>
    <n v="41331"/>
    <n v="3204955"/>
    <x v="68"/>
    <n v="0.3"/>
    <n v="1418017.73"/>
    <n v="0"/>
    <n v="1418017.73"/>
    <n v="17379.73"/>
    <n v="120302.68"/>
    <n v="0.441"/>
    <n v="27112.57"/>
    <n v="0"/>
    <n v="7192.62"/>
    <n v="2025"/>
    <n v="8"/>
  </r>
  <r>
    <n v="41332"/>
    <n v="3205002"/>
    <x v="69"/>
    <n v="14.551"/>
    <n v="68778585.569999993"/>
    <n v="0"/>
    <n v="68778585.569999993"/>
    <n v="842975.05"/>
    <n v="5804899.8399999999"/>
    <n v="8.8559999999999999"/>
    <n v="1315049.82"/>
    <n v="0"/>
    <n v="348866.04"/>
    <n v="2025"/>
    <n v="8"/>
  </r>
  <r>
    <n v="41333"/>
    <n v="3205010"/>
    <x v="70"/>
    <n v="0.78200000000000003"/>
    <n v="3696299.49"/>
    <n v="0"/>
    <n v="3696299.49"/>
    <n v="45303.17"/>
    <n v="277887.34999999998"/>
    <n v="0.93799999999999994"/>
    <n v="70673.42"/>
    <n v="0"/>
    <n v="18748.759999999998"/>
    <n v="2025"/>
    <n v="8"/>
  </r>
  <r>
    <n v="41334"/>
    <n v="3205036"/>
    <x v="71"/>
    <n v="0.45700000000000002"/>
    <n v="2160113.65"/>
    <n v="0"/>
    <n v="2160113.65"/>
    <n v="26475.13"/>
    <n v="201423.05"/>
    <n v="0.70399999999999996"/>
    <n v="41301.47"/>
    <n v="0"/>
    <n v="10956.76"/>
    <n v="2025"/>
    <n v="8"/>
  </r>
  <r>
    <n v="41335"/>
    <n v="3205069"/>
    <x v="72"/>
    <n v="0.67"/>
    <n v="3166906.19"/>
    <n v="0"/>
    <n v="3166906.19"/>
    <n v="38814.74"/>
    <n v="339319.7"/>
    <n v="0.83899999999999997"/>
    <n v="60551.39"/>
    <n v="0"/>
    <n v="16063.52"/>
    <n v="2025"/>
    <n v="8"/>
  </r>
  <r>
    <n v="41336"/>
    <n v="2112803"/>
    <x v="73"/>
    <n v="3.3740000000000001"/>
    <n v="15947972.49"/>
    <n v="0"/>
    <n v="15947972.49"/>
    <n v="195464.08"/>
    <n v="631693.75"/>
    <n v="1.944"/>
    <n v="304926"/>
    <n v="0"/>
    <n v="80893"/>
    <n v="2025"/>
    <n v="8"/>
  </r>
  <r>
    <n v="41337"/>
    <n v="3205150"/>
    <x v="74"/>
    <n v="0.36799999999999999"/>
    <n v="1739435.07"/>
    <n v="0"/>
    <n v="1739435.07"/>
    <n v="21319.14"/>
    <n v="97073.15"/>
    <n v="0.34100000000000003"/>
    <n v="33258.080000000002"/>
    <n v="0"/>
    <n v="8822.9500000000007"/>
    <n v="2025"/>
    <n v="8"/>
  </r>
  <r>
    <n v="41338"/>
    <n v="3205176"/>
    <x v="75"/>
    <n v="0.7"/>
    <n v="3308708.01"/>
    <n v="0"/>
    <n v="3308708.01"/>
    <n v="40552.71"/>
    <n v="217981.44"/>
    <n v="0.55400000000000005"/>
    <n v="63262.65"/>
    <n v="0"/>
    <n v="16782.78"/>
    <n v="2025"/>
    <n v="8"/>
  </r>
  <r>
    <n v="41339"/>
    <n v="3205200"/>
    <x v="76"/>
    <n v="6.6219999999999999"/>
    <n v="31300377.57"/>
    <n v="0"/>
    <n v="31300377.57"/>
    <n v="383628.67"/>
    <n v="6614245.0800000001"/>
    <n v="8.01"/>
    <n v="598464.71"/>
    <n v="0"/>
    <n v="158765.1"/>
    <n v="2025"/>
    <n v="8"/>
  </r>
  <r>
    <n v="41340"/>
    <n v="3205309"/>
    <x v="77"/>
    <n v="10.878"/>
    <n v="51417321.950000003"/>
    <n v="0"/>
    <n v="51417321.950000003"/>
    <n v="630189.17000000004"/>
    <n v="5804912.79"/>
    <n v="9.1780000000000008"/>
    <n v="983101.67"/>
    <n v="0"/>
    <n v="260804.38"/>
    <n v="2025"/>
    <n v="8"/>
  </r>
  <r>
    <n v="41419"/>
    <n v="3200102"/>
    <x v="0"/>
    <n v="0.67100000000000004"/>
    <n v="2904240.19"/>
    <n v="0"/>
    <n v="2904240.19"/>
    <n v="41223.660000000003"/>
    <n v="278857.01"/>
    <n v="1.004"/>
    <n v="62406.63"/>
    <n v="0"/>
    <n v="32593.06"/>
    <n v="2025"/>
    <n v="9"/>
  </r>
  <r>
    <n v="41420"/>
    <n v="3200169"/>
    <x v="1"/>
    <n v="0.309"/>
    <n v="1337422.06"/>
    <n v="0"/>
    <n v="1337422.06"/>
    <n v="18983.77"/>
    <n v="102791.67999999999"/>
    <n v="0.45700000000000002"/>
    <n v="28738.67"/>
    <n v="0"/>
    <n v="15009.32"/>
    <n v="2025"/>
    <n v="9"/>
  </r>
  <r>
    <n v="41421"/>
    <n v="3200136"/>
    <x v="2"/>
    <n v="0.51900000000000002"/>
    <n v="2246349.7200000002"/>
    <n v="0"/>
    <n v="2246349.7200000002"/>
    <n v="31885.360000000001"/>
    <n v="127367.1"/>
    <n v="0.35099999999999998"/>
    <n v="48269.8"/>
    <n v="0"/>
    <n v="25209.84"/>
    <n v="2025"/>
    <n v="9"/>
  </r>
  <r>
    <n v="41422"/>
    <n v="3200201"/>
    <x v="3"/>
    <n v="0.41799999999999998"/>
    <n v="1809198.8"/>
    <n v="0"/>
    <n v="1809198.8"/>
    <n v="25680.31"/>
    <n v="263477.98"/>
    <n v="0.98299999999999998"/>
    <n v="38876.25"/>
    <n v="0"/>
    <n v="20303.87"/>
    <n v="2025"/>
    <n v="9"/>
  </r>
  <r>
    <n v="41423"/>
    <n v="3200300"/>
    <x v="4"/>
    <n v="0.442"/>
    <n v="1913076.25"/>
    <n v="0"/>
    <n v="1913076.25"/>
    <n v="27154.78"/>
    <n v="217767.78"/>
    <n v="0.55500000000000005"/>
    <n v="41108.379999999997"/>
    <n v="0"/>
    <n v="21469.65"/>
    <n v="2025"/>
    <n v="9"/>
  </r>
  <r>
    <n v="41424"/>
    <n v="3200359"/>
    <x v="5"/>
    <n v="0.25800000000000001"/>
    <n v="1116682.53"/>
    <n v="0"/>
    <n v="1116682.53"/>
    <n v="15850.53"/>
    <n v="79894.320000000007"/>
    <n v="0.32300000000000001"/>
    <n v="23995.39"/>
    <n v="0"/>
    <n v="12532.06"/>
    <n v="2025"/>
    <n v="9"/>
  </r>
  <r>
    <n v="41425"/>
    <n v="3200409"/>
    <x v="6"/>
    <n v="3.4780000000000002"/>
    <n v="15053572.91"/>
    <n v="0"/>
    <n v="15053572.91"/>
    <n v="213674.94"/>
    <n v="410318.73"/>
    <n v="1.0049999999999999"/>
    <n v="323472.78999999998"/>
    <n v="0"/>
    <n v="168939.88"/>
    <n v="2025"/>
    <n v="9"/>
  </r>
  <r>
    <n v="41426"/>
    <n v="3200508"/>
    <x v="7"/>
    <n v="0.23799999999999999"/>
    <n v="1030117.99"/>
    <n v="0"/>
    <n v="1030117.99"/>
    <n v="14621.8"/>
    <n v="129822.12"/>
    <n v="0.31900000000000001"/>
    <n v="22135.29"/>
    <n v="0"/>
    <n v="11560.57"/>
    <n v="2025"/>
    <n v="9"/>
  </r>
  <r>
    <n v="41427"/>
    <n v="3200607"/>
    <x v="8"/>
    <n v="4.4800000000000004"/>
    <n v="19390456.210000001"/>
    <n v="0"/>
    <n v="19390456.210000001"/>
    <n v="275233.96999999997"/>
    <n v="1493614.87"/>
    <n v="2.4649999999999999"/>
    <n v="416664.21"/>
    <n v="0"/>
    <n v="217610.88"/>
    <n v="2025"/>
    <n v="9"/>
  </r>
  <r>
    <n v="41428"/>
    <n v="3200706"/>
    <x v="9"/>
    <n v="0.39500000000000002"/>
    <n v="1709649.58"/>
    <n v="0"/>
    <n v="1709649.58"/>
    <n v="24267.279999999999"/>
    <n v="107645.36"/>
    <n v="0.438"/>
    <n v="36737.14"/>
    <n v="0"/>
    <n v="19186.68"/>
    <n v="2025"/>
    <n v="9"/>
  </r>
  <r>
    <n v="41429"/>
    <n v="3200805"/>
    <x v="10"/>
    <n v="0.54"/>
    <n v="2337242.4900000002"/>
    <n v="0"/>
    <n v="2337242.4900000002"/>
    <n v="33175.519999999997"/>
    <n v="606241.55000000005"/>
    <n v="1.0069999999999999"/>
    <n v="50222.91"/>
    <n v="0"/>
    <n v="26229.89"/>
    <n v="2025"/>
    <n v="9"/>
  </r>
  <r>
    <n v="41430"/>
    <n v="3200904"/>
    <x v="11"/>
    <n v="0.81299999999999994"/>
    <n v="3518848.42"/>
    <n v="0"/>
    <n v="3518848.42"/>
    <n v="49947.59"/>
    <n v="632107.48"/>
    <n v="1.3120000000000001"/>
    <n v="75613.39"/>
    <n v="0"/>
    <n v="39490.550000000003"/>
    <n v="2025"/>
    <n v="9"/>
  </r>
  <r>
    <n v="41431"/>
    <n v="3107109"/>
    <x v="12"/>
    <n v="0.48699999999999999"/>
    <n v="2107846.4500000002"/>
    <n v="0"/>
    <n v="2107846.4500000002"/>
    <n v="29919.41"/>
    <n v="129709.28"/>
    <n v="0.55200000000000005"/>
    <n v="45293.63"/>
    <n v="0"/>
    <n v="23655.47"/>
    <n v="2025"/>
    <n v="9"/>
  </r>
  <r>
    <n v="41432"/>
    <n v="3201100"/>
    <x v="13"/>
    <n v="0.247"/>
    <n v="1069072.03"/>
    <n v="0"/>
    <n v="1069072.03"/>
    <n v="15174.73"/>
    <n v="359340.72"/>
    <n v="0.435"/>
    <n v="22972.33"/>
    <n v="0"/>
    <n v="11997.74"/>
    <n v="2025"/>
    <n v="9"/>
  </r>
  <r>
    <n v="41433"/>
    <n v="3201159"/>
    <x v="14"/>
    <n v="0.40699999999999997"/>
    <n v="1761588.32"/>
    <n v="0"/>
    <n v="1761588.32"/>
    <n v="25004.52"/>
    <n v="152656.57999999999"/>
    <n v="0.54600000000000004"/>
    <n v="37853.199999999997"/>
    <n v="0"/>
    <n v="19769.560000000001"/>
    <n v="2025"/>
    <n v="9"/>
  </r>
  <r>
    <n v="41434"/>
    <n v="3201209"/>
    <x v="15"/>
    <n v="2.5920000000000001"/>
    <n v="11218763.960000001"/>
    <n v="0"/>
    <n v="11218763.960000001"/>
    <n v="159242.51"/>
    <n v="2627500.64"/>
    <n v="4.298"/>
    <n v="241070"/>
    <n v="0"/>
    <n v="125903.44"/>
    <n v="2025"/>
    <n v="9"/>
  </r>
  <r>
    <n v="41435"/>
    <n v="3201308"/>
    <x v="16"/>
    <n v="8.3239999999999998"/>
    <n v="36028160.119999997"/>
    <n v="0"/>
    <n v="36028160.119999997"/>
    <n v="511394.54"/>
    <n v="4136182.53"/>
    <n v="6.4569999999999999"/>
    <n v="774176.97"/>
    <n v="0"/>
    <n v="404328.8"/>
    <n v="2025"/>
    <n v="9"/>
  </r>
  <r>
    <n v="41436"/>
    <n v="3201407"/>
    <x v="17"/>
    <n v="0.80700000000000005"/>
    <n v="3492879.04"/>
    <n v="0"/>
    <n v="3492879.04"/>
    <n v="49578.98"/>
    <n v="627843.57999999996"/>
    <n v="1.1639999999999999"/>
    <n v="75055.360000000001"/>
    <n v="0"/>
    <n v="39199.1"/>
    <n v="2025"/>
    <n v="9"/>
  </r>
  <r>
    <n v="41437"/>
    <n v="3201506"/>
    <x v="18"/>
    <n v="2.0139999999999998"/>
    <n v="8717048.8200000003"/>
    <n v="0"/>
    <n v="8717048.8200000003"/>
    <n v="123732.41"/>
    <n v="1973055.17"/>
    <n v="2.86"/>
    <n v="187312.88"/>
    <n v="0"/>
    <n v="97827.75"/>
    <n v="2025"/>
    <n v="9"/>
  </r>
  <r>
    <n v="41438"/>
    <n v="3201605"/>
    <x v="19"/>
    <n v="0.60099999999999998"/>
    <n v="2601264.2999999998"/>
    <n v="0"/>
    <n v="2601264.2999999998"/>
    <n v="36923.129999999997"/>
    <n v="259286.45"/>
    <n v="0.94399999999999995"/>
    <n v="55896.24"/>
    <n v="0"/>
    <n v="29192.89"/>
    <n v="2025"/>
    <n v="9"/>
  </r>
  <r>
    <n v="41439"/>
    <n v="3201704"/>
    <x v="20"/>
    <n v="0.371"/>
    <n v="1605772.13"/>
    <n v="0"/>
    <n v="1605772.13"/>
    <n v="22792.81"/>
    <n v="128506.4"/>
    <n v="0.45600000000000002"/>
    <n v="34505.01"/>
    <n v="0"/>
    <n v="18020.900000000001"/>
    <n v="2025"/>
    <n v="9"/>
  </r>
  <r>
    <n v="41440"/>
    <n v="3201803"/>
    <x v="21"/>
    <n v="0.187"/>
    <n v="809378.44"/>
    <n v="0"/>
    <n v="809378.44"/>
    <n v="11488.56"/>
    <n v="55763.05"/>
    <n v="0.29299999999999998"/>
    <n v="17392.009999999998"/>
    <n v="0"/>
    <n v="9083.31"/>
    <n v="2025"/>
    <n v="9"/>
  </r>
  <r>
    <n v="41441"/>
    <n v="3201902"/>
    <x v="22"/>
    <n v="1.0620000000000001"/>
    <n v="4596576.91"/>
    <n v="0"/>
    <n v="4596576.91"/>
    <n v="65245.2"/>
    <n v="508154.82"/>
    <n v="1.147"/>
    <n v="98771.74"/>
    <n v="0"/>
    <n v="51585.440000000002"/>
    <n v="2025"/>
    <n v="9"/>
  </r>
  <r>
    <n v="41442"/>
    <n v="3202009"/>
    <x v="23"/>
    <n v="0.34899999999999998"/>
    <n v="1510551.18"/>
    <n v="0"/>
    <n v="1510551.18"/>
    <n v="21441.22"/>
    <n v="183429.16"/>
    <n v="0.312"/>
    <n v="32458.880000000001"/>
    <n v="0"/>
    <n v="16952.27"/>
    <n v="2025"/>
    <n v="9"/>
  </r>
  <r>
    <n v="41443"/>
    <n v="3202108"/>
    <x v="24"/>
    <n v="0.57099999999999995"/>
    <n v="2471417.52"/>
    <n v="0"/>
    <n v="2471417.52"/>
    <n v="35080.04"/>
    <n v="205789.32"/>
    <n v="0.79200000000000004"/>
    <n v="53106.080000000002"/>
    <n v="0"/>
    <n v="27735.67"/>
    <n v="2025"/>
    <n v="9"/>
  </r>
  <r>
    <n v="41444"/>
    <n v="3202207"/>
    <x v="25"/>
    <n v="0.36799999999999999"/>
    <n v="1592787.48"/>
    <n v="0"/>
    <n v="1592787.48"/>
    <n v="22608.5"/>
    <n v="223107.16"/>
    <n v="0.68600000000000005"/>
    <n v="34225.99"/>
    <n v="0"/>
    <n v="17875.18"/>
    <n v="2025"/>
    <n v="9"/>
  </r>
  <r>
    <n v="41445"/>
    <n v="3202256"/>
    <x v="26"/>
    <n v="0.53100000000000003"/>
    <n v="2298288.46"/>
    <n v="0"/>
    <n v="2298288.46"/>
    <n v="32622.6"/>
    <n v="167148.24"/>
    <n v="0.44400000000000001"/>
    <n v="49385.87"/>
    <n v="0"/>
    <n v="25792.720000000001"/>
    <n v="2025"/>
    <n v="9"/>
  </r>
  <r>
    <n v="41446"/>
    <n v="3202306"/>
    <x v="27"/>
    <n v="0.36699999999999999"/>
    <n v="1588459.25"/>
    <n v="0"/>
    <n v="1588459.25"/>
    <n v="22547.07"/>
    <n v="413538.64"/>
    <n v="0.99"/>
    <n v="34132.980000000003"/>
    <n v="0"/>
    <n v="17826.61"/>
    <n v="2025"/>
    <n v="9"/>
  </r>
  <r>
    <n v="41447"/>
    <n v="3202405"/>
    <x v="28"/>
    <n v="0.79"/>
    <n v="3419299.18"/>
    <n v="0"/>
    <n v="3419299.18"/>
    <n v="48534.559999999998"/>
    <n v="2525096.96"/>
    <n v="3.0129999999999999"/>
    <n v="73474.259999999995"/>
    <n v="0"/>
    <n v="38373.339999999997"/>
    <n v="2025"/>
    <n v="9"/>
  </r>
  <r>
    <n v="41448"/>
    <n v="3202454"/>
    <x v="29"/>
    <n v="0.33900000000000002"/>
    <n v="1467268.88"/>
    <n v="0"/>
    <n v="1467268.88"/>
    <n v="20826.86"/>
    <n v="401466.36"/>
    <n v="0.86499999999999999"/>
    <n v="31528.84"/>
    <n v="0"/>
    <n v="16466.54"/>
    <n v="2025"/>
    <n v="9"/>
  </r>
  <r>
    <n v="41449"/>
    <n v="3202504"/>
    <x v="30"/>
    <n v="0.307"/>
    <n v="1328765.6200000001"/>
    <n v="0"/>
    <n v="1328765.6200000001"/>
    <n v="18860.900000000001"/>
    <n v="236086.53"/>
    <n v="0.45400000000000001"/>
    <n v="28552.66"/>
    <n v="0"/>
    <n v="14912.17"/>
    <n v="2025"/>
    <n v="9"/>
  </r>
  <r>
    <n v="41450"/>
    <n v="3202553"/>
    <x v="31"/>
    <n v="0.28399999999999997"/>
    <n v="1229216.4099999999"/>
    <n v="0"/>
    <n v="1229216.4099999999"/>
    <n v="17447.87"/>
    <n v="95664.08"/>
    <n v="0.35"/>
    <n v="26413.53"/>
    <n v="0"/>
    <n v="13794.98"/>
    <n v="2025"/>
    <n v="9"/>
  </r>
  <r>
    <n v="41451"/>
    <n v="3202603"/>
    <x v="32"/>
    <n v="0.314"/>
    <n v="1359063.23"/>
    <n v="0"/>
    <n v="1359063.23"/>
    <n v="19290.95"/>
    <n v="237283.72"/>
    <n v="0.52"/>
    <n v="29203.69"/>
    <n v="0"/>
    <n v="15252.19"/>
    <n v="2025"/>
    <n v="9"/>
  </r>
  <r>
    <n v="41452"/>
    <n v="3202652"/>
    <x v="33"/>
    <n v="0.316"/>
    <n v="1367719.68"/>
    <n v="0"/>
    <n v="1367719.68"/>
    <n v="19413.82"/>
    <n v="182698.07"/>
    <n v="0.55700000000000005"/>
    <n v="29389.71"/>
    <n v="0"/>
    <n v="15349.34"/>
    <n v="2025"/>
    <n v="9"/>
  </r>
  <r>
    <n v="41453"/>
    <n v="3202702"/>
    <x v="34"/>
    <n v="0.40400000000000003"/>
    <n v="1748603.65"/>
    <n v="0"/>
    <n v="1748603.65"/>
    <n v="24820.21"/>
    <n v="103222.72"/>
    <n v="0.55200000000000005"/>
    <n v="37574.18"/>
    <n v="0"/>
    <n v="19623.830000000002"/>
    <n v="2025"/>
    <n v="9"/>
  </r>
  <r>
    <n v="41454"/>
    <n v="3202801"/>
    <x v="35"/>
    <n v="3.4060000000000001"/>
    <n v="14741940.560000001"/>
    <n v="0"/>
    <n v="14741940.560000001"/>
    <n v="209251.54"/>
    <n v="390725.94"/>
    <n v="1.2130000000000001"/>
    <n v="316776.40999999997"/>
    <n v="0"/>
    <n v="165442.56"/>
    <n v="2025"/>
    <n v="9"/>
  </r>
  <r>
    <n v="41455"/>
    <n v="3202900"/>
    <x v="36"/>
    <n v="0.39200000000000002"/>
    <n v="1696664.92"/>
    <n v="0"/>
    <n v="1696664.92"/>
    <n v="24082.97"/>
    <n v="140297.49"/>
    <n v="0.438"/>
    <n v="36458.120000000003"/>
    <n v="0"/>
    <n v="19040.95"/>
    <n v="2025"/>
    <n v="9"/>
  </r>
  <r>
    <n v="41456"/>
    <n v="3203007"/>
    <x v="37"/>
    <n v="0.5"/>
    <n v="2164113.4"/>
    <n v="0"/>
    <n v="2164113.4"/>
    <n v="30718.080000000002"/>
    <n v="363800.99"/>
    <n v="0.90300000000000002"/>
    <n v="46502.7"/>
    <n v="0"/>
    <n v="24286.92"/>
    <n v="2025"/>
    <n v="9"/>
  </r>
  <r>
    <n v="41457"/>
    <n v="3203056"/>
    <x v="38"/>
    <n v="1.109"/>
    <n v="4800003.57"/>
    <n v="0"/>
    <n v="4800003.57"/>
    <n v="68132.7"/>
    <n v="343417.51"/>
    <n v="0.98899999999999999"/>
    <n v="103143"/>
    <n v="0"/>
    <n v="53868.41"/>
    <n v="2025"/>
    <n v="9"/>
  </r>
  <r>
    <n v="41458"/>
    <n v="3203106"/>
    <x v="39"/>
    <n v="0.216"/>
    <n v="934896.99"/>
    <n v="0"/>
    <n v="934896.99"/>
    <n v="13270.21"/>
    <n v="71260.740000000005"/>
    <n v="0.45100000000000001"/>
    <n v="20089.16"/>
    <n v="0"/>
    <n v="10491.96"/>
    <n v="2025"/>
    <n v="9"/>
  </r>
  <r>
    <n v="41459"/>
    <n v="3203130"/>
    <x v="40"/>
    <n v="0.376"/>
    <n v="1627413.29"/>
    <n v="0"/>
    <n v="1627413.29"/>
    <n v="23099.99"/>
    <n v="183614.28"/>
    <n v="0.61499999999999999"/>
    <n v="34970.04"/>
    <n v="0"/>
    <n v="18263.77"/>
    <n v="2025"/>
    <n v="9"/>
  </r>
  <r>
    <n v="41460"/>
    <n v="3203163"/>
    <x v="41"/>
    <n v="0.42799999999999999"/>
    <n v="1852481.08"/>
    <n v="0"/>
    <n v="1852481.08"/>
    <n v="26294.67"/>
    <n v="64477.52"/>
    <n v="0.44500000000000001"/>
    <n v="39806.31"/>
    <n v="0"/>
    <n v="20789.61"/>
    <n v="2025"/>
    <n v="9"/>
  </r>
  <r>
    <n v="41461"/>
    <n v="3203205"/>
    <x v="42"/>
    <n v="4.431"/>
    <n v="19178373.07"/>
    <n v="0"/>
    <n v="19178373.07"/>
    <n v="272223.59999999998"/>
    <n v="2740347.16"/>
    <n v="4.0979999999999999"/>
    <n v="412106.94"/>
    <n v="0"/>
    <n v="215230.76"/>
    <n v="2025"/>
    <n v="9"/>
  </r>
  <r>
    <n v="41462"/>
    <n v="3203304"/>
    <x v="43"/>
    <n v="0.314"/>
    <n v="1359063.23"/>
    <n v="0"/>
    <n v="1359063.23"/>
    <n v="19290.95"/>
    <n v="170742.81"/>
    <n v="0.52400000000000002"/>
    <n v="29203.69"/>
    <n v="0"/>
    <n v="15252.19"/>
    <n v="2025"/>
    <n v="9"/>
  </r>
  <r>
    <n v="41463"/>
    <n v="3203320"/>
    <x v="44"/>
    <n v="0.58499999999999996"/>
    <n v="2532012.6800000002"/>
    <n v="0"/>
    <n v="2532012.6800000002"/>
    <n v="35940.15"/>
    <n v="617602.93999999994"/>
    <n v="1.3140000000000001"/>
    <n v="54408.160000000003"/>
    <n v="0"/>
    <n v="28415.71"/>
    <n v="2025"/>
    <n v="9"/>
  </r>
  <r>
    <n v="41464"/>
    <n v="3203346"/>
    <x v="45"/>
    <n v="0.55500000000000005"/>
    <n v="2402165.89"/>
    <n v="0"/>
    <n v="2402165.89"/>
    <n v="34097.06"/>
    <n v="206524.69"/>
    <n v="0.68500000000000005"/>
    <n v="51618"/>
    <n v="0"/>
    <n v="26958.5"/>
    <n v="2025"/>
    <n v="9"/>
  </r>
  <r>
    <n v="41465"/>
    <n v="3203353"/>
    <x v="46"/>
    <n v="0.505"/>
    <n v="2185754.56"/>
    <n v="0"/>
    <n v="2185754.56"/>
    <n v="31025.26"/>
    <n v="168726.8"/>
    <n v="0.46300000000000002"/>
    <n v="46967.73"/>
    <n v="0"/>
    <n v="24529.8"/>
    <n v="2025"/>
    <n v="9"/>
  </r>
  <r>
    <n v="41466"/>
    <n v="3203403"/>
    <x v="47"/>
    <n v="0.46899999999999997"/>
    <n v="2029938.38"/>
    <n v="0"/>
    <n v="2029938.38"/>
    <n v="28813.56"/>
    <n v="226696.07"/>
    <n v="0.83899999999999997"/>
    <n v="43619.54"/>
    <n v="0"/>
    <n v="22781.14"/>
    <n v="2025"/>
    <n v="9"/>
  </r>
  <r>
    <n v="41467"/>
    <n v="3203502"/>
    <x v="48"/>
    <n v="0.51500000000000001"/>
    <n v="2229036.83"/>
    <n v="0"/>
    <n v="2229036.83"/>
    <n v="31639.62"/>
    <n v="242877.25"/>
    <n v="0.69699999999999995"/>
    <n v="47897.78"/>
    <n v="0"/>
    <n v="25015.53"/>
    <n v="2025"/>
    <n v="9"/>
  </r>
  <r>
    <n v="41468"/>
    <n v="3203601"/>
    <x v="49"/>
    <n v="0.30599999999999999"/>
    <n v="1324437.3899999999"/>
    <n v="0"/>
    <n v="1324437.3899999999"/>
    <n v="18799.46"/>
    <n v="64901.120000000003"/>
    <n v="0.29699999999999999"/>
    <n v="28459.65"/>
    <n v="0"/>
    <n v="14863.6"/>
    <n v="2025"/>
    <n v="9"/>
  </r>
  <r>
    <n v="41469"/>
    <n v="3203700"/>
    <x v="50"/>
    <n v="0.505"/>
    <n v="2185754.56"/>
    <n v="0"/>
    <n v="2185754.56"/>
    <n v="31025.26"/>
    <n v="162209.60999999999"/>
    <n v="0.68500000000000005"/>
    <n v="46967.73"/>
    <n v="0"/>
    <n v="24529.8"/>
    <n v="2025"/>
    <n v="9"/>
  </r>
  <r>
    <n v="41470"/>
    <n v="3203809"/>
    <x v="51"/>
    <n v="0.32"/>
    <n v="1385032.61"/>
    <n v="0"/>
    <n v="1385032.61"/>
    <n v="19659.57"/>
    <n v="121825.97"/>
    <n v="0.55300000000000005"/>
    <n v="29761.72"/>
    <n v="0"/>
    <n v="15543.64"/>
    <n v="2025"/>
    <n v="9"/>
  </r>
  <r>
    <n v="41471"/>
    <n v="3203908"/>
    <x v="52"/>
    <n v="1.2250000000000001"/>
    <n v="5302077.87"/>
    <n v="0"/>
    <n v="5302077.87"/>
    <n v="75259.289999999994"/>
    <n v="677112.59"/>
    <n v="1.4710000000000001"/>
    <n v="113931.62"/>
    <n v="0"/>
    <n v="59502.97"/>
    <n v="2025"/>
    <n v="9"/>
  </r>
  <r>
    <n v="41472"/>
    <n v="3204005"/>
    <x v="53"/>
    <n v="0.435"/>
    <n v="1882778.68"/>
    <n v="0"/>
    <n v="1882778.68"/>
    <n v="26724.73"/>
    <n v="177730.82"/>
    <n v="0.69099999999999995"/>
    <n v="40457.35"/>
    <n v="0"/>
    <n v="21129.63"/>
    <n v="2025"/>
    <n v="9"/>
  </r>
  <r>
    <n v="41473"/>
    <n v="3204054"/>
    <x v="54"/>
    <n v="0.33400000000000002"/>
    <n v="1445627.75"/>
    <n v="0"/>
    <n v="1445627.75"/>
    <n v="20519.68"/>
    <n v="281746.88"/>
    <n v="0.78400000000000003"/>
    <n v="31063.81"/>
    <n v="0"/>
    <n v="16223.67"/>
    <n v="2025"/>
    <n v="9"/>
  </r>
  <r>
    <n v="41474"/>
    <n v="3204104"/>
    <x v="55"/>
    <n v="0.755"/>
    <n v="3267811.26"/>
    <n v="0"/>
    <n v="3267811.26"/>
    <n v="46384.3"/>
    <n v="246323.66"/>
    <n v="0.83499999999999996"/>
    <n v="70219.08"/>
    <n v="0"/>
    <n v="36673.269999999997"/>
    <n v="2025"/>
    <n v="9"/>
  </r>
  <r>
    <n v="41475"/>
    <n v="3204203"/>
    <x v="56"/>
    <n v="0.36499999999999999"/>
    <n v="1579802.77"/>
    <n v="0"/>
    <n v="1579802.77"/>
    <n v="22424.2"/>
    <n v="368061.75"/>
    <n v="0.745"/>
    <n v="33946.97"/>
    <n v="0"/>
    <n v="17729.46"/>
    <n v="2025"/>
    <n v="9"/>
  </r>
  <r>
    <n v="41476"/>
    <n v="3204252"/>
    <x v="57"/>
    <n v="0.27"/>
    <n v="1168621.25"/>
    <n v="0"/>
    <n v="1168621.25"/>
    <n v="16587.759999999998"/>
    <n v="66694.05"/>
    <n v="0.31"/>
    <n v="25111.46"/>
    <n v="0"/>
    <n v="13114.94"/>
    <n v="2025"/>
    <n v="9"/>
  </r>
  <r>
    <n v="41477"/>
    <n v="1718402"/>
    <x v="58"/>
    <n v="0.39100000000000001"/>
    <n v="1692336.69"/>
    <n v="0"/>
    <n v="1692336.69"/>
    <n v="24021.54"/>
    <n v="207382.11"/>
    <n v="0.55900000000000005"/>
    <n v="36365.11"/>
    <n v="0"/>
    <n v="18992.38"/>
    <n v="2025"/>
    <n v="9"/>
  </r>
  <r>
    <n v="41478"/>
    <n v="3204351"/>
    <x v="59"/>
    <n v="0.88200000000000001"/>
    <n v="3817496.08"/>
    <n v="0"/>
    <n v="3817496.08"/>
    <n v="54186.69"/>
    <n v="238427.13"/>
    <n v="0.70299999999999996"/>
    <n v="82030.759999999995"/>
    <n v="0"/>
    <n v="42842.14"/>
    <n v="2025"/>
    <n v="9"/>
  </r>
  <r>
    <n v="41479"/>
    <n v="3204401"/>
    <x v="60"/>
    <n v="0.312"/>
    <n v="1350406.77"/>
    <n v="0"/>
    <n v="1350406.77"/>
    <n v="19168.080000000002"/>
    <n v="155404.04999999999"/>
    <n v="0.44400000000000001"/>
    <n v="29017.68"/>
    <n v="0"/>
    <n v="15155.05"/>
    <n v="2025"/>
    <n v="9"/>
  </r>
  <r>
    <n v="41480"/>
    <n v="3204500"/>
    <x v="61"/>
    <n v="0.51800000000000002"/>
    <n v="2242021.5"/>
    <n v="0"/>
    <n v="2242021.5"/>
    <n v="31823.93"/>
    <n v="126307.15"/>
    <n v="0.54800000000000004"/>
    <n v="48176.800000000003"/>
    <n v="0"/>
    <n v="25161.26"/>
    <n v="2025"/>
    <n v="9"/>
  </r>
  <r>
    <n v="41481"/>
    <n v="3204559"/>
    <x v="62"/>
    <n v="2.1909999999999998"/>
    <n v="9483144.9900000002"/>
    <n v="0"/>
    <n v="9483144.9900000002"/>
    <n v="134606.60999999999"/>
    <n v="694980.18"/>
    <n v="1.31"/>
    <n v="203774.84"/>
    <n v="0"/>
    <n v="106425.32"/>
    <n v="2025"/>
    <n v="9"/>
  </r>
  <r>
    <n v="41482"/>
    <n v="3204609"/>
    <x v="63"/>
    <n v="0.66"/>
    <n v="2856629.72"/>
    <n v="0"/>
    <n v="2856629.72"/>
    <n v="40547.86"/>
    <n v="320187.42"/>
    <n v="0.82199999999999995"/>
    <n v="61383.57"/>
    <n v="0"/>
    <n v="32058.74"/>
    <n v="2025"/>
    <n v="9"/>
  </r>
  <r>
    <n v="41483"/>
    <n v="3204658"/>
    <x v="64"/>
    <n v="0.42099999999999999"/>
    <n v="1822183.47"/>
    <n v="0"/>
    <n v="1822183.47"/>
    <n v="25864.62"/>
    <n v="115020.47"/>
    <n v="0.33800000000000002"/>
    <n v="39155.279999999999"/>
    <n v="0"/>
    <n v="20449.59"/>
    <n v="2025"/>
    <n v="9"/>
  </r>
  <r>
    <n v="41484"/>
    <n v="3204708"/>
    <x v="65"/>
    <n v="0.72299999999999998"/>
    <n v="3129308.01"/>
    <n v="0"/>
    <n v="3129308.01"/>
    <n v="44418.34"/>
    <n v="478454.9"/>
    <n v="1.0840000000000001"/>
    <n v="67242.899999999994"/>
    <n v="0"/>
    <n v="35118.9"/>
    <n v="2025"/>
    <n v="9"/>
  </r>
  <r>
    <n v="41485"/>
    <n v="3204807"/>
    <x v="66"/>
    <n v="0.28599999999999998"/>
    <n v="1237872.8799999999"/>
    <n v="0"/>
    <n v="1237872.8799999999"/>
    <n v="17570.740000000002"/>
    <n v="99714.18"/>
    <n v="0.443"/>
    <n v="26599.55"/>
    <n v="0"/>
    <n v="13892.13"/>
    <n v="2025"/>
    <n v="9"/>
  </r>
  <r>
    <n v="41486"/>
    <n v="3204906"/>
    <x v="67"/>
    <n v="1.998"/>
    <n v="8647797.2100000009"/>
    <n v="0"/>
    <n v="8647797.2100000009"/>
    <n v="122749.44"/>
    <n v="1801618.08"/>
    <n v="2.9940000000000002"/>
    <n v="185824.79"/>
    <n v="0"/>
    <n v="97050.57"/>
    <n v="2025"/>
    <n v="9"/>
  </r>
  <r>
    <n v="41487"/>
    <n v="3204955"/>
    <x v="68"/>
    <n v="0.3"/>
    <n v="1298468.07"/>
    <n v="0"/>
    <n v="1298468.07"/>
    <n v="18430.849999999999"/>
    <n v="103895.18"/>
    <n v="0.441"/>
    <n v="27901.62"/>
    <n v="0"/>
    <n v="14572.15"/>
    <n v="2025"/>
    <n v="9"/>
  </r>
  <r>
    <n v="41488"/>
    <n v="3205002"/>
    <x v="69"/>
    <n v="14.551"/>
    <n v="62980028.590000004"/>
    <n v="0"/>
    <n v="62980028.590000004"/>
    <n v="893957.47"/>
    <n v="7044667.9900000002"/>
    <n v="8.8559999999999999"/>
    <n v="1353321.61"/>
    <n v="0"/>
    <n v="706798.21"/>
    <n v="2025"/>
    <n v="9"/>
  </r>
  <r>
    <n v="41489"/>
    <n v="3205010"/>
    <x v="70"/>
    <n v="0.78200000000000003"/>
    <n v="3384673.38"/>
    <n v="0"/>
    <n v="3384673.38"/>
    <n v="48043.07"/>
    <n v="284257.14"/>
    <n v="0.93799999999999994"/>
    <n v="72730.22"/>
    <n v="0"/>
    <n v="37984.76"/>
    <n v="2025"/>
    <n v="9"/>
  </r>
  <r>
    <n v="41490"/>
    <n v="3205036"/>
    <x v="71"/>
    <n v="0.45700000000000002"/>
    <n v="1977999.66"/>
    <n v="0"/>
    <n v="1977999.66"/>
    <n v="28076.32"/>
    <n v="251447.23"/>
    <n v="0.70399999999999996"/>
    <n v="42503.47"/>
    <n v="0"/>
    <n v="22198.26"/>
    <n v="2025"/>
    <n v="9"/>
  </r>
  <r>
    <n v="41491"/>
    <n v="3205069"/>
    <x v="72"/>
    <n v="0.67"/>
    <n v="2899911.99"/>
    <n v="0"/>
    <n v="2899911.99"/>
    <n v="41162.22"/>
    <n v="386172.99"/>
    <n v="0.83899999999999997"/>
    <n v="62313.62"/>
    <n v="0"/>
    <n v="32544.49"/>
    <n v="2025"/>
    <n v="9"/>
  </r>
  <r>
    <n v="41492"/>
    <n v="2112803"/>
    <x v="73"/>
    <n v="3.3740000000000001"/>
    <n v="14603437.32"/>
    <n v="0"/>
    <n v="14603437.32"/>
    <n v="207285.58"/>
    <n v="854582.87"/>
    <n v="1.944"/>
    <n v="313800.23"/>
    <n v="0"/>
    <n v="163888.20000000001"/>
    <n v="2025"/>
    <n v="9"/>
  </r>
  <r>
    <n v="41493"/>
    <n v="3205150"/>
    <x v="74"/>
    <n v="0.36799999999999999"/>
    <n v="1592787.48"/>
    <n v="0"/>
    <n v="1592787.48"/>
    <n v="22608.5"/>
    <n v="68482.63"/>
    <n v="0.34100000000000003"/>
    <n v="34225.99"/>
    <n v="0"/>
    <n v="17875.18"/>
    <n v="2025"/>
    <n v="9"/>
  </r>
  <r>
    <n v="41494"/>
    <n v="3205176"/>
    <x v="75"/>
    <n v="0.7"/>
    <n v="3029758.78"/>
    <n v="0"/>
    <n v="3029758.78"/>
    <n v="43005.31"/>
    <n v="222750.35"/>
    <n v="0.55400000000000005"/>
    <n v="65103.79"/>
    <n v="0"/>
    <n v="34001.699999999997"/>
    <n v="2025"/>
    <n v="9"/>
  </r>
  <r>
    <n v="41495"/>
    <n v="3205200"/>
    <x v="76"/>
    <n v="6.6219999999999999"/>
    <n v="28661518.059999999"/>
    <n v="0"/>
    <n v="28661518.059999999"/>
    <n v="406830.21"/>
    <n v="7738250.3499999996"/>
    <n v="8.01"/>
    <n v="615881.78"/>
    <n v="0"/>
    <n v="321656.09000000003"/>
    <n v="2025"/>
    <n v="9"/>
  </r>
  <r>
    <n v="41496"/>
    <n v="3205309"/>
    <x v="77"/>
    <n v="10.878"/>
    <n v="47082451.350000001"/>
    <n v="0"/>
    <n v="47082451.350000001"/>
    <n v="668302.48"/>
    <n v="6889762.9199999999"/>
    <n v="9.1780000000000008"/>
    <n v="1011712.82"/>
    <n v="0"/>
    <n v="528386.43999999994"/>
    <n v="2025"/>
    <n v="9"/>
  </r>
  <r>
    <n v="41497"/>
    <n v="3200102"/>
    <x v="0"/>
    <n v="0.67100000000000004"/>
    <n v="3309535.73"/>
    <n v="0"/>
    <n v="3309535.73"/>
    <n v="39533.760000000002"/>
    <n v="167640.94"/>
    <n v="1.004"/>
    <n v="70914.83"/>
    <n v="12890.93"/>
    <n v="16504.36"/>
    <n v="2025"/>
    <n v="10"/>
  </r>
  <r>
    <n v="41498"/>
    <n v="3200169"/>
    <x v="1"/>
    <n v="0.309"/>
    <n v="1524063.4"/>
    <n v="0"/>
    <n v="1524063.4"/>
    <n v="18205.560000000001"/>
    <n v="53319.75"/>
    <n v="0.45700000000000002"/>
    <n v="32656.75"/>
    <n v="5871.87"/>
    <n v="7600.37"/>
    <n v="2025"/>
    <n v="10"/>
  </r>
  <r>
    <n v="41499"/>
    <n v="3200136"/>
    <x v="2"/>
    <n v="0.51900000000000002"/>
    <n v="2559834.65"/>
    <n v="0"/>
    <n v="2559834.65"/>
    <n v="30578.27"/>
    <n v="82832.42"/>
    <n v="0.35099999999999998"/>
    <n v="54850.66"/>
    <n v="4514.2299999999996"/>
    <n v="12765.67"/>
    <n v="2025"/>
    <n v="10"/>
  </r>
  <r>
    <n v="41500"/>
    <n v="3200201"/>
    <x v="3"/>
    <n v="0.41799999999999998"/>
    <n v="2061678.02"/>
    <n v="0"/>
    <n v="2061678.02"/>
    <n v="24627.59"/>
    <n v="143553.60999999999"/>
    <n v="0.98299999999999998"/>
    <n v="44176.44"/>
    <n v="12624.48"/>
    <n v="10281.41"/>
    <n v="2025"/>
    <n v="10"/>
  </r>
  <r>
    <n v="41501"/>
    <n v="3200300"/>
    <x v="4"/>
    <n v="0.442"/>
    <n v="2180051.87"/>
    <n v="0"/>
    <n v="2180051.87"/>
    <n v="26041.61"/>
    <n v="75974.52"/>
    <n v="0.55500000000000005"/>
    <n v="46712.89"/>
    <n v="7132.29"/>
    <n v="10871.73"/>
    <n v="2025"/>
    <n v="10"/>
  </r>
  <r>
    <n v="41502"/>
    <n v="3200359"/>
    <x v="5"/>
    <n v="0.25800000000000001"/>
    <n v="1272518.96"/>
    <n v="0"/>
    <n v="1272518.96"/>
    <n v="15200.76"/>
    <n v="68485.83"/>
    <n v="0.32300000000000001"/>
    <n v="27266.799999999999"/>
    <n v="4142.1099999999997"/>
    <n v="6345.94"/>
    <n v="2025"/>
    <n v="10"/>
  </r>
  <r>
    <n v="41503"/>
    <n v="3200409"/>
    <x v="6"/>
    <n v="3.4780000000000002"/>
    <n v="17154344.739999998"/>
    <n v="0"/>
    <n v="17154344.739999998"/>
    <n v="204915.67"/>
    <n v="201917.61"/>
    <n v="1.0049999999999999"/>
    <n v="367573.39"/>
    <n v="12912.53"/>
    <n v="85547.199999999997"/>
    <n v="2025"/>
    <n v="10"/>
  </r>
  <r>
    <n v="41504"/>
    <n v="3200508"/>
    <x v="7"/>
    <n v="0.23799999999999999"/>
    <n v="1173874.0900000001"/>
    <n v="0"/>
    <n v="1173874.0900000001"/>
    <n v="14022.41"/>
    <n v="86932.28"/>
    <n v="0.31900000000000001"/>
    <n v="25153.1"/>
    <n v="4099.37"/>
    <n v="5854.01"/>
    <n v="2025"/>
    <n v="10"/>
  </r>
  <r>
    <n v="41505"/>
    <n v="3200607"/>
    <x v="8"/>
    <n v="4.4800000000000004"/>
    <n v="22096453.25"/>
    <n v="0"/>
    <n v="22096453.25"/>
    <n v="263951.18"/>
    <n v="756943.09"/>
    <n v="2.4649999999999999"/>
    <n v="473470.04"/>
    <n v="31655.26"/>
    <n v="110193.05"/>
    <n v="2025"/>
    <n v="10"/>
  </r>
  <r>
    <n v="41506"/>
    <n v="3200706"/>
    <x v="9"/>
    <n v="0.39500000000000002"/>
    <n v="1948236.39"/>
    <n v="0"/>
    <n v="1948236.39"/>
    <n v="23272.48"/>
    <n v="44453.25"/>
    <n v="0.438"/>
    <n v="41745.69"/>
    <n v="5629.84"/>
    <n v="9715.68"/>
    <n v="2025"/>
    <n v="10"/>
  </r>
  <r>
    <n v="41507"/>
    <n v="3200805"/>
    <x v="10"/>
    <n v="0.54"/>
    <n v="2663411.7799999998"/>
    <n v="0"/>
    <n v="2663411.7799999998"/>
    <n v="31815.54"/>
    <n v="278647.52"/>
    <n v="1.0069999999999999"/>
    <n v="57070.05"/>
    <n v="12929.75"/>
    <n v="13282.2"/>
    <n v="2025"/>
    <n v="10"/>
  </r>
  <r>
    <n v="41508"/>
    <n v="3200904"/>
    <x v="11"/>
    <n v="0.81299999999999994"/>
    <n v="4009914.42"/>
    <n v="0"/>
    <n v="4009914.42"/>
    <n v="47900.07"/>
    <n v="340234.93"/>
    <n v="1.3120000000000001"/>
    <n v="85922.13"/>
    <n v="16848.259999999998"/>
    <n v="19997.09"/>
    <n v="2025"/>
    <n v="10"/>
  </r>
  <r>
    <n v="41509"/>
    <n v="3107109"/>
    <x v="12"/>
    <n v="0.48699999999999999"/>
    <n v="2402002.84"/>
    <n v="0"/>
    <n v="2402002.84"/>
    <n v="28692.91"/>
    <n v="82633.990000000005"/>
    <n v="0.55200000000000005"/>
    <n v="51468.74"/>
    <n v="7086.27"/>
    <n v="11978.58"/>
    <n v="2025"/>
    <n v="10"/>
  </r>
  <r>
    <n v="41510"/>
    <n v="3201100"/>
    <x v="13"/>
    <n v="0.247"/>
    <n v="1218264.27"/>
    <n v="0"/>
    <n v="1218264.27"/>
    <n v="14552.67"/>
    <n v="207558.04"/>
    <n v="0.435"/>
    <n v="26104.26"/>
    <n v="5590.86"/>
    <n v="6075.38"/>
    <n v="2025"/>
    <n v="10"/>
  </r>
  <r>
    <n v="41511"/>
    <n v="3201159"/>
    <x v="14"/>
    <n v="0.40699999999999997"/>
    <n v="2007423.33"/>
    <n v="0"/>
    <n v="2007423.33"/>
    <n v="23979.49"/>
    <n v="85322.58"/>
    <n v="0.54600000000000004"/>
    <n v="43013.91"/>
    <n v="7017.85"/>
    <n v="10010.84"/>
    <n v="2025"/>
    <n v="10"/>
  </r>
  <r>
    <n v="41512"/>
    <n v="3201209"/>
    <x v="15"/>
    <n v="2.5920000000000001"/>
    <n v="12784376.529999999"/>
    <n v="0"/>
    <n v="12784376.529999999"/>
    <n v="152714.60999999999"/>
    <n v="1429490.64"/>
    <n v="4.298"/>
    <n v="273936.24"/>
    <n v="55199.87"/>
    <n v="63754.55"/>
    <n v="2025"/>
    <n v="10"/>
  </r>
  <r>
    <n v="41513"/>
    <n v="3201308"/>
    <x v="16"/>
    <n v="8.3239999999999998"/>
    <n v="41055999.280000001"/>
    <n v="0"/>
    <n v="41055999.280000001"/>
    <n v="490430.71999999997"/>
    <n v="2292941.38"/>
    <n v="6.4569999999999999"/>
    <n v="879724.24"/>
    <n v="82934.44"/>
    <n v="204742.63"/>
    <n v="2025"/>
    <n v="10"/>
  </r>
  <r>
    <n v="41514"/>
    <n v="3201407"/>
    <x v="17"/>
    <n v="0.80700000000000005"/>
    <n v="3980320.91"/>
    <n v="0"/>
    <n v="3980320.91"/>
    <n v="47546.559999999998"/>
    <n v="722886.49"/>
    <n v="1.1639999999999999"/>
    <n v="85288.02"/>
    <n v="14955.38"/>
    <n v="19849.509999999998"/>
    <n v="2025"/>
    <n v="10"/>
  </r>
  <r>
    <n v="41515"/>
    <n v="3201506"/>
    <x v="18"/>
    <n v="2.0139999999999998"/>
    <n v="9933539.4800000004"/>
    <n v="0"/>
    <n v="9933539.4800000004"/>
    <n v="118660.2"/>
    <n v="935145.9"/>
    <n v="2.86"/>
    <n v="212850.14"/>
    <n v="36735.160000000003"/>
    <n v="49537.68"/>
    <n v="2025"/>
    <n v="10"/>
  </r>
  <r>
    <n v="41516"/>
    <n v="3201605"/>
    <x v="19"/>
    <n v="0.60099999999999998"/>
    <n v="2964278.66"/>
    <n v="0"/>
    <n v="2964278.66"/>
    <n v="35409.519999999997"/>
    <n v="122512.92"/>
    <n v="0.94399999999999995"/>
    <n v="63516.85"/>
    <n v="12125.22"/>
    <n v="14782.59"/>
    <n v="2025"/>
    <n v="10"/>
  </r>
  <r>
    <n v="41517"/>
    <n v="3201704"/>
    <x v="20"/>
    <n v="0.371"/>
    <n v="1829862.55"/>
    <n v="0"/>
    <n v="1829862.55"/>
    <n v="21858.46"/>
    <n v="69390.25"/>
    <n v="0.45600000000000002"/>
    <n v="39209.24"/>
    <n v="5854.49"/>
    <n v="9125.36"/>
    <n v="2025"/>
    <n v="10"/>
  </r>
  <r>
    <n v="41518"/>
    <n v="3201803"/>
    <x v="21"/>
    <n v="0.187"/>
    <n v="922329.66"/>
    <n v="0"/>
    <n v="922329.66"/>
    <n v="11017.6"/>
    <n v="31195.09"/>
    <n v="0.29299999999999998"/>
    <n v="19763.16"/>
    <n v="3768.28"/>
    <n v="4599.58"/>
    <n v="2025"/>
    <n v="10"/>
  </r>
  <r>
    <n v="41519"/>
    <n v="3201902"/>
    <x v="22"/>
    <n v="1.0620000000000001"/>
    <n v="5238043.1500000004"/>
    <n v="0"/>
    <n v="5238043.1500000004"/>
    <n v="62570.57"/>
    <n v="255188.38"/>
    <n v="1.147"/>
    <n v="112237.77"/>
    <n v="14732.46"/>
    <n v="26121.66"/>
    <n v="2025"/>
    <n v="10"/>
  </r>
  <r>
    <n v="41520"/>
    <n v="3202009"/>
    <x v="23"/>
    <n v="0.34899999999999998"/>
    <n v="1721353.17"/>
    <n v="0"/>
    <n v="1721353.17"/>
    <n v="20562.27"/>
    <n v="78750.080000000002"/>
    <n v="0.312"/>
    <n v="36884.160000000003"/>
    <n v="4007.17"/>
    <n v="8584.24"/>
    <n v="2025"/>
    <n v="10"/>
  </r>
  <r>
    <n v="41521"/>
    <n v="3202108"/>
    <x v="24"/>
    <n v="0.57099999999999995"/>
    <n v="2816311.33"/>
    <n v="0"/>
    <n v="2816311.33"/>
    <n v="33641.99"/>
    <n v="114391.38"/>
    <n v="0.79200000000000004"/>
    <n v="60346.29"/>
    <n v="10168.200000000001"/>
    <n v="14044.69"/>
    <n v="2025"/>
    <n v="10"/>
  </r>
  <r>
    <n v="41522"/>
    <n v="3202207"/>
    <x v="25"/>
    <n v="0.36799999999999999"/>
    <n v="1815065.79"/>
    <n v="0"/>
    <n v="1815065.79"/>
    <n v="21681.7"/>
    <n v="125491.64"/>
    <n v="0.68600000000000005"/>
    <n v="38892.18"/>
    <n v="8805.52"/>
    <n v="9051.57"/>
    <n v="2025"/>
    <n v="10"/>
  </r>
  <r>
    <n v="41523"/>
    <n v="3202256"/>
    <x v="26"/>
    <n v="0.53100000000000003"/>
    <n v="2619021.56"/>
    <n v="0"/>
    <n v="2619021.56"/>
    <n v="31285.279999999999"/>
    <n v="120335.37"/>
    <n v="0.44400000000000001"/>
    <n v="56118.879999999997"/>
    <n v="5700.92"/>
    <n v="13060.83"/>
    <n v="2025"/>
    <n v="10"/>
  </r>
  <r>
    <n v="41524"/>
    <n v="3202306"/>
    <x v="27"/>
    <n v="0.36699999999999999"/>
    <n v="1810133.58"/>
    <n v="0"/>
    <n v="1810133.58"/>
    <n v="21622.79"/>
    <n v="217012.86"/>
    <n v="0.99"/>
    <n v="38786.5"/>
    <n v="12709.96"/>
    <n v="9026.98"/>
    <n v="2025"/>
    <n v="10"/>
  </r>
  <r>
    <n v="41525"/>
    <n v="3202405"/>
    <x v="28"/>
    <n v="0.79"/>
    <n v="3896472.77"/>
    <n v="0"/>
    <n v="3896472.77"/>
    <n v="46544.959999999999"/>
    <n v="1397289.45"/>
    <n v="3.0129999999999999"/>
    <n v="83491.37"/>
    <n v="38701.32"/>
    <n v="19431.36"/>
    <n v="2025"/>
    <n v="10"/>
  </r>
  <r>
    <n v="41526"/>
    <n v="3202454"/>
    <x v="29"/>
    <n v="0.33900000000000002"/>
    <n v="1672030.72"/>
    <n v="0"/>
    <n v="1672030.72"/>
    <n v="19973.09"/>
    <n v="227896.98"/>
    <n v="0.86499999999999999"/>
    <n v="35827.31"/>
    <n v="11110.13"/>
    <n v="8338.27"/>
    <n v="2025"/>
    <n v="10"/>
  </r>
  <r>
    <n v="41527"/>
    <n v="3202504"/>
    <x v="30"/>
    <n v="0.307"/>
    <n v="1514198.91"/>
    <n v="0"/>
    <n v="1514198.91"/>
    <n v="18087.73"/>
    <n v="62590.61"/>
    <n v="0.45400000000000001"/>
    <n v="32445.37"/>
    <n v="5825.22"/>
    <n v="7551.18"/>
    <n v="2025"/>
    <n v="10"/>
  </r>
  <r>
    <n v="41528"/>
    <n v="3202553"/>
    <x v="31"/>
    <n v="0.28399999999999997"/>
    <n v="1400757.3"/>
    <n v="0"/>
    <n v="1400757.3"/>
    <n v="16732.62"/>
    <n v="68744.320000000007"/>
    <n v="0.35"/>
    <n v="30014.61"/>
    <n v="4490.59"/>
    <n v="6985.45"/>
    <n v="2025"/>
    <n v="10"/>
  </r>
  <r>
    <n v="41529"/>
    <n v="3202603"/>
    <x v="32"/>
    <n v="0.314"/>
    <n v="1548724.62"/>
    <n v="0"/>
    <n v="1548724.62"/>
    <n v="18500.150000000001"/>
    <n v="152697.46"/>
    <n v="0.52"/>
    <n v="33185.18"/>
    <n v="6675.14"/>
    <n v="7723.35"/>
    <n v="2025"/>
    <n v="10"/>
  </r>
  <r>
    <n v="41530"/>
    <n v="3202652"/>
    <x v="33"/>
    <n v="0.316"/>
    <n v="1558589.1"/>
    <n v="0"/>
    <n v="1558589.1"/>
    <n v="18617.98"/>
    <n v="114458.95"/>
    <n v="0.55700000000000005"/>
    <n v="33396.550000000003"/>
    <n v="7154.21"/>
    <n v="7772.55"/>
    <n v="2025"/>
    <n v="10"/>
  </r>
  <r>
    <n v="41531"/>
    <n v="3202702"/>
    <x v="34"/>
    <n v="0.40400000000000003"/>
    <n v="1992626.6"/>
    <n v="0"/>
    <n v="1992626.6"/>
    <n v="23802.74"/>
    <n v="55572.08"/>
    <n v="0.55200000000000005"/>
    <n v="42696.85"/>
    <n v="7084.07"/>
    <n v="9937.0499999999993"/>
    <n v="2025"/>
    <n v="10"/>
  </r>
  <r>
    <n v="41532"/>
    <n v="3202801"/>
    <x v="35"/>
    <n v="3.4060000000000001"/>
    <n v="16799223.170000002"/>
    <n v="0"/>
    <n v="16799223.170000002"/>
    <n v="200673.6"/>
    <n v="276654.87"/>
    <n v="1.2130000000000001"/>
    <n v="359964.05"/>
    <n v="15576.26"/>
    <n v="83776.240000000005"/>
    <n v="2025"/>
    <n v="10"/>
  </r>
  <r>
    <n v="41533"/>
    <n v="3202900"/>
    <x v="36"/>
    <n v="0.39200000000000002"/>
    <n v="1933439.66"/>
    <n v="0"/>
    <n v="1933439.66"/>
    <n v="23095.73"/>
    <n v="58335.09"/>
    <n v="0.438"/>
    <n v="41428.629999999997"/>
    <n v="5625.31"/>
    <n v="9641.89"/>
    <n v="2025"/>
    <n v="10"/>
  </r>
  <r>
    <n v="41534"/>
    <n v="3203007"/>
    <x v="37"/>
    <n v="0.5"/>
    <n v="2466122.02"/>
    <n v="0"/>
    <n v="2466122.02"/>
    <n v="29458.84"/>
    <n v="200278.38"/>
    <n v="0.90300000000000002"/>
    <n v="52842.64"/>
    <n v="11601.07"/>
    <n v="12298.33"/>
    <n v="2025"/>
    <n v="10"/>
  </r>
  <r>
    <n v="41535"/>
    <n v="3203056"/>
    <x v="38"/>
    <n v="1.109"/>
    <n v="5469858.6399999997"/>
    <n v="0"/>
    <n v="5469858.6399999997"/>
    <n v="65339.7"/>
    <n v="228800.12"/>
    <n v="0.98899999999999999"/>
    <n v="117204.97"/>
    <n v="12700.88"/>
    <n v="27277.7"/>
    <n v="2025"/>
    <n v="10"/>
  </r>
  <r>
    <n v="41536"/>
    <n v="3203106"/>
    <x v="39"/>
    <n v="0.216"/>
    <n v="1065364.71"/>
    <n v="0"/>
    <n v="1065364.71"/>
    <n v="12726.22"/>
    <n v="44831.69"/>
    <n v="0.45100000000000001"/>
    <n v="22828.01"/>
    <n v="5796.72"/>
    <n v="5312.88"/>
    <n v="2025"/>
    <n v="10"/>
  </r>
  <r>
    <n v="41537"/>
    <n v="3203130"/>
    <x v="40"/>
    <n v="0.376"/>
    <n v="1854523.76"/>
    <n v="0"/>
    <n v="1854523.76"/>
    <n v="22153.05"/>
    <n v="75588.17"/>
    <n v="0.61499999999999999"/>
    <n v="39737.660000000003"/>
    <n v="7898.72"/>
    <n v="9248.35"/>
    <n v="2025"/>
    <n v="10"/>
  </r>
  <r>
    <n v="41538"/>
    <n v="3203163"/>
    <x v="41"/>
    <n v="0.42799999999999999"/>
    <n v="2111000.4300000002"/>
    <n v="0"/>
    <n v="2111000.4300000002"/>
    <n v="25216.76"/>
    <n v="57052.75"/>
    <n v="0.44500000000000001"/>
    <n v="45233.3"/>
    <n v="5717.36"/>
    <n v="10527.37"/>
    <n v="2025"/>
    <n v="10"/>
  </r>
  <r>
    <n v="41539"/>
    <n v="3203205"/>
    <x v="42"/>
    <n v="4.431"/>
    <n v="21854773.300000001"/>
    <n v="0"/>
    <n v="21854773.300000001"/>
    <n v="261064.22"/>
    <n v="1420205.93"/>
    <n v="4.0979999999999999"/>
    <n v="468291.46"/>
    <n v="52630.73"/>
    <n v="108987.82"/>
    <n v="2025"/>
    <n v="10"/>
  </r>
  <r>
    <n v="41540"/>
    <n v="3203304"/>
    <x v="43"/>
    <n v="0.314"/>
    <n v="1548724.62"/>
    <n v="0"/>
    <n v="1548724.62"/>
    <n v="18500.150000000001"/>
    <n v="117603.43"/>
    <n v="0.52400000000000002"/>
    <n v="33185.18"/>
    <n v="6734.62"/>
    <n v="7723.35"/>
    <n v="2025"/>
    <n v="10"/>
  </r>
  <r>
    <n v="41541"/>
    <n v="3203320"/>
    <x v="44"/>
    <n v="0.58499999999999996"/>
    <n v="2885362.75"/>
    <n v="0"/>
    <n v="2885362.75"/>
    <n v="34466.839999999997"/>
    <n v="390040.23"/>
    <n v="1.3140000000000001"/>
    <n v="61825.89"/>
    <n v="16874.57"/>
    <n v="14389.05"/>
    <n v="2025"/>
    <n v="10"/>
  </r>
  <r>
    <n v="41542"/>
    <n v="3203346"/>
    <x v="45"/>
    <n v="0.55500000000000005"/>
    <n v="2737395.44"/>
    <n v="0"/>
    <n v="2737395.44"/>
    <n v="32699.31"/>
    <n v="119617.28"/>
    <n v="0.68500000000000005"/>
    <n v="58655.33"/>
    <n v="8792.85"/>
    <n v="13651.15"/>
    <n v="2025"/>
    <n v="10"/>
  </r>
  <r>
    <n v="41543"/>
    <n v="3203353"/>
    <x v="46"/>
    <n v="0.505"/>
    <n v="2490783.21"/>
    <n v="0"/>
    <n v="2490783.21"/>
    <n v="29753.43"/>
    <n v="109442.37"/>
    <n v="0.46300000000000002"/>
    <n v="53371.07"/>
    <n v="5943.1"/>
    <n v="12421.32"/>
    <n v="2025"/>
    <n v="10"/>
  </r>
  <r>
    <n v="41544"/>
    <n v="3203403"/>
    <x v="47"/>
    <n v="0.46899999999999997"/>
    <n v="2313222.44"/>
    <n v="0"/>
    <n v="2313222.44"/>
    <n v="27632.39"/>
    <n v="148936.54999999999"/>
    <n v="0.83899999999999997"/>
    <n v="49566.400000000001"/>
    <n v="10776.84"/>
    <n v="11535.84"/>
    <n v="2025"/>
    <n v="10"/>
  </r>
  <r>
    <n v="41545"/>
    <n v="3203502"/>
    <x v="48"/>
    <n v="0.51500000000000001"/>
    <n v="2540105.66"/>
    <n v="0"/>
    <n v="2540105.66"/>
    <n v="30342.6"/>
    <n v="144169.21"/>
    <n v="0.69699999999999995"/>
    <n v="54427.92"/>
    <n v="8950.81"/>
    <n v="12667.28"/>
    <n v="2025"/>
    <n v="10"/>
  </r>
  <r>
    <n v="41546"/>
    <n v="3203601"/>
    <x v="49"/>
    <n v="0.30599999999999999"/>
    <n v="1509266.68"/>
    <n v="0"/>
    <n v="1509266.68"/>
    <n v="18028.810000000001"/>
    <n v="33734.25"/>
    <n v="0.29699999999999999"/>
    <n v="32339.7"/>
    <n v="3815.39"/>
    <n v="7526.58"/>
    <n v="2025"/>
    <n v="10"/>
  </r>
  <r>
    <n v="41547"/>
    <n v="3203700"/>
    <x v="50"/>
    <n v="0.505"/>
    <n v="2490783.21"/>
    <n v="0"/>
    <n v="2490783.21"/>
    <n v="29753.43"/>
    <n v="110581.11"/>
    <n v="0.68500000000000005"/>
    <n v="53371.07"/>
    <n v="8803.5"/>
    <n v="12421.32"/>
    <n v="2025"/>
    <n v="10"/>
  </r>
  <r>
    <n v="41548"/>
    <n v="3203809"/>
    <x v="51"/>
    <n v="0.32"/>
    <n v="1578318.08"/>
    <n v="0"/>
    <n v="1578318.08"/>
    <n v="18853.66"/>
    <n v="101232.02"/>
    <n v="0.55300000000000005"/>
    <n v="33819.279999999999"/>
    <n v="7107.24"/>
    <n v="7870.93"/>
    <n v="2025"/>
    <n v="10"/>
  </r>
  <r>
    <n v="41549"/>
    <n v="3203908"/>
    <x v="52"/>
    <n v="1.2250000000000001"/>
    <n v="6041998.9400000004"/>
    <n v="0"/>
    <n v="6041998.9400000004"/>
    <n v="72174.149999999994"/>
    <n v="395551.44"/>
    <n v="1.4710000000000001"/>
    <n v="129464.46"/>
    <n v="18894.560000000001"/>
    <n v="30130.91"/>
    <n v="2025"/>
    <n v="10"/>
  </r>
  <r>
    <n v="41550"/>
    <n v="3204005"/>
    <x v="53"/>
    <n v="0.435"/>
    <n v="2145526.13"/>
    <n v="0"/>
    <n v="2145526.13"/>
    <n v="25629.19"/>
    <n v="103478.49"/>
    <n v="0.69099999999999995"/>
    <n v="45973.09"/>
    <n v="8875.36"/>
    <n v="10699.55"/>
    <n v="2025"/>
    <n v="10"/>
  </r>
  <r>
    <n v="41551"/>
    <n v="3204054"/>
    <x v="54"/>
    <n v="0.33400000000000002"/>
    <n v="1647369.51"/>
    <n v="0"/>
    <n v="1647369.51"/>
    <n v="19678.5"/>
    <n v="184523.19"/>
    <n v="0.78400000000000003"/>
    <n v="35298.89"/>
    <n v="10070.83"/>
    <n v="8215.2900000000009"/>
    <n v="2025"/>
    <n v="10"/>
  </r>
  <r>
    <n v="41552"/>
    <n v="3204104"/>
    <x v="55"/>
    <n v="0.755"/>
    <n v="3723844.25"/>
    <n v="0"/>
    <n v="3723844.25"/>
    <n v="44482.84"/>
    <n v="126757.22"/>
    <n v="0.83499999999999996"/>
    <n v="79792.38"/>
    <n v="10721.43"/>
    <n v="18570.48"/>
    <n v="2025"/>
    <n v="10"/>
  </r>
  <r>
    <n v="41553"/>
    <n v="3204203"/>
    <x v="56"/>
    <n v="0.36499999999999999"/>
    <n v="1800269.07"/>
    <n v="0"/>
    <n v="1800269.07"/>
    <n v="21504.95"/>
    <n v="206515.24"/>
    <n v="0.745"/>
    <n v="38575.129999999997"/>
    <n v="9566.0499999999993"/>
    <n v="8977.7800000000007"/>
    <n v="2025"/>
    <n v="10"/>
  </r>
  <r>
    <n v="41554"/>
    <n v="3204252"/>
    <x v="57"/>
    <n v="0.27"/>
    <n v="1331705.8899999999"/>
    <n v="0"/>
    <n v="1331705.8899999999"/>
    <n v="15907.77"/>
    <n v="28277.51"/>
    <n v="0.31"/>
    <n v="28535.02"/>
    <n v="3977.58"/>
    <n v="6641.1"/>
    <n v="2025"/>
    <n v="10"/>
  </r>
  <r>
    <n v="41555"/>
    <n v="1718402"/>
    <x v="58"/>
    <n v="0.39100000000000001"/>
    <n v="1928507.42"/>
    <n v="0"/>
    <n v="1928507.42"/>
    <n v="23036.81"/>
    <n v="146237.32"/>
    <n v="0.55900000000000005"/>
    <n v="41322.94"/>
    <n v="7175.18"/>
    <n v="9617.2999999999993"/>
    <n v="2025"/>
    <n v="10"/>
  </r>
  <r>
    <n v="41556"/>
    <n v="3204351"/>
    <x v="59"/>
    <n v="0.88200000000000001"/>
    <n v="4350239.2300000004"/>
    <n v="0"/>
    <n v="4350239.2300000004"/>
    <n v="51965.39"/>
    <n v="135402.75"/>
    <n v="0.70299999999999996"/>
    <n v="93214.42"/>
    <n v="9025.49"/>
    <n v="21694.26"/>
    <n v="2025"/>
    <n v="10"/>
  </r>
  <r>
    <n v="41557"/>
    <n v="3204401"/>
    <x v="60"/>
    <n v="0.312"/>
    <n v="1538860.15"/>
    <n v="0"/>
    <n v="1538860.15"/>
    <n v="18382.310000000001"/>
    <n v="81541.8"/>
    <n v="0.44400000000000001"/>
    <n v="32973.800000000003"/>
    <n v="5702.8"/>
    <n v="7674.16"/>
    <n v="2025"/>
    <n v="10"/>
  </r>
  <r>
    <n v="41558"/>
    <n v="3204500"/>
    <x v="61"/>
    <n v="0.51800000000000002"/>
    <n v="2554902.39"/>
    <n v="0"/>
    <n v="2554902.39"/>
    <n v="30519.360000000001"/>
    <n v="61277.86"/>
    <n v="0.54800000000000004"/>
    <n v="54744.98"/>
    <n v="7034.29"/>
    <n v="12741.07"/>
    <n v="2025"/>
    <n v="10"/>
  </r>
  <r>
    <n v="41559"/>
    <n v="3204559"/>
    <x v="62"/>
    <n v="2.1909999999999998"/>
    <n v="10806546.65"/>
    <n v="0"/>
    <n v="10806546.65"/>
    <n v="129088.62"/>
    <n v="633148.1"/>
    <n v="1.31"/>
    <n v="231556.44"/>
    <n v="16818.84"/>
    <n v="53891.29"/>
    <n v="2025"/>
    <n v="10"/>
  </r>
  <r>
    <n v="41560"/>
    <n v="3204609"/>
    <x v="63"/>
    <n v="0.66"/>
    <n v="3255281.04"/>
    <n v="0"/>
    <n v="3255281.04"/>
    <n v="38885.660000000003"/>
    <n v="196684.78"/>
    <n v="0.82199999999999995"/>
    <n v="69752.289999999994"/>
    <n v="10560.33"/>
    <n v="16233.8"/>
    <n v="2025"/>
    <n v="10"/>
  </r>
  <r>
    <n v="41561"/>
    <n v="3204658"/>
    <x v="64"/>
    <n v="0.42099999999999999"/>
    <n v="2076474.74"/>
    <n v="0"/>
    <n v="2076474.74"/>
    <n v="24804.34"/>
    <n v="67145.3"/>
    <n v="0.33800000000000002"/>
    <n v="44493.51"/>
    <n v="4339.51"/>
    <n v="10355.200000000001"/>
    <n v="2025"/>
    <n v="10"/>
  </r>
  <r>
    <n v="41562"/>
    <n v="3204708"/>
    <x v="65"/>
    <n v="0.72299999999999998"/>
    <n v="3566012.43"/>
    <n v="0"/>
    <n v="3566012.43"/>
    <n v="42597.48"/>
    <n v="246092.42"/>
    <n v="1.0840000000000001"/>
    <n v="76410.45"/>
    <n v="13921.62"/>
    <n v="17783.39"/>
    <n v="2025"/>
    <n v="10"/>
  </r>
  <r>
    <n v="41563"/>
    <n v="3204807"/>
    <x v="66"/>
    <n v="0.28599999999999998"/>
    <n v="1410621.8"/>
    <n v="0"/>
    <n v="1410621.8"/>
    <n v="16850.46"/>
    <n v="50198.9"/>
    <n v="0.443"/>
    <n v="30225.99"/>
    <n v="5686.2"/>
    <n v="7034.65"/>
    <n v="2025"/>
    <n v="10"/>
  </r>
  <r>
    <n v="41564"/>
    <n v="3204906"/>
    <x v="67"/>
    <n v="1.998"/>
    <n v="9854623.5700000003"/>
    <n v="0"/>
    <n v="9854623.5700000003"/>
    <n v="117717.51"/>
    <n v="971082.71"/>
    <n v="2.9940000000000002"/>
    <n v="211159.18"/>
    <n v="38453.19"/>
    <n v="49144.13"/>
    <n v="2025"/>
    <n v="10"/>
  </r>
  <r>
    <n v="41565"/>
    <n v="3204955"/>
    <x v="68"/>
    <n v="0.3"/>
    <n v="1479673.21"/>
    <n v="0"/>
    <n v="1479673.21"/>
    <n v="17675.3"/>
    <n v="55256.12"/>
    <n v="0.441"/>
    <n v="31705.58"/>
    <n v="5670.24"/>
    <n v="7379"/>
    <n v="2025"/>
    <n v="10"/>
  </r>
  <r>
    <n v="41566"/>
    <n v="3205002"/>
    <x v="69"/>
    <n v="14.551"/>
    <n v="71769082.870000005"/>
    <n v="0"/>
    <n v="71769082.870000005"/>
    <n v="857311.09"/>
    <n v="4013113.23"/>
    <n v="8.8559999999999999"/>
    <n v="1537826.46"/>
    <n v="113741.58"/>
    <n v="357906.05"/>
    <n v="2025"/>
    <n v="10"/>
  </r>
  <r>
    <n v="41567"/>
    <n v="3205010"/>
    <x v="70"/>
    <n v="0.78200000000000003"/>
    <n v="3857014.84"/>
    <n v="0"/>
    <n v="3857014.84"/>
    <n v="46073.62"/>
    <n v="148289"/>
    <n v="0.93799999999999994"/>
    <n v="82645.89"/>
    <n v="12046.95"/>
    <n v="19234.59"/>
    <n v="2025"/>
    <n v="10"/>
  </r>
  <r>
    <n v="41568"/>
    <n v="3205036"/>
    <x v="71"/>
    <n v="0.45700000000000002"/>
    <n v="2254035.52"/>
    <n v="0"/>
    <n v="2254035.52"/>
    <n v="26925.38"/>
    <n v="145062.97"/>
    <n v="0.70399999999999996"/>
    <n v="48298.18"/>
    <n v="9044.89"/>
    <n v="11240.68"/>
    <n v="2025"/>
    <n v="10"/>
  </r>
  <r>
    <n v="41569"/>
    <n v="3205069"/>
    <x v="72"/>
    <n v="0.67"/>
    <n v="3304603.51"/>
    <n v="0"/>
    <n v="3304603.51"/>
    <n v="39474.839999999997"/>
    <n v="204606.11"/>
    <n v="0.83899999999999997"/>
    <n v="70809.13"/>
    <n v="10775.12"/>
    <n v="16479.759999999998"/>
    <n v="2025"/>
    <n v="10"/>
  </r>
  <r>
    <n v="41570"/>
    <n v="2112803"/>
    <x v="73"/>
    <n v="3.3740000000000001"/>
    <n v="16641391.359999999"/>
    <n v="0"/>
    <n v="16641391.359999999"/>
    <n v="198788.24"/>
    <n v="498264.26"/>
    <n v="1.944"/>
    <n v="356582.12"/>
    <n v="24973.759999999998"/>
    <n v="82989.14"/>
    <n v="2025"/>
    <n v="10"/>
  </r>
  <r>
    <n v="41571"/>
    <n v="3205150"/>
    <x v="74"/>
    <n v="0.36799999999999999"/>
    <n v="1815065.79"/>
    <n v="0"/>
    <n v="1815065.79"/>
    <n v="21681.7"/>
    <n v="72132.78"/>
    <n v="0.34100000000000003"/>
    <n v="38892.18"/>
    <n v="4384.92"/>
    <n v="9051.57"/>
    <n v="2025"/>
    <n v="10"/>
  </r>
  <r>
    <n v="41572"/>
    <n v="3205176"/>
    <x v="75"/>
    <n v="0.7"/>
    <n v="3452570.82"/>
    <n v="0"/>
    <n v="3452570.82"/>
    <n v="41242.370000000003"/>
    <n v="180735.2"/>
    <n v="0.55400000000000005"/>
    <n v="73979.69"/>
    <n v="7115.06"/>
    <n v="17217.66"/>
    <n v="2025"/>
    <n v="10"/>
  </r>
  <r>
    <n v="41573"/>
    <n v="3205200"/>
    <x v="76"/>
    <n v="6.6219999999999999"/>
    <n v="32661319.960000001"/>
    <n v="0"/>
    <n v="32661319.960000001"/>
    <n v="390152.84"/>
    <n v="4025438.12"/>
    <n v="8.01"/>
    <n v="699847.9"/>
    <n v="102880.99"/>
    <n v="162879.10999999999"/>
    <n v="2025"/>
    <n v="10"/>
  </r>
  <r>
    <n v="41574"/>
    <n v="3205309"/>
    <x v="77"/>
    <n v="10.878"/>
    <n v="53652950.700000003"/>
    <n v="0"/>
    <n v="53652950.700000003"/>
    <n v="640906.47"/>
    <n v="3673561.82"/>
    <n v="9.1780000000000008"/>
    <n v="1149644.4099999999"/>
    <n v="117883.55"/>
    <n v="267562.46000000002"/>
    <n v="2025"/>
    <n v="10"/>
  </r>
  <r>
    <n v="41575"/>
    <n v="3200102"/>
    <x v="0"/>
    <n v="0.67100000000000004"/>
    <n v="3161069.08"/>
    <n v="0"/>
    <n v="3161069.08"/>
    <n v="39499.51"/>
    <n v="335960.02"/>
    <n v="1.0169999999999999"/>
    <n v="65611.899999999994"/>
    <n v="0"/>
    <n v="15513.7"/>
    <n v="2025"/>
    <n v="3"/>
  </r>
  <r>
    <n v="41576"/>
    <n v="3200169"/>
    <x v="1"/>
    <n v="0.309"/>
    <n v="1455693.54"/>
    <n v="0"/>
    <n v="1455693.54"/>
    <n v="18189.79"/>
    <n v="85565.93"/>
    <n v="0.46500000000000002"/>
    <n v="30214.720000000001"/>
    <n v="0"/>
    <n v="7144.16"/>
    <n v="2025"/>
    <n v="3"/>
  </r>
  <r>
    <n v="41577"/>
    <n v="3200136"/>
    <x v="2"/>
    <n v="0.51900000000000002"/>
    <n v="2444999.79"/>
    <n v="0"/>
    <n v="2444999.79"/>
    <n v="30551.78"/>
    <n v="101786.13"/>
    <n v="0.35799999999999998"/>
    <n v="50749"/>
    <n v="0"/>
    <n v="11999.42"/>
    <n v="2025"/>
    <n v="3"/>
  </r>
  <r>
    <n v="41578"/>
    <n v="3200201"/>
    <x v="3"/>
    <n v="0.41799999999999998"/>
    <n v="1969190.58"/>
    <n v="0"/>
    <n v="1969190.58"/>
    <n v="24606.25"/>
    <n v="236549.84"/>
    <n v="0.98699999999999999"/>
    <n v="40872.99"/>
    <n v="0"/>
    <n v="9664.27"/>
    <n v="2025"/>
    <n v="3"/>
  </r>
  <r>
    <n v="41579"/>
    <n v="3200300"/>
    <x v="4"/>
    <n v="0.442"/>
    <n v="2082254.17"/>
    <n v="0"/>
    <n v="2082254.17"/>
    <n v="26019.05"/>
    <n v="320917.82"/>
    <n v="0.56599999999999995"/>
    <n v="43219.76"/>
    <n v="0"/>
    <n v="10219.16"/>
    <n v="2025"/>
    <n v="3"/>
  </r>
  <r>
    <n v="41580"/>
    <n v="3200359"/>
    <x v="5"/>
    <n v="0.25800000000000001"/>
    <n v="1215433.4099999999"/>
    <n v="0"/>
    <n v="1215433.4099999999"/>
    <n v="15187.59"/>
    <n v="51187.14"/>
    <n v="0.32800000000000001"/>
    <n v="25227.83"/>
    <n v="0"/>
    <n v="5965.03"/>
    <n v="2025"/>
    <n v="3"/>
  </r>
  <r>
    <n v="41581"/>
    <n v="3200409"/>
    <x v="6"/>
    <n v="3.4780000000000002"/>
    <n v="16384796.300000001"/>
    <n v="0"/>
    <n v="16384796.300000001"/>
    <n v="204738.13"/>
    <n v="340711.5"/>
    <n v="0.93"/>
    <n v="340086.72"/>
    <n v="0"/>
    <n v="80412.28"/>
    <n v="2025"/>
    <n v="3"/>
  </r>
  <r>
    <n v="41582"/>
    <n v="3200508"/>
    <x v="7"/>
    <n v="0.23799999999999999"/>
    <n v="1121213.78"/>
    <n v="0"/>
    <n v="1121213.78"/>
    <n v="14010.26"/>
    <n v="156890.51"/>
    <n v="0.32500000000000001"/>
    <n v="23272.18"/>
    <n v="0"/>
    <n v="5502.62"/>
    <n v="2025"/>
    <n v="3"/>
  </r>
  <r>
    <n v="41583"/>
    <n v="3200607"/>
    <x v="8"/>
    <n v="4.4800000000000004"/>
    <n v="21105200.5"/>
    <n v="0"/>
    <n v="21105200.5"/>
    <n v="263722.49"/>
    <n v="1194349.03"/>
    <n v="2.456"/>
    <n v="438064.55"/>
    <n v="0"/>
    <n v="103578.78"/>
    <n v="2025"/>
    <n v="3"/>
  </r>
  <r>
    <n v="41584"/>
    <n v="3200706"/>
    <x v="9"/>
    <n v="0.39500000000000002"/>
    <n v="1860837.98"/>
    <n v="0"/>
    <n v="1860837.98"/>
    <n v="23252.32"/>
    <n v="59562.06"/>
    <n v="0.44600000000000001"/>
    <n v="38623.99"/>
    <n v="0"/>
    <n v="9132.5"/>
    <n v="2025"/>
    <n v="3"/>
  </r>
  <r>
    <n v="41585"/>
    <n v="3200805"/>
    <x v="10"/>
    <n v="0.54"/>
    <n v="2543930.4300000002"/>
    <n v="0"/>
    <n v="2543930.4300000002"/>
    <n v="31787.98"/>
    <n v="421288.69"/>
    <n v="1.016"/>
    <n v="52802.42"/>
    <n v="0"/>
    <n v="12484.94"/>
    <n v="2025"/>
    <n v="3"/>
  </r>
  <r>
    <n v="41586"/>
    <n v="3200904"/>
    <x v="11"/>
    <n v="0.81299999999999994"/>
    <n v="3830028.59"/>
    <n v="0"/>
    <n v="3830028.59"/>
    <n v="47858.57"/>
    <n v="669582.44999999995"/>
    <n v="1.3140000000000001"/>
    <n v="79496.98"/>
    <n v="0"/>
    <n v="18796.77"/>
    <n v="2025"/>
    <n v="3"/>
  </r>
  <r>
    <n v="41587"/>
    <n v="3107109"/>
    <x v="12"/>
    <n v="0.48699999999999999"/>
    <n v="2294248.35"/>
    <n v="0"/>
    <n v="2294248.35"/>
    <n v="28668.05"/>
    <n v="136870.87"/>
    <n v="0.56299999999999994"/>
    <n v="47619.96"/>
    <n v="0"/>
    <n v="11259.57"/>
    <n v="2025"/>
    <n v="3"/>
  </r>
  <r>
    <n v="41588"/>
    <n v="3201100"/>
    <x v="13"/>
    <n v="0.247"/>
    <n v="1163612.6100000001"/>
    <n v="0"/>
    <n v="1163612.6100000001"/>
    <n v="14540.06"/>
    <n v="470014.51"/>
    <n v="0.442"/>
    <n v="24152.22"/>
    <n v="0"/>
    <n v="5710.71"/>
    <n v="2025"/>
    <n v="3"/>
  </r>
  <r>
    <n v="41589"/>
    <n v="3201159"/>
    <x v="14"/>
    <n v="0.40699999999999997"/>
    <n v="1917369.75"/>
    <n v="0"/>
    <n v="1917369.75"/>
    <n v="23958.720000000001"/>
    <n v="142600.43"/>
    <n v="0.47799999999999998"/>
    <n v="39797.379999999997"/>
    <n v="0"/>
    <n v="9409.9500000000007"/>
    <n v="2025"/>
    <n v="3"/>
  </r>
  <r>
    <n v="41590"/>
    <n v="3201209"/>
    <x v="15"/>
    <n v="2.5920000000000001"/>
    <n v="12210866.01"/>
    <n v="0"/>
    <n v="12210866.01"/>
    <n v="152582.29999999999"/>
    <n v="2097062.89"/>
    <n v="4.3239999999999998"/>
    <n v="253451.64"/>
    <n v="0"/>
    <n v="59927.72"/>
    <n v="2025"/>
    <n v="3"/>
  </r>
  <r>
    <n v="41591"/>
    <n v="3201308"/>
    <x v="16"/>
    <n v="8.3239999999999998"/>
    <n v="39214216.299999997"/>
    <n v="0"/>
    <n v="39214216.299999997"/>
    <n v="490005.8"/>
    <n v="5523254.0499999998"/>
    <n v="6.5110000000000001"/>
    <n v="813939.57"/>
    <n v="0"/>
    <n v="192453.07"/>
    <n v="2025"/>
    <n v="3"/>
  </r>
  <r>
    <n v="41592"/>
    <n v="3201407"/>
    <x v="17"/>
    <n v="0.80700000000000005"/>
    <n v="3801762.67"/>
    <n v="0"/>
    <n v="3801762.67"/>
    <n v="47505.37"/>
    <n v="1173534.79"/>
    <n v="1.165"/>
    <n v="78910.289999999994"/>
    <n v="0"/>
    <n v="18658.05"/>
    <n v="2025"/>
    <n v="3"/>
  </r>
  <r>
    <n v="41593"/>
    <n v="3201506"/>
    <x v="18"/>
    <n v="2.0139999999999998"/>
    <n v="9487918.2699999996"/>
    <n v="0"/>
    <n v="9487918.2699999996"/>
    <n v="118557.39"/>
    <n v="1416406"/>
    <n v="2.875"/>
    <n v="196933.48"/>
    <n v="0"/>
    <n v="46564.21"/>
    <n v="2025"/>
    <n v="3"/>
  </r>
  <r>
    <n v="41594"/>
    <n v="3201605"/>
    <x v="19"/>
    <n v="0.60099999999999998"/>
    <n v="2831300.33"/>
    <n v="0"/>
    <n v="2831300.33"/>
    <n v="35378.839999999997"/>
    <n v="150466.62"/>
    <n v="0.96399999999999997"/>
    <n v="58767.14"/>
    <n v="0"/>
    <n v="13895.28"/>
    <n v="2025"/>
    <n v="3"/>
  </r>
  <r>
    <n v="41595"/>
    <n v="3201704"/>
    <x v="20"/>
    <n v="0.371"/>
    <n v="1747774.42"/>
    <n v="0"/>
    <n v="1747774.42"/>
    <n v="21839.52"/>
    <n v="136579.62"/>
    <n v="0.46400000000000002"/>
    <n v="36277.22"/>
    <n v="0"/>
    <n v="8577.6200000000008"/>
    <n v="2025"/>
    <n v="3"/>
  </r>
  <r>
    <n v="41596"/>
    <n v="3201803"/>
    <x v="21"/>
    <n v="0.187"/>
    <n v="880953.65"/>
    <n v="0"/>
    <n v="880953.65"/>
    <n v="11008.06"/>
    <n v="33015.050000000003"/>
    <n v="0.29699999999999999"/>
    <n v="18285.29"/>
    <n v="0"/>
    <n v="4323.49"/>
    <n v="2025"/>
    <n v="3"/>
  </r>
  <r>
    <n v="41597"/>
    <n v="3201902"/>
    <x v="22"/>
    <n v="1.0620000000000001"/>
    <n v="5003063.16"/>
    <n v="0"/>
    <n v="5003063.16"/>
    <n v="62516.36"/>
    <n v="569423.03"/>
    <n v="1.0780000000000001"/>
    <n v="103844.77"/>
    <n v="0"/>
    <n v="24553.72"/>
    <n v="2025"/>
    <n v="3"/>
  </r>
  <r>
    <n v="41598"/>
    <n v="3202009"/>
    <x v="23"/>
    <n v="0.34899999999999998"/>
    <n v="1644132.79"/>
    <n v="0"/>
    <n v="1644132.79"/>
    <n v="20544.45"/>
    <n v="219293.03"/>
    <n v="0.317"/>
    <n v="34126.01"/>
    <n v="0"/>
    <n v="8068.97"/>
    <n v="2025"/>
    <n v="3"/>
  </r>
  <r>
    <n v="41599"/>
    <n v="3202108"/>
    <x v="24"/>
    <n v="0.57099999999999995"/>
    <n v="2689970.88"/>
    <n v="0"/>
    <n v="2689970.88"/>
    <n v="33612.839999999997"/>
    <n v="142821.29"/>
    <n v="0.81599999999999995"/>
    <n v="55833.67"/>
    <n v="0"/>
    <n v="13201.67"/>
    <n v="2025"/>
    <n v="3"/>
  </r>
  <r>
    <n v="41600"/>
    <n v="3202207"/>
    <x v="25"/>
    <n v="0.36799999999999999"/>
    <n v="1733641.48"/>
    <n v="0"/>
    <n v="1733641.48"/>
    <n v="21662.92"/>
    <n v="175623.09"/>
    <n v="0.69699999999999995"/>
    <n v="35983.870000000003"/>
    <n v="0"/>
    <n v="8508.26"/>
    <n v="2025"/>
    <n v="3"/>
  </r>
  <r>
    <n v="41601"/>
    <n v="3202256"/>
    <x v="26"/>
    <n v="0.53100000000000003"/>
    <n v="2501531.5699999998"/>
    <n v="0"/>
    <n v="2501531.5699999998"/>
    <n v="31258.18"/>
    <n v="165032.49"/>
    <n v="0.45200000000000001"/>
    <n v="51922.38"/>
    <n v="0"/>
    <n v="12276.86"/>
    <n v="2025"/>
    <n v="3"/>
  </r>
  <r>
    <n v="41602"/>
    <n v="3202306"/>
    <x v="27"/>
    <n v="0.36699999999999999"/>
    <n v="1728930.5"/>
    <n v="0"/>
    <n v="1728930.5"/>
    <n v="21604.05"/>
    <n v="459971.77"/>
    <n v="0.98899999999999999"/>
    <n v="35886.089999999997"/>
    <n v="0"/>
    <n v="8485.14"/>
    <n v="2025"/>
    <n v="3"/>
  </r>
  <r>
    <n v="41603"/>
    <n v="3202405"/>
    <x v="28"/>
    <n v="0.79"/>
    <n v="3721675.99"/>
    <n v="0"/>
    <n v="3721675.99"/>
    <n v="46504.639999999999"/>
    <n v="2515206.36"/>
    <n v="2.9359999999999999"/>
    <n v="77247.990000000005"/>
    <n v="0"/>
    <n v="18265.009999999998"/>
    <n v="2025"/>
    <n v="3"/>
  </r>
  <r>
    <n v="41604"/>
    <n v="3202454"/>
    <x v="29"/>
    <n v="0.33900000000000002"/>
    <n v="1597023"/>
    <n v="0"/>
    <n v="1597023"/>
    <n v="19955.79"/>
    <n v="511895.05"/>
    <n v="0.87"/>
    <n v="33148.19"/>
    <n v="0"/>
    <n v="7837.77"/>
    <n v="2025"/>
    <n v="3"/>
  </r>
  <r>
    <n v="41605"/>
    <n v="3202504"/>
    <x v="30"/>
    <n v="0.307"/>
    <n v="1446271.54"/>
    <n v="0"/>
    <n v="1446271.54"/>
    <n v="18072.05"/>
    <n v="163625.73000000001"/>
    <n v="0.46100000000000002"/>
    <n v="30019.16"/>
    <n v="0"/>
    <n v="7097.92"/>
    <n v="2025"/>
    <n v="3"/>
  </r>
  <r>
    <n v="41606"/>
    <n v="3202553"/>
    <x v="31"/>
    <n v="0.28399999999999997"/>
    <n v="1337918.97"/>
    <n v="0"/>
    <n v="1337918.97"/>
    <n v="16718.12"/>
    <n v="78439.19"/>
    <n v="0.35499999999999998"/>
    <n v="27770.16"/>
    <n v="0"/>
    <n v="6566.15"/>
    <n v="2025"/>
    <n v="3"/>
  </r>
  <r>
    <n v="41607"/>
    <n v="3202603"/>
    <x v="32"/>
    <n v="0.314"/>
    <n v="1479248.43"/>
    <n v="0"/>
    <n v="1479248.43"/>
    <n v="18484.12"/>
    <n v="209425.49"/>
    <n v="0.53700000000000003"/>
    <n v="30703.64"/>
    <n v="0"/>
    <n v="7259.76"/>
    <n v="2025"/>
    <n v="3"/>
  </r>
  <r>
    <n v="41608"/>
    <n v="3202652"/>
    <x v="33"/>
    <n v="0.316"/>
    <n v="1488670.4"/>
    <n v="0"/>
    <n v="1488670.4"/>
    <n v="18601.849999999999"/>
    <n v="229627.97"/>
    <n v="0.56399999999999995"/>
    <n v="30899.200000000001"/>
    <n v="0"/>
    <n v="7306"/>
    <n v="2025"/>
    <n v="3"/>
  </r>
  <r>
    <n v="41609"/>
    <n v="3202702"/>
    <x v="34"/>
    <n v="0.40400000000000003"/>
    <n v="1903236.81"/>
    <n v="0"/>
    <n v="1903236.81"/>
    <n v="23782.12"/>
    <n v="127369.62"/>
    <n v="0.56200000000000006"/>
    <n v="39504.04"/>
    <n v="0"/>
    <n v="9340.59"/>
    <n v="2025"/>
    <n v="3"/>
  </r>
  <r>
    <n v="41610"/>
    <n v="3202801"/>
    <x v="35"/>
    <n v="3.4060000000000001"/>
    <n v="16045605.550000001"/>
    <n v="0"/>
    <n v="16045605.550000001"/>
    <n v="200499.73"/>
    <n v="355984.78"/>
    <n v="1.2130000000000001"/>
    <n v="333046.39"/>
    <n v="0"/>
    <n v="78747.62"/>
    <n v="2025"/>
    <n v="3"/>
  </r>
  <r>
    <n v="41611"/>
    <n v="3202900"/>
    <x v="36"/>
    <n v="0.39200000000000002"/>
    <n v="1846705.06"/>
    <n v="0"/>
    <n v="1846705.06"/>
    <n v="23075.72"/>
    <n v="178950.3"/>
    <n v="0.44600000000000001"/>
    <n v="38330.65"/>
    <n v="0"/>
    <n v="9063.14"/>
    <n v="2025"/>
    <n v="3"/>
  </r>
  <r>
    <n v="41612"/>
    <n v="3203007"/>
    <x v="37"/>
    <n v="0.5"/>
    <n v="2355491.14"/>
    <n v="0"/>
    <n v="2355491.14"/>
    <n v="29433.31"/>
    <n v="339451.22"/>
    <n v="0.91200000000000003"/>
    <n v="48891.13"/>
    <n v="0"/>
    <n v="11560.13"/>
    <n v="2025"/>
    <n v="3"/>
  </r>
  <r>
    <n v="41613"/>
    <n v="3203056"/>
    <x v="38"/>
    <n v="1.109"/>
    <n v="5224479.33"/>
    <n v="0"/>
    <n v="5224479.33"/>
    <n v="65283.09"/>
    <n v="391591.26"/>
    <n v="0.98399999999999999"/>
    <n v="108440.53"/>
    <n v="0"/>
    <n v="25640.37"/>
    <n v="2025"/>
    <n v="3"/>
  </r>
  <r>
    <n v="41614"/>
    <n v="3203106"/>
    <x v="39"/>
    <n v="0.216"/>
    <n v="1017572.16"/>
    <n v="0"/>
    <n v="1017572.16"/>
    <n v="12715.19"/>
    <n v="59282.93"/>
    <n v="0.45900000000000002"/>
    <n v="21120.97"/>
    <n v="0"/>
    <n v="4993.9799999999996"/>
    <n v="2025"/>
    <n v="3"/>
  </r>
  <r>
    <n v="41615"/>
    <n v="3203130"/>
    <x v="40"/>
    <n v="0.376"/>
    <n v="1771329.33"/>
    <n v="0"/>
    <n v="1771329.33"/>
    <n v="22133.85"/>
    <n v="158386.88"/>
    <n v="0.63600000000000001"/>
    <n v="36766.129999999997"/>
    <n v="0"/>
    <n v="8693.2199999999993"/>
    <n v="2025"/>
    <n v="3"/>
  </r>
  <r>
    <n v="41616"/>
    <n v="3203163"/>
    <x v="41"/>
    <n v="0.42799999999999999"/>
    <n v="2016300.4"/>
    <n v="0"/>
    <n v="2016300.4"/>
    <n v="25194.92"/>
    <n v="142525.19"/>
    <n v="0.45300000000000001"/>
    <n v="41850.81"/>
    <n v="0"/>
    <n v="9895.4699999999993"/>
    <n v="2025"/>
    <n v="3"/>
  </r>
  <r>
    <n v="41617"/>
    <n v="3203205"/>
    <x v="42"/>
    <n v="4.431"/>
    <n v="20874362.379999999"/>
    <n v="0"/>
    <n v="20874362.379999999"/>
    <n v="260838.02"/>
    <n v="1765392.17"/>
    <n v="4.0759999999999996"/>
    <n v="433273.22"/>
    <n v="0"/>
    <n v="102445.89"/>
    <n v="2025"/>
    <n v="3"/>
  </r>
  <r>
    <n v="41618"/>
    <n v="3203304"/>
    <x v="43"/>
    <n v="0.314"/>
    <n v="1479248.43"/>
    <n v="0"/>
    <n v="1479248.43"/>
    <n v="18484.12"/>
    <n v="153514.45000000001"/>
    <n v="0.54300000000000004"/>
    <n v="30703.64"/>
    <n v="0"/>
    <n v="7259.76"/>
    <n v="2025"/>
    <n v="3"/>
  </r>
  <r>
    <n v="41619"/>
    <n v="3203320"/>
    <x v="44"/>
    <n v="0.58499999999999996"/>
    <n v="2755924.64"/>
    <n v="0"/>
    <n v="2755924.64"/>
    <n v="34436.980000000003"/>
    <n v="430230.88"/>
    <n v="1.24"/>
    <n v="57202.62"/>
    <n v="0"/>
    <n v="13525.35"/>
    <n v="2025"/>
    <n v="3"/>
  </r>
  <r>
    <n v="41620"/>
    <n v="3203346"/>
    <x v="45"/>
    <n v="0.55500000000000005"/>
    <n v="2614595.14"/>
    <n v="0"/>
    <n v="2614595.14"/>
    <n v="32670.98"/>
    <n v="313609.31"/>
    <n v="0.69199999999999995"/>
    <n v="54269.16"/>
    <n v="0"/>
    <n v="12831.75"/>
    <n v="2025"/>
    <n v="3"/>
  </r>
  <r>
    <n v="41621"/>
    <n v="3203353"/>
    <x v="46"/>
    <n v="0.505"/>
    <n v="2379046.04"/>
    <n v="0"/>
    <n v="2379046.04"/>
    <n v="29727.65"/>
    <n v="231603.61"/>
    <n v="0.47"/>
    <n v="49380.05"/>
    <n v="0"/>
    <n v="11675.73"/>
    <n v="2025"/>
    <n v="3"/>
  </r>
  <r>
    <n v="41622"/>
    <n v="3203403"/>
    <x v="47"/>
    <n v="0.46899999999999997"/>
    <n v="2209450.65"/>
    <n v="0"/>
    <n v="2209450.65"/>
    <n v="27608.45"/>
    <n v="219560.64"/>
    <n v="0.85899999999999999"/>
    <n v="45859.88"/>
    <n v="0"/>
    <n v="10843.4"/>
    <n v="2025"/>
    <n v="3"/>
  </r>
  <r>
    <n v="41623"/>
    <n v="3203502"/>
    <x v="48"/>
    <n v="0.51500000000000001"/>
    <n v="2426155.86"/>
    <n v="0"/>
    <n v="2426155.86"/>
    <n v="30316.31"/>
    <n v="183215.92"/>
    <n v="0.70899999999999996"/>
    <n v="50357.86"/>
    <n v="0"/>
    <n v="11906.94"/>
    <n v="2025"/>
    <n v="3"/>
  </r>
  <r>
    <n v="41624"/>
    <n v="3203601"/>
    <x v="49"/>
    <n v="0.30599999999999999"/>
    <n v="1441560.57"/>
    <n v="0"/>
    <n v="1441560.57"/>
    <n v="18013.189999999999"/>
    <n v="56670.26"/>
    <n v="0.30199999999999999"/>
    <n v="29921.37"/>
    <n v="0"/>
    <n v="7074.8"/>
    <n v="2025"/>
    <n v="3"/>
  </r>
  <r>
    <n v="41625"/>
    <n v="3203700"/>
    <x v="50"/>
    <n v="0.505"/>
    <n v="2379046.04"/>
    <n v="0"/>
    <n v="2379046.04"/>
    <n v="29727.65"/>
    <n v="135502.91"/>
    <n v="0.69899999999999995"/>
    <n v="49380.05"/>
    <n v="0"/>
    <n v="11675.73"/>
    <n v="2025"/>
    <n v="3"/>
  </r>
  <r>
    <n v="41626"/>
    <n v="3203809"/>
    <x v="51"/>
    <n v="0.32"/>
    <n v="1507514.31"/>
    <n v="0"/>
    <n v="1507514.31"/>
    <n v="18837.32"/>
    <n v="92401.94"/>
    <n v="0.56499999999999995"/>
    <n v="31290.33"/>
    <n v="0"/>
    <n v="7398.48"/>
    <n v="2025"/>
    <n v="3"/>
  </r>
  <r>
    <n v="41627"/>
    <n v="3203908"/>
    <x v="52"/>
    <n v="1.2250000000000001"/>
    <n v="5770953.2699999996"/>
    <n v="0"/>
    <n v="5770953.2699999996"/>
    <n v="72111.62"/>
    <n v="476677.89"/>
    <n v="1.476"/>
    <n v="119783.28"/>
    <n v="0"/>
    <n v="28322.32"/>
    <n v="2025"/>
    <n v="3"/>
  </r>
  <r>
    <n v="41628"/>
    <n v="3204005"/>
    <x v="53"/>
    <n v="0.435"/>
    <n v="2049277.29"/>
    <n v="0"/>
    <n v="2049277.29"/>
    <n v="25606.98"/>
    <n v="158482.79"/>
    <n v="0.70899999999999996"/>
    <n v="42535.29"/>
    <n v="0"/>
    <n v="10057.31"/>
    <n v="2025"/>
    <n v="3"/>
  </r>
  <r>
    <n v="41629"/>
    <n v="3204054"/>
    <x v="54"/>
    <n v="0.33400000000000002"/>
    <n v="1573468.07"/>
    <n v="0"/>
    <n v="1573468.07"/>
    <n v="19661.45"/>
    <n v="141474.85999999999"/>
    <n v="0.81"/>
    <n v="32659.279999999999"/>
    <n v="0"/>
    <n v="7722.17"/>
    <n v="2025"/>
    <n v="3"/>
  </r>
  <r>
    <n v="41630"/>
    <n v="3204104"/>
    <x v="55"/>
    <n v="0.755"/>
    <n v="3556791.6"/>
    <n v="0"/>
    <n v="3556791.6"/>
    <n v="44444.3"/>
    <n v="124005.97"/>
    <n v="0.85099999999999998"/>
    <n v="73825.61"/>
    <n v="0"/>
    <n v="17455.8"/>
    <n v="2025"/>
    <n v="3"/>
  </r>
  <r>
    <n v="41631"/>
    <n v="3204203"/>
    <x v="56"/>
    <n v="0.36499999999999999"/>
    <n v="1719508.54"/>
    <n v="0"/>
    <n v="1719508.54"/>
    <n v="21486.32"/>
    <n v="431571.62"/>
    <n v="0.753"/>
    <n v="35690.53"/>
    <n v="0"/>
    <n v="8438.9"/>
    <n v="2025"/>
    <n v="3"/>
  </r>
  <r>
    <n v="41632"/>
    <n v="3204252"/>
    <x v="57"/>
    <n v="0.27"/>
    <n v="1271965.22"/>
    <n v="0"/>
    <n v="1271965.22"/>
    <n v="15893.99"/>
    <n v="31729.53"/>
    <n v="0.316"/>
    <n v="26401.22"/>
    <n v="0"/>
    <n v="6242.47"/>
    <n v="2025"/>
    <n v="3"/>
  </r>
  <r>
    <n v="41633"/>
    <n v="1718402"/>
    <x v="58"/>
    <n v="0.39100000000000001"/>
    <n v="1841994.08"/>
    <n v="0"/>
    <n v="1841994.08"/>
    <n v="23016.85"/>
    <n v="210253.78"/>
    <n v="0.56399999999999995"/>
    <n v="38232.870000000003"/>
    <n v="0"/>
    <n v="9040.02"/>
    <n v="2025"/>
    <n v="3"/>
  </r>
  <r>
    <n v="41634"/>
    <n v="3204351"/>
    <x v="59"/>
    <n v="0.88200000000000001"/>
    <n v="4155086.35"/>
    <n v="0"/>
    <n v="4155086.35"/>
    <n v="51920.36"/>
    <n v="501245.12"/>
    <n v="0.71399999999999997"/>
    <n v="86243.95"/>
    <n v="0"/>
    <n v="20392.07"/>
    <n v="2025"/>
    <n v="3"/>
  </r>
  <r>
    <n v="41635"/>
    <n v="3204401"/>
    <x v="60"/>
    <n v="0.312"/>
    <n v="1469826.46"/>
    <n v="0"/>
    <n v="1469826.46"/>
    <n v="18366.39"/>
    <n v="101114"/>
    <n v="0.45300000000000001"/>
    <n v="30508.06"/>
    <n v="0"/>
    <n v="7213.52"/>
    <n v="2025"/>
    <n v="3"/>
  </r>
  <r>
    <n v="41636"/>
    <n v="3204500"/>
    <x v="61"/>
    <n v="0.51800000000000002"/>
    <n v="2440288.81"/>
    <n v="0"/>
    <n v="2440288.81"/>
    <n v="30492.91"/>
    <n v="151502.89000000001"/>
    <n v="0.47899999999999998"/>
    <n v="50651.21"/>
    <n v="0"/>
    <n v="11976.3"/>
    <n v="2025"/>
    <n v="3"/>
  </r>
  <r>
    <n v="41637"/>
    <n v="3204559"/>
    <x v="62"/>
    <n v="2.1909999999999998"/>
    <n v="10321762.130000001"/>
    <n v="0"/>
    <n v="10321762.130000001"/>
    <n v="128976.78"/>
    <n v="1115029.23"/>
    <n v="1.236"/>
    <n v="214240.94"/>
    <n v="0"/>
    <n v="50656.5"/>
    <n v="2025"/>
    <n v="3"/>
  </r>
  <r>
    <n v="41638"/>
    <n v="3204609"/>
    <x v="63"/>
    <n v="0.66"/>
    <n v="3109248.27"/>
    <n v="0"/>
    <n v="3109248.27"/>
    <n v="38851.97"/>
    <n v="334949.17"/>
    <n v="0.82699999999999996"/>
    <n v="64536.29"/>
    <n v="0"/>
    <n v="15259.37"/>
    <n v="2025"/>
    <n v="3"/>
  </r>
  <r>
    <n v="41639"/>
    <n v="3204658"/>
    <x v="64"/>
    <n v="0.42099999999999999"/>
    <n v="1983323.56"/>
    <n v="0"/>
    <n v="1983323.56"/>
    <n v="24782.85"/>
    <n v="140187.59"/>
    <n v="0.34300000000000003"/>
    <n v="41166.339999999997"/>
    <n v="0"/>
    <n v="9733.6299999999992"/>
    <n v="2025"/>
    <n v="3"/>
  </r>
  <r>
    <n v="41640"/>
    <n v="3204708"/>
    <x v="65"/>
    <n v="0.72299999999999998"/>
    <n v="3406040.15"/>
    <n v="0"/>
    <n v="3406040.15"/>
    <n v="42560.57"/>
    <n v="349179.38"/>
    <n v="1.1040000000000001"/>
    <n v="70696.58"/>
    <n v="0"/>
    <n v="16715.95"/>
    <n v="2025"/>
    <n v="3"/>
  </r>
  <r>
    <n v="41641"/>
    <n v="3204807"/>
    <x v="66"/>
    <n v="0.28599999999999998"/>
    <n v="1347340.93"/>
    <n v="0"/>
    <n v="1347340.93"/>
    <n v="16835.86"/>
    <n v="133854.97"/>
    <n v="0.45"/>
    <n v="27965.73"/>
    <n v="0"/>
    <n v="6612.4"/>
    <n v="2025"/>
    <n v="3"/>
  </r>
  <r>
    <n v="41642"/>
    <n v="3204906"/>
    <x v="67"/>
    <n v="1.998"/>
    <n v="9412542.5199999996"/>
    <n v="0"/>
    <n v="9412542.5199999996"/>
    <n v="117615.52"/>
    <n v="1298321.1499999999"/>
    <n v="2.9870000000000001"/>
    <n v="195368.97"/>
    <n v="0"/>
    <n v="46194.29"/>
    <n v="2025"/>
    <n v="3"/>
  </r>
  <r>
    <n v="41643"/>
    <n v="3204955"/>
    <x v="68"/>
    <n v="0.3"/>
    <n v="1413294.67"/>
    <n v="0"/>
    <n v="1413294.67"/>
    <n v="17659.990000000002"/>
    <n v="132899.26"/>
    <n v="0.45"/>
    <n v="29334.68"/>
    <n v="0"/>
    <n v="6936.08"/>
    <n v="2025"/>
    <n v="3"/>
  </r>
  <r>
    <n v="41644"/>
    <n v="3205002"/>
    <x v="69"/>
    <n v="14.551"/>
    <n v="68549502.810000002"/>
    <n v="0"/>
    <n v="68549502.810000002"/>
    <n v="856568.29"/>
    <n v="4643548.51"/>
    <n v="8.6910000000000007"/>
    <n v="1422829.74"/>
    <n v="0"/>
    <n v="336422.95"/>
    <n v="2025"/>
    <n v="3"/>
  </r>
  <r>
    <n v="41645"/>
    <n v="3205010"/>
    <x v="70"/>
    <n v="0.78200000000000003"/>
    <n v="3683988.14"/>
    <n v="0"/>
    <n v="3683988.14"/>
    <n v="46033.7"/>
    <n v="202667.74"/>
    <n v="0.95199999999999996"/>
    <n v="76465.740000000005"/>
    <n v="0"/>
    <n v="18080.05"/>
    <n v="2025"/>
    <n v="3"/>
  </r>
  <r>
    <n v="41646"/>
    <n v="3205036"/>
    <x v="71"/>
    <n v="0.45700000000000002"/>
    <n v="2152918.88"/>
    <n v="0"/>
    <n v="2152918.88"/>
    <n v="26902.05"/>
    <n v="238019.85"/>
    <n v="0.71699999999999997"/>
    <n v="44686.49"/>
    <n v="0"/>
    <n v="10565.96"/>
    <n v="2025"/>
    <n v="3"/>
  </r>
  <r>
    <n v="41647"/>
    <n v="3205069"/>
    <x v="72"/>
    <n v="0.67"/>
    <n v="3156358.13"/>
    <n v="0"/>
    <n v="3156358.13"/>
    <n v="39440.639999999999"/>
    <n v="536358.61"/>
    <n v="0.85"/>
    <n v="65514.12"/>
    <n v="0"/>
    <n v="15490.58"/>
    <n v="2025"/>
    <n v="3"/>
  </r>
  <r>
    <n v="41648"/>
    <n v="2112803"/>
    <x v="73"/>
    <n v="3.3740000000000001"/>
    <n v="15894854.119999999"/>
    <n v="0"/>
    <n v="15894854.119999999"/>
    <n v="198616"/>
    <n v="481149.27"/>
    <n v="1.9590000000000001"/>
    <n v="329917.36"/>
    <n v="0"/>
    <n v="78007.77"/>
    <n v="2025"/>
    <n v="3"/>
  </r>
  <r>
    <n v="41649"/>
    <n v="3205150"/>
    <x v="74"/>
    <n v="0.36799999999999999"/>
    <n v="1733641.48"/>
    <n v="0"/>
    <n v="1733641.48"/>
    <n v="21662.92"/>
    <n v="99266.66"/>
    <n v="0.34699999999999998"/>
    <n v="35983.870000000003"/>
    <n v="0"/>
    <n v="8508.26"/>
    <n v="2025"/>
    <n v="3"/>
  </r>
  <r>
    <n v="41650"/>
    <n v="3205176"/>
    <x v="75"/>
    <n v="0.7"/>
    <n v="3297687.58"/>
    <n v="0"/>
    <n v="3297687.58"/>
    <n v="41206.639999999999"/>
    <n v="261159.17"/>
    <n v="0.56399999999999995"/>
    <n v="68447.59"/>
    <n v="0"/>
    <n v="16184.18"/>
    <n v="2025"/>
    <n v="3"/>
  </r>
  <r>
    <n v="41651"/>
    <n v="3205200"/>
    <x v="76"/>
    <n v="6.6219999999999999"/>
    <n v="31196124.510000002"/>
    <n v="0"/>
    <n v="31196124.510000002"/>
    <n v="389814.8"/>
    <n v="5273982.97"/>
    <n v="8.0009999999999994"/>
    <n v="647514.16"/>
    <n v="0"/>
    <n v="153102.38"/>
    <n v="2025"/>
    <n v="3"/>
  </r>
  <r>
    <n v="41652"/>
    <n v="3205309"/>
    <x v="77"/>
    <n v="10.878"/>
    <n v="51246065.100000001"/>
    <n v="0"/>
    <n v="51246065.100000001"/>
    <n v="640351.17000000004"/>
    <n v="6991060.5099999998"/>
    <n v="9.2110000000000003"/>
    <n v="1063675.44"/>
    <n v="0"/>
    <n v="251502.21"/>
    <n v="2025"/>
    <n v="3"/>
  </r>
  <r>
    <n v="41653"/>
    <n v="3200102"/>
    <x v="0"/>
    <n v="0.67100000000000004"/>
    <n v="2986755.73"/>
    <n v="0"/>
    <n v="2986755.73"/>
    <n v="37085.46"/>
    <n v="1295308.76"/>
    <n v="1.0169999999999999"/>
    <n v="48919.56"/>
    <n v="11113.34"/>
    <n v="15626.48"/>
    <n v="2025"/>
    <n v="4"/>
  </r>
  <r>
    <n v="41654"/>
    <n v="3200169"/>
    <x v="1"/>
    <n v="0.309"/>
    <n v="1375421.06"/>
    <n v="0"/>
    <n v="1375421.06"/>
    <n v="17078.099999999999"/>
    <n v="412876.83"/>
    <n v="0.46500000000000002"/>
    <n v="22527.78"/>
    <n v="5062.17"/>
    <n v="7196.1"/>
    <n v="2025"/>
    <n v="4"/>
  </r>
  <r>
    <n v="41655"/>
    <n v="3200136"/>
    <x v="2"/>
    <n v="0.51900000000000002"/>
    <n v="2310173.23"/>
    <n v="0"/>
    <n v="2310173.23"/>
    <n v="28684.58"/>
    <n v="548384.29"/>
    <n v="0.35799999999999998"/>
    <n v="37837.93"/>
    <n v="3891.74"/>
    <n v="12086.65"/>
    <n v="2025"/>
    <n v="4"/>
  </r>
  <r>
    <n v="41656"/>
    <n v="3200201"/>
    <x v="3"/>
    <n v="0.41799999999999998"/>
    <n v="1860601.95"/>
    <n v="0"/>
    <n v="1860601.95"/>
    <n v="23102.42"/>
    <n v="1145094.53"/>
    <n v="0.98699999999999999"/>
    <n v="30474.48"/>
    <n v="10883.64"/>
    <n v="9734.5300000000007"/>
    <n v="2025"/>
    <n v="4"/>
  </r>
  <r>
    <n v="41657"/>
    <n v="3200300"/>
    <x v="4"/>
    <n v="0.442"/>
    <n v="1967430.75"/>
    <n v="0"/>
    <n v="1967430.75"/>
    <n v="24428.87"/>
    <n v="1320311.26"/>
    <n v="0.56599999999999995"/>
    <n v="32224.21"/>
    <n v="6148.78"/>
    <n v="10293.450000000001"/>
    <n v="2025"/>
    <n v="4"/>
  </r>
  <r>
    <n v="41658"/>
    <n v="3200359"/>
    <x v="5"/>
    <n v="0.25800000000000001"/>
    <n v="1148409.82"/>
    <n v="0"/>
    <n v="1148409.82"/>
    <n v="14259.38"/>
    <n v="217559.57"/>
    <n v="0.32800000000000001"/>
    <n v="18809.599999999999"/>
    <n v="3570.93"/>
    <n v="6008.39"/>
    <n v="2025"/>
    <n v="4"/>
  </r>
  <r>
    <n v="41659"/>
    <n v="3200409"/>
    <x v="6"/>
    <n v="3.4780000000000002"/>
    <n v="15481276.439999999"/>
    <n v="0"/>
    <n v="15481276.439999999"/>
    <n v="192225.36"/>
    <n v="1813514.84"/>
    <n v="0.93"/>
    <n v="253565.17"/>
    <n v="11131.96"/>
    <n v="80996.87"/>
    <n v="2025"/>
    <n v="4"/>
  </r>
  <r>
    <n v="41660"/>
    <n v="3200508"/>
    <x v="7"/>
    <n v="0.23799999999999999"/>
    <n v="1059385.8"/>
    <n v="0"/>
    <n v="1059385.8"/>
    <n v="13154.01"/>
    <n v="486008.47"/>
    <n v="0.32500000000000001"/>
    <n v="17351.5"/>
    <n v="3534.09"/>
    <n v="5542.63"/>
    <n v="2025"/>
    <n v="4"/>
  </r>
  <r>
    <n v="41661"/>
    <n v="3200607"/>
    <x v="8"/>
    <n v="4.4800000000000004"/>
    <n v="19941379.649999999"/>
    <n v="0"/>
    <n v="19941379.649999999"/>
    <n v="247604.83"/>
    <n v="4428229.3499999996"/>
    <n v="2.456"/>
    <n v="326616.44"/>
    <n v="27290.17"/>
    <n v="104331.8"/>
    <n v="2025"/>
    <n v="4"/>
  </r>
  <r>
    <n v="41662"/>
    <n v="3200706"/>
    <x v="9"/>
    <n v="0.39500000000000002"/>
    <n v="1758224.31"/>
    <n v="0"/>
    <n v="1758224.31"/>
    <n v="21831.23"/>
    <n v="363628.95"/>
    <n v="0.44600000000000001"/>
    <n v="28797.66"/>
    <n v="4853.5200000000004"/>
    <n v="9198.9"/>
    <n v="2025"/>
    <n v="4"/>
  </r>
  <r>
    <n v="41663"/>
    <n v="3200805"/>
    <x v="10"/>
    <n v="0.54"/>
    <n v="2403648.44"/>
    <n v="0"/>
    <n v="2403648.44"/>
    <n v="29845.22"/>
    <n v="1873037.29"/>
    <n v="1.016"/>
    <n v="39368.949999999997"/>
    <n v="11146.81"/>
    <n v="12575.71"/>
    <n v="2025"/>
    <n v="4"/>
  </r>
  <r>
    <n v="41664"/>
    <n v="3200904"/>
    <x v="11"/>
    <n v="0.81299999999999994"/>
    <n v="3618826.25"/>
    <n v="0"/>
    <n v="3618826.25"/>
    <n v="44933.64"/>
    <n v="2311605.11"/>
    <n v="1.3140000000000001"/>
    <n v="59272.13"/>
    <n v="14524.98"/>
    <n v="18933.43"/>
    <n v="2025"/>
    <n v="4"/>
  </r>
  <r>
    <n v="41665"/>
    <n v="3107109"/>
    <x v="12"/>
    <n v="0.48699999999999999"/>
    <n v="2167734.79"/>
    <n v="0"/>
    <n v="2167734.79"/>
    <n v="26915.97"/>
    <n v="480951.38"/>
    <n v="0.56299999999999994"/>
    <n v="35504.949999999997"/>
    <n v="6109.11"/>
    <n v="11341.43"/>
    <n v="2025"/>
    <n v="4"/>
  </r>
  <r>
    <n v="41666"/>
    <n v="3201100"/>
    <x v="13"/>
    <n v="0.247"/>
    <n v="1099446.5900000001"/>
    <n v="0"/>
    <n v="1099446.5900000001"/>
    <n v="13651.43"/>
    <n v="1757068.8"/>
    <n v="0.442"/>
    <n v="18007.650000000001"/>
    <n v="4819.91"/>
    <n v="5752.22"/>
    <n v="2025"/>
    <n v="4"/>
  </r>
  <r>
    <n v="41667"/>
    <n v="3201159"/>
    <x v="14"/>
    <n v="0.40699999999999997"/>
    <n v="1811638.76"/>
    <n v="0"/>
    <n v="1811638.76"/>
    <n v="22494.46"/>
    <n v="521947.55"/>
    <n v="0.47799999999999998"/>
    <n v="29672.52"/>
    <n v="6050.13"/>
    <n v="9478.36"/>
    <n v="2025"/>
    <n v="4"/>
  </r>
  <r>
    <n v="41668"/>
    <n v="3201209"/>
    <x v="15"/>
    <n v="2.5920000000000001"/>
    <n v="11537512.51"/>
    <n v="0"/>
    <n v="11537512.51"/>
    <n v="143257.07999999999"/>
    <n v="9992611.9399999995"/>
    <n v="4.3239999999999998"/>
    <n v="188970.94"/>
    <n v="47588.11"/>
    <n v="60363.4"/>
    <n v="2025"/>
    <n v="4"/>
  </r>
  <r>
    <n v="41669"/>
    <n v="3201308"/>
    <x v="16"/>
    <n v="8.3239999999999998"/>
    <n v="37051795.600000001"/>
    <n v="0"/>
    <n v="37051795.600000001"/>
    <n v="460058.61"/>
    <n v="19163994.329999998"/>
    <n v="6.5110000000000001"/>
    <n v="606865.02"/>
    <n v="71498.23"/>
    <n v="193852.21"/>
    <n v="2025"/>
    <n v="4"/>
  </r>
  <r>
    <n v="41670"/>
    <n v="3201407"/>
    <x v="17"/>
    <n v="0.80700000000000005"/>
    <n v="3592119.06"/>
    <n v="0"/>
    <n v="3592119.06"/>
    <n v="44602.03"/>
    <n v="3048074.79"/>
    <n v="1.165"/>
    <n v="58834.7"/>
    <n v="12893.12"/>
    <n v="18793.7"/>
    <n v="2025"/>
    <n v="4"/>
  </r>
  <r>
    <n v="41671"/>
    <n v="3201506"/>
    <x v="18"/>
    <n v="2.0139999999999998"/>
    <n v="8964718.4600000009"/>
    <n v="0"/>
    <n v="8964718.4600000009"/>
    <n v="111311.64"/>
    <n v="7109125.4900000002"/>
    <n v="2.875"/>
    <n v="146831.59"/>
    <n v="31669.58"/>
    <n v="46902.73"/>
    <n v="2025"/>
    <n v="4"/>
  </r>
  <r>
    <n v="41672"/>
    <n v="3201605"/>
    <x v="19"/>
    <n v="0.60099999999999998"/>
    <n v="2675171.69"/>
    <n v="0"/>
    <n v="2675171.69"/>
    <n v="33216.629999999997"/>
    <n v="648849.84"/>
    <n v="0.96399999999999997"/>
    <n v="43816.18"/>
    <n v="10453.219999999999"/>
    <n v="13996.3"/>
    <n v="2025"/>
    <n v="4"/>
  </r>
  <r>
    <n v="41673"/>
    <n v="3201704"/>
    <x v="20"/>
    <n v="0.371"/>
    <n v="1651395.51"/>
    <n v="0"/>
    <n v="1651395.51"/>
    <n v="20504.78"/>
    <n v="552293.15"/>
    <n v="0.46400000000000002"/>
    <n v="27047.93"/>
    <n v="5047.1899999999996"/>
    <n v="8639.98"/>
    <n v="2025"/>
    <n v="4"/>
  </r>
  <r>
    <n v="41674"/>
    <n v="3201803"/>
    <x v="21"/>
    <n v="0.187"/>
    <n v="832374.53"/>
    <n v="0"/>
    <n v="832374.53"/>
    <n v="10335.290000000001"/>
    <n v="162088.04"/>
    <n v="0.29699999999999999"/>
    <n v="13633.32"/>
    <n v="3248.65"/>
    <n v="4354.92"/>
    <n v="2025"/>
    <n v="4"/>
  </r>
  <r>
    <n v="41675"/>
    <n v="3201902"/>
    <x v="22"/>
    <n v="1.0620000000000001"/>
    <n v="4727175.25"/>
    <n v="0"/>
    <n v="4727175.25"/>
    <n v="58695.61"/>
    <n v="2250340.73"/>
    <n v="1.0780000000000001"/>
    <n v="77425.600000000006"/>
    <n v="12700.93"/>
    <n v="24732.23"/>
    <n v="2025"/>
    <n v="4"/>
  </r>
  <r>
    <n v="41676"/>
    <n v="3202009"/>
    <x v="23"/>
    <n v="0.34899999999999998"/>
    <n v="1553469.05"/>
    <n v="0"/>
    <n v="1553469.05"/>
    <n v="19288.86"/>
    <n v="755710.54"/>
    <n v="0.317"/>
    <n v="25444.01"/>
    <n v="3454.6"/>
    <n v="8127.63"/>
    <n v="2025"/>
    <n v="4"/>
  </r>
  <r>
    <n v="41677"/>
    <n v="3202108"/>
    <x v="24"/>
    <n v="0.57099999999999995"/>
    <n v="2541635.67"/>
    <n v="0"/>
    <n v="2541635.67"/>
    <n v="31558.560000000001"/>
    <n v="645514.75"/>
    <n v="0.81599999999999995"/>
    <n v="41629.01"/>
    <n v="8766.06"/>
    <n v="13297.65"/>
    <n v="2025"/>
    <n v="4"/>
  </r>
  <r>
    <n v="41678"/>
    <n v="3202207"/>
    <x v="25"/>
    <n v="0.36799999999999999"/>
    <n v="1638041.91"/>
    <n v="0"/>
    <n v="1638041.91"/>
    <n v="20338.97"/>
    <n v="655728.06000000006"/>
    <n v="0.69699999999999995"/>
    <n v="26829.21"/>
    <n v="7591.29"/>
    <n v="8570.11"/>
    <n v="2025"/>
    <n v="4"/>
  </r>
  <r>
    <n v="41679"/>
    <n v="3202256"/>
    <x v="26"/>
    <n v="0.53100000000000003"/>
    <n v="2363587.63"/>
    <n v="0"/>
    <n v="2363587.63"/>
    <n v="29347.8"/>
    <n v="722111.73"/>
    <n v="0.45200000000000001"/>
    <n v="38712.800000000003"/>
    <n v="4914.79"/>
    <n v="12366.11"/>
    <n v="2025"/>
    <n v="4"/>
  </r>
  <r>
    <n v="41680"/>
    <n v="3202306"/>
    <x v="27"/>
    <n v="0.36699999999999999"/>
    <n v="1633590.7"/>
    <n v="0"/>
    <n v="1633590.7"/>
    <n v="20283.7"/>
    <n v="1897245.54"/>
    <n v="0.98899999999999999"/>
    <n v="26756.3"/>
    <n v="10957.32"/>
    <n v="8546.82"/>
    <n v="2025"/>
    <n v="4"/>
  </r>
  <r>
    <n v="41681"/>
    <n v="3202405"/>
    <x v="28"/>
    <n v="0.79"/>
    <n v="3516448.66"/>
    <n v="0"/>
    <n v="3516448.66"/>
    <n v="43662.46"/>
    <n v="11555350.99"/>
    <n v="2.9359999999999999"/>
    <n v="57595.31"/>
    <n v="33364.620000000003"/>
    <n v="18397.79"/>
    <n v="2025"/>
    <n v="4"/>
  </r>
  <r>
    <n v="41682"/>
    <n v="3202454"/>
    <x v="29"/>
    <n v="0.33900000000000002"/>
    <n v="1508957.09"/>
    <n v="0"/>
    <n v="1508957.09"/>
    <n v="18736.169999999998"/>
    <n v="1701863.67"/>
    <n v="0.87"/>
    <n v="24714.95"/>
    <n v="9578.11"/>
    <n v="7894.75"/>
    <n v="2025"/>
    <n v="4"/>
  </r>
  <r>
    <n v="41683"/>
    <n v="3202504"/>
    <x v="30"/>
    <n v="0.307"/>
    <n v="1366518.66"/>
    <n v="0"/>
    <n v="1366518.66"/>
    <n v="16967.560000000001"/>
    <n v="823764.57"/>
    <n v="0.46100000000000002"/>
    <n v="22381.98"/>
    <n v="5021.96"/>
    <n v="7149.52"/>
    <n v="2025"/>
    <n v="4"/>
  </r>
  <r>
    <n v="41684"/>
    <n v="3202553"/>
    <x v="31"/>
    <n v="0.28399999999999997"/>
    <n v="1264141.04"/>
    <n v="0"/>
    <n v="1264141.04"/>
    <n v="15696.38"/>
    <n v="307745.2"/>
    <n v="0.35499999999999998"/>
    <n v="20705.150000000001"/>
    <n v="3871.37"/>
    <n v="6613.89"/>
    <n v="2025"/>
    <n v="4"/>
  </r>
  <r>
    <n v="41685"/>
    <n v="3202603"/>
    <x v="32"/>
    <n v="0.314"/>
    <n v="1397677.04"/>
    <n v="0"/>
    <n v="1397677.04"/>
    <n v="17354.45"/>
    <n v="1640072.17"/>
    <n v="0.53700000000000003"/>
    <n v="22892.31"/>
    <n v="5754.67"/>
    <n v="7312.54"/>
    <n v="2025"/>
    <n v="4"/>
  </r>
  <r>
    <n v="41686"/>
    <n v="3202652"/>
    <x v="33"/>
    <n v="0.316"/>
    <n v="1406579.46"/>
    <n v="0"/>
    <n v="1406579.46"/>
    <n v="17464.98"/>
    <n v="732997.85"/>
    <n v="0.56399999999999995"/>
    <n v="23038.13"/>
    <n v="6167.68"/>
    <n v="7359.12"/>
    <n v="2025"/>
    <n v="4"/>
  </r>
  <r>
    <n v="41687"/>
    <n v="3202702"/>
    <x v="34"/>
    <n v="0.40400000000000003"/>
    <n v="1798285.11"/>
    <n v="0"/>
    <n v="1798285.11"/>
    <n v="22328.65"/>
    <n v="521600.49"/>
    <n v="0.56200000000000006"/>
    <n v="29453.81"/>
    <n v="6107.22"/>
    <n v="9408.49"/>
    <n v="2025"/>
    <n v="4"/>
  </r>
  <r>
    <n v="41688"/>
    <n v="3202801"/>
    <x v="35"/>
    <n v="3.4060000000000001"/>
    <n v="15160789.98"/>
    <n v="0"/>
    <n v="15160789.98"/>
    <n v="188245.99"/>
    <n v="1152058.32"/>
    <n v="1.2130000000000001"/>
    <n v="248315.99"/>
    <n v="13428.38"/>
    <n v="79320.11"/>
    <n v="2025"/>
    <n v="4"/>
  </r>
  <r>
    <n v="41689"/>
    <n v="3202900"/>
    <x v="36"/>
    <n v="0.39200000000000002"/>
    <n v="1744870.74"/>
    <n v="0"/>
    <n v="1744870.74"/>
    <n v="21665.42"/>
    <n v="664115.6"/>
    <n v="0.44600000000000001"/>
    <n v="28578.94"/>
    <n v="4849.6099999999997"/>
    <n v="9129.0300000000007"/>
    <n v="2025"/>
    <n v="4"/>
  </r>
  <r>
    <n v="41690"/>
    <n v="3203007"/>
    <x v="37"/>
    <n v="0.5"/>
    <n v="2225600.41"/>
    <n v="0"/>
    <n v="2225600.41"/>
    <n v="27634.47"/>
    <n v="1280628.6499999999"/>
    <n v="0.91200000000000003"/>
    <n v="36452.730000000003"/>
    <n v="10001.35"/>
    <n v="11644.17"/>
    <n v="2025"/>
    <n v="4"/>
  </r>
  <r>
    <n v="41691"/>
    <n v="3203056"/>
    <x v="38"/>
    <n v="1.109"/>
    <n v="4936381.71"/>
    <n v="0"/>
    <n v="4936381.71"/>
    <n v="61293.25"/>
    <n v="1618795.31"/>
    <n v="0.98399999999999999"/>
    <n v="80852.149999999994"/>
    <n v="10949.5"/>
    <n v="25826.78"/>
    <n v="2025"/>
    <n v="4"/>
  </r>
  <r>
    <n v="41692"/>
    <n v="3203106"/>
    <x v="39"/>
    <n v="0.216"/>
    <n v="961459.38"/>
    <n v="0"/>
    <n v="961459.38"/>
    <n v="11938.09"/>
    <n v="339391.36"/>
    <n v="0.45900000000000002"/>
    <n v="15747.58"/>
    <n v="4997.38"/>
    <n v="5030.28"/>
    <n v="2025"/>
    <n v="4"/>
  </r>
  <r>
    <n v="41693"/>
    <n v="3203130"/>
    <x v="40"/>
    <n v="0.376"/>
    <n v="1673651.48"/>
    <n v="0"/>
    <n v="1673651.48"/>
    <n v="20781.12"/>
    <n v="890654.73"/>
    <n v="0.63600000000000001"/>
    <n v="27412.45"/>
    <n v="6809.53"/>
    <n v="8756.42"/>
    <n v="2025"/>
    <n v="4"/>
  </r>
  <r>
    <n v="41694"/>
    <n v="3203163"/>
    <x v="41"/>
    <n v="0.42799999999999999"/>
    <n v="1905113.94"/>
    <n v="0"/>
    <n v="1905113.94"/>
    <n v="23655.1"/>
    <n v="485261.15"/>
    <n v="0.45300000000000001"/>
    <n v="31203.54"/>
    <n v="4928.97"/>
    <n v="9967.41"/>
    <n v="2025"/>
    <n v="4"/>
  </r>
  <r>
    <n v="41695"/>
    <n v="3203205"/>
    <x v="42"/>
    <n v="4.431"/>
    <n v="19723270.800000001"/>
    <n v="0"/>
    <n v="19723270.800000001"/>
    <n v="244896.65"/>
    <n v="9496438.6899999995"/>
    <n v="4.0759999999999996"/>
    <n v="323044.08"/>
    <n v="45373.24"/>
    <n v="103190.67"/>
    <n v="2025"/>
    <n v="4"/>
  </r>
  <r>
    <n v="41696"/>
    <n v="3203304"/>
    <x v="43"/>
    <n v="0.314"/>
    <n v="1397677.04"/>
    <n v="0"/>
    <n v="1397677.04"/>
    <n v="17354.45"/>
    <n v="667599.6"/>
    <n v="0.54300000000000004"/>
    <n v="22892.31"/>
    <n v="5805.95"/>
    <n v="7312.54"/>
    <n v="2025"/>
    <n v="4"/>
  </r>
  <r>
    <n v="41697"/>
    <n v="3203320"/>
    <x v="44"/>
    <n v="0.58499999999999996"/>
    <n v="2603952.46"/>
    <n v="0"/>
    <n v="2603952.46"/>
    <n v="32332.33"/>
    <n v="1593649.1"/>
    <n v="1.24"/>
    <n v="42649.69"/>
    <n v="14547.66"/>
    <n v="13623.68"/>
    <n v="2025"/>
    <n v="4"/>
  </r>
  <r>
    <n v="41698"/>
    <n v="3203346"/>
    <x v="45"/>
    <n v="0.55500000000000005"/>
    <n v="2470416.44"/>
    <n v="0"/>
    <n v="2470416.44"/>
    <n v="30674.26"/>
    <n v="1133415.73"/>
    <n v="0.69199999999999995"/>
    <n v="40462.53"/>
    <n v="7580.36"/>
    <n v="12925.03"/>
    <n v="2025"/>
    <n v="4"/>
  </r>
  <r>
    <n v="41699"/>
    <n v="3203353"/>
    <x v="46"/>
    <n v="0.505"/>
    <n v="2247856.42"/>
    <n v="0"/>
    <n v="2247856.42"/>
    <n v="27910.81"/>
    <n v="901238.5"/>
    <n v="0.47"/>
    <n v="36817.25"/>
    <n v="5123.58"/>
    <n v="11760.62"/>
    <n v="2025"/>
    <n v="4"/>
  </r>
  <r>
    <n v="41700"/>
    <n v="3203403"/>
    <x v="47"/>
    <n v="0.46899999999999997"/>
    <n v="2087613.2"/>
    <n v="0"/>
    <n v="2087613.2"/>
    <n v="25921.13"/>
    <n v="891747.7"/>
    <n v="0.85899999999999999"/>
    <n v="34192.660000000003"/>
    <n v="9290.77"/>
    <n v="10922.24"/>
    <n v="2025"/>
    <n v="4"/>
  </r>
  <r>
    <n v="41701"/>
    <n v="3203502"/>
    <x v="48"/>
    <n v="0.51500000000000001"/>
    <n v="2292368.4500000002"/>
    <n v="0"/>
    <n v="2292368.4500000002"/>
    <n v="28463.5"/>
    <n v="832286.44"/>
    <n v="0.70899999999999996"/>
    <n v="37546.300000000003"/>
    <n v="7716.54"/>
    <n v="11993.5"/>
    <n v="2025"/>
    <n v="4"/>
  </r>
  <r>
    <n v="41702"/>
    <n v="3203601"/>
    <x v="49"/>
    <n v="0.30599999999999999"/>
    <n v="1362067.45"/>
    <n v="0"/>
    <n v="1362067.45"/>
    <n v="16912.29"/>
    <n v="211880.07"/>
    <n v="0.30199999999999999"/>
    <n v="22309.07"/>
    <n v="3289.27"/>
    <n v="7126.23"/>
    <n v="2025"/>
    <n v="4"/>
  </r>
  <r>
    <n v="41703"/>
    <n v="3203700"/>
    <x v="50"/>
    <n v="0.505"/>
    <n v="2247856.42"/>
    <n v="0"/>
    <n v="2247856.42"/>
    <n v="27910.81"/>
    <n v="618603.89"/>
    <n v="0.69899999999999995"/>
    <n v="36817.25"/>
    <n v="7589.54"/>
    <n v="11760.62"/>
    <n v="2025"/>
    <n v="4"/>
  </r>
  <r>
    <n v="41704"/>
    <n v="3203809"/>
    <x v="51"/>
    <n v="0.32"/>
    <n v="1424384.28"/>
    <n v="0"/>
    <n v="1424384.28"/>
    <n v="17686.060000000001"/>
    <n v="412075.77"/>
    <n v="0.56499999999999995"/>
    <n v="23329.75"/>
    <n v="6127.19"/>
    <n v="7452.27"/>
    <n v="2025"/>
    <n v="4"/>
  </r>
  <r>
    <n v="41705"/>
    <n v="3203908"/>
    <x v="52"/>
    <n v="1.2250000000000001"/>
    <n v="5452721.0099999998"/>
    <n v="0"/>
    <n v="5452721.0099999998"/>
    <n v="67704.45"/>
    <n v="2408953.5099999998"/>
    <n v="1.476"/>
    <n v="89309.19"/>
    <n v="16289.1"/>
    <n v="28528.23"/>
    <n v="2025"/>
    <n v="4"/>
  </r>
  <r>
    <n v="41706"/>
    <n v="3204005"/>
    <x v="53"/>
    <n v="0.435"/>
    <n v="1936272.34"/>
    <n v="0"/>
    <n v="1936272.34"/>
    <n v="24041.99"/>
    <n v="616943.34"/>
    <n v="0.70899999999999996"/>
    <n v="31713.87"/>
    <n v="7651.49"/>
    <n v="10130.43"/>
    <n v="2025"/>
    <n v="4"/>
  </r>
  <r>
    <n v="41707"/>
    <n v="3204054"/>
    <x v="54"/>
    <n v="0.33400000000000002"/>
    <n v="1486701.07"/>
    <n v="0"/>
    <n v="1486701.07"/>
    <n v="18459.82"/>
    <n v="848672.34"/>
    <n v="0.81"/>
    <n v="24350.43"/>
    <n v="8682.1200000000008"/>
    <n v="7778.31"/>
    <n v="2025"/>
    <n v="4"/>
  </r>
  <r>
    <n v="41708"/>
    <n v="3204104"/>
    <x v="55"/>
    <n v="0.755"/>
    <n v="3360656.63"/>
    <n v="0"/>
    <n v="3360656.63"/>
    <n v="41728.050000000003"/>
    <n v="765220.14"/>
    <n v="0.85099999999999998"/>
    <n v="55043.62"/>
    <n v="9243.01"/>
    <n v="17582.7"/>
    <n v="2025"/>
    <n v="4"/>
  </r>
  <r>
    <n v="41709"/>
    <n v="3204203"/>
    <x v="56"/>
    <n v="0.36499999999999999"/>
    <n v="1624688.31"/>
    <n v="0"/>
    <n v="1624688.31"/>
    <n v="20173.16"/>
    <n v="1659392.15"/>
    <n v="0.753"/>
    <n v="26610.49"/>
    <n v="8246.9500000000007"/>
    <n v="8500.25"/>
    <n v="2025"/>
    <n v="4"/>
  </r>
  <r>
    <n v="41710"/>
    <n v="3204252"/>
    <x v="57"/>
    <n v="0.27"/>
    <n v="1201824.22"/>
    <n v="0"/>
    <n v="1201824.22"/>
    <n v="14922.61"/>
    <n v="185840.14"/>
    <n v="0.316"/>
    <n v="19684.47"/>
    <n v="3429.09"/>
    <n v="6287.85"/>
    <n v="2025"/>
    <n v="4"/>
  </r>
  <r>
    <n v="41711"/>
    <n v="1718402"/>
    <x v="58"/>
    <n v="0.39100000000000001"/>
    <n v="1740419.5"/>
    <n v="0"/>
    <n v="1740419.5"/>
    <n v="21610.15"/>
    <n v="726350.59"/>
    <n v="0.56399999999999995"/>
    <n v="28506.03"/>
    <n v="6185.77"/>
    <n v="9105.74"/>
    <n v="2025"/>
    <n v="4"/>
  </r>
  <r>
    <n v="41712"/>
    <n v="3204351"/>
    <x v="59"/>
    <n v="0.88200000000000001"/>
    <n v="3925959.11"/>
    <n v="0"/>
    <n v="3925959.11"/>
    <n v="48747.199999999997"/>
    <n v="1834129.38"/>
    <n v="0.71399999999999997"/>
    <n v="64302.61"/>
    <n v="7780.92"/>
    <n v="20540.32"/>
    <n v="2025"/>
    <n v="4"/>
  </r>
  <r>
    <n v="41713"/>
    <n v="3204401"/>
    <x v="60"/>
    <n v="0.312"/>
    <n v="1388774.67"/>
    <n v="0"/>
    <n v="1388774.67"/>
    <n v="17243.91"/>
    <n v="496364.33"/>
    <n v="0.45300000000000001"/>
    <n v="22746.5"/>
    <n v="4916.41"/>
    <n v="7265.96"/>
    <n v="2025"/>
    <n v="4"/>
  </r>
  <r>
    <n v="41714"/>
    <n v="3204500"/>
    <x v="61"/>
    <n v="0.51800000000000002"/>
    <n v="2305722.02"/>
    <n v="0"/>
    <n v="2305722.02"/>
    <n v="28629.31"/>
    <n v="422466.42"/>
    <n v="0.47899999999999998"/>
    <n v="37765.019999999997"/>
    <n v="6064.3"/>
    <n v="12063.36"/>
    <n v="2025"/>
    <n v="4"/>
  </r>
  <r>
    <n v="41715"/>
    <n v="3204559"/>
    <x v="62"/>
    <n v="2.1909999999999998"/>
    <n v="9752581"/>
    <n v="0"/>
    <n v="9752581"/>
    <n v="121094.24"/>
    <n v="2965768.85"/>
    <n v="1.236"/>
    <n v="159735.85"/>
    <n v="14499.61"/>
    <n v="51024.77"/>
    <n v="2025"/>
    <n v="4"/>
  </r>
  <r>
    <n v="41716"/>
    <n v="3204609"/>
    <x v="63"/>
    <n v="0.66"/>
    <n v="2937792.54"/>
    <n v="0"/>
    <n v="2937792.54"/>
    <n v="36477.5"/>
    <n v="1568155.83"/>
    <n v="0.82699999999999996"/>
    <n v="48117.599999999999"/>
    <n v="9104.1200000000008"/>
    <n v="15370.31"/>
    <n v="2025"/>
    <n v="4"/>
  </r>
  <r>
    <n v="41717"/>
    <n v="3204658"/>
    <x v="64"/>
    <n v="0.42099999999999999"/>
    <n v="1873955.55"/>
    <n v="0"/>
    <n v="1873955.55"/>
    <n v="23268.22"/>
    <n v="523108.15"/>
    <n v="0.34300000000000003"/>
    <n v="30693.19"/>
    <n v="3741.12"/>
    <n v="9804.39"/>
    <n v="2025"/>
    <n v="4"/>
  </r>
  <r>
    <n v="41718"/>
    <n v="3204708"/>
    <x v="65"/>
    <n v="0.72299999999999998"/>
    <n v="3218218.17"/>
    <n v="0"/>
    <n v="3218218.17"/>
    <n v="39959.440000000002"/>
    <n v="1997946.75"/>
    <n v="1.1040000000000001"/>
    <n v="52710.64"/>
    <n v="12001.9"/>
    <n v="16837.48"/>
    <n v="2025"/>
    <n v="4"/>
  </r>
  <r>
    <n v="41719"/>
    <n v="3204807"/>
    <x v="66"/>
    <n v="0.28599999999999998"/>
    <n v="1273043.42"/>
    <n v="0"/>
    <n v="1273043.42"/>
    <n v="15806.92"/>
    <n v="479202.42"/>
    <n v="0.45"/>
    <n v="20850.96"/>
    <n v="4902.1000000000004"/>
    <n v="6660.47"/>
    <n v="2025"/>
    <n v="4"/>
  </r>
  <r>
    <n v="41720"/>
    <n v="3204906"/>
    <x v="67"/>
    <n v="1.998"/>
    <n v="8893499.2200000007"/>
    <n v="0"/>
    <n v="8893499.2200000007"/>
    <n v="110427.33"/>
    <n v="5057823.67"/>
    <n v="2.9870000000000001"/>
    <n v="145665.1"/>
    <n v="33150.699999999997"/>
    <n v="46530.12"/>
    <n v="2025"/>
    <n v="4"/>
  </r>
  <r>
    <n v="41721"/>
    <n v="3204955"/>
    <x v="68"/>
    <n v="0.3"/>
    <n v="1335360.24"/>
    <n v="0"/>
    <n v="1335360.24"/>
    <n v="16580.68"/>
    <n v="533948.44999999995"/>
    <n v="0.45"/>
    <n v="21871.63"/>
    <n v="4888.34"/>
    <n v="6986.5"/>
    <n v="2025"/>
    <n v="4"/>
  </r>
  <r>
    <n v="41722"/>
    <n v="3205002"/>
    <x v="69"/>
    <n v="14.551"/>
    <n v="64769423.060000002"/>
    <n v="0"/>
    <n v="64769423.060000002"/>
    <n v="804218.27"/>
    <n v="20195645.600000001"/>
    <n v="8.6910000000000007"/>
    <n v="1060847.28"/>
    <n v="98057.24"/>
    <n v="338868.75"/>
    <n v="2025"/>
    <n v="4"/>
  </r>
  <r>
    <n v="41723"/>
    <n v="3205010"/>
    <x v="70"/>
    <n v="0.78200000000000003"/>
    <n v="3480839.04"/>
    <n v="0"/>
    <n v="3480839.04"/>
    <n v="43220.31"/>
    <n v="776908.80000000005"/>
    <n v="0.95199999999999996"/>
    <n v="57012.07"/>
    <n v="10385.74"/>
    <n v="18211.490000000002"/>
    <n v="2025"/>
    <n v="4"/>
  </r>
  <r>
    <n v="41724"/>
    <n v="3205036"/>
    <x v="71"/>
    <n v="0.45700000000000002"/>
    <n v="2034198.76"/>
    <n v="0"/>
    <n v="2034198.76"/>
    <n v="25257.9"/>
    <n v="1118444.8799999999"/>
    <n v="0.71699999999999997"/>
    <n v="33317.79"/>
    <n v="7797.65"/>
    <n v="10642.77"/>
    <n v="2025"/>
    <n v="4"/>
  </r>
  <r>
    <n v="41725"/>
    <n v="3205069"/>
    <x v="72"/>
    <n v="0.67"/>
    <n v="2982304.55"/>
    <n v="0"/>
    <n v="2982304.55"/>
    <n v="37030.19"/>
    <n v="2373406.75"/>
    <n v="0.85"/>
    <n v="48846.66"/>
    <n v="9289.2900000000009"/>
    <n v="15603.19"/>
    <n v="2025"/>
    <n v="4"/>
  </r>
  <r>
    <n v="41726"/>
    <n v="2112803"/>
    <x v="73"/>
    <n v="3.3740000000000001"/>
    <n v="15018351.550000001"/>
    <n v="0"/>
    <n v="15018351.550000001"/>
    <n v="186477.39"/>
    <n v="5366749.68"/>
    <n v="1.9590000000000001"/>
    <n v="245983.01"/>
    <n v="21530.02"/>
    <n v="78574.89"/>
    <n v="2025"/>
    <n v="4"/>
  </r>
  <r>
    <n v="41727"/>
    <n v="3205150"/>
    <x v="74"/>
    <n v="0.36799999999999999"/>
    <n v="1638041.91"/>
    <n v="0"/>
    <n v="1638041.91"/>
    <n v="20338.97"/>
    <n v="370986.36"/>
    <n v="0.34699999999999998"/>
    <n v="26829.21"/>
    <n v="3780.26"/>
    <n v="8570.11"/>
    <n v="2025"/>
    <n v="4"/>
  </r>
  <r>
    <n v="41728"/>
    <n v="3205176"/>
    <x v="75"/>
    <n v="0.7"/>
    <n v="3115840.56"/>
    <n v="0"/>
    <n v="3115840.56"/>
    <n v="38688.25"/>
    <n v="1177251.75"/>
    <n v="0.56399999999999995"/>
    <n v="51033.82"/>
    <n v="6133.93"/>
    <n v="16301.84"/>
    <n v="2025"/>
    <n v="4"/>
  </r>
  <r>
    <n v="41729"/>
    <n v="3205200"/>
    <x v="76"/>
    <n v="6.6219999999999999"/>
    <n v="29475851.789999999"/>
    <n v="0"/>
    <n v="29475851.789999999"/>
    <n v="365990.89"/>
    <n v="26308102.16"/>
    <n v="8.0009999999999994"/>
    <n v="482779.93"/>
    <n v="88694.26"/>
    <n v="154215.44"/>
    <n v="2025"/>
    <n v="4"/>
  </r>
  <r>
    <n v="41730"/>
    <n v="3205309"/>
    <x v="77"/>
    <n v="10.878"/>
    <n v="48420162.539999999"/>
    <n v="0"/>
    <n v="48420162.539999999"/>
    <n v="601215.47"/>
    <n v="29327015.760000002"/>
    <n v="9.2110000000000003"/>
    <n v="793065.54"/>
    <n v="101628.05"/>
    <n v="253330.68"/>
    <n v="2025"/>
    <n v="4"/>
  </r>
  <r>
    <n v="41731"/>
    <n v="3200102"/>
    <x v="0"/>
    <n v="0.67100000000000004"/>
    <n v="3185277.44"/>
    <n v="0"/>
    <n v="3185277.44"/>
    <n v="36029.25"/>
    <n v="361473.49"/>
    <n v="1.0169999999999999"/>
    <n v="51808.75"/>
    <n v="0"/>
    <n v="0"/>
    <n v="2025"/>
    <n v="5"/>
  </r>
  <r>
    <n v="41732"/>
    <n v="3200169"/>
    <x v="1"/>
    <n v="0.309"/>
    <n v="1466841.63"/>
    <n v="0"/>
    <n v="1466841.63"/>
    <n v="16591.71"/>
    <n v="169964.79"/>
    <n v="0.46500000000000002"/>
    <n v="23858.28"/>
    <n v="0"/>
    <n v="0"/>
    <n v="2025"/>
    <n v="5"/>
  </r>
  <r>
    <n v="41733"/>
    <n v="3200136"/>
    <x v="2"/>
    <n v="0.51900000000000002"/>
    <n v="2463724.27"/>
    <n v="0"/>
    <n v="2463724.27"/>
    <n v="27867.63"/>
    <n v="178322.48"/>
    <n v="0.35799999999999998"/>
    <n v="40072.639999999999"/>
    <n v="0"/>
    <n v="0"/>
    <n v="2025"/>
    <n v="5"/>
  </r>
  <r>
    <n v="41734"/>
    <n v="3200201"/>
    <x v="3"/>
    <n v="0.41799999999999998"/>
    <n v="1984271.19"/>
    <n v="0"/>
    <n v="1984271.19"/>
    <n v="22444.45"/>
    <n v="322968.57"/>
    <n v="0.98699999999999999"/>
    <n v="32274.31"/>
    <n v="0"/>
    <n v="0"/>
    <n v="2025"/>
    <n v="5"/>
  </r>
  <r>
    <n v="41735"/>
    <n v="3200300"/>
    <x v="4"/>
    <n v="0.442"/>
    <n v="2098200.65"/>
    <n v="0"/>
    <n v="2098200.65"/>
    <n v="23733.13"/>
    <n v="276066.64"/>
    <n v="0.56599999999999995"/>
    <n v="34127.379999999997"/>
    <n v="0"/>
    <n v="0"/>
    <n v="2025"/>
    <n v="5"/>
  </r>
  <r>
    <n v="41736"/>
    <n v="3200359"/>
    <x v="5"/>
    <n v="0.25800000000000001"/>
    <n v="1224741.54"/>
    <n v="0"/>
    <n v="1224741.54"/>
    <n v="13853.27"/>
    <n v="109598.56"/>
    <n v="0.32800000000000001"/>
    <n v="19920.5"/>
    <n v="0"/>
    <n v="0"/>
    <n v="2025"/>
    <n v="5"/>
  </r>
  <r>
    <n v="41737"/>
    <n v="3200409"/>
    <x v="6"/>
    <n v="3.4780000000000002"/>
    <n v="16510275.57"/>
    <n v="0"/>
    <n v="16510275.57"/>
    <n v="186750.73"/>
    <n v="485571.76"/>
    <n v="0.93"/>
    <n v="268540.75"/>
    <n v="0"/>
    <n v="0"/>
    <n v="2025"/>
    <n v="5"/>
  </r>
  <r>
    <n v="41738"/>
    <n v="3200508"/>
    <x v="7"/>
    <n v="0.23799999999999999"/>
    <n v="1129800.3400000001"/>
    <n v="0"/>
    <n v="1129800.3400000001"/>
    <n v="12779.38"/>
    <n v="171871.27"/>
    <n v="0.32500000000000001"/>
    <n v="18376.28"/>
    <n v="0"/>
    <n v="0"/>
    <n v="2025"/>
    <n v="5"/>
  </r>
  <r>
    <n v="41739"/>
    <n v="3200607"/>
    <x v="8"/>
    <n v="4.4800000000000004"/>
    <n v="21266829.949999999"/>
    <n v="0"/>
    <n v="21266829.949999999"/>
    <n v="240552.98"/>
    <n v="1443255.45"/>
    <n v="2.456"/>
    <n v="345906.43"/>
    <n v="0"/>
    <n v="0"/>
    <n v="2025"/>
    <n v="5"/>
  </r>
  <r>
    <n v="41740"/>
    <n v="3200706"/>
    <x v="9"/>
    <n v="0.39500000000000002"/>
    <n v="1875088.82"/>
    <n v="0"/>
    <n v="1875088.82"/>
    <n v="21209.47"/>
    <n v="122584.48"/>
    <n v="0.44600000000000001"/>
    <n v="30498.45"/>
    <n v="0"/>
    <n v="0"/>
    <n v="2025"/>
    <n v="5"/>
  </r>
  <r>
    <n v="41741"/>
    <n v="3200805"/>
    <x v="10"/>
    <n v="0.54"/>
    <n v="2563412.5499999998"/>
    <n v="0"/>
    <n v="2563412.5499999998"/>
    <n v="28995.23"/>
    <n v="768547.05"/>
    <n v="1.016"/>
    <n v="41694.080000000002"/>
    <n v="0"/>
    <n v="0"/>
    <n v="2025"/>
    <n v="5"/>
  </r>
  <r>
    <n v="41742"/>
    <n v="3200904"/>
    <x v="11"/>
    <n v="0.81299999999999994"/>
    <n v="3859359.99"/>
    <n v="0"/>
    <n v="3859359.99"/>
    <n v="43653.919999999998"/>
    <n v="820353.23"/>
    <n v="1.3140000000000001"/>
    <n v="62772.76"/>
    <n v="0"/>
    <n v="0"/>
    <n v="2025"/>
    <n v="5"/>
  </r>
  <r>
    <n v="41743"/>
    <n v="3107109"/>
    <x v="12"/>
    <n v="0.48699999999999999"/>
    <n v="2311818.35"/>
    <n v="0"/>
    <n v="2311818.35"/>
    <n v="26149.4"/>
    <n v="274335.15999999997"/>
    <n v="0.56299999999999994"/>
    <n v="37601.89"/>
    <n v="0"/>
    <n v="0"/>
    <n v="2025"/>
    <n v="5"/>
  </r>
  <r>
    <n v="41744"/>
    <n v="3201100"/>
    <x v="13"/>
    <n v="0.247"/>
    <n v="1172523.8600000001"/>
    <n v="0"/>
    <n v="1172523.8600000001"/>
    <n v="13262.63"/>
    <n v="475282.98"/>
    <n v="0.442"/>
    <n v="19071.18"/>
    <n v="0"/>
    <n v="0"/>
    <n v="2025"/>
    <n v="5"/>
  </r>
  <r>
    <n v="41745"/>
    <n v="3201159"/>
    <x v="14"/>
    <n v="0.40699999999999997"/>
    <n v="1932053.54"/>
    <n v="0"/>
    <n v="1932053.54"/>
    <n v="21853.81"/>
    <n v="222666.99"/>
    <n v="0.47799999999999998"/>
    <n v="31424.98"/>
    <n v="0"/>
    <n v="0"/>
    <n v="2025"/>
    <n v="5"/>
  </r>
  <r>
    <n v="41746"/>
    <n v="3201209"/>
    <x v="15"/>
    <n v="2.5920000000000001"/>
    <n v="12304380.199999999"/>
    <n v="0"/>
    <n v="12304380.199999999"/>
    <n v="139177.07999999999"/>
    <n v="2906886.65"/>
    <n v="4.3239999999999998"/>
    <n v="200131.58"/>
    <n v="0"/>
    <n v="0"/>
    <n v="2025"/>
    <n v="5"/>
  </r>
  <r>
    <n v="41747"/>
    <n v="3201308"/>
    <x v="16"/>
    <n v="8.3239999999999998"/>
    <n v="39514529.579999998"/>
    <n v="0"/>
    <n v="39514529.579999998"/>
    <n v="446956.03"/>
    <n v="4071641.09"/>
    <n v="6.5110000000000001"/>
    <n v="642706.5"/>
    <n v="0"/>
    <n v="0"/>
    <n v="2025"/>
    <n v="5"/>
  </r>
  <r>
    <n v="41748"/>
    <n v="3201407"/>
    <x v="17"/>
    <n v="0.80700000000000005"/>
    <n v="3830877.62"/>
    <n v="0"/>
    <n v="3830877.62"/>
    <n v="43331.75"/>
    <n v="640544.81999999995"/>
    <n v="1.165"/>
    <n v="62309.48"/>
    <n v="0"/>
    <n v="0"/>
    <n v="2025"/>
    <n v="5"/>
  </r>
  <r>
    <n v="41749"/>
    <n v="3201506"/>
    <x v="18"/>
    <n v="2.0139999999999998"/>
    <n v="9560579.3399999999"/>
    <n v="0"/>
    <n v="9560579.3399999999"/>
    <n v="108141.45"/>
    <n v="2119373.5299999998"/>
    <n v="2.875"/>
    <n v="155503.47"/>
    <n v="0"/>
    <n v="0"/>
    <n v="2025"/>
    <n v="5"/>
  </r>
  <r>
    <n v="41750"/>
    <n v="3201605"/>
    <x v="19"/>
    <n v="0.60099999999999998"/>
    <n v="2852983.23"/>
    <n v="0"/>
    <n v="2852983.23"/>
    <n v="32270.61"/>
    <n v="299357.13"/>
    <n v="0.96399999999999997"/>
    <n v="46403.97"/>
    <n v="0"/>
    <n v="0"/>
    <n v="2025"/>
    <n v="5"/>
  </r>
  <r>
    <n v="41751"/>
    <n v="3201704"/>
    <x v="20"/>
    <n v="0.371"/>
    <n v="1761159.37"/>
    <n v="0"/>
    <n v="1761159.37"/>
    <n v="19920.79"/>
    <n v="178223.48"/>
    <n v="0.46400000000000002"/>
    <n v="28645.38"/>
    <n v="0"/>
    <n v="0"/>
    <n v="2025"/>
    <n v="5"/>
  </r>
  <r>
    <n v="41752"/>
    <n v="3201803"/>
    <x v="21"/>
    <n v="0.187"/>
    <n v="887700.28"/>
    <n v="0"/>
    <n v="887700.28"/>
    <n v="10040.94"/>
    <n v="45245.760000000002"/>
    <n v="0.29699999999999999"/>
    <n v="14438.51"/>
    <n v="0"/>
    <n v="0"/>
    <n v="2025"/>
    <n v="5"/>
  </r>
  <r>
    <n v="41753"/>
    <n v="3201902"/>
    <x v="22"/>
    <n v="1.0620000000000001"/>
    <n v="5041377.99"/>
    <n v="0"/>
    <n v="5041377.99"/>
    <n v="57023.94"/>
    <n v="661999.04"/>
    <n v="1.0780000000000001"/>
    <n v="81998.350000000006"/>
    <n v="0"/>
    <n v="0"/>
    <n v="2025"/>
    <n v="5"/>
  </r>
  <r>
    <n v="41754"/>
    <n v="3202009"/>
    <x v="23"/>
    <n v="0.34899999999999998"/>
    <n v="1656724.05"/>
    <n v="0"/>
    <n v="1656724.05"/>
    <n v="18739.509999999998"/>
    <n v="199180.99"/>
    <n v="0.317"/>
    <n v="26946.73"/>
    <n v="0"/>
    <n v="0"/>
    <n v="2025"/>
    <n v="5"/>
  </r>
  <r>
    <n v="41755"/>
    <n v="3202108"/>
    <x v="24"/>
    <n v="0.57099999999999995"/>
    <n v="2710571.41"/>
    <n v="0"/>
    <n v="2710571.41"/>
    <n v="30659.77"/>
    <n v="296980.84000000003"/>
    <n v="0.81599999999999995"/>
    <n v="44087.63"/>
    <n v="0"/>
    <n v="0"/>
    <n v="2025"/>
    <n v="5"/>
  </r>
  <r>
    <n v="41756"/>
    <n v="3202207"/>
    <x v="25"/>
    <n v="0.36799999999999999"/>
    <n v="1746918.16"/>
    <n v="0"/>
    <n v="1746918.16"/>
    <n v="19759.71"/>
    <n v="226530.28"/>
    <n v="0.69699999999999995"/>
    <n v="28413.75"/>
    <n v="0"/>
    <n v="0"/>
    <n v="2025"/>
    <n v="5"/>
  </r>
  <r>
    <n v="41757"/>
    <n v="3202256"/>
    <x v="26"/>
    <n v="0.53100000000000003"/>
    <n v="2520689.0299999998"/>
    <n v="0"/>
    <n v="2520689.0299999998"/>
    <n v="28511.97"/>
    <n v="277841.07"/>
    <n v="0.45200000000000001"/>
    <n v="40999.18"/>
    <n v="0"/>
    <n v="0"/>
    <n v="2025"/>
    <n v="5"/>
  </r>
  <r>
    <n v="41758"/>
    <n v="3202306"/>
    <x v="27"/>
    <n v="0.36699999999999999"/>
    <n v="1742171.11"/>
    <n v="0"/>
    <n v="1742171.11"/>
    <n v="19706.009999999998"/>
    <n v="524127.39"/>
    <n v="0.98899999999999999"/>
    <n v="28336.53"/>
    <n v="0"/>
    <n v="0"/>
    <n v="2025"/>
    <n v="5"/>
  </r>
  <r>
    <n v="41759"/>
    <n v="3202405"/>
    <x v="28"/>
    <n v="0.79"/>
    <n v="3750177.6"/>
    <n v="0"/>
    <n v="3750177.6"/>
    <n v="42418.94"/>
    <n v="3014979.34"/>
    <n v="2.9359999999999999"/>
    <n v="60996.89"/>
    <n v="0"/>
    <n v="0"/>
    <n v="2025"/>
    <n v="5"/>
  </r>
  <r>
    <n v="41760"/>
    <n v="3202454"/>
    <x v="29"/>
    <n v="0.33900000000000002"/>
    <n v="1609253.42"/>
    <n v="0"/>
    <n v="1609253.42"/>
    <n v="18202.560000000001"/>
    <n v="575865.84"/>
    <n v="0.87"/>
    <n v="26174.61"/>
    <n v="0"/>
    <n v="0"/>
    <n v="2025"/>
    <n v="5"/>
  </r>
  <r>
    <n v="41761"/>
    <n v="3202504"/>
    <x v="30"/>
    <n v="0.307"/>
    <n v="1457347.48"/>
    <n v="0"/>
    <n v="1457347.48"/>
    <n v="16484.32"/>
    <n v="161602.89000000001"/>
    <n v="0.46100000000000002"/>
    <n v="23703.86"/>
    <n v="0"/>
    <n v="0"/>
    <n v="2025"/>
    <n v="5"/>
  </r>
  <r>
    <n v="41762"/>
    <n v="3202553"/>
    <x v="31"/>
    <n v="0.28399999999999997"/>
    <n v="1348165.11"/>
    <n v="0"/>
    <n v="1348165.11"/>
    <n v="15249.34"/>
    <n v="114736.41"/>
    <n v="0.35499999999999998"/>
    <n v="21927.99"/>
    <n v="0"/>
    <n v="0"/>
    <n v="2025"/>
    <n v="5"/>
  </r>
  <r>
    <n v="41763"/>
    <n v="3202603"/>
    <x v="32"/>
    <n v="0.314"/>
    <n v="1490576.93"/>
    <n v="0"/>
    <n v="1490576.93"/>
    <n v="16860.189999999999"/>
    <n v="296014.93"/>
    <n v="0.53700000000000003"/>
    <n v="24244.34"/>
    <n v="0"/>
    <n v="0"/>
    <n v="2025"/>
    <n v="5"/>
  </r>
  <r>
    <n v="41764"/>
    <n v="3202652"/>
    <x v="33"/>
    <n v="0.316"/>
    <n v="1500071.06"/>
    <n v="0"/>
    <n v="1500071.06"/>
    <n v="16967.580000000002"/>
    <n v="234613.67"/>
    <n v="0.56399999999999995"/>
    <n v="24398.76"/>
    <n v="0"/>
    <n v="0"/>
    <n v="2025"/>
    <n v="5"/>
  </r>
  <r>
    <n v="41765"/>
    <n v="3202702"/>
    <x v="34"/>
    <n v="0.40400000000000003"/>
    <n v="1917812.34"/>
    <n v="0"/>
    <n v="1917812.34"/>
    <n v="21692.720000000001"/>
    <n v="178214.69"/>
    <n v="0.56200000000000006"/>
    <n v="31193.35"/>
    <n v="0"/>
    <n v="0"/>
    <n v="2025"/>
    <n v="5"/>
  </r>
  <r>
    <n v="41766"/>
    <n v="3202801"/>
    <x v="35"/>
    <n v="3.4060000000000001"/>
    <n v="16168487.23"/>
    <n v="0"/>
    <n v="16168487.23"/>
    <n v="182884.7"/>
    <n v="469522.84"/>
    <n v="1.2130000000000001"/>
    <n v="262981.53999999998"/>
    <n v="0"/>
    <n v="0"/>
    <n v="2025"/>
    <n v="5"/>
  </r>
  <r>
    <n v="41767"/>
    <n v="3202900"/>
    <x v="36"/>
    <n v="0.39200000000000002"/>
    <n v="1860847.63"/>
    <n v="0"/>
    <n v="1860847.63"/>
    <n v="21048.39"/>
    <n v="189483.47"/>
    <n v="0.44600000000000001"/>
    <n v="30266.82"/>
    <n v="0"/>
    <n v="0"/>
    <n v="2025"/>
    <n v="5"/>
  </r>
  <r>
    <n v="41768"/>
    <n v="3203007"/>
    <x v="37"/>
    <n v="0.5"/>
    <n v="2373530.12"/>
    <n v="0"/>
    <n v="2373530.12"/>
    <n v="26847.43"/>
    <n v="427871.73"/>
    <n v="0.91200000000000003"/>
    <n v="38605.629999999997"/>
    <n v="0"/>
    <n v="0"/>
    <n v="2025"/>
    <n v="5"/>
  </r>
  <r>
    <n v="41769"/>
    <n v="3203056"/>
    <x v="38"/>
    <n v="1.109"/>
    <n v="5264489.8099999996"/>
    <n v="0"/>
    <n v="5264489.8099999996"/>
    <n v="59547.6"/>
    <n v="562236.48"/>
    <n v="0.98399999999999999"/>
    <n v="85627.28"/>
    <n v="0"/>
    <n v="0"/>
    <n v="2025"/>
    <n v="5"/>
  </r>
  <r>
    <n v="41770"/>
    <n v="3203106"/>
    <x v="39"/>
    <n v="0.216"/>
    <n v="1025365"/>
    <n v="0"/>
    <n v="1025365"/>
    <n v="11598.09"/>
    <n v="126270.19"/>
    <n v="0.45900000000000002"/>
    <n v="16677.63"/>
    <n v="0"/>
    <n v="0"/>
    <n v="2025"/>
    <n v="5"/>
  </r>
  <r>
    <n v="41771"/>
    <n v="3203130"/>
    <x v="40"/>
    <n v="0.376"/>
    <n v="1784894.68"/>
    <n v="0"/>
    <n v="1784894.68"/>
    <n v="20189.27"/>
    <n v="228356.04"/>
    <n v="0.63600000000000001"/>
    <n v="29031.43"/>
    <n v="0"/>
    <n v="0"/>
    <n v="2025"/>
    <n v="5"/>
  </r>
  <r>
    <n v="41772"/>
    <n v="3203163"/>
    <x v="41"/>
    <n v="0.42799999999999999"/>
    <n v="2031741.77"/>
    <n v="0"/>
    <n v="2031741.77"/>
    <n v="22981.4"/>
    <n v="119545.78"/>
    <n v="0.45300000000000001"/>
    <n v="33046.42"/>
    <n v="0"/>
    <n v="0"/>
    <n v="2025"/>
    <n v="5"/>
  </r>
  <r>
    <n v="41773"/>
    <n v="3203205"/>
    <x v="42"/>
    <n v="4.431"/>
    <n v="21034223.989999998"/>
    <n v="0"/>
    <n v="21034223.989999998"/>
    <n v="237921.93"/>
    <n v="2991560.48"/>
    <n v="4.0759999999999996"/>
    <n v="342123.08"/>
    <n v="0"/>
    <n v="0"/>
    <n v="2025"/>
    <n v="5"/>
  </r>
  <r>
    <n v="41774"/>
    <n v="3203304"/>
    <x v="43"/>
    <n v="0.314"/>
    <n v="1490576.93"/>
    <n v="0"/>
    <n v="1490576.93"/>
    <n v="16860.189999999999"/>
    <n v="264233.27"/>
    <n v="0.54300000000000004"/>
    <n v="24244.34"/>
    <n v="0"/>
    <n v="0"/>
    <n v="2025"/>
    <n v="5"/>
  </r>
  <r>
    <n v="41775"/>
    <n v="3203320"/>
    <x v="44"/>
    <n v="0.58499999999999996"/>
    <n v="2777030.25"/>
    <n v="0"/>
    <n v="2777030.25"/>
    <n v="31411.49"/>
    <n v="639253.06999999995"/>
    <n v="1.24"/>
    <n v="45168.59"/>
    <n v="0"/>
    <n v="0"/>
    <n v="2025"/>
    <n v="5"/>
  </r>
  <r>
    <n v="41776"/>
    <n v="3203346"/>
    <x v="45"/>
    <n v="0.55500000000000005"/>
    <n v="2634618.44"/>
    <n v="0"/>
    <n v="2634618.44"/>
    <n v="29800.65"/>
    <n v="274869.95"/>
    <n v="0.69199999999999995"/>
    <n v="42852.25"/>
    <n v="0"/>
    <n v="0"/>
    <n v="2025"/>
    <n v="5"/>
  </r>
  <r>
    <n v="41777"/>
    <n v="3203353"/>
    <x v="46"/>
    <n v="0.505"/>
    <n v="2397265.41"/>
    <n v="0"/>
    <n v="2397265.41"/>
    <n v="27115.9"/>
    <n v="227552.11"/>
    <n v="0.47"/>
    <n v="38991.68"/>
    <n v="0"/>
    <n v="0"/>
    <n v="2025"/>
    <n v="5"/>
  </r>
  <r>
    <n v="41778"/>
    <n v="3203403"/>
    <x v="47"/>
    <n v="0.46899999999999997"/>
    <n v="2226371.25"/>
    <n v="0"/>
    <n v="2226371.25"/>
    <n v="25182.89"/>
    <n v="295214.94"/>
    <n v="0.85899999999999999"/>
    <n v="36212.080000000002"/>
    <n v="0"/>
    <n v="0"/>
    <n v="2025"/>
    <n v="5"/>
  </r>
  <r>
    <n v="41779"/>
    <n v="3203502"/>
    <x v="48"/>
    <n v="0.51500000000000001"/>
    <n v="2444736.0299999998"/>
    <n v="0"/>
    <n v="2444736.0299999998"/>
    <n v="27652.85"/>
    <n v="338698.09"/>
    <n v="0.70899999999999996"/>
    <n v="39763.79"/>
    <n v="0"/>
    <n v="0"/>
    <n v="2025"/>
    <n v="5"/>
  </r>
  <r>
    <n v="41780"/>
    <n v="3203601"/>
    <x v="49"/>
    <n v="0.30599999999999999"/>
    <n v="1452600.45"/>
    <n v="0"/>
    <n v="1452600.45"/>
    <n v="16430.63"/>
    <n v="69643.23"/>
    <n v="0.30199999999999999"/>
    <n v="23626.65"/>
    <n v="0"/>
    <n v="0"/>
    <n v="2025"/>
    <n v="5"/>
  </r>
  <r>
    <n v="41781"/>
    <n v="3203700"/>
    <x v="50"/>
    <n v="0.505"/>
    <n v="2397265.41"/>
    <n v="0"/>
    <n v="2397265.41"/>
    <n v="27115.9"/>
    <n v="217025.55"/>
    <n v="0.69899999999999995"/>
    <n v="38991.68"/>
    <n v="0"/>
    <n v="0"/>
    <n v="2025"/>
    <n v="5"/>
  </r>
  <r>
    <n v="41782"/>
    <n v="3203809"/>
    <x v="51"/>
    <n v="0.32"/>
    <n v="1519059.28"/>
    <n v="0"/>
    <n v="1519059.28"/>
    <n v="17182.36"/>
    <n v="126585.26"/>
    <n v="0.56499999999999995"/>
    <n v="24707.599999999999"/>
    <n v="0"/>
    <n v="0"/>
    <n v="2025"/>
    <n v="5"/>
  </r>
  <r>
    <n v="41783"/>
    <n v="3203908"/>
    <x v="52"/>
    <n v="1.2250000000000001"/>
    <n v="5815148.8200000003"/>
    <n v="0"/>
    <n v="5815148.8200000003"/>
    <n v="65776.210000000006"/>
    <n v="897012.69"/>
    <n v="1.476"/>
    <n v="94583.79"/>
    <n v="0"/>
    <n v="0"/>
    <n v="2025"/>
    <n v="5"/>
  </r>
  <r>
    <n v="41784"/>
    <n v="3204005"/>
    <x v="53"/>
    <n v="0.435"/>
    <n v="2064971.2"/>
    <n v="0"/>
    <n v="2064971.2"/>
    <n v="23357.26"/>
    <n v="261498.2"/>
    <n v="0.70899999999999996"/>
    <n v="33586.9"/>
    <n v="0"/>
    <n v="0"/>
    <n v="2025"/>
    <n v="5"/>
  </r>
  <r>
    <n v="41785"/>
    <n v="3204054"/>
    <x v="54"/>
    <n v="0.33400000000000002"/>
    <n v="1585518.12"/>
    <n v="0"/>
    <n v="1585518.12"/>
    <n v="17934.080000000002"/>
    <n v="251427.66"/>
    <n v="0.81"/>
    <n v="25788.560000000001"/>
    <n v="0"/>
    <n v="0"/>
    <n v="2025"/>
    <n v="5"/>
  </r>
  <r>
    <n v="41786"/>
    <n v="3204104"/>
    <x v="55"/>
    <n v="0.755"/>
    <n v="3584030.49"/>
    <n v="0"/>
    <n v="3584030.49"/>
    <n v="40539.620000000003"/>
    <n v="259049.97"/>
    <n v="0.85099999999999998"/>
    <n v="58294.5"/>
    <n v="0"/>
    <n v="0"/>
    <n v="2025"/>
    <n v="5"/>
  </r>
  <r>
    <n v="41787"/>
    <n v="3204203"/>
    <x v="56"/>
    <n v="0.36499999999999999"/>
    <n v="1732676.98"/>
    <n v="0"/>
    <n v="1732676.98"/>
    <n v="19598.62"/>
    <n v="432229.88"/>
    <n v="0.753"/>
    <n v="28182.11"/>
    <n v="0"/>
    <n v="0"/>
    <n v="2025"/>
    <n v="5"/>
  </r>
  <r>
    <n v="41788"/>
    <n v="3204252"/>
    <x v="57"/>
    <n v="0.27"/>
    <n v="1281706.26"/>
    <n v="0"/>
    <n v="1281706.26"/>
    <n v="14497.61"/>
    <n v="77614.539999999994"/>
    <n v="0.316"/>
    <n v="20847.03"/>
    <n v="0"/>
    <n v="0"/>
    <n v="2025"/>
    <n v="5"/>
  </r>
  <r>
    <n v="41789"/>
    <n v="1718402"/>
    <x v="58"/>
    <n v="0.39100000000000001"/>
    <n v="1856100.58"/>
    <n v="0"/>
    <n v="1856100.58"/>
    <n v="20994.69"/>
    <n v="266928.08"/>
    <n v="0.56399999999999995"/>
    <n v="30189.599999999999"/>
    <n v="0"/>
    <n v="0"/>
    <n v="2025"/>
    <n v="5"/>
  </r>
  <r>
    <n v="41790"/>
    <n v="3204351"/>
    <x v="59"/>
    <n v="0.88200000000000001"/>
    <n v="4186907.12"/>
    <n v="0"/>
    <n v="4186907.12"/>
    <n v="47358.87"/>
    <n v="476579.78"/>
    <n v="0.71399999999999997"/>
    <n v="68100.33"/>
    <n v="0"/>
    <n v="0"/>
    <n v="2025"/>
    <n v="5"/>
  </r>
  <r>
    <n v="41791"/>
    <n v="3204401"/>
    <x v="60"/>
    <n v="0.312"/>
    <n v="1481082.8"/>
    <n v="0"/>
    <n v="1481082.8"/>
    <n v="16752.8"/>
    <n v="178503.13"/>
    <n v="0.45300000000000001"/>
    <n v="24089.91"/>
    <n v="0"/>
    <n v="0"/>
    <n v="2025"/>
    <n v="5"/>
  </r>
  <r>
    <n v="41792"/>
    <n v="3204500"/>
    <x v="61"/>
    <n v="0.51800000000000002"/>
    <n v="2458977.21"/>
    <n v="0"/>
    <n v="2458977.21"/>
    <n v="27813.94"/>
    <n v="151176.45000000001"/>
    <n v="0.47899999999999998"/>
    <n v="39995.43"/>
    <n v="0"/>
    <n v="0"/>
    <n v="2025"/>
    <n v="5"/>
  </r>
  <r>
    <n v="41793"/>
    <n v="3204559"/>
    <x v="62"/>
    <n v="2.1909999999999998"/>
    <n v="10400809.02"/>
    <n v="0"/>
    <n v="10400809.02"/>
    <n v="117645.44"/>
    <n v="1064466.3600000001"/>
    <n v="1.236"/>
    <n v="169169.87"/>
    <n v="0"/>
    <n v="0"/>
    <n v="2025"/>
    <n v="5"/>
  </r>
  <r>
    <n v="41794"/>
    <n v="3204609"/>
    <x v="63"/>
    <n v="0.66"/>
    <n v="3133059.77"/>
    <n v="0"/>
    <n v="3133059.77"/>
    <n v="35438.61"/>
    <n v="462254.38"/>
    <n v="0.82699999999999996"/>
    <n v="50959.43"/>
    <n v="0"/>
    <n v="0"/>
    <n v="2025"/>
    <n v="5"/>
  </r>
  <r>
    <n v="41795"/>
    <n v="3204658"/>
    <x v="64"/>
    <n v="0.42099999999999999"/>
    <n v="1998512.36"/>
    <n v="0"/>
    <n v="1998512.36"/>
    <n v="22605.54"/>
    <n v="167791.13"/>
    <n v="0.34300000000000003"/>
    <n v="32505.94"/>
    <n v="0"/>
    <n v="0"/>
    <n v="2025"/>
    <n v="5"/>
  </r>
  <r>
    <n v="41796"/>
    <n v="3204708"/>
    <x v="65"/>
    <n v="0.72299999999999998"/>
    <n v="3432124.58"/>
    <n v="0"/>
    <n v="3432124.58"/>
    <n v="38821.379999999997"/>
    <n v="594493.68999999994"/>
    <n v="1.1040000000000001"/>
    <n v="55823.74"/>
    <n v="0"/>
    <n v="0"/>
    <n v="2025"/>
    <n v="5"/>
  </r>
  <r>
    <n v="41797"/>
    <n v="3204807"/>
    <x v="66"/>
    <n v="0.28599999999999998"/>
    <n v="1357659.22"/>
    <n v="0"/>
    <n v="1357659.22"/>
    <n v="15356.73"/>
    <n v="138045.82"/>
    <n v="0.45"/>
    <n v="22082.42"/>
    <n v="0"/>
    <n v="0"/>
    <n v="2025"/>
    <n v="5"/>
  </r>
  <r>
    <n v="41798"/>
    <n v="3204906"/>
    <x v="67"/>
    <n v="1.998"/>
    <n v="9484626.3800000008"/>
    <n v="0"/>
    <n v="9484626.3800000008"/>
    <n v="107282.33"/>
    <n v="1959168.5"/>
    <n v="2.9870000000000001"/>
    <n v="154268.09"/>
    <n v="0"/>
    <n v="0"/>
    <n v="2025"/>
    <n v="5"/>
  </r>
  <r>
    <n v="41799"/>
    <n v="3204955"/>
    <x v="68"/>
    <n v="0.3"/>
    <n v="1424118.09"/>
    <n v="0"/>
    <n v="1424118.09"/>
    <n v="16108.46"/>
    <n v="161287.85999999999"/>
    <n v="0.45"/>
    <n v="23163.38"/>
    <n v="0"/>
    <n v="0"/>
    <n v="2025"/>
    <n v="5"/>
  </r>
  <r>
    <n v="41800"/>
    <n v="3205002"/>
    <x v="69"/>
    <n v="14.551"/>
    <n v="69074473.790000007"/>
    <n v="0"/>
    <n v="69074473.790000007"/>
    <n v="781313.94"/>
    <n v="6774877.7000000002"/>
    <n v="8.6910000000000007"/>
    <n v="1123501"/>
    <n v="0"/>
    <n v="0"/>
    <n v="2025"/>
    <n v="5"/>
  </r>
  <r>
    <n v="41801"/>
    <n v="3205010"/>
    <x v="70"/>
    <n v="0.78200000000000003"/>
    <n v="3712201.11"/>
    <n v="0"/>
    <n v="3712201.11"/>
    <n v="41989.38"/>
    <n v="351063.93"/>
    <n v="0.95199999999999996"/>
    <n v="60379.21"/>
    <n v="0"/>
    <n v="0"/>
    <n v="2025"/>
    <n v="5"/>
  </r>
  <r>
    <n v="41802"/>
    <n v="3205036"/>
    <x v="71"/>
    <n v="0.45700000000000002"/>
    <n v="2169406.5299999998"/>
    <n v="0"/>
    <n v="2169406.5299999998"/>
    <n v="24538.55"/>
    <n v="281056.71000000002"/>
    <n v="0.71699999999999997"/>
    <n v="35285.54"/>
    <n v="0"/>
    <n v="0"/>
    <n v="2025"/>
    <n v="5"/>
  </r>
  <r>
    <n v="41803"/>
    <n v="3205069"/>
    <x v="72"/>
    <n v="0.67"/>
    <n v="3180530.36"/>
    <n v="0"/>
    <n v="3180530.36"/>
    <n v="35975.56"/>
    <n v="515525.2"/>
    <n v="0.85"/>
    <n v="51731.55"/>
    <n v="0"/>
    <n v="0"/>
    <n v="2025"/>
    <n v="5"/>
  </r>
  <r>
    <n v="41804"/>
    <n v="2112803"/>
    <x v="73"/>
    <n v="3.3740000000000001"/>
    <n v="16016581.279999999"/>
    <n v="0"/>
    <n v="16016581.279999999"/>
    <n v="181166.46"/>
    <n v="867583.36"/>
    <n v="1.9590000000000001"/>
    <n v="260510.79"/>
    <n v="0"/>
    <n v="0"/>
    <n v="2025"/>
    <n v="5"/>
  </r>
  <r>
    <n v="41805"/>
    <n v="3205150"/>
    <x v="74"/>
    <n v="0.36799999999999999"/>
    <n v="1746918.16"/>
    <n v="0"/>
    <n v="1746918.16"/>
    <n v="19759.71"/>
    <n v="116460.18"/>
    <n v="0.34699999999999998"/>
    <n v="28413.75"/>
    <n v="0"/>
    <n v="0"/>
    <n v="2025"/>
    <n v="5"/>
  </r>
  <r>
    <n v="41806"/>
    <n v="3205176"/>
    <x v="75"/>
    <n v="0.7"/>
    <n v="3322942.18"/>
    <n v="0"/>
    <n v="3322942.18"/>
    <n v="37586.400000000001"/>
    <n v="421787.96"/>
    <n v="0.56399999999999995"/>
    <n v="54047.88"/>
    <n v="0"/>
    <n v="0"/>
    <n v="2025"/>
    <n v="5"/>
  </r>
  <r>
    <n v="41807"/>
    <n v="3205200"/>
    <x v="76"/>
    <n v="6.6219999999999999"/>
    <n v="31435033.030000001"/>
    <n v="0"/>
    <n v="31435033.030000001"/>
    <n v="355567.38"/>
    <n v="7686529.25"/>
    <n v="8.0009999999999994"/>
    <n v="511292.94"/>
    <n v="0"/>
    <n v="0"/>
    <n v="2025"/>
    <n v="5"/>
  </r>
  <r>
    <n v="41808"/>
    <n v="3205309"/>
    <x v="77"/>
    <n v="10.878"/>
    <n v="51638521.469999999"/>
    <n v="0"/>
    <n v="51638521.469999999"/>
    <n v="584092.71"/>
    <n v="7554893.2699999996"/>
    <n v="9.2110000000000003"/>
    <n v="839904.01"/>
    <n v="0"/>
    <n v="0"/>
    <n v="2025"/>
    <n v="5"/>
  </r>
  <r>
    <n v="41809"/>
    <n v="3200102"/>
    <x v="0"/>
    <n v="0.67100000000000004"/>
    <n v="3208756.01"/>
    <n v="0"/>
    <n v="3208756.01"/>
    <n v="39073.660000000003"/>
    <n v="95331.24"/>
    <n v="1.004"/>
    <n v="67442.95"/>
    <n v="0"/>
    <n v="16662.22"/>
    <n v="2025"/>
    <n v="11"/>
  </r>
  <r>
    <n v="41810"/>
    <n v="3200169"/>
    <x v="1"/>
    <n v="0.309"/>
    <n v="1477653.65"/>
    <n v="0"/>
    <n v="1477653.65"/>
    <n v="17993.68"/>
    <n v="29851.25"/>
    <n v="0.45700000000000002"/>
    <n v="31057.93"/>
    <n v="0"/>
    <n v="7673.07"/>
    <n v="2025"/>
    <n v="11"/>
  </r>
  <r>
    <n v="41811"/>
    <n v="3200136"/>
    <x v="2"/>
    <n v="0.51900000000000002"/>
    <n v="2481884.2999999998"/>
    <n v="0"/>
    <n v="2481884.2999999998"/>
    <n v="30222.400000000001"/>
    <n v="35749.07"/>
    <n v="0.35099999999999998"/>
    <n v="52165.27"/>
    <n v="0"/>
    <n v="12887.77"/>
    <n v="2025"/>
    <n v="11"/>
  </r>
  <r>
    <n v="41812"/>
    <n v="3200201"/>
    <x v="3"/>
    <n v="0.41799999999999998"/>
    <n v="1998897.19"/>
    <n v="0"/>
    <n v="1998897.19"/>
    <n v="24340.97"/>
    <n v="86920.95"/>
    <n v="0.98299999999999998"/>
    <n v="42013.64"/>
    <n v="0"/>
    <n v="10379.75"/>
    <n v="2025"/>
    <n v="11"/>
  </r>
  <r>
    <n v="41813"/>
    <n v="3200300"/>
    <x v="4"/>
    <n v="0.442"/>
    <n v="2113666.42"/>
    <n v="0"/>
    <n v="2113666.42"/>
    <n v="25738.53"/>
    <n v="47549.61"/>
    <n v="0.55500000000000005"/>
    <n v="44425.91"/>
    <n v="0"/>
    <n v="10975.71"/>
    <n v="2025"/>
    <n v="11"/>
  </r>
  <r>
    <n v="41814"/>
    <n v="3200359"/>
    <x v="5"/>
    <n v="0.25800000000000001"/>
    <n v="1233769.06"/>
    <n v="0"/>
    <n v="1233769.06"/>
    <n v="15023.85"/>
    <n v="22128.9"/>
    <n v="0.32300000000000001"/>
    <n v="25931.87"/>
    <n v="0"/>
    <n v="6406.64"/>
    <n v="2025"/>
    <n v="11"/>
  </r>
  <r>
    <n v="41815"/>
    <n v="3200409"/>
    <x v="6"/>
    <n v="3.4780000000000002"/>
    <n v="16631972.300000001"/>
    <n v="0"/>
    <n v="16631972.300000001"/>
    <n v="202530.81"/>
    <n v="113146.01"/>
    <n v="1.0049999999999999"/>
    <n v="349577.64"/>
    <n v="0"/>
    <n v="86365.45"/>
    <n v="2025"/>
    <n v="11"/>
  </r>
  <r>
    <n v="41816"/>
    <n v="3200508"/>
    <x v="7"/>
    <n v="0.23799999999999999"/>
    <n v="1138128.06"/>
    <n v="0"/>
    <n v="1138128.06"/>
    <n v="13859.21"/>
    <n v="51958.01"/>
    <n v="0.31900000000000001"/>
    <n v="23921.64"/>
    <n v="0"/>
    <n v="5910"/>
    <n v="2025"/>
    <n v="11"/>
  </r>
  <r>
    <n v="41817"/>
    <n v="3200607"/>
    <x v="8"/>
    <n v="4.4800000000000004"/>
    <n v="21423587.079999998"/>
    <n v="0"/>
    <n v="21423587.079999998"/>
    <n v="260879.25"/>
    <n v="468100.5"/>
    <n v="2.4649999999999999"/>
    <n v="450289.79"/>
    <n v="0"/>
    <n v="111247.05"/>
    <n v="2025"/>
    <n v="11"/>
  </r>
  <r>
    <n v="41818"/>
    <n v="3200706"/>
    <x v="9"/>
    <n v="0.39500000000000002"/>
    <n v="1888910.04"/>
    <n v="0"/>
    <n v="1888910.04"/>
    <n v="23001.63"/>
    <n v="21115.45"/>
    <n v="0.438"/>
    <n v="39701.89"/>
    <n v="0"/>
    <n v="9808.61"/>
    <n v="2025"/>
    <n v="11"/>
  </r>
  <r>
    <n v="41819"/>
    <n v="3200805"/>
    <x v="10"/>
    <n v="0.54"/>
    <n v="2582307.37"/>
    <n v="0"/>
    <n v="2582307.37"/>
    <n v="31445.27"/>
    <n v="125562.48"/>
    <n v="1.0069999999999999"/>
    <n v="54276"/>
    <n v="0"/>
    <n v="13409.24"/>
    <n v="2025"/>
    <n v="11"/>
  </r>
  <r>
    <n v="41820"/>
    <n v="3200904"/>
    <x v="11"/>
    <n v="0.81299999999999994"/>
    <n v="3887807.23"/>
    <n v="0"/>
    <n v="3887807.23"/>
    <n v="47342.6"/>
    <n v="176188.92"/>
    <n v="1.3120000000000001"/>
    <n v="81715.539999999994"/>
    <n v="0"/>
    <n v="20188.36"/>
    <n v="2025"/>
    <n v="11"/>
  </r>
  <r>
    <n v="41821"/>
    <n v="3107109"/>
    <x v="12"/>
    <n v="0.48699999999999999"/>
    <n v="2328858.67"/>
    <n v="0"/>
    <n v="2328858.67"/>
    <n v="28358.97"/>
    <n v="51458.83"/>
    <n v="0.55200000000000005"/>
    <n v="48948.91"/>
    <n v="0"/>
    <n v="12093.15"/>
    <n v="2025"/>
    <n v="11"/>
  </r>
  <r>
    <n v="41822"/>
    <n v="3201100"/>
    <x v="13"/>
    <n v="0.247"/>
    <n v="1181166.54"/>
    <n v="0"/>
    <n v="1181166.54"/>
    <n v="14383.3"/>
    <n v="131488.1"/>
    <n v="0.435"/>
    <n v="24826.240000000002"/>
    <n v="0"/>
    <n v="6133.49"/>
    <n v="2025"/>
    <n v="11"/>
  </r>
  <r>
    <n v="41823"/>
    <n v="3201159"/>
    <x v="14"/>
    <n v="0.40699999999999997"/>
    <n v="1946294.63"/>
    <n v="0"/>
    <n v="1946294.63"/>
    <n v="23700.41"/>
    <n v="39018.050000000003"/>
    <n v="0.54600000000000004"/>
    <n v="40908.019999999997"/>
    <n v="0"/>
    <n v="10106.6"/>
    <n v="2025"/>
    <n v="11"/>
  </r>
  <r>
    <n v="41824"/>
    <n v="3201209"/>
    <x v="15"/>
    <n v="2.5920000000000001"/>
    <n v="12395075.390000001"/>
    <n v="0"/>
    <n v="12395075.390000001"/>
    <n v="150937.28"/>
    <n v="997561.07"/>
    <n v="4.298"/>
    <n v="260524.81"/>
    <n v="0"/>
    <n v="64364.36"/>
    <n v="2025"/>
    <n v="11"/>
  </r>
  <r>
    <n v="41825"/>
    <n v="3201308"/>
    <x v="16"/>
    <n v="8.3239999999999998"/>
    <n v="39805789.909999996"/>
    <n v="0"/>
    <n v="39805789.909999996"/>
    <n v="484722.97"/>
    <n v="1125116.8400000001"/>
    <n v="6.4569999999999999"/>
    <n v="836654.49"/>
    <n v="0"/>
    <n v="206700.98"/>
    <n v="2025"/>
    <n v="11"/>
  </r>
  <r>
    <n v="41826"/>
    <n v="3201407"/>
    <x v="17"/>
    <n v="0.80700000000000005"/>
    <n v="3859114.91"/>
    <n v="0"/>
    <n v="3859114.91"/>
    <n v="46993.2"/>
    <n v="365945.77"/>
    <n v="1.1639999999999999"/>
    <n v="81112.47"/>
    <n v="0"/>
    <n v="20039.37"/>
    <n v="2025"/>
    <n v="11"/>
  </r>
  <r>
    <n v="41827"/>
    <n v="3201506"/>
    <x v="18"/>
    <n v="2.0139999999999998"/>
    <n v="9631050.0700000003"/>
    <n v="0"/>
    <n v="9631050.0700000003"/>
    <n v="117279.2"/>
    <n v="524176.4"/>
    <n v="2.86"/>
    <n v="202429.38"/>
    <n v="0"/>
    <n v="50011.51"/>
    <n v="2025"/>
    <n v="11"/>
  </r>
  <r>
    <n v="41828"/>
    <n v="3201605"/>
    <x v="19"/>
    <n v="0.60099999999999998"/>
    <n v="2874012.45"/>
    <n v="0"/>
    <n v="2874012.45"/>
    <n v="34997.42"/>
    <n v="71980.92"/>
    <n v="0.94399999999999995"/>
    <n v="60407.17"/>
    <n v="0"/>
    <n v="14923.99"/>
    <n v="2025"/>
    <n v="11"/>
  </r>
  <r>
    <n v="41829"/>
    <n v="3201704"/>
    <x v="20"/>
    <n v="0.371"/>
    <n v="1774140.81"/>
    <n v="0"/>
    <n v="1774140.81"/>
    <n v="21604.06"/>
    <n v="32519.35"/>
    <n v="0.45600000000000002"/>
    <n v="37289.620000000003"/>
    <n v="0"/>
    <n v="9212.65"/>
    <n v="2025"/>
    <n v="11"/>
  </r>
  <r>
    <n v="41830"/>
    <n v="3201803"/>
    <x v="21"/>
    <n v="0.187"/>
    <n v="894243.47"/>
    <n v="0"/>
    <n v="894243.47"/>
    <n v="10889.38"/>
    <n v="14822.91"/>
    <n v="0.29299999999999998"/>
    <n v="18795.580000000002"/>
    <n v="0"/>
    <n v="4643.57"/>
    <n v="2025"/>
    <n v="11"/>
  </r>
  <r>
    <n v="41831"/>
    <n v="3201902"/>
    <x v="22"/>
    <n v="1.0620000000000001"/>
    <n v="5078537.87"/>
    <n v="0"/>
    <n v="5078537.87"/>
    <n v="61842.36"/>
    <n v="139837.60999999999"/>
    <n v="1.147"/>
    <n v="106742.8"/>
    <n v="0"/>
    <n v="26371.51"/>
    <n v="2025"/>
    <n v="11"/>
  </r>
  <r>
    <n v="41832"/>
    <n v="3202009"/>
    <x v="23"/>
    <n v="0.34899999999999998"/>
    <n v="1668935.67"/>
    <n v="0"/>
    <n v="1668935.67"/>
    <n v="20322.96"/>
    <n v="39813.120000000003"/>
    <n v="0.312"/>
    <n v="35078.379999999997"/>
    <n v="0"/>
    <n v="8666.34"/>
    <n v="2025"/>
    <n v="11"/>
  </r>
  <r>
    <n v="41833"/>
    <n v="3202108"/>
    <x v="24"/>
    <n v="0.57099999999999995"/>
    <n v="2730550.94"/>
    <n v="0"/>
    <n v="2730550.94"/>
    <n v="33250.46"/>
    <n v="70381.960000000006"/>
    <n v="0.79200000000000004"/>
    <n v="57391.839999999997"/>
    <n v="0"/>
    <n v="14179.03"/>
    <n v="2025"/>
    <n v="11"/>
  </r>
  <r>
    <n v="41834"/>
    <n v="3202207"/>
    <x v="25"/>
    <n v="0.36799999999999999"/>
    <n v="1759794.64"/>
    <n v="0"/>
    <n v="1759794.64"/>
    <n v="21429.37"/>
    <n v="63179.01"/>
    <n v="0.68600000000000005"/>
    <n v="36988.089999999997"/>
    <n v="0"/>
    <n v="9138.15"/>
    <n v="2025"/>
    <n v="11"/>
  </r>
  <r>
    <n v="41835"/>
    <n v="3202256"/>
    <x v="26"/>
    <n v="0.53100000000000003"/>
    <n v="2539268.91"/>
    <n v="0"/>
    <n v="2539268.91"/>
    <n v="30921.18"/>
    <n v="45616.160000000003"/>
    <n v="0.44400000000000001"/>
    <n v="53371.4"/>
    <n v="0"/>
    <n v="13185.75"/>
    <n v="2025"/>
    <n v="11"/>
  </r>
  <r>
    <n v="41836"/>
    <n v="3202306"/>
    <x v="27"/>
    <n v="0.36699999999999999"/>
    <n v="1755012.58"/>
    <n v="0"/>
    <n v="1755012.58"/>
    <n v="21371.14"/>
    <n v="121840.32000000001"/>
    <n v="0.99"/>
    <n v="36887.57"/>
    <n v="0"/>
    <n v="9113.32"/>
    <n v="2025"/>
    <n v="11"/>
  </r>
  <r>
    <n v="41837"/>
    <n v="3202405"/>
    <x v="28"/>
    <n v="0.79"/>
    <n v="3777820.04"/>
    <n v="0"/>
    <n v="3777820.04"/>
    <n v="46003.26"/>
    <n v="854114.56"/>
    <n v="3.0129999999999999"/>
    <n v="79403.77"/>
    <n v="0"/>
    <n v="19617.22"/>
    <n v="2025"/>
    <n v="11"/>
  </r>
  <r>
    <n v="41838"/>
    <n v="3202454"/>
    <x v="29"/>
    <n v="0.33900000000000002"/>
    <n v="1621115.19"/>
    <n v="0"/>
    <n v="1621115.19"/>
    <n v="19740.64"/>
    <n v="110508.03"/>
    <n v="0.86499999999999999"/>
    <n v="34073.269999999997"/>
    <n v="0"/>
    <n v="8418.02"/>
    <n v="2025"/>
    <n v="11"/>
  </r>
  <r>
    <n v="41839"/>
    <n v="3202504"/>
    <x v="30"/>
    <n v="0.307"/>
    <n v="1468089.56"/>
    <n v="0"/>
    <n v="1468089.56"/>
    <n v="17877.22"/>
    <n v="40491.71"/>
    <n v="0.45400000000000001"/>
    <n v="30856.91"/>
    <n v="0"/>
    <n v="7623.4"/>
    <n v="2025"/>
    <n v="11"/>
  </r>
  <r>
    <n v="41840"/>
    <n v="3202553"/>
    <x v="31"/>
    <n v="0.28399999999999997"/>
    <n v="1358102.4"/>
    <n v="0"/>
    <n v="1358102.4"/>
    <n v="16537.88"/>
    <n v="37619.89"/>
    <n v="0.35"/>
    <n v="28545.16"/>
    <n v="0"/>
    <n v="7052.27"/>
    <n v="2025"/>
    <n v="11"/>
  </r>
  <r>
    <n v="41841"/>
    <n v="3202603"/>
    <x v="32"/>
    <n v="0.314"/>
    <n v="1501563.93"/>
    <n v="0"/>
    <n v="1501563.93"/>
    <n v="18284.84"/>
    <n v="57552.63"/>
    <n v="0.52"/>
    <n v="31560.49"/>
    <n v="0"/>
    <n v="7797.23"/>
    <n v="2025"/>
    <n v="11"/>
  </r>
  <r>
    <n v="41842"/>
    <n v="3202652"/>
    <x v="33"/>
    <n v="0.316"/>
    <n v="1511128.02"/>
    <n v="0"/>
    <n v="1511128.02"/>
    <n v="18401.3"/>
    <n v="57886.87"/>
    <n v="0.55700000000000005"/>
    <n v="31761.52"/>
    <n v="0"/>
    <n v="7846.89"/>
    <n v="2025"/>
    <n v="11"/>
  </r>
  <r>
    <n v="41843"/>
    <n v="3202702"/>
    <x v="34"/>
    <n v="0.40400000000000003"/>
    <n v="1931948.47"/>
    <n v="0"/>
    <n v="1931948.47"/>
    <n v="23525.72"/>
    <n v="45957.5"/>
    <n v="0.55200000000000005"/>
    <n v="40606.49"/>
    <n v="0"/>
    <n v="10032.1"/>
    <n v="2025"/>
    <n v="11"/>
  </r>
  <r>
    <n v="41844"/>
    <n v="3202801"/>
    <x v="35"/>
    <n v="3.4060000000000001"/>
    <n v="16287664.65"/>
    <n v="0"/>
    <n v="16287664.65"/>
    <n v="198338.11"/>
    <n v="150419.84"/>
    <n v="1.2130000000000001"/>
    <n v="342340.85"/>
    <n v="0"/>
    <n v="84577.55"/>
    <n v="2025"/>
    <n v="11"/>
  </r>
  <r>
    <n v="41845"/>
    <n v="3202900"/>
    <x v="36"/>
    <n v="0.39200000000000002"/>
    <n v="1874563.86"/>
    <n v="0"/>
    <n v="1874563.86"/>
    <n v="22826.94"/>
    <n v="27105.55"/>
    <n v="0.438"/>
    <n v="39400.35"/>
    <n v="0"/>
    <n v="9734.1200000000008"/>
    <n v="2025"/>
    <n v="11"/>
  </r>
  <r>
    <n v="41846"/>
    <n v="3203007"/>
    <x v="37"/>
    <n v="0.5"/>
    <n v="2391025.35"/>
    <n v="0"/>
    <n v="2391025.35"/>
    <n v="29115.99"/>
    <n v="89380.17"/>
    <n v="0.90300000000000002"/>
    <n v="50255.55"/>
    <n v="0"/>
    <n v="12415.96"/>
    <n v="2025"/>
    <n v="11"/>
  </r>
  <r>
    <n v="41847"/>
    <n v="3203056"/>
    <x v="38"/>
    <n v="1.109"/>
    <n v="5303294.2"/>
    <n v="0"/>
    <n v="5303294.2"/>
    <n v="64579.26"/>
    <n v="125829.3"/>
    <n v="0.98899999999999999"/>
    <n v="111466.82"/>
    <n v="0"/>
    <n v="27538.61"/>
    <n v="2025"/>
    <n v="11"/>
  </r>
  <r>
    <n v="41848"/>
    <n v="3203106"/>
    <x v="39"/>
    <n v="0.216"/>
    <n v="1032922.97"/>
    <n v="0"/>
    <n v="1032922.97"/>
    <n v="12578.11"/>
    <n v="30502.560000000001"/>
    <n v="0.45100000000000001"/>
    <n v="21710.400000000001"/>
    <n v="0"/>
    <n v="5363.7"/>
    <n v="2025"/>
    <n v="11"/>
  </r>
  <r>
    <n v="41849"/>
    <n v="3203130"/>
    <x v="40"/>
    <n v="0.376"/>
    <n v="1798051.04"/>
    <n v="0"/>
    <n v="1798051.04"/>
    <n v="21895.22"/>
    <n v="71146.679999999993"/>
    <n v="0.61499999999999999"/>
    <n v="37792.18"/>
    <n v="0"/>
    <n v="9336.81"/>
    <n v="2025"/>
    <n v="11"/>
  </r>
  <r>
    <n v="41850"/>
    <n v="3203163"/>
    <x v="41"/>
    <n v="0.42799999999999999"/>
    <n v="2046717.69"/>
    <n v="0"/>
    <n v="2046717.69"/>
    <n v="24923.29"/>
    <n v="24349.8"/>
    <n v="0.44500000000000001"/>
    <n v="43018.76"/>
    <n v="0"/>
    <n v="10628.07"/>
    <n v="2025"/>
    <n v="11"/>
  </r>
  <r>
    <n v="41851"/>
    <n v="3203205"/>
    <x v="42"/>
    <n v="4.431"/>
    <n v="21189266.600000001"/>
    <n v="0"/>
    <n v="21189266.600000001"/>
    <n v="258025.89"/>
    <n v="785807.31"/>
    <n v="4.0979999999999999"/>
    <n v="445364.74"/>
    <n v="0"/>
    <n v="110030.28"/>
    <n v="2025"/>
    <n v="11"/>
  </r>
  <r>
    <n v="41852"/>
    <n v="3203304"/>
    <x v="43"/>
    <n v="0.314"/>
    <n v="1501563.93"/>
    <n v="0"/>
    <n v="1501563.93"/>
    <n v="18284.84"/>
    <n v="68218.649999999994"/>
    <n v="0.52400000000000002"/>
    <n v="31560.49"/>
    <n v="0"/>
    <n v="7797.23"/>
    <n v="2025"/>
    <n v="11"/>
  </r>
  <r>
    <n v="41853"/>
    <n v="3203320"/>
    <x v="44"/>
    <n v="0.58499999999999996"/>
    <n v="2797499.66"/>
    <n v="0"/>
    <n v="2797499.66"/>
    <n v="34065.71"/>
    <n v="241835.42"/>
    <n v="1.3140000000000001"/>
    <n v="58799"/>
    <n v="0"/>
    <n v="14526.68"/>
    <n v="2025"/>
    <n v="11"/>
  </r>
  <r>
    <n v="41854"/>
    <n v="3203346"/>
    <x v="45"/>
    <n v="0.55500000000000005"/>
    <n v="2654038.12"/>
    <n v="0"/>
    <n v="2654038.12"/>
    <n v="32318.75"/>
    <n v="43911.61"/>
    <n v="0.68500000000000005"/>
    <n v="55783.67"/>
    <n v="0"/>
    <n v="13781.72"/>
    <n v="2025"/>
    <n v="11"/>
  </r>
  <r>
    <n v="41855"/>
    <n v="3203353"/>
    <x v="46"/>
    <n v="0.505"/>
    <n v="2414935.61"/>
    <n v="0"/>
    <n v="2414935.61"/>
    <n v="29407.15"/>
    <n v="34573.72"/>
    <n v="0.46300000000000002"/>
    <n v="50758.12"/>
    <n v="0"/>
    <n v="12540.12"/>
    <n v="2025"/>
    <n v="11"/>
  </r>
  <r>
    <n v="41856"/>
    <n v="3203403"/>
    <x v="47"/>
    <n v="0.46899999999999997"/>
    <n v="2242781.7799999998"/>
    <n v="0"/>
    <n v="2242781.7799999998"/>
    <n v="27310.799999999999"/>
    <n v="90305.52"/>
    <n v="0.83899999999999997"/>
    <n v="47139.71"/>
    <n v="0"/>
    <n v="11646.18"/>
    <n v="2025"/>
    <n v="11"/>
  </r>
  <r>
    <n v="41857"/>
    <n v="3203502"/>
    <x v="48"/>
    <n v="0.51500000000000001"/>
    <n v="2462756.1"/>
    <n v="0"/>
    <n v="2462756.1"/>
    <n v="29989.47"/>
    <n v="76784.490000000005"/>
    <n v="0.69699999999999995"/>
    <n v="51763.22"/>
    <n v="0"/>
    <n v="12788.44"/>
    <n v="2025"/>
    <n v="11"/>
  </r>
  <r>
    <n v="41858"/>
    <n v="3203601"/>
    <x v="49"/>
    <n v="0.30599999999999999"/>
    <n v="1463307.52"/>
    <n v="0"/>
    <n v="1463307.52"/>
    <n v="17818.98"/>
    <n v="19399.64"/>
    <n v="0.29699999999999999"/>
    <n v="30756.400000000001"/>
    <n v="0"/>
    <n v="7598.57"/>
    <n v="2025"/>
    <n v="11"/>
  </r>
  <r>
    <n v="41859"/>
    <n v="3203700"/>
    <x v="50"/>
    <n v="0.505"/>
    <n v="2414935.61"/>
    <n v="0"/>
    <n v="2414935.61"/>
    <n v="29407.15"/>
    <n v="57243.21"/>
    <n v="0.68500000000000005"/>
    <n v="50758.12"/>
    <n v="0"/>
    <n v="12540.12"/>
    <n v="2025"/>
    <n v="11"/>
  </r>
  <r>
    <n v="41860"/>
    <n v="3203809"/>
    <x v="51"/>
    <n v="0.32"/>
    <n v="1530256.2"/>
    <n v="0"/>
    <n v="1530256.2"/>
    <n v="18634.23"/>
    <n v="59827.56"/>
    <n v="0.55300000000000005"/>
    <n v="32163.56"/>
    <n v="0"/>
    <n v="7946.22"/>
    <n v="2025"/>
    <n v="11"/>
  </r>
  <r>
    <n v="41861"/>
    <n v="3203908"/>
    <x v="52"/>
    <n v="1.2250000000000001"/>
    <n v="5858012.0700000003"/>
    <n v="0"/>
    <n v="5858012.0700000003"/>
    <n v="71334.17"/>
    <n v="230947.81"/>
    <n v="1.4710000000000001"/>
    <n v="123126.11"/>
    <n v="0"/>
    <n v="30419.11"/>
    <n v="2025"/>
    <n v="11"/>
  </r>
  <r>
    <n v="41862"/>
    <n v="3204005"/>
    <x v="53"/>
    <n v="0.435"/>
    <n v="2080192.03"/>
    <n v="0"/>
    <n v="2080192.03"/>
    <n v="25330.91"/>
    <n v="66504.53"/>
    <n v="0.69099999999999995"/>
    <n v="43722.34"/>
    <n v="0"/>
    <n v="10801.89"/>
    <n v="2025"/>
    <n v="11"/>
  </r>
  <r>
    <n v="41863"/>
    <n v="3204054"/>
    <x v="54"/>
    <n v="0.33400000000000002"/>
    <n v="1597204.95"/>
    <n v="0"/>
    <n v="1597204.95"/>
    <n v="19449.48"/>
    <n v="92599.23"/>
    <n v="0.78400000000000003"/>
    <n v="33570.71"/>
    <n v="0"/>
    <n v="8293.86"/>
    <n v="2025"/>
    <n v="11"/>
  </r>
  <r>
    <n v="41864"/>
    <n v="3204104"/>
    <x v="55"/>
    <n v="0.755"/>
    <n v="3610448.29"/>
    <n v="0"/>
    <n v="3610448.29"/>
    <n v="43965.14"/>
    <n v="94998.56"/>
    <n v="0.83499999999999996"/>
    <n v="75885.899999999994"/>
    <n v="0"/>
    <n v="18748.11"/>
    <n v="2025"/>
    <n v="11"/>
  </r>
  <r>
    <n v="41865"/>
    <n v="3204203"/>
    <x v="56"/>
    <n v="0.36499999999999999"/>
    <n v="1745448.5"/>
    <n v="0"/>
    <n v="1745448.5"/>
    <n v="21254.67"/>
    <n v="100309.53"/>
    <n v="0.745"/>
    <n v="36686.559999999998"/>
    <n v="0"/>
    <n v="9063.65"/>
    <n v="2025"/>
    <n v="11"/>
  </r>
  <r>
    <n v="41866"/>
    <n v="3204252"/>
    <x v="57"/>
    <n v="0.27"/>
    <n v="1291153.69"/>
    <n v="0"/>
    <n v="1291153.69"/>
    <n v="15722.63"/>
    <n v="22900.82"/>
    <n v="0.31"/>
    <n v="27137.99"/>
    <n v="0"/>
    <n v="6704.62"/>
    <n v="2025"/>
    <n v="11"/>
  </r>
  <r>
    <n v="41867"/>
    <n v="1718402"/>
    <x v="58"/>
    <n v="0.39100000000000001"/>
    <n v="1869781.81"/>
    <n v="0"/>
    <n v="1869781.81"/>
    <n v="22768.7"/>
    <n v="114429.91"/>
    <n v="0.55900000000000005"/>
    <n v="39299.85"/>
    <n v="0"/>
    <n v="9709.2800000000007"/>
    <n v="2025"/>
    <n v="11"/>
  </r>
  <r>
    <n v="41868"/>
    <n v="3204351"/>
    <x v="59"/>
    <n v="0.88200000000000001"/>
    <n v="4217768.71"/>
    <n v="0"/>
    <n v="4217768.71"/>
    <n v="51360.6"/>
    <n v="99456.75"/>
    <n v="0.70299999999999996"/>
    <n v="88650.79"/>
    <n v="0"/>
    <n v="21901.759999999998"/>
    <n v="2025"/>
    <n v="11"/>
  </r>
  <r>
    <n v="41869"/>
    <n v="3204401"/>
    <x v="60"/>
    <n v="0.312"/>
    <n v="1491999.84"/>
    <n v="0"/>
    <n v="1491999.84"/>
    <n v="18168.38"/>
    <n v="44061.1"/>
    <n v="0.44400000000000001"/>
    <n v="31359.46"/>
    <n v="0"/>
    <n v="7747.56"/>
    <n v="2025"/>
    <n v="11"/>
  </r>
  <r>
    <n v="41870"/>
    <n v="3204500"/>
    <x v="61"/>
    <n v="0.51800000000000002"/>
    <n v="2477102.25"/>
    <n v="0"/>
    <n v="2477102.25"/>
    <n v="30164.16"/>
    <n v="25297.02"/>
    <n v="0.54800000000000004"/>
    <n v="52064.76"/>
    <n v="0"/>
    <n v="12862.94"/>
    <n v="2025"/>
    <n v="11"/>
  </r>
  <r>
    <n v="41871"/>
    <n v="3204559"/>
    <x v="62"/>
    <n v="2.1909999999999998"/>
    <n v="10477473.050000001"/>
    <n v="0"/>
    <n v="10477473.050000001"/>
    <n v="127586.26"/>
    <n v="455645.67"/>
    <n v="1.31"/>
    <n v="220219.85"/>
    <n v="0"/>
    <n v="54406.76"/>
    <n v="2025"/>
    <n v="11"/>
  </r>
  <r>
    <n v="41872"/>
    <n v="3204609"/>
    <x v="63"/>
    <n v="0.66"/>
    <n v="3156153.43"/>
    <n v="0"/>
    <n v="3156153.43"/>
    <n v="38433.1"/>
    <n v="105433.17"/>
    <n v="0.82199999999999995"/>
    <n v="66337.33"/>
    <n v="0"/>
    <n v="16389.07"/>
    <n v="2025"/>
    <n v="11"/>
  </r>
  <r>
    <n v="41873"/>
    <n v="3204658"/>
    <x v="64"/>
    <n v="0.42099999999999999"/>
    <n v="2013243.34"/>
    <n v="0"/>
    <n v="2013243.34"/>
    <n v="24515.66"/>
    <n v="38215.18"/>
    <n v="0.33800000000000002"/>
    <n v="42315.18"/>
    <n v="0"/>
    <n v="10454.24"/>
    <n v="2025"/>
    <n v="11"/>
  </r>
  <r>
    <n v="41874"/>
    <n v="3204708"/>
    <x v="65"/>
    <n v="0.72299999999999998"/>
    <n v="3457422.66"/>
    <n v="0"/>
    <n v="3457422.66"/>
    <n v="42101.72"/>
    <n v="157427.21"/>
    <n v="1.0840000000000001"/>
    <n v="72669.539999999994"/>
    <n v="0"/>
    <n v="17953.490000000002"/>
    <n v="2025"/>
    <n v="11"/>
  </r>
  <r>
    <n v="41875"/>
    <n v="3204807"/>
    <x v="66"/>
    <n v="0.28599999999999998"/>
    <n v="1367666.5"/>
    <n v="0"/>
    <n v="1367666.5"/>
    <n v="16654.34"/>
    <n v="43537.99"/>
    <n v="0.443"/>
    <n v="28746.18"/>
    <n v="0"/>
    <n v="7101.93"/>
    <n v="2025"/>
    <n v="11"/>
  </r>
  <r>
    <n v="41876"/>
    <n v="3204906"/>
    <x v="67"/>
    <n v="1.998"/>
    <n v="9554537.2799999993"/>
    <n v="0"/>
    <n v="9554537.2799999993"/>
    <n v="116347.49"/>
    <n v="533540.85"/>
    <n v="2.9940000000000002"/>
    <n v="200821.2"/>
    <n v="0"/>
    <n v="49614.2"/>
    <n v="2025"/>
    <n v="11"/>
  </r>
  <r>
    <n v="41877"/>
    <n v="3204955"/>
    <x v="68"/>
    <n v="0.3"/>
    <n v="1434615.21"/>
    <n v="0"/>
    <n v="1434615.21"/>
    <n v="17469.59"/>
    <n v="35385.58"/>
    <n v="0.441"/>
    <n v="30153.34"/>
    <n v="0"/>
    <n v="7449.58"/>
    <n v="2025"/>
    <n v="11"/>
  </r>
  <r>
    <n v="41878"/>
    <n v="3205002"/>
    <x v="69"/>
    <n v="14.551"/>
    <n v="69583619.579999998"/>
    <n v="0"/>
    <n v="69583619.579999998"/>
    <n v="847333.48"/>
    <n v="2023982.14"/>
    <n v="8.8559999999999999"/>
    <n v="1462537.18"/>
    <n v="0"/>
    <n v="361329.41"/>
    <n v="2025"/>
    <n v="11"/>
  </r>
  <r>
    <n v="41879"/>
    <n v="3205010"/>
    <x v="70"/>
    <n v="0.78200000000000003"/>
    <n v="3739563.65"/>
    <n v="0"/>
    <n v="3739563.65"/>
    <n v="45537.4"/>
    <n v="96038.82"/>
    <n v="0.93799999999999994"/>
    <n v="78599.69"/>
    <n v="0"/>
    <n v="19418.57"/>
    <n v="2025"/>
    <n v="11"/>
  </r>
  <r>
    <n v="41880"/>
    <n v="3205036"/>
    <x v="71"/>
    <n v="0.45700000000000002"/>
    <n v="2185397.16"/>
    <n v="0"/>
    <n v="2185397.16"/>
    <n v="26612.01"/>
    <n v="78970.19"/>
    <n v="0.70399999999999996"/>
    <n v="45933.58"/>
    <n v="0"/>
    <n v="11348.19"/>
    <n v="2025"/>
    <n v="11"/>
  </r>
  <r>
    <n v="41881"/>
    <n v="3205069"/>
    <x v="72"/>
    <n v="0.67"/>
    <n v="3203973.96"/>
    <n v="0"/>
    <n v="3203973.96"/>
    <n v="39015.42"/>
    <n v="99751.77"/>
    <n v="0.83899999999999997"/>
    <n v="67342.45"/>
    <n v="0"/>
    <n v="16637.39"/>
    <n v="2025"/>
    <n v="11"/>
  </r>
  <r>
    <n v="41882"/>
    <n v="2112803"/>
    <x v="73"/>
    <n v="3.3740000000000001"/>
    <n v="16134639.01"/>
    <n v="0"/>
    <n v="16134639.01"/>
    <n v="196474.69"/>
    <n v="213198.64"/>
    <n v="1.944"/>
    <n v="339124.49"/>
    <n v="0"/>
    <n v="83782.929999999993"/>
    <n v="2025"/>
    <n v="11"/>
  </r>
  <r>
    <n v="41883"/>
    <n v="3205150"/>
    <x v="74"/>
    <n v="0.36799999999999999"/>
    <n v="1759794.64"/>
    <n v="0"/>
    <n v="1759794.64"/>
    <n v="21429.37"/>
    <n v="32538.14"/>
    <n v="0.34100000000000003"/>
    <n v="36988.089999999997"/>
    <n v="0"/>
    <n v="9138.15"/>
    <n v="2025"/>
    <n v="11"/>
  </r>
  <r>
    <n v="41884"/>
    <n v="3205176"/>
    <x v="75"/>
    <n v="0.7"/>
    <n v="3347435.49"/>
    <n v="0"/>
    <n v="3347435.49"/>
    <n v="40762.379999999997"/>
    <n v="82683.850000000006"/>
    <n v="0.55400000000000005"/>
    <n v="70357.77"/>
    <n v="0"/>
    <n v="17382.349999999999"/>
    <n v="2025"/>
    <n v="11"/>
  </r>
  <r>
    <n v="41885"/>
    <n v="3205200"/>
    <x v="76"/>
    <n v="6.6219999999999999"/>
    <n v="31666739.649999999"/>
    <n v="0"/>
    <n v="31666739.649999999"/>
    <n v="385612.14"/>
    <n v="2158980.06"/>
    <n v="8.01"/>
    <n v="665584.59"/>
    <n v="0"/>
    <n v="164437.04"/>
    <n v="2025"/>
    <n v="11"/>
  </r>
  <r>
    <n v="41886"/>
    <n v="3205309"/>
    <x v="77"/>
    <n v="10.878"/>
    <n v="52019147.420000002"/>
    <n v="0"/>
    <n v="52019147.420000002"/>
    <n v="633447.43999999994"/>
    <n v="1952300.86"/>
    <n v="9.1780000000000008"/>
    <n v="1093359.8500000001"/>
    <n v="0"/>
    <n v="270121.75"/>
    <n v="2025"/>
    <n v="11"/>
  </r>
  <r>
    <n v="41887"/>
    <n v="3200102"/>
    <x v="0"/>
    <n v="0.67100000000000004"/>
    <n v="3642247.93"/>
    <n v="0"/>
    <n v="3642247.93"/>
    <n v="47330.04"/>
    <n v="116306.75"/>
    <n v="1.004"/>
    <n v="64163.68"/>
    <n v="0"/>
    <n v="100893.23"/>
    <n v="2025"/>
    <n v="12"/>
  </r>
  <r>
    <n v="41888"/>
    <n v="3200169"/>
    <x v="1"/>
    <n v="0.309"/>
    <n v="1677279.61"/>
    <n v="0"/>
    <n v="1677279.61"/>
    <n v="21795.8"/>
    <n v="39404.82"/>
    <n v="0.45700000000000002"/>
    <n v="29547.8"/>
    <n v="0"/>
    <n v="46462.01"/>
    <n v="2025"/>
    <n v="12"/>
  </r>
  <r>
    <n v="41889"/>
    <n v="3200136"/>
    <x v="2"/>
    <n v="0.51900000000000002"/>
    <n v="2817178.35"/>
    <n v="0"/>
    <n v="2817178.35"/>
    <n v="36608.480000000003"/>
    <n v="39715.14"/>
    <n v="0.35099999999999998"/>
    <n v="49628.84"/>
    <n v="0"/>
    <n v="78038.14"/>
    <n v="2025"/>
    <n v="12"/>
  </r>
  <r>
    <n v="41890"/>
    <n v="3200201"/>
    <x v="3"/>
    <n v="0.41799999999999998"/>
    <n v="2268941.31"/>
    <n v="0"/>
    <n v="2268941.31"/>
    <n v="29484.28"/>
    <n v="78704.87"/>
    <n v="0.98299999999999998"/>
    <n v="39970.82"/>
    <n v="0"/>
    <n v="62851.53"/>
    <n v="2025"/>
    <n v="12"/>
  </r>
  <r>
    <n v="41891"/>
    <n v="3200300"/>
    <x v="4"/>
    <n v="0.442"/>
    <n v="2399215.4700000002"/>
    <n v="0"/>
    <n v="2399215.4700000002"/>
    <n v="31177.16"/>
    <n v="59595.64"/>
    <n v="0.55500000000000005"/>
    <n v="42265.79"/>
    <n v="0"/>
    <n v="66460.23"/>
    <n v="2025"/>
    <n v="12"/>
  </r>
  <r>
    <n v="41892"/>
    <n v="3200359"/>
    <x v="5"/>
    <n v="0.25800000000000001"/>
    <n v="1400447.04"/>
    <n v="0"/>
    <n v="1400447.04"/>
    <n v="18198.43"/>
    <n v="16572.849999999999"/>
    <n v="0.32300000000000001"/>
    <n v="24670.99"/>
    <n v="0"/>
    <n v="38793.53"/>
    <n v="2025"/>
    <n v="12"/>
  </r>
  <r>
    <n v="41893"/>
    <n v="3200409"/>
    <x v="6"/>
    <n v="3.4780000000000002"/>
    <n v="18878894.579999998"/>
    <n v="0"/>
    <n v="18878894.579999998"/>
    <n v="245326.18"/>
    <n v="128691.27"/>
    <n v="1.0049999999999999"/>
    <n v="332580.15000000002"/>
    <n v="0"/>
    <n v="522960.77"/>
    <n v="2025"/>
    <n v="12"/>
  </r>
  <r>
    <n v="41894"/>
    <n v="3200508"/>
    <x v="7"/>
    <n v="0.23799999999999999"/>
    <n v="1291885.26"/>
    <n v="0"/>
    <n v="1291885.26"/>
    <n v="16787.7"/>
    <n v="58595.38"/>
    <n v="0.31900000000000001"/>
    <n v="22758.5"/>
    <n v="0"/>
    <n v="35786.269999999997"/>
    <n v="2025"/>
    <n v="12"/>
  </r>
  <r>
    <n v="41895"/>
    <n v="3200607"/>
    <x v="8"/>
    <n v="4.4800000000000004"/>
    <n v="24317840.09"/>
    <n v="0"/>
    <n v="24317840.09"/>
    <n v="316003.81"/>
    <n v="487786.6"/>
    <n v="2.4649999999999999"/>
    <n v="428395.37"/>
    <n v="0"/>
    <n v="673623.99"/>
    <n v="2025"/>
    <n v="12"/>
  </r>
  <r>
    <n v="41896"/>
    <n v="3200706"/>
    <x v="9"/>
    <n v="0.39500000000000002"/>
    <n v="2144095.2599999998"/>
    <n v="0"/>
    <n v="2144095.2599999998"/>
    <n v="27861.94"/>
    <n v="49159.69"/>
    <n v="0.438"/>
    <n v="37771.47"/>
    <n v="0"/>
    <n v="59393.18"/>
    <n v="2025"/>
    <n v="12"/>
  </r>
  <r>
    <n v="41897"/>
    <n v="3200805"/>
    <x v="10"/>
    <n v="0.54"/>
    <n v="2931168.21"/>
    <n v="0"/>
    <n v="2931168.21"/>
    <n v="38089.75"/>
    <n v="148412.79"/>
    <n v="1.0069999999999999"/>
    <n v="51636.93"/>
    <n v="0"/>
    <n v="81195.75"/>
    <n v="2025"/>
    <n v="12"/>
  </r>
  <r>
    <n v="41898"/>
    <n v="3200904"/>
    <x v="11"/>
    <n v="0.81299999999999994"/>
    <n v="4413036.59"/>
    <n v="0"/>
    <n v="4413036.59"/>
    <n v="57346.23"/>
    <n v="199907.11"/>
    <n v="1.3120000000000001"/>
    <n v="77742.289999999994"/>
    <n v="0"/>
    <n v="122244.71"/>
    <n v="2025"/>
    <n v="12"/>
  </r>
  <r>
    <n v="41899"/>
    <n v="3107109"/>
    <x v="12"/>
    <n v="0.48699999999999999"/>
    <n v="2643479.4900000002"/>
    <n v="0"/>
    <n v="2643479.4900000002"/>
    <n v="34351.31"/>
    <n v="57647.13"/>
    <n v="0.55200000000000005"/>
    <n v="46568.86"/>
    <n v="0"/>
    <n v="73226.539999999994"/>
    <n v="2025"/>
    <n v="12"/>
  </r>
  <r>
    <n v="41900"/>
    <n v="3201100"/>
    <x v="13"/>
    <n v="0.247"/>
    <n v="1340738.03"/>
    <n v="0"/>
    <n v="1340738.03"/>
    <n v="17422.53"/>
    <n v="156288.79"/>
    <n v="0.435"/>
    <n v="23619.119999999999"/>
    <n v="0"/>
    <n v="37139.53"/>
    <n v="2025"/>
    <n v="12"/>
  </r>
  <r>
    <n v="41901"/>
    <n v="3201159"/>
    <x v="14"/>
    <n v="0.40699999999999997"/>
    <n v="2209232.36"/>
    <n v="0"/>
    <n v="2209232.36"/>
    <n v="28708.38"/>
    <n v="38160.93"/>
    <n v="0.54600000000000004"/>
    <n v="38918.959999999999"/>
    <n v="0"/>
    <n v="61197.54"/>
    <n v="2025"/>
    <n v="12"/>
  </r>
  <r>
    <n v="41902"/>
    <n v="3201209"/>
    <x v="15"/>
    <n v="2.5920000000000001"/>
    <n v="14069607.48"/>
    <n v="0"/>
    <n v="14069607.48"/>
    <n v="182830.78"/>
    <n v="1306158.05"/>
    <n v="4.298"/>
    <n v="247857.31"/>
    <n v="0"/>
    <n v="389739.6"/>
    <n v="2025"/>
    <n v="12"/>
  </r>
  <r>
    <n v="41903"/>
    <n v="3201308"/>
    <x v="16"/>
    <n v="8.3239999999999998"/>
    <n v="45183415.350000001"/>
    <n v="0"/>
    <n v="45183415.350000001"/>
    <n v="587146.37"/>
    <n v="1176552.3"/>
    <n v="6.4569999999999999"/>
    <n v="795973.89"/>
    <n v="0"/>
    <n v="1251617.43"/>
    <n v="2025"/>
    <n v="12"/>
  </r>
  <r>
    <n v="41904"/>
    <n v="3201407"/>
    <x v="17"/>
    <n v="0.80700000000000005"/>
    <n v="4380468.0599999996"/>
    <n v="0"/>
    <n v="4380468.0599999996"/>
    <n v="56923.01"/>
    <n v="344783.35999999999"/>
    <n v="1.1639999999999999"/>
    <n v="77168.539999999994"/>
    <n v="0"/>
    <n v="121342.54"/>
    <n v="2025"/>
    <n v="12"/>
  </r>
  <r>
    <n v="41905"/>
    <n v="3201506"/>
    <x v="18"/>
    <n v="2.0139999999999998"/>
    <n v="10932171.880000001"/>
    <n v="0"/>
    <n v="10932171.880000001"/>
    <n v="142060.64000000001"/>
    <n v="519275.87"/>
    <n v="2.86"/>
    <n v="192586.67"/>
    <n v="0"/>
    <n v="302830.07"/>
    <n v="2025"/>
    <n v="12"/>
  </r>
  <r>
    <n v="41906"/>
    <n v="3201605"/>
    <x v="19"/>
    <n v="0.60099999999999998"/>
    <n v="3262281.68"/>
    <n v="0"/>
    <n v="3262281.68"/>
    <n v="42392.480000000003"/>
    <n v="62557.19"/>
    <n v="0.94399999999999995"/>
    <n v="57470"/>
    <n v="0"/>
    <n v="90367.86"/>
    <n v="2025"/>
    <n v="12"/>
  </r>
  <r>
    <n v="41907"/>
    <n v="3201704"/>
    <x v="20"/>
    <n v="0.371"/>
    <n v="2013821.13"/>
    <n v="0"/>
    <n v="2013821.13"/>
    <n v="26169.07"/>
    <n v="36820.79"/>
    <n v="0.45600000000000002"/>
    <n v="35476.49"/>
    <n v="0"/>
    <n v="55784.49"/>
    <n v="2025"/>
    <n v="12"/>
  </r>
  <r>
    <n v="41908"/>
    <n v="3201803"/>
    <x v="21"/>
    <n v="0.187"/>
    <n v="1015052.68"/>
    <n v="0"/>
    <n v="1015052.68"/>
    <n v="13190.34"/>
    <n v="18226.5"/>
    <n v="0.29299999999999998"/>
    <n v="17881.68"/>
    <n v="0"/>
    <n v="28117.79"/>
    <n v="2025"/>
    <n v="12"/>
  </r>
  <r>
    <n v="41909"/>
    <n v="3201902"/>
    <x v="22"/>
    <n v="1.0620000000000001"/>
    <n v="5764630.8600000003"/>
    <n v="0"/>
    <n v="5764630.8600000003"/>
    <n v="74909.83"/>
    <n v="143603.63"/>
    <n v="1.147"/>
    <n v="101552.65"/>
    <n v="0"/>
    <n v="159684.98000000001"/>
    <n v="2025"/>
    <n v="12"/>
  </r>
  <r>
    <n v="41910"/>
    <n v="3202009"/>
    <x v="23"/>
    <n v="0.34899999999999998"/>
    <n v="1894403.19"/>
    <n v="0"/>
    <n v="1894403.19"/>
    <n v="24617.26"/>
    <n v="42954.3"/>
    <n v="0.312"/>
    <n v="33372.769999999997"/>
    <n v="0"/>
    <n v="52476.51"/>
    <n v="2025"/>
    <n v="12"/>
  </r>
  <r>
    <n v="41911"/>
    <n v="3202108"/>
    <x v="24"/>
    <n v="0.57099999999999995"/>
    <n v="3099438.99"/>
    <n v="0"/>
    <n v="3099438.99"/>
    <n v="40276.379999999997"/>
    <n v="68797.960000000006"/>
    <n v="0.79200000000000004"/>
    <n v="54601.279999999999"/>
    <n v="0"/>
    <n v="85856.99"/>
    <n v="2025"/>
    <n v="12"/>
  </r>
  <r>
    <n v="41912"/>
    <n v="3202207"/>
    <x v="25"/>
    <n v="0.36799999999999999"/>
    <n v="1997536.87"/>
    <n v="0"/>
    <n v="1997536.87"/>
    <n v="25957.46"/>
    <n v="64753.919999999998"/>
    <n v="0.68600000000000005"/>
    <n v="35189.61"/>
    <n v="0"/>
    <n v="55333.4"/>
    <n v="2025"/>
    <n v="12"/>
  </r>
  <r>
    <n v="41913"/>
    <n v="3202256"/>
    <x v="26"/>
    <n v="0.53100000000000003"/>
    <n v="2882315.43"/>
    <n v="0"/>
    <n v="2882315.43"/>
    <n v="37454.92"/>
    <n v="52033.86"/>
    <n v="0.44400000000000001"/>
    <n v="50776.33"/>
    <n v="0"/>
    <n v="79842.490000000005"/>
    <n v="2025"/>
    <n v="12"/>
  </r>
  <r>
    <n v="41914"/>
    <n v="3202306"/>
    <x v="27"/>
    <n v="0.36699999999999999"/>
    <n v="1992108.77"/>
    <n v="0"/>
    <n v="1992108.77"/>
    <n v="25886.92"/>
    <n v="152899.09"/>
    <n v="0.99"/>
    <n v="35094"/>
    <n v="0"/>
    <n v="55183.040000000001"/>
    <n v="2025"/>
    <n v="12"/>
  </r>
  <r>
    <n v="41915"/>
    <n v="3202405"/>
    <x v="28"/>
    <n v="0.79"/>
    <n v="4288190.54"/>
    <n v="0"/>
    <n v="4288190.54"/>
    <n v="55723.89"/>
    <n v="892447.95"/>
    <n v="3.0129999999999999"/>
    <n v="75542.929999999993"/>
    <n v="0"/>
    <n v="118786.38"/>
    <n v="2025"/>
    <n v="12"/>
  </r>
  <r>
    <n v="41916"/>
    <n v="3202454"/>
    <x v="29"/>
    <n v="0.33900000000000002"/>
    <n v="1840122.27"/>
    <n v="0"/>
    <n v="1840122.27"/>
    <n v="23911.9"/>
    <n v="91627.96"/>
    <n v="0.86499999999999999"/>
    <n v="32416.53"/>
    <n v="0"/>
    <n v="50972.89"/>
    <n v="2025"/>
    <n v="12"/>
  </r>
  <r>
    <n v="41917"/>
    <n v="3202504"/>
    <x v="30"/>
    <n v="0.307"/>
    <n v="1666423.41"/>
    <n v="0"/>
    <n v="1666423.41"/>
    <n v="21654.73"/>
    <n v="46014.559999999998"/>
    <n v="0.45400000000000001"/>
    <n v="29356.560000000001"/>
    <n v="0"/>
    <n v="46161.29"/>
    <n v="2025"/>
    <n v="12"/>
  </r>
  <r>
    <n v="41918"/>
    <n v="3202553"/>
    <x v="31"/>
    <n v="0.28399999999999997"/>
    <n v="1541577.36"/>
    <n v="0"/>
    <n v="1541577.36"/>
    <n v="20032.38"/>
    <n v="33301.919999999998"/>
    <n v="0.35"/>
    <n v="27157.200000000001"/>
    <n v="0"/>
    <n v="42702.95"/>
    <n v="2025"/>
    <n v="12"/>
  </r>
  <r>
    <n v="41919"/>
    <n v="3202603"/>
    <x v="32"/>
    <n v="0.314"/>
    <n v="1704420.05"/>
    <n v="0"/>
    <n v="1704420.05"/>
    <n v="22148.48"/>
    <n v="42720.23"/>
    <n v="0.52"/>
    <n v="30025.93"/>
    <n v="0"/>
    <n v="47213.82"/>
    <n v="2025"/>
    <n v="12"/>
  </r>
  <r>
    <n v="41920"/>
    <n v="3202652"/>
    <x v="33"/>
    <n v="0.316"/>
    <n v="1715276.21"/>
    <n v="0"/>
    <n v="1715276.21"/>
    <n v="22289.56"/>
    <n v="75737.210000000006"/>
    <n v="0.55700000000000005"/>
    <n v="30217.17"/>
    <n v="0"/>
    <n v="47514.55"/>
    <n v="2025"/>
    <n v="12"/>
  </r>
  <r>
    <n v="41921"/>
    <n v="3202702"/>
    <x v="34"/>
    <n v="0.40400000000000003"/>
    <n v="2192948.0699999998"/>
    <n v="0"/>
    <n v="2192948.0699999998"/>
    <n v="28496.77"/>
    <n v="43565.919999999998"/>
    <n v="0.55200000000000005"/>
    <n v="38632.080000000002"/>
    <n v="0"/>
    <n v="60746.45"/>
    <n v="2025"/>
    <n v="12"/>
  </r>
  <r>
    <n v="41922"/>
    <n v="3202801"/>
    <x v="35"/>
    <n v="3.4060000000000001"/>
    <n v="18488072.16"/>
    <n v="0"/>
    <n v="18488072.16"/>
    <n v="240247.54"/>
    <n v="201878.49"/>
    <n v="1.2130000000000001"/>
    <n v="325695.23"/>
    <n v="0"/>
    <n v="512134.67"/>
    <n v="2025"/>
    <n v="12"/>
  </r>
  <r>
    <n v="41923"/>
    <n v="3202900"/>
    <x v="36"/>
    <n v="0.39200000000000002"/>
    <n v="2127811.0099999998"/>
    <n v="0"/>
    <n v="2127811.0099999998"/>
    <n v="27650.33"/>
    <n v="41423.24"/>
    <n v="0.438"/>
    <n v="37484.589999999997"/>
    <n v="0"/>
    <n v="58942.1"/>
    <n v="2025"/>
    <n v="12"/>
  </r>
  <r>
    <n v="41924"/>
    <n v="3203007"/>
    <x v="37"/>
    <n v="0.5"/>
    <n v="2714044.64"/>
    <n v="0"/>
    <n v="2714044.64"/>
    <n v="35268.28"/>
    <n v="103659.92"/>
    <n v="0.90300000000000002"/>
    <n v="47811.99"/>
    <n v="0"/>
    <n v="75181.25"/>
    <n v="2025"/>
    <n v="12"/>
  </r>
  <r>
    <n v="41925"/>
    <n v="3203056"/>
    <x v="38"/>
    <n v="1.109"/>
    <n v="6019751.0499999998"/>
    <n v="0"/>
    <n v="6019751.0499999998"/>
    <n v="78225.05"/>
    <n v="144450.28"/>
    <n v="0.98899999999999999"/>
    <n v="106046.98"/>
    <n v="0"/>
    <n v="166752.01"/>
    <n v="2025"/>
    <n v="12"/>
  </r>
  <r>
    <n v="41926"/>
    <n v="3203106"/>
    <x v="39"/>
    <n v="0.216"/>
    <n v="1172467.28"/>
    <n v="0"/>
    <n v="1172467.28"/>
    <n v="15235.9"/>
    <n v="38789.46"/>
    <n v="0.45100000000000001"/>
    <n v="20654.78"/>
    <n v="0"/>
    <n v="32478.3"/>
    <n v="2025"/>
    <n v="12"/>
  </r>
  <r>
    <n v="41927"/>
    <n v="3203130"/>
    <x v="40"/>
    <n v="0.376"/>
    <n v="2040961.57"/>
    <n v="0"/>
    <n v="2040961.57"/>
    <n v="26521.75"/>
    <n v="65082.01"/>
    <n v="0.61499999999999999"/>
    <n v="35954.61"/>
    <n v="0"/>
    <n v="56536.3"/>
    <n v="2025"/>
    <n v="12"/>
  </r>
  <r>
    <n v="41928"/>
    <n v="3203163"/>
    <x v="41"/>
    <n v="0.42799999999999999"/>
    <n v="2323222.2400000002"/>
    <n v="0"/>
    <n v="2323222.2400000002"/>
    <n v="30189.65"/>
    <n v="29106.1"/>
    <n v="0.44500000000000001"/>
    <n v="40927.050000000003"/>
    <n v="0"/>
    <n v="64355.15"/>
    <n v="2025"/>
    <n v="12"/>
  </r>
  <r>
    <n v="41929"/>
    <n v="3203205"/>
    <x v="42"/>
    <n v="4.431"/>
    <n v="24051863.699999999"/>
    <n v="0"/>
    <n v="24051863.699999999"/>
    <n v="312547.52"/>
    <n v="898633.63"/>
    <n v="4.0979999999999999"/>
    <n v="423709.79"/>
    <n v="0"/>
    <n v="666256.22"/>
    <n v="2025"/>
    <n v="12"/>
  </r>
  <r>
    <n v="41930"/>
    <n v="3203304"/>
    <x v="43"/>
    <n v="0.314"/>
    <n v="1704420.05"/>
    <n v="0"/>
    <n v="1704420.05"/>
    <n v="22148.48"/>
    <n v="59353.17"/>
    <n v="0.52400000000000002"/>
    <n v="30025.93"/>
    <n v="0"/>
    <n v="47213.82"/>
    <n v="2025"/>
    <n v="12"/>
  </r>
  <r>
    <n v="41931"/>
    <n v="3203320"/>
    <x v="44"/>
    <n v="0.58499999999999996"/>
    <n v="3175432.24"/>
    <n v="0"/>
    <n v="3175432.24"/>
    <n v="41263.89"/>
    <n v="285057.15999999997"/>
    <n v="1.3140000000000001"/>
    <n v="55940.02"/>
    <n v="0"/>
    <n v="87962.06"/>
    <n v="2025"/>
    <n v="12"/>
  </r>
  <r>
    <n v="41932"/>
    <n v="3203346"/>
    <x v="45"/>
    <n v="0.55500000000000005"/>
    <n v="3012589.59"/>
    <n v="0"/>
    <n v="3012589.59"/>
    <n v="39147.79"/>
    <n v="46522.09"/>
    <n v="0.68500000000000005"/>
    <n v="53071.3"/>
    <n v="0"/>
    <n v="83451.179999999993"/>
    <n v="2025"/>
    <n v="12"/>
  </r>
  <r>
    <n v="41933"/>
    <n v="3203353"/>
    <x v="46"/>
    <n v="0.505"/>
    <n v="2741185.11"/>
    <n v="0"/>
    <n v="2741185.11"/>
    <n v="35620.97"/>
    <n v="56720.99"/>
    <n v="0.46300000000000002"/>
    <n v="48290.1"/>
    <n v="0"/>
    <n v="75933.06"/>
    <n v="2025"/>
    <n v="12"/>
  </r>
  <r>
    <n v="41934"/>
    <n v="3203403"/>
    <x v="47"/>
    <n v="0.46899999999999997"/>
    <n v="2545773.89"/>
    <n v="0"/>
    <n v="2545773.89"/>
    <n v="33081.65"/>
    <n v="110671.42"/>
    <n v="0.83899999999999997"/>
    <n v="44847.65"/>
    <n v="0"/>
    <n v="70520.009999999995"/>
    <n v="2025"/>
    <n v="12"/>
  </r>
  <r>
    <n v="41935"/>
    <n v="3203502"/>
    <x v="48"/>
    <n v="0.51500000000000001"/>
    <n v="2795465.97"/>
    <n v="0"/>
    <n v="2795465.97"/>
    <n v="36326.33"/>
    <n v="95095.54"/>
    <n v="0.69699999999999995"/>
    <n v="49246.34"/>
    <n v="0"/>
    <n v="77436.679999999993"/>
    <n v="2025"/>
    <n v="12"/>
  </r>
  <r>
    <n v="41936"/>
    <n v="3203601"/>
    <x v="49"/>
    <n v="0.30599999999999999"/>
    <n v="1660995.32"/>
    <n v="0"/>
    <n v="1660995.32"/>
    <n v="21584.19"/>
    <n v="16997.73"/>
    <n v="0.29699999999999999"/>
    <n v="29260.93"/>
    <n v="0"/>
    <n v="46010.92"/>
    <n v="2025"/>
    <n v="12"/>
  </r>
  <r>
    <n v="41937"/>
    <n v="3203700"/>
    <x v="50"/>
    <n v="0.505"/>
    <n v="2741185.11"/>
    <n v="0"/>
    <n v="2741185.11"/>
    <n v="35620.97"/>
    <n v="61129.02"/>
    <n v="0.68500000000000005"/>
    <n v="48290.1"/>
    <n v="0"/>
    <n v="75933.06"/>
    <n v="2025"/>
    <n v="12"/>
  </r>
  <r>
    <n v="41938"/>
    <n v="3203809"/>
    <x v="51"/>
    <n v="0.32"/>
    <n v="1736988.58"/>
    <n v="0"/>
    <n v="1736988.58"/>
    <n v="22571.7"/>
    <n v="46656.07"/>
    <n v="0.55300000000000005"/>
    <n v="30599.67"/>
    <n v="0"/>
    <n v="48116"/>
    <n v="2025"/>
    <n v="12"/>
  </r>
  <r>
    <n v="41939"/>
    <n v="3203908"/>
    <x v="52"/>
    <n v="1.2250000000000001"/>
    <n v="6649409.3899999997"/>
    <n v="0"/>
    <n v="6649409.3899999997"/>
    <n v="86407.29"/>
    <n v="243105.54"/>
    <n v="1.4710000000000001"/>
    <n v="117139.35"/>
    <n v="0"/>
    <n v="184194.06"/>
    <n v="2025"/>
    <n v="12"/>
  </r>
  <r>
    <n v="41940"/>
    <n v="3204005"/>
    <x v="53"/>
    <n v="0.435"/>
    <n v="2361218.84"/>
    <n v="0"/>
    <n v="2361218.84"/>
    <n v="30683.41"/>
    <n v="60031.85"/>
    <n v="0.69099999999999995"/>
    <n v="41596.42"/>
    <n v="0"/>
    <n v="65407.68"/>
    <n v="2025"/>
    <n v="12"/>
  </r>
  <r>
    <n v="41941"/>
    <n v="3204054"/>
    <x v="54"/>
    <n v="0.33400000000000002"/>
    <n v="1812981.85"/>
    <n v="0"/>
    <n v="1812981.85"/>
    <n v="23559.21"/>
    <n v="112317.55"/>
    <n v="0.78400000000000003"/>
    <n v="31938.41"/>
    <n v="0"/>
    <n v="50221.08"/>
    <n v="2025"/>
    <n v="12"/>
  </r>
  <r>
    <n v="41942"/>
    <n v="3204104"/>
    <x v="55"/>
    <n v="0.755"/>
    <n v="4098207.45"/>
    <n v="0"/>
    <n v="4098207.45"/>
    <n v="53255.11"/>
    <n v="88610.7"/>
    <n v="0.83499999999999996"/>
    <n v="72196.09"/>
    <n v="0"/>
    <n v="113523.69"/>
    <n v="2025"/>
    <n v="12"/>
  </r>
  <r>
    <n v="41943"/>
    <n v="3204203"/>
    <x v="56"/>
    <n v="0.36499999999999999"/>
    <n v="1981252.6"/>
    <n v="0"/>
    <n v="1981252.6"/>
    <n v="25745.85"/>
    <n v="124010.23"/>
    <n v="0.745"/>
    <n v="34902.75"/>
    <n v="0"/>
    <n v="54882.32"/>
    <n v="2025"/>
    <n v="12"/>
  </r>
  <r>
    <n v="41944"/>
    <n v="3204252"/>
    <x v="57"/>
    <n v="0.27"/>
    <n v="1465584.1"/>
    <n v="0"/>
    <n v="1465584.1"/>
    <n v="19044.87"/>
    <n v="15127.89"/>
    <n v="0.31"/>
    <n v="25818.47"/>
    <n v="0"/>
    <n v="40597.870000000003"/>
    <n v="2025"/>
    <n v="12"/>
  </r>
  <r>
    <n v="41945"/>
    <n v="1718402"/>
    <x v="58"/>
    <n v="0.39100000000000001"/>
    <n v="2122382.9300000002"/>
    <n v="0"/>
    <n v="2122382.9300000002"/>
    <n v="27579.8"/>
    <n v="104925.7"/>
    <n v="0.55900000000000005"/>
    <n v="37388.97"/>
    <n v="0"/>
    <n v="58791.73"/>
    <n v="2025"/>
    <n v="12"/>
  </r>
  <r>
    <n v="41946"/>
    <n v="3204351"/>
    <x v="59"/>
    <n v="0.88200000000000001"/>
    <n v="4787574.74"/>
    <n v="0"/>
    <n v="4787574.74"/>
    <n v="62213.25"/>
    <n v="74599.350000000006"/>
    <n v="0.70299999999999996"/>
    <n v="84340.34"/>
    <n v="0"/>
    <n v="132619.72"/>
    <n v="2025"/>
    <n v="12"/>
  </r>
  <r>
    <n v="41947"/>
    <n v="3204401"/>
    <x v="60"/>
    <n v="0.312"/>
    <n v="1693563.86"/>
    <n v="0"/>
    <n v="1693563.86"/>
    <n v="22007.41"/>
    <n v="45703.92"/>
    <n v="0.44400000000000001"/>
    <n v="29834.68"/>
    <n v="0"/>
    <n v="46913.1"/>
    <n v="2025"/>
    <n v="12"/>
  </r>
  <r>
    <n v="41948"/>
    <n v="3204500"/>
    <x v="61"/>
    <n v="0.51800000000000002"/>
    <n v="2811750.27"/>
    <n v="0"/>
    <n v="2811750.27"/>
    <n v="36537.94"/>
    <n v="25022.92"/>
    <n v="0.54800000000000004"/>
    <n v="49533.21"/>
    <n v="0"/>
    <n v="77887.77"/>
    <n v="2025"/>
    <n v="12"/>
  </r>
  <r>
    <n v="41949"/>
    <n v="3204559"/>
    <x v="62"/>
    <n v="2.1909999999999998"/>
    <n v="11892943.640000001"/>
    <n v="0"/>
    <n v="11892943.640000001"/>
    <n v="154545.62"/>
    <n v="500364.34"/>
    <n v="1.31"/>
    <n v="209512.1"/>
    <n v="0"/>
    <n v="329444.23"/>
    <n v="2025"/>
    <n v="12"/>
  </r>
  <r>
    <n v="41950"/>
    <n v="3204609"/>
    <x v="63"/>
    <n v="0.66"/>
    <n v="3582538.92"/>
    <n v="0"/>
    <n v="3582538.92"/>
    <n v="46554.13"/>
    <n v="122948.6"/>
    <n v="0.82199999999999995"/>
    <n v="63111.81"/>
    <n v="0"/>
    <n v="99239.25"/>
    <n v="2025"/>
    <n v="12"/>
  </r>
  <r>
    <n v="41951"/>
    <n v="3204658"/>
    <x v="64"/>
    <n v="0.42099999999999999"/>
    <n v="2285225.59"/>
    <n v="0"/>
    <n v="2285225.59"/>
    <n v="29695.89"/>
    <n v="54204.639999999999"/>
    <n v="0.33800000000000002"/>
    <n v="40257.68"/>
    <n v="0"/>
    <n v="63302.61"/>
    <n v="2025"/>
    <n v="12"/>
  </r>
  <r>
    <n v="41952"/>
    <n v="3204708"/>
    <x v="65"/>
    <n v="0.72299999999999998"/>
    <n v="3924508.55"/>
    <n v="0"/>
    <n v="3924508.55"/>
    <n v="50997.94"/>
    <n v="122080.58"/>
    <n v="1.0840000000000001"/>
    <n v="69136.13"/>
    <n v="0"/>
    <n v="108712.09"/>
    <n v="2025"/>
    <n v="12"/>
  </r>
  <r>
    <n v="41953"/>
    <n v="3204807"/>
    <x v="66"/>
    <n v="0.28599999999999998"/>
    <n v="1552433.53"/>
    <n v="0"/>
    <n v="1552433.53"/>
    <n v="20173.46"/>
    <n v="37281.72"/>
    <n v="0.443"/>
    <n v="27348.46"/>
    <n v="0"/>
    <n v="43003.67"/>
    <n v="2025"/>
    <n v="12"/>
  </r>
  <r>
    <n v="41954"/>
    <n v="3204906"/>
    <x v="67"/>
    <n v="1.998"/>
    <n v="10845322.439999999"/>
    <n v="0"/>
    <n v="10845322.439999999"/>
    <n v="140932.06"/>
    <n v="610101.49"/>
    <n v="2.9940000000000002"/>
    <n v="191056.68"/>
    <n v="0"/>
    <n v="300424.27"/>
    <n v="2025"/>
    <n v="12"/>
  </r>
  <r>
    <n v="41955"/>
    <n v="3204955"/>
    <x v="68"/>
    <n v="0.3"/>
    <n v="1628426.79"/>
    <n v="0"/>
    <n v="1628426.79"/>
    <n v="21160.97"/>
    <n v="41818.49"/>
    <n v="0.441"/>
    <n v="28687.19"/>
    <n v="0"/>
    <n v="45108.75"/>
    <n v="2025"/>
    <n v="12"/>
  </r>
  <r>
    <n v="41956"/>
    <n v="3205002"/>
    <x v="69"/>
    <n v="14.551"/>
    <n v="78984127.450000003"/>
    <n v="0"/>
    <n v="78984127.450000003"/>
    <n v="1026377.56"/>
    <n v="2346942.14"/>
    <n v="8.8559999999999999"/>
    <n v="1391424.33"/>
    <n v="0"/>
    <n v="2187924.7000000002"/>
    <n v="2025"/>
    <n v="12"/>
  </r>
  <r>
    <n v="41957"/>
    <n v="3205010"/>
    <x v="70"/>
    <n v="0.78200000000000003"/>
    <n v="4244765.82"/>
    <n v="0"/>
    <n v="4244765.82"/>
    <n v="55159.59"/>
    <n v="110888.24"/>
    <n v="0.93799999999999994"/>
    <n v="74777.94"/>
    <n v="0"/>
    <n v="117583.47"/>
    <n v="2025"/>
    <n v="12"/>
  </r>
  <r>
    <n v="41958"/>
    <n v="3205036"/>
    <x v="71"/>
    <n v="0.45700000000000002"/>
    <n v="2480636.7999999998"/>
    <n v="0"/>
    <n v="2480636.7999999998"/>
    <n v="32235.21"/>
    <n v="95698.8"/>
    <n v="0.70399999999999996"/>
    <n v="43700.15"/>
    <n v="0"/>
    <n v="68715.66"/>
    <n v="2025"/>
    <n v="12"/>
  </r>
  <r>
    <n v="41959"/>
    <n v="3205069"/>
    <x v="72"/>
    <n v="0.67"/>
    <n v="3636819.84"/>
    <n v="0"/>
    <n v="3636819.84"/>
    <n v="47259.5"/>
    <n v="88900.11"/>
    <n v="0.83899999999999997"/>
    <n v="64068.06"/>
    <n v="0"/>
    <n v="100742.87"/>
    <n v="2025"/>
    <n v="12"/>
  </r>
  <r>
    <n v="41960"/>
    <n v="2112803"/>
    <x v="73"/>
    <n v="3.3740000000000001"/>
    <n v="18314373.309999999"/>
    <n v="0"/>
    <n v="18314373.309999999"/>
    <n v="237990.37"/>
    <n v="218512.29"/>
    <n v="1.944"/>
    <n v="322635.26"/>
    <n v="0"/>
    <n v="507323.07"/>
    <n v="2025"/>
    <n v="12"/>
  </r>
  <r>
    <n v="41961"/>
    <n v="3205150"/>
    <x v="74"/>
    <n v="0.36799999999999999"/>
    <n v="1997536.87"/>
    <n v="0"/>
    <n v="1997536.87"/>
    <n v="25957.46"/>
    <n v="26493.99"/>
    <n v="0.34100000000000003"/>
    <n v="35189.61"/>
    <n v="0"/>
    <n v="55333.4"/>
    <n v="2025"/>
    <n v="12"/>
  </r>
  <r>
    <n v="41962"/>
    <n v="3205176"/>
    <x v="75"/>
    <n v="0.7"/>
    <n v="3799662.5"/>
    <n v="0"/>
    <n v="3799662.5"/>
    <n v="49375.6"/>
    <n v="67848.179999999993"/>
    <n v="0.55400000000000005"/>
    <n v="66936.78"/>
    <n v="0"/>
    <n v="105253.75"/>
    <n v="2025"/>
    <n v="12"/>
  </r>
  <r>
    <n v="41963"/>
    <n v="3205200"/>
    <x v="76"/>
    <n v="6.6219999999999999"/>
    <n v="35944807.359999999"/>
    <n v="0"/>
    <n v="35944807.359999999"/>
    <n v="467093.14"/>
    <n v="2179992.87"/>
    <n v="8.01"/>
    <n v="633221.91"/>
    <n v="0"/>
    <n v="995700.46"/>
    <n v="2025"/>
    <n v="12"/>
  </r>
  <r>
    <n v="41964"/>
    <n v="3205309"/>
    <x v="77"/>
    <n v="10.878"/>
    <n v="59046755.420000002"/>
    <n v="0"/>
    <n v="59046755.420000002"/>
    <n v="767296.76"/>
    <n v="2221243.12"/>
    <n v="9.1780000000000008"/>
    <n v="1040197.53"/>
    <n v="0"/>
    <n v="1635643.25"/>
    <n v="2025"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694">
  <r>
    <n v="31357"/>
    <n v="3200102"/>
    <x v="0"/>
    <n v="0.82"/>
    <n v="1738533.38"/>
    <n v="32081.94"/>
    <n v="1770615.32"/>
    <n v="26401.83"/>
    <n v="52086.73"/>
    <n v="0.82"/>
    <n v="59903.74"/>
    <n v="0"/>
    <n v="0"/>
    <x v="0"/>
    <n v="2"/>
  </r>
  <r>
    <n v="31358"/>
    <n v="3200169"/>
    <x v="1"/>
    <n v="0.31"/>
    <n v="656449.88"/>
    <n v="12113.74"/>
    <n v="668563.62"/>
    <n v="9969.02"/>
    <n v="11518.52"/>
    <n v="0.31"/>
    <n v="22618.95"/>
    <n v="0"/>
    <n v="0"/>
    <x v="0"/>
    <n v="2"/>
  </r>
  <r>
    <n v="31359"/>
    <n v="3200136"/>
    <x v="2"/>
    <n v="0.41"/>
    <n v="885148.54"/>
    <n v="16334.05"/>
    <n v="901482.59"/>
    <n v="13442.1"/>
    <n v="12813.7"/>
    <n v="0.41"/>
    <n v="30499.1"/>
    <n v="0"/>
    <n v="0"/>
    <x v="0"/>
    <n v="2"/>
  </r>
  <r>
    <n v="31360"/>
    <n v="3200201"/>
    <x v="3"/>
    <n v="0.52"/>
    <n v="1113847.2"/>
    <n v="20554.310000000001"/>
    <n v="1134401.51"/>
    <n v="16915.18"/>
    <n v="52693.72"/>
    <n v="0.52"/>
    <n v="38379.25"/>
    <n v="0"/>
    <n v="0"/>
    <x v="0"/>
    <n v="2"/>
  </r>
  <r>
    <n v="31361"/>
    <n v="3200300"/>
    <x v="4"/>
    <n v="0.51"/>
    <n v="1079965.92"/>
    <n v="19929.09"/>
    <n v="1099895.01"/>
    <n v="16400.650000000001"/>
    <n v="63885.68"/>
    <n v="0.51"/>
    <n v="37211.82"/>
    <n v="0"/>
    <n v="0"/>
    <x v="0"/>
    <n v="2"/>
  </r>
  <r>
    <n v="31362"/>
    <n v="3200359"/>
    <x v="5"/>
    <n v="0.22"/>
    <n v="476455.55"/>
    <n v="8792.25"/>
    <n v="485247.8"/>
    <n v="7235.58"/>
    <n v="5113.3"/>
    <n v="0.22"/>
    <n v="16416.98"/>
    <n v="0"/>
    <n v="0"/>
    <x v="0"/>
    <n v="2"/>
  </r>
  <r>
    <n v="31363"/>
    <n v="3200409"/>
    <x v="6"/>
    <n v="2.65"/>
    <n v="5617940.3899999997"/>
    <n v="103670.33"/>
    <n v="5721610.7199999997"/>
    <n v="85315.55"/>
    <n v="68463.09"/>
    <n v="2.65"/>
    <n v="193574.45"/>
    <n v="0"/>
    <n v="0"/>
    <x v="0"/>
    <n v="2"/>
  </r>
  <r>
    <n v="31364"/>
    <n v="3200508"/>
    <x v="7"/>
    <n v="0.19"/>
    <n v="410810.55"/>
    <n v="7580.87"/>
    <n v="418391.42"/>
    <n v="6238.68"/>
    <n v="29450.06"/>
    <n v="0.19"/>
    <n v="14155.09"/>
    <n v="0"/>
    <n v="0"/>
    <x v="0"/>
    <n v="2"/>
  </r>
  <r>
    <n v="31365"/>
    <n v="3200607"/>
    <x v="8"/>
    <n v="3.34"/>
    <n v="7089658.6699999999"/>
    <n v="130828.59"/>
    <n v="7220487.2599999998"/>
    <n v="107665.45"/>
    <n v="280819.87"/>
    <n v="3.34"/>
    <n v="244284.69"/>
    <n v="0"/>
    <n v="0"/>
    <x v="0"/>
    <n v="2"/>
  </r>
  <r>
    <n v="31366"/>
    <n v="3200706"/>
    <x v="9"/>
    <n v="0.37"/>
    <n v="802562.9"/>
    <n v="14810.04"/>
    <n v="817372.94"/>
    <n v="12187.94"/>
    <n v="17513.3"/>
    <n v="0.37"/>
    <n v="27653.49"/>
    <n v="0"/>
    <n v="0"/>
    <x v="0"/>
    <n v="2"/>
  </r>
  <r>
    <n v="31367"/>
    <n v="3200805"/>
    <x v="10"/>
    <n v="0.69"/>
    <n v="1467483.1"/>
    <n v="27080.09"/>
    <n v="1494563.19"/>
    <n v="22285.59"/>
    <n v="98400.78"/>
    <n v="0.69"/>
    <n v="50564.3"/>
    <n v="0"/>
    <n v="0"/>
    <x v="0"/>
    <n v="2"/>
  </r>
  <r>
    <n v="31368"/>
    <n v="3200904"/>
    <x v="11"/>
    <n v="0.94"/>
    <n v="2001113.32"/>
    <n v="36927.42"/>
    <n v="2038040.74"/>
    <n v="30389.439999999999"/>
    <n v="108544.19"/>
    <n v="0.94"/>
    <n v="68951.320000000007"/>
    <n v="0"/>
    <n v="0"/>
    <x v="0"/>
    <n v="2"/>
  </r>
  <r>
    <n v="31369"/>
    <n v="3107109"/>
    <x v="12"/>
    <n v="0.4"/>
    <n v="855502.41"/>
    <n v="15786.97"/>
    <n v="871289.38"/>
    <n v="12991.89"/>
    <n v="15695.91"/>
    <n v="0.4"/>
    <n v="29477.599999999999"/>
    <n v="0"/>
    <n v="0"/>
    <x v="0"/>
    <n v="2"/>
  </r>
  <r>
    <n v="31370"/>
    <n v="3201100"/>
    <x v="13"/>
    <n v="0.18"/>
    <n v="383282.02"/>
    <n v="7072.85"/>
    <n v="390354.87"/>
    <n v="5820.62"/>
    <n v="100647.42"/>
    <n v="0.18"/>
    <n v="13206.55"/>
    <n v="0"/>
    <n v="0"/>
    <x v="0"/>
    <n v="2"/>
  </r>
  <r>
    <n v="31371"/>
    <n v="3201159"/>
    <x v="14"/>
    <n v="0.43"/>
    <n v="925382.56"/>
    <n v="17076.490000000002"/>
    <n v="942459.05"/>
    <n v="14053.11"/>
    <n v="18336.689999999999"/>
    <n v="0.43"/>
    <n v="31885.43"/>
    <n v="0"/>
    <n v="0"/>
    <x v="0"/>
    <n v="2"/>
  </r>
  <r>
    <n v="31372"/>
    <n v="3201209"/>
    <x v="15"/>
    <n v="3.37"/>
    <n v="7146833.3300000001"/>
    <n v="131883.70000000001"/>
    <n v="7278717.0300000003"/>
    <n v="108533.72"/>
    <n v="657236.56000000006"/>
    <n v="3.37"/>
    <n v="246254.72"/>
    <n v="0"/>
    <n v="0"/>
    <x v="0"/>
    <n v="2"/>
  </r>
  <r>
    <n v="31373"/>
    <n v="3201308"/>
    <x v="16"/>
    <n v="5.99"/>
    <n v="12686423.26"/>
    <n v="234108.19"/>
    <n v="12920531.449999999"/>
    <n v="192659.42"/>
    <n v="1530146.12"/>
    <n v="5.99"/>
    <n v="437129.5"/>
    <n v="0"/>
    <n v="0"/>
    <x v="0"/>
    <n v="2"/>
  </r>
  <r>
    <n v="31374"/>
    <n v="3201407"/>
    <x v="17"/>
    <n v="0.93"/>
    <n v="1984172.69"/>
    <n v="36614.839999999997"/>
    <n v="2020787.53"/>
    <n v="30132.18"/>
    <n v="118200.78"/>
    <n v="0.93"/>
    <n v="68367.61"/>
    <n v="0"/>
    <n v="0"/>
    <x v="0"/>
    <n v="2"/>
  </r>
  <r>
    <n v="31375"/>
    <n v="3201506"/>
    <x v="18"/>
    <n v="2.25"/>
    <n v="4775143.45"/>
    <n v="88117.84"/>
    <n v="4863261.29"/>
    <n v="72516.61"/>
    <n v="389916.15"/>
    <n v="2.25"/>
    <n v="164534.64000000001"/>
    <n v="0"/>
    <n v="0"/>
    <x v="0"/>
    <n v="2"/>
  </r>
  <r>
    <n v="31376"/>
    <n v="3201605"/>
    <x v="19"/>
    <n v="0.55000000000000004"/>
    <n v="1171021.8700000001"/>
    <n v="21609.39"/>
    <n v="1192631.26"/>
    <n v="17783.45"/>
    <n v="39338.300000000003"/>
    <n v="0.55000000000000004"/>
    <n v="40349.29"/>
    <n v="0"/>
    <n v="0"/>
    <x v="0"/>
    <n v="2"/>
  </r>
  <r>
    <n v="31377"/>
    <n v="3201704"/>
    <x v="20"/>
    <n v="0.45"/>
    <n v="967734.17"/>
    <n v="17858.04"/>
    <n v="985592.21"/>
    <n v="14696.27"/>
    <n v="24792.18"/>
    <n v="0.45"/>
    <n v="33344.71"/>
    <n v="0"/>
    <n v="0"/>
    <x v="0"/>
    <n v="2"/>
  </r>
  <r>
    <n v="31378"/>
    <n v="3201803"/>
    <x v="21"/>
    <n v="0.18"/>
    <n v="393869.92"/>
    <n v="7268.26"/>
    <n v="401138.18"/>
    <n v="5981.41"/>
    <n v="7500.75"/>
    <n v="0.18"/>
    <n v="13571.37"/>
    <n v="0"/>
    <n v="0"/>
    <x v="0"/>
    <n v="2"/>
  </r>
  <r>
    <n v="31379"/>
    <n v="3201902"/>
    <x v="22"/>
    <n v="1.28"/>
    <n v="2714737.85"/>
    <n v="50096.26"/>
    <n v="2764834.11"/>
    <n v="41226.74"/>
    <n v="102088.09"/>
    <n v="1.28"/>
    <n v="93540.31"/>
    <n v="0"/>
    <n v="0"/>
    <x v="0"/>
    <n v="2"/>
  </r>
  <r>
    <n v="31380"/>
    <n v="3202009"/>
    <x v="23"/>
    <n v="0.25"/>
    <n v="529395.07999999996"/>
    <n v="9769.15"/>
    <n v="539164.23"/>
    <n v="8039.54"/>
    <n v="13252.01"/>
    <n v="0.25"/>
    <n v="18241.09"/>
    <n v="0"/>
    <n v="0"/>
    <x v="0"/>
    <n v="2"/>
  </r>
  <r>
    <n v="31381"/>
    <n v="3202108"/>
    <x v="24"/>
    <n v="0.72"/>
    <n v="1526775.34"/>
    <n v="28174.26"/>
    <n v="1554949.6"/>
    <n v="23186.02"/>
    <n v="32941.56"/>
    <n v="0.72"/>
    <n v="52607.31"/>
    <n v="0"/>
    <n v="0"/>
    <x v="0"/>
    <n v="2"/>
  </r>
  <r>
    <n v="31382"/>
    <n v="3202207"/>
    <x v="25"/>
    <n v="0.35"/>
    <n v="749623.41"/>
    <n v="13833.15"/>
    <n v="763456.56"/>
    <n v="11383.98"/>
    <n v="39609.26"/>
    <n v="0.35"/>
    <n v="25829.38"/>
    <n v="0"/>
    <n v="0"/>
    <x v="0"/>
    <n v="2"/>
  </r>
  <r>
    <n v="31383"/>
    <n v="3202256"/>
    <x v="26"/>
    <n v="0.43"/>
    <n v="910559.5"/>
    <n v="16802.95"/>
    <n v="927362.45"/>
    <n v="13828"/>
    <n v="20599.84"/>
    <n v="0.43"/>
    <n v="31374.68"/>
    <n v="0"/>
    <n v="0"/>
    <x v="0"/>
    <n v="2"/>
  </r>
  <r>
    <n v="31384"/>
    <n v="3202306"/>
    <x v="27"/>
    <n v="0.41"/>
    <n v="880913.39"/>
    <n v="16255.89"/>
    <n v="897169.28"/>
    <n v="13377.79"/>
    <n v="80493.05"/>
    <n v="0.41"/>
    <n v="30353.17"/>
    <n v="0"/>
    <n v="0"/>
    <x v="0"/>
    <n v="2"/>
  </r>
  <r>
    <n v="31385"/>
    <n v="3202405"/>
    <x v="28"/>
    <n v="0.99"/>
    <n v="2106992.36"/>
    <n v="38881.25"/>
    <n v="2145873.61"/>
    <n v="31997.35"/>
    <n v="742573.19"/>
    <n v="0.99"/>
    <n v="72599.539999999994"/>
    <n v="0"/>
    <n v="0"/>
    <x v="0"/>
    <n v="2"/>
  </r>
  <r>
    <n v="31386"/>
    <n v="3202454"/>
    <x v="29"/>
    <n v="0.41"/>
    <n v="883030.98"/>
    <n v="16294.96"/>
    <n v="899325.94"/>
    <n v="13409.94"/>
    <n v="51073.54"/>
    <n v="0.41"/>
    <n v="30426.14"/>
    <n v="0"/>
    <n v="0"/>
    <x v="0"/>
    <n v="2"/>
  </r>
  <r>
    <n v="31387"/>
    <n v="3202504"/>
    <x v="30"/>
    <n v="0.25"/>
    <n v="546335.69999999995"/>
    <n v="10081.780000000001"/>
    <n v="556417.48"/>
    <n v="8296.7999999999993"/>
    <n v="36947.9"/>
    <n v="0.25"/>
    <n v="18824.810000000001"/>
    <n v="0"/>
    <n v="0"/>
    <x v="0"/>
    <n v="2"/>
  </r>
  <r>
    <n v="31388"/>
    <n v="3202553"/>
    <x v="31"/>
    <n v="0.25"/>
    <n v="533630.21"/>
    <n v="9847.32"/>
    <n v="543477.53"/>
    <n v="8103.85"/>
    <n v="12595.4"/>
    <n v="0.25"/>
    <n v="18387.02"/>
    <n v="0"/>
    <n v="0"/>
    <x v="0"/>
    <n v="2"/>
  </r>
  <r>
    <n v="31389"/>
    <n v="3202603"/>
    <x v="32"/>
    <n v="0.4"/>
    <n v="866090.33"/>
    <n v="15982.34"/>
    <n v="882072.67"/>
    <n v="13152.68"/>
    <n v="153331.93"/>
    <n v="0.4"/>
    <n v="29842.42"/>
    <n v="0"/>
    <n v="0"/>
    <x v="0"/>
    <n v="2"/>
  </r>
  <r>
    <n v="31390"/>
    <n v="3202652"/>
    <x v="33"/>
    <n v="0.28000000000000003"/>
    <n v="609863.09"/>
    <n v="11254.07"/>
    <n v="621117.16"/>
    <n v="9261.5400000000009"/>
    <n v="28584.06"/>
    <n v="0.28000000000000003"/>
    <n v="21013.74"/>
    <n v="0"/>
    <n v="0"/>
    <x v="0"/>
    <n v="2"/>
  </r>
  <r>
    <n v="31391"/>
    <n v="3202702"/>
    <x v="34"/>
    <n v="0.38"/>
    <n v="811033.24"/>
    <n v="14966.34"/>
    <n v="825999.58"/>
    <n v="12316.57"/>
    <n v="20996.58"/>
    <n v="0.38"/>
    <n v="27945.35"/>
    <n v="0"/>
    <n v="0"/>
    <x v="0"/>
    <n v="2"/>
  </r>
  <r>
    <n v="31392"/>
    <n v="3202801"/>
    <x v="35"/>
    <n v="2.59"/>
    <n v="5501473.5"/>
    <n v="101521.13"/>
    <n v="5602994.6299999999"/>
    <n v="83546.850000000006"/>
    <n v="113926.78"/>
    <n v="2.59"/>
    <n v="189561.41"/>
    <n v="0"/>
    <n v="0"/>
    <x v="0"/>
    <n v="2"/>
  </r>
  <r>
    <n v="31393"/>
    <n v="3202900"/>
    <x v="36"/>
    <n v="0.34"/>
    <n v="732682.78"/>
    <n v="13520.52"/>
    <n v="746203.3"/>
    <n v="11126.72"/>
    <n v="40369.230000000003"/>
    <n v="0.34"/>
    <n v="25245.67"/>
    <n v="0"/>
    <n v="0"/>
    <x v="0"/>
    <n v="2"/>
  </r>
  <r>
    <n v="31394"/>
    <n v="3203007"/>
    <x v="37"/>
    <n v="0.45"/>
    <n v="961381.43"/>
    <n v="17740.8"/>
    <n v="979122.23"/>
    <n v="14599.8"/>
    <n v="39868.49"/>
    <n v="0.45"/>
    <n v="33125.82"/>
    <n v="0"/>
    <n v="0"/>
    <x v="0"/>
    <n v="2"/>
  </r>
  <r>
    <n v="31395"/>
    <n v="3203056"/>
    <x v="38"/>
    <n v="0.84"/>
    <n v="1791472.89"/>
    <n v="33058.83"/>
    <n v="1824531.72"/>
    <n v="27205.79"/>
    <n v="35375.589999999997"/>
    <n v="0.84"/>
    <n v="61727.85"/>
    <n v="0"/>
    <n v="0"/>
    <x v="0"/>
    <n v="2"/>
  </r>
  <r>
    <n v="31396"/>
    <n v="3203106"/>
    <x v="39"/>
    <n v="0.22"/>
    <n v="476455.55"/>
    <n v="8792.25"/>
    <n v="485247.8"/>
    <n v="7235.58"/>
    <n v="22372.78"/>
    <n v="0.22"/>
    <n v="16416.98"/>
    <n v="0"/>
    <n v="0"/>
    <x v="0"/>
    <n v="2"/>
  </r>
  <r>
    <n v="31397"/>
    <n v="3203130"/>
    <x v="40"/>
    <n v="0.43"/>
    <n v="921147.43"/>
    <n v="16998.36"/>
    <n v="938145.79"/>
    <n v="13988.79"/>
    <n v="31144.99"/>
    <n v="0.43"/>
    <n v="31739.5"/>
    <n v="0"/>
    <n v="0"/>
    <x v="0"/>
    <n v="2"/>
  </r>
  <r>
    <n v="31398"/>
    <n v="3203163"/>
    <x v="41"/>
    <n v="0.38"/>
    <n v="823738.69"/>
    <n v="15200.81"/>
    <n v="838939.5"/>
    <n v="12509.52"/>
    <n v="31260.57"/>
    <n v="0.38"/>
    <n v="28383.14"/>
    <n v="0"/>
    <n v="0"/>
    <x v="0"/>
    <n v="2"/>
  </r>
  <r>
    <n v="31399"/>
    <n v="3203205"/>
    <x v="42"/>
    <n v="6.16"/>
    <n v="13050647.060000001"/>
    <n v="240829.37"/>
    <n v="13291476.43"/>
    <n v="198190.62"/>
    <n v="390379.35"/>
    <n v="6.16"/>
    <n v="449679.37"/>
    <n v="0"/>
    <n v="0"/>
    <x v="0"/>
    <n v="2"/>
  </r>
  <r>
    <n v="31400"/>
    <n v="3203304"/>
    <x v="43"/>
    <n v="0.25"/>
    <n v="542100.52"/>
    <n v="10003.61"/>
    <n v="552104.13"/>
    <n v="8232.48"/>
    <n v="20199.169999999998"/>
    <n v="0.25"/>
    <n v="18678.88"/>
    <n v="0"/>
    <n v="0"/>
    <x v="0"/>
    <n v="2"/>
  </r>
  <r>
    <n v="31401"/>
    <n v="3203320"/>
    <x v="44"/>
    <n v="0.61"/>
    <n v="1300194.3"/>
    <n v="23993.06"/>
    <n v="1324187.3600000001"/>
    <n v="19745.099999999999"/>
    <n v="145793.09"/>
    <n v="0.61"/>
    <n v="44800.12"/>
    <n v="0"/>
    <n v="0"/>
    <x v="0"/>
    <n v="2"/>
  </r>
  <r>
    <n v="31402"/>
    <n v="3203346"/>
    <x v="45"/>
    <n v="0.71"/>
    <n v="1503481.97"/>
    <n v="27744.41"/>
    <n v="1531226.38"/>
    <n v="22832.28"/>
    <n v="58518.06"/>
    <n v="0.71"/>
    <n v="51804.7"/>
    <n v="0"/>
    <n v="0"/>
    <x v="0"/>
    <n v="2"/>
  </r>
  <r>
    <n v="31403"/>
    <n v="3203353"/>
    <x v="46"/>
    <n v="0.42"/>
    <n v="908441.92"/>
    <n v="16763.88"/>
    <n v="925205.8"/>
    <n v="13795.84"/>
    <n v="34328.47"/>
    <n v="0.42"/>
    <n v="31301.71"/>
    <n v="0"/>
    <n v="0"/>
    <x v="0"/>
    <n v="2"/>
  </r>
  <r>
    <n v="31404"/>
    <n v="3203403"/>
    <x v="47"/>
    <n v="0.51"/>
    <n v="1090553.8400000001"/>
    <n v="20124.45"/>
    <n v="1110678.29"/>
    <n v="16561.439999999999"/>
    <n v="61970.25"/>
    <n v="0.51"/>
    <n v="37576.65"/>
    <n v="0"/>
    <n v="0"/>
    <x v="0"/>
    <n v="2"/>
  </r>
  <r>
    <n v="31405"/>
    <n v="3203502"/>
    <x v="48"/>
    <n v="0.53"/>
    <n v="1124435.1299999999"/>
    <n v="20749.689999999999"/>
    <n v="1145184.82"/>
    <n v="17075.97"/>
    <n v="29223.54"/>
    <n v="0.53"/>
    <n v="38744.080000000002"/>
    <n v="0"/>
    <n v="0"/>
    <x v="0"/>
    <n v="2"/>
  </r>
  <r>
    <n v="31406"/>
    <n v="3203601"/>
    <x v="49"/>
    <n v="0.28999999999999998"/>
    <n v="624686.18999999994"/>
    <n v="11527.62"/>
    <n v="636213.81000000006"/>
    <n v="9486.65"/>
    <n v="6185.36"/>
    <n v="0.28999999999999998"/>
    <n v="21524.49"/>
    <n v="0"/>
    <n v="0"/>
    <x v="0"/>
    <n v="2"/>
  </r>
  <r>
    <n v="31407"/>
    <n v="3203700"/>
    <x v="50"/>
    <n v="0.51"/>
    <n v="1090553.8400000001"/>
    <n v="20124.45"/>
    <n v="1110678.29"/>
    <n v="16561.439999999999"/>
    <n v="21048.44"/>
    <n v="0.51"/>
    <n v="37576.65"/>
    <n v="0"/>
    <n v="0"/>
    <x v="0"/>
    <n v="2"/>
  </r>
  <r>
    <n v="31408"/>
    <n v="3203809"/>
    <x v="51"/>
    <n v="0.28999999999999998"/>
    <n v="622568.61"/>
    <n v="11488.54"/>
    <n v="634057.15"/>
    <n v="9454.49"/>
    <n v="28789.62"/>
    <n v="0.28999999999999998"/>
    <n v="21451.52"/>
    <n v="0"/>
    <n v="0"/>
    <x v="0"/>
    <n v="2"/>
  </r>
  <r>
    <n v="31409"/>
    <n v="3203908"/>
    <x v="52"/>
    <n v="1.22"/>
    <n v="2585565.46"/>
    <n v="47712.57"/>
    <n v="2633278.0299999998"/>
    <n v="39265.089999999997"/>
    <n v="110415.23"/>
    <n v="1.22"/>
    <n v="89089.49"/>
    <n v="0"/>
    <n v="0"/>
    <x v="0"/>
    <n v="2"/>
  </r>
  <r>
    <n v="31410"/>
    <n v="3204005"/>
    <x v="53"/>
    <n v="0.45"/>
    <n v="955028.69"/>
    <n v="17623.57"/>
    <n v="972652.26"/>
    <n v="14503.32"/>
    <n v="21140.75"/>
    <n v="0.45"/>
    <n v="32906.93"/>
    <n v="0"/>
    <n v="0"/>
    <x v="0"/>
    <n v="2"/>
  </r>
  <r>
    <n v="31411"/>
    <n v="3204054"/>
    <x v="54"/>
    <n v="0.31"/>
    <n v="664920.19999999995"/>
    <n v="12270.07"/>
    <n v="677190.27"/>
    <n v="10097.66"/>
    <n v="50929.31"/>
    <n v="0.31"/>
    <n v="22910.81"/>
    <n v="0"/>
    <n v="0"/>
    <x v="0"/>
    <n v="2"/>
  </r>
  <r>
    <n v="31412"/>
    <n v="3204104"/>
    <x v="55"/>
    <n v="0.65"/>
    <n v="1387015.08"/>
    <n v="25595.21"/>
    <n v="1412610.29"/>
    <n v="21063.58"/>
    <n v="37386.86"/>
    <n v="0.65"/>
    <n v="47791.66"/>
    <n v="0"/>
    <n v="0"/>
    <x v="0"/>
    <n v="2"/>
  </r>
  <r>
    <n v="31413"/>
    <n v="3204203"/>
    <x v="56"/>
    <n v="0.28999999999999998"/>
    <n v="624686.18999999994"/>
    <n v="11527.62"/>
    <n v="636213.81000000006"/>
    <n v="9486.65"/>
    <n v="89112.56"/>
    <n v="0.28999999999999998"/>
    <n v="21524.49"/>
    <n v="0"/>
    <n v="0"/>
    <x v="0"/>
    <n v="2"/>
  </r>
  <r>
    <n v="31414"/>
    <n v="3204252"/>
    <x v="57"/>
    <n v="0.22"/>
    <n v="474337.99"/>
    <n v="8753.16"/>
    <n v="483091.15"/>
    <n v="7203.42"/>
    <n v="6672.23"/>
    <n v="0.22"/>
    <n v="16344.02"/>
    <n v="0"/>
    <n v="0"/>
    <x v="0"/>
    <n v="2"/>
  </r>
  <r>
    <n v="31415"/>
    <n v="1718402"/>
    <x v="58"/>
    <n v="0.33"/>
    <n v="707271.8"/>
    <n v="13051.59"/>
    <n v="720323.39"/>
    <n v="10740.82"/>
    <n v="56406.77"/>
    <n v="0.33"/>
    <n v="24370.1"/>
    <n v="0"/>
    <n v="0"/>
    <x v="0"/>
    <n v="2"/>
  </r>
  <r>
    <n v="31416"/>
    <n v="3204351"/>
    <x v="59"/>
    <n v="0.81"/>
    <n v="1725827.91"/>
    <n v="31847.439999999999"/>
    <n v="1757675.35"/>
    <n v="26208.880000000001"/>
    <n v="35974.9"/>
    <n v="0.81"/>
    <n v="59465.96"/>
    <n v="0"/>
    <n v="0"/>
    <x v="0"/>
    <n v="2"/>
  </r>
  <r>
    <n v="31417"/>
    <n v="3204401"/>
    <x v="60"/>
    <n v="0.26"/>
    <n v="556923.61"/>
    <n v="10277.15"/>
    <n v="567200.76"/>
    <n v="8457.59"/>
    <n v="19252.669999999998"/>
    <n v="0.26"/>
    <n v="19189.63"/>
    <n v="0"/>
    <n v="0"/>
    <x v="0"/>
    <n v="2"/>
  </r>
  <r>
    <n v="31418"/>
    <n v="3204500"/>
    <x v="61"/>
    <n v="0.49"/>
    <n v="1048202.23"/>
    <n v="19342.93"/>
    <n v="1067545.1599999999"/>
    <n v="15918.28"/>
    <n v="28327.81"/>
    <n v="0.49"/>
    <n v="36117.360000000001"/>
    <n v="0"/>
    <n v="0"/>
    <x v="0"/>
    <n v="2"/>
  </r>
  <r>
    <n v="31419"/>
    <n v="3204559"/>
    <x v="62"/>
    <n v="2.29"/>
    <n v="4859846.6500000004"/>
    <n v="89680.91"/>
    <n v="4949527.5599999996"/>
    <n v="73802.929999999993"/>
    <n v="180841.69"/>
    <n v="2.29"/>
    <n v="167453.21"/>
    <n v="0"/>
    <n v="0"/>
    <x v="0"/>
    <n v="2"/>
  </r>
  <r>
    <n v="31420"/>
    <n v="3204609"/>
    <x v="63"/>
    <n v="0.69"/>
    <n v="1465365.54"/>
    <n v="27041.03"/>
    <n v="1492406.57"/>
    <n v="22253.43"/>
    <n v="64300.39"/>
    <n v="0.69"/>
    <n v="50491.34"/>
    <n v="0"/>
    <n v="0"/>
    <x v="0"/>
    <n v="2"/>
  </r>
  <r>
    <n v="31421"/>
    <n v="3204658"/>
    <x v="64"/>
    <n v="0.48"/>
    <n v="1029144.02"/>
    <n v="18991.240000000002"/>
    <n v="1048135.26"/>
    <n v="15628.86"/>
    <n v="9045.5499999999993"/>
    <n v="0.48"/>
    <n v="35460.68"/>
    <n v="0"/>
    <n v="0"/>
    <x v="0"/>
    <n v="2"/>
  </r>
  <r>
    <n v="31422"/>
    <n v="3204708"/>
    <x v="65"/>
    <n v="0.7"/>
    <n v="1488658.91"/>
    <n v="27470.87"/>
    <n v="1516129.78"/>
    <n v="22607.17"/>
    <n v="56063.32"/>
    <n v="0.7"/>
    <n v="51293.95"/>
    <n v="0"/>
    <n v="0"/>
    <x v="0"/>
    <n v="2"/>
  </r>
  <r>
    <n v="31423"/>
    <n v="3204807"/>
    <x v="66"/>
    <n v="0.26"/>
    <n v="552688.43000000005"/>
    <n v="10198.99"/>
    <n v="562887.42000000004"/>
    <n v="8393.27"/>
    <n v="29161.63"/>
    <n v="0.26"/>
    <n v="19043.7"/>
    <n v="0"/>
    <n v="0"/>
    <x v="0"/>
    <n v="2"/>
  </r>
  <r>
    <n v="31424"/>
    <n v="3204906"/>
    <x v="67"/>
    <n v="1.94"/>
    <n v="4110223.27"/>
    <n v="75847.77"/>
    <n v="4186071.04"/>
    <n v="62418.95"/>
    <n v="322543.73"/>
    <n v="1.94"/>
    <n v="141623.82999999999"/>
    <n v="0"/>
    <n v="0"/>
    <x v="0"/>
    <n v="2"/>
  </r>
  <r>
    <n v="31425"/>
    <n v="3204955"/>
    <x v="68"/>
    <n v="0.32"/>
    <n v="694566.3"/>
    <n v="12817.13"/>
    <n v="707383.43"/>
    <n v="10547.87"/>
    <n v="25320.85"/>
    <n v="0.32"/>
    <n v="23932.31"/>
    <n v="0"/>
    <n v="0"/>
    <x v="0"/>
    <n v="2"/>
  </r>
  <r>
    <n v="31426"/>
    <n v="3205002"/>
    <x v="69"/>
    <n v="14.13"/>
    <n v="29921408.879999999"/>
    <n v="552152.99"/>
    <n v="30473561.870000001"/>
    <n v="454394.53"/>
    <n v="1357385.96"/>
    <n v="14.13"/>
    <n v="1030986.44"/>
    <n v="0"/>
    <n v="0"/>
    <x v="0"/>
    <n v="2"/>
  </r>
  <r>
    <n v="31427"/>
    <n v="3205010"/>
    <x v="70"/>
    <n v="0.71"/>
    <n v="1507717.13"/>
    <n v="27822.57"/>
    <n v="1535539.7"/>
    <n v="22896.6"/>
    <n v="30669.21"/>
    <n v="0.71"/>
    <n v="51950.63"/>
    <n v="0"/>
    <n v="0"/>
    <x v="0"/>
    <n v="2"/>
  </r>
  <r>
    <n v="31428"/>
    <n v="3205036"/>
    <x v="71"/>
    <n v="0.49"/>
    <n v="1050319.82"/>
    <n v="19382.05"/>
    <n v="1069701.8700000001"/>
    <n v="15950.44"/>
    <n v="50748.33"/>
    <n v="0.49"/>
    <n v="36190.32"/>
    <n v="0"/>
    <n v="0"/>
    <x v="0"/>
    <n v="2"/>
  </r>
  <r>
    <n v="31429"/>
    <n v="3205069"/>
    <x v="72"/>
    <n v="0.72"/>
    <n v="1543715.99"/>
    <n v="28486.87"/>
    <n v="1572202.86"/>
    <n v="23443.279999999999"/>
    <n v="88049.73"/>
    <n v="0.72"/>
    <n v="53191.02"/>
    <n v="0"/>
    <n v="0"/>
    <x v="0"/>
    <n v="2"/>
  </r>
  <r>
    <n v="31430"/>
    <n v="2112803"/>
    <x v="73"/>
    <n v="2"/>
    <n v="4252101.1399999997"/>
    <n v="78465.91"/>
    <n v="4330567.05"/>
    <n v="64573.55"/>
    <n v="338310.44"/>
    <n v="2"/>
    <n v="146512.44"/>
    <n v="0"/>
    <n v="0"/>
    <x v="0"/>
    <n v="2"/>
  </r>
  <r>
    <n v="31431"/>
    <n v="3205150"/>
    <x v="74"/>
    <n v="0.32"/>
    <n v="696683.91"/>
    <n v="12856.2"/>
    <n v="709540.11"/>
    <n v="10580.03"/>
    <n v="15872.04"/>
    <n v="0.32"/>
    <n v="24005.279999999999"/>
    <n v="0"/>
    <n v="0"/>
    <x v="0"/>
    <n v="2"/>
  </r>
  <r>
    <n v="31432"/>
    <n v="3205176"/>
    <x v="75"/>
    <n v="0.57999999999999996"/>
    <n v="1247254.76"/>
    <n v="23016.13"/>
    <n v="1270270.8899999999"/>
    <n v="18941.14"/>
    <n v="26983.15"/>
    <n v="0.57999999999999996"/>
    <n v="42975.99"/>
    <n v="0"/>
    <n v="0"/>
    <x v="0"/>
    <n v="2"/>
  </r>
  <r>
    <n v="31433"/>
    <n v="3205200"/>
    <x v="76"/>
    <n v="6.05"/>
    <n v="12821948.390000001"/>
    <n v="236609.07"/>
    <n v="13058557.460000001"/>
    <n v="194717.54"/>
    <n v="1580456.6"/>
    <n v="6.05"/>
    <n v="441799.22"/>
    <n v="0"/>
    <n v="0"/>
    <x v="0"/>
    <n v="2"/>
  </r>
  <r>
    <n v="31434"/>
    <n v="3205309"/>
    <x v="77"/>
    <n v="15.31"/>
    <n v="32422271.16"/>
    <n v="598302.63"/>
    <n v="33020573.789999999"/>
    <n v="492373.29"/>
    <n v="2217754.83"/>
    <n v="15.31"/>
    <n v="1117157.3600000001"/>
    <n v="0"/>
    <n v="0"/>
    <x v="0"/>
    <n v="2"/>
  </r>
  <r>
    <n v="31435"/>
    <n v="3200102"/>
    <x v="0"/>
    <n v="0.82"/>
    <n v="1901188.45"/>
    <n v="187579.68"/>
    <n v="2088768.13"/>
    <n v="34136.22"/>
    <n v="92087.25"/>
    <n v="0.82"/>
    <n v="66836.960000000006"/>
    <n v="0"/>
    <n v="0"/>
    <x v="0"/>
    <n v="3"/>
  </r>
  <r>
    <n v="31436"/>
    <n v="3200169"/>
    <x v="1"/>
    <n v="0.31"/>
    <n v="717866.54"/>
    <n v="70827.89"/>
    <n v="788694.43"/>
    <n v="12889.44"/>
    <n v="31853.81"/>
    <n v="0.31"/>
    <n v="25236.85"/>
    <n v="0"/>
    <n v="0"/>
    <x v="0"/>
    <n v="3"/>
  </r>
  <r>
    <n v="31437"/>
    <n v="3200136"/>
    <x v="2"/>
    <n v="0.41"/>
    <n v="967961.94"/>
    <n v="95503.43"/>
    <n v="1063465.3700000001"/>
    <n v="17379.95"/>
    <n v="26628.3"/>
    <n v="0.41"/>
    <n v="34029.050000000003"/>
    <n v="0"/>
    <n v="0"/>
    <x v="0"/>
    <n v="3"/>
  </r>
  <r>
    <n v="31438"/>
    <n v="3200201"/>
    <x v="3"/>
    <n v="0.52"/>
    <n v="1218057.3899999999"/>
    <n v="120178.93"/>
    <n v="1338236.32"/>
    <n v="21870.46"/>
    <n v="93845.78"/>
    <n v="0.52"/>
    <n v="42821.24"/>
    <n v="0"/>
    <n v="0"/>
    <x v="0"/>
    <n v="3"/>
  </r>
  <r>
    <n v="31439"/>
    <n v="3200300"/>
    <x v="4"/>
    <n v="0.51"/>
    <n v="1181006.24"/>
    <n v="116523.3"/>
    <n v="1297529.54"/>
    <n v="21205.200000000001"/>
    <n v="122676.01"/>
    <n v="0.51"/>
    <n v="41518.69"/>
    <n v="0"/>
    <n v="0"/>
    <x v="0"/>
    <n v="3"/>
  </r>
  <r>
    <n v="31440"/>
    <n v="3200359"/>
    <x v="5"/>
    <n v="0.22"/>
    <n v="521032.16"/>
    <n v="51407.35"/>
    <n v="572439.51"/>
    <n v="9355.24"/>
    <n v="14915.72"/>
    <n v="0.22"/>
    <n v="18317.07"/>
    <n v="0"/>
    <n v="0"/>
    <x v="0"/>
    <n v="3"/>
  </r>
  <r>
    <n v="31441"/>
    <n v="3200409"/>
    <x v="6"/>
    <n v="2.65"/>
    <n v="6143548.0300000003"/>
    <n v="606149.68000000005"/>
    <n v="6749697.71"/>
    <n v="110308.63"/>
    <n v="126552.95"/>
    <n v="2.65"/>
    <n v="215978.62"/>
    <n v="0"/>
    <n v="0"/>
    <x v="0"/>
    <n v="3"/>
  </r>
  <r>
    <n v="31442"/>
    <n v="3200508"/>
    <x v="7"/>
    <n v="0.19"/>
    <n v="449245.5"/>
    <n v="44324.54"/>
    <n v="493570.04"/>
    <n v="8066.29"/>
    <n v="70936.3"/>
    <n v="0.19"/>
    <n v="15793.39"/>
    <n v="0"/>
    <n v="0"/>
    <x v="0"/>
    <n v="3"/>
  </r>
  <r>
    <n v="31443"/>
    <n v="3200607"/>
    <x v="8"/>
    <n v="3.34"/>
    <n v="7752958.4699999997"/>
    <n v="764941.23"/>
    <n v="8517899.6999999993"/>
    <n v="139205.92000000001"/>
    <n v="481669.99"/>
    <n v="3.34"/>
    <n v="272558.01"/>
    <n v="0"/>
    <n v="0"/>
    <x v="0"/>
    <n v="3"/>
  </r>
  <r>
    <n v="31444"/>
    <n v="3200706"/>
    <x v="9"/>
    <n v="0.37"/>
    <n v="877649.71"/>
    <n v="86592.84"/>
    <n v="964242.55"/>
    <n v="15758.38"/>
    <n v="47040.92"/>
    <n v="0.37"/>
    <n v="30854.09"/>
    <n v="0"/>
    <n v="0"/>
    <x v="0"/>
    <n v="3"/>
  </r>
  <r>
    <n v="31445"/>
    <n v="3200805"/>
    <x v="10"/>
    <n v="0.69"/>
    <n v="1604779.03"/>
    <n v="158334.60999999999"/>
    <n v="1763113.64"/>
    <n v="28814.13"/>
    <n v="191603"/>
    <n v="0.69"/>
    <n v="56416.58"/>
    <n v="0"/>
    <n v="0"/>
    <x v="0"/>
    <n v="3"/>
  </r>
  <r>
    <n v="31446"/>
    <n v="3200904"/>
    <x v="11"/>
    <n v="0.94"/>
    <n v="2188335.0499999998"/>
    <n v="215910.81"/>
    <n v="2404245.86"/>
    <n v="39291.99"/>
    <n v="182583.93"/>
    <n v="0.94"/>
    <n v="76931.7"/>
    <n v="0"/>
    <n v="0"/>
    <x v="0"/>
    <n v="3"/>
  </r>
  <r>
    <n v="31447"/>
    <n v="3107109"/>
    <x v="12"/>
    <n v="0.4"/>
    <n v="935542.18"/>
    <n v="92304.75"/>
    <n v="1027846.93"/>
    <n v="16797.849999999999"/>
    <n v="25317.16"/>
    <n v="0.4"/>
    <n v="32889.32"/>
    <n v="0"/>
    <n v="0"/>
    <x v="0"/>
    <n v="3"/>
  </r>
  <r>
    <n v="31448"/>
    <n v="3201100"/>
    <x v="13"/>
    <n v="0.18"/>
    <n v="419141.43"/>
    <n v="41354.35"/>
    <n v="460495.78"/>
    <n v="7525.77"/>
    <n v="122756.26"/>
    <n v="0.18"/>
    <n v="14735.07"/>
    <n v="0"/>
    <n v="0"/>
    <x v="0"/>
    <n v="3"/>
  </r>
  <r>
    <n v="31449"/>
    <n v="3201159"/>
    <x v="14"/>
    <n v="0.43"/>
    <n v="1011960.24"/>
    <n v="99844.47"/>
    <n v="1111804.71"/>
    <n v="18169.95"/>
    <n v="27867.49"/>
    <n v="0.43"/>
    <n v="35575.82"/>
    <n v="0"/>
    <n v="0"/>
    <x v="0"/>
    <n v="3"/>
  </r>
  <r>
    <n v="31450"/>
    <n v="3201209"/>
    <x v="15"/>
    <n v="3.37"/>
    <n v="7815482.3399999999"/>
    <n v="771110.11"/>
    <n v="8586592.4499999993"/>
    <n v="140328.54999999999"/>
    <n v="1061481.54"/>
    <n v="3.37"/>
    <n v="274756.06"/>
    <n v="0"/>
    <n v="0"/>
    <x v="0"/>
    <n v="3"/>
  </r>
  <r>
    <n v="31451"/>
    <n v="3201308"/>
    <x v="16"/>
    <n v="5.99"/>
    <n v="13873349.5"/>
    <n v="1368806.14"/>
    <n v="15242155.640000001"/>
    <n v="249098.76"/>
    <n v="1455534.9"/>
    <n v="5.99"/>
    <n v="487722.54"/>
    <n v="0"/>
    <n v="0"/>
    <x v="0"/>
    <n v="3"/>
  </r>
  <r>
    <n v="31452"/>
    <n v="3201407"/>
    <x v="17"/>
    <n v="0.93"/>
    <n v="2169809.46"/>
    <n v="214083.03"/>
    <n v="2383892.4900000002"/>
    <n v="38959.360000000001"/>
    <n v="330898.53999999998"/>
    <n v="0.93"/>
    <n v="76280.42"/>
    <n v="0"/>
    <n v="0"/>
    <x v="0"/>
    <n v="3"/>
  </r>
  <r>
    <n v="31453"/>
    <n v="3201506"/>
    <x v="18"/>
    <n v="2.25"/>
    <n v="5221900.03"/>
    <n v="515215.79"/>
    <n v="5737115.8200000003"/>
    <n v="93760.26"/>
    <n v="619691.57999999996"/>
    <n v="2.25"/>
    <n v="183577.75"/>
    <n v="0"/>
    <n v="0"/>
    <x v="0"/>
    <n v="3"/>
  </r>
  <r>
    <n v="31454"/>
    <n v="3201605"/>
    <x v="19"/>
    <n v="0.55000000000000004"/>
    <n v="1280581.25"/>
    <n v="126347.81"/>
    <n v="1406929.06"/>
    <n v="22993.09"/>
    <n v="60137.86"/>
    <n v="0.55000000000000004"/>
    <n v="45019.29"/>
    <n v="0"/>
    <n v="0"/>
    <x v="0"/>
    <n v="3"/>
  </r>
  <r>
    <n v="31455"/>
    <n v="3201704"/>
    <x v="20"/>
    <n v="0.45"/>
    <n v="1058274.2"/>
    <n v="104414.02"/>
    <n v="1162688.22"/>
    <n v="19001.52"/>
    <n v="45772.81"/>
    <n v="0.45"/>
    <n v="37204.01"/>
    <n v="0"/>
    <n v="0"/>
    <x v="0"/>
    <n v="3"/>
  </r>
  <r>
    <n v="31456"/>
    <n v="3201803"/>
    <x v="21"/>
    <n v="0.18"/>
    <n v="430719.94"/>
    <n v="42496.75"/>
    <n v="473216.69"/>
    <n v="7733.66"/>
    <n v="11729.82"/>
    <n v="0.18"/>
    <n v="15142.11"/>
    <n v="0"/>
    <n v="0"/>
    <x v="0"/>
    <n v="3"/>
  </r>
  <r>
    <n v="31457"/>
    <n v="3201902"/>
    <x v="22"/>
    <n v="1.28"/>
    <n v="2968725.44"/>
    <n v="292907.62"/>
    <n v="3261633.06"/>
    <n v="53304.06"/>
    <n v="197914.34"/>
    <n v="1.28"/>
    <n v="104366.6"/>
    <n v="0"/>
    <n v="0"/>
    <x v="0"/>
    <n v="3"/>
  </r>
  <r>
    <n v="31458"/>
    <n v="3202009"/>
    <x v="23"/>
    <n v="0.25"/>
    <n v="578924.63"/>
    <n v="57119.29"/>
    <n v="636043.92000000004"/>
    <n v="10394.709999999999"/>
    <n v="31476.11"/>
    <n v="0.25"/>
    <n v="20352.3"/>
    <n v="0"/>
    <n v="0"/>
    <x v="0"/>
    <n v="3"/>
  </r>
  <r>
    <n v="31459"/>
    <n v="3202108"/>
    <x v="24"/>
    <n v="0.72"/>
    <n v="1669618.59"/>
    <n v="164731.97"/>
    <n v="1834350.56"/>
    <n v="29978.34"/>
    <n v="46471.47"/>
    <n v="0.72"/>
    <n v="58696.04"/>
    <n v="0"/>
    <n v="0"/>
    <x v="0"/>
    <n v="3"/>
  </r>
  <r>
    <n v="31460"/>
    <n v="3202207"/>
    <x v="25"/>
    <n v="0.35"/>
    <n v="819757.27"/>
    <n v="80880.88"/>
    <n v="900638.15"/>
    <n v="14718.91"/>
    <n v="60649.81"/>
    <n v="0.35"/>
    <n v="28818.86"/>
    <n v="0"/>
    <n v="0"/>
    <x v="0"/>
    <n v="3"/>
  </r>
  <r>
    <n v="31461"/>
    <n v="3202256"/>
    <x v="26"/>
    <n v="0.43"/>
    <n v="995750.33"/>
    <n v="98245.15"/>
    <n v="1093995.48"/>
    <n v="17878.900000000001"/>
    <n v="37531.24"/>
    <n v="0.43"/>
    <n v="35005.96"/>
    <n v="0"/>
    <n v="0"/>
    <x v="0"/>
    <n v="3"/>
  </r>
  <r>
    <n v="31462"/>
    <n v="3202306"/>
    <x v="27"/>
    <n v="0.41"/>
    <n v="963330.57"/>
    <n v="95046.48"/>
    <n v="1058377.05"/>
    <n v="17296.79"/>
    <n v="168997.64"/>
    <n v="0.41"/>
    <n v="33866.230000000003"/>
    <n v="0"/>
    <n v="0"/>
    <x v="0"/>
    <n v="3"/>
  </r>
  <r>
    <n v="31463"/>
    <n v="3202405"/>
    <x v="28"/>
    <n v="0.99"/>
    <n v="2304119.9900000002"/>
    <n v="227334.69"/>
    <n v="2531454.6800000002"/>
    <n v="41370.93"/>
    <n v="1047123.86"/>
    <n v="0.99"/>
    <n v="81002.16"/>
    <n v="0"/>
    <n v="0"/>
    <x v="0"/>
    <n v="3"/>
  </r>
  <r>
    <n v="31464"/>
    <n v="3202454"/>
    <x v="29"/>
    <n v="0.41"/>
    <n v="965646.26"/>
    <n v="95274.92"/>
    <n v="1060921.18"/>
    <n v="17338.37"/>
    <n v="98309.13"/>
    <n v="0.41"/>
    <n v="33947.64"/>
    <n v="0"/>
    <n v="0"/>
    <x v="0"/>
    <n v="3"/>
  </r>
  <r>
    <n v="31465"/>
    <n v="3202504"/>
    <x v="30"/>
    <n v="0.25"/>
    <n v="597450.23999999999"/>
    <n v="58947.09"/>
    <n v="656397.32999999996"/>
    <n v="10727.34"/>
    <n v="66738.95"/>
    <n v="0.25"/>
    <n v="21003.57"/>
    <n v="0"/>
    <n v="0"/>
    <x v="0"/>
    <n v="3"/>
  </r>
  <r>
    <n v="31466"/>
    <n v="3202553"/>
    <x v="31"/>
    <n v="0.25"/>
    <n v="583556.03"/>
    <n v="57576.22"/>
    <n v="641132.25"/>
    <n v="10477.86"/>
    <n v="16041.21"/>
    <n v="0.25"/>
    <n v="20515.12"/>
    <n v="0"/>
    <n v="0"/>
    <x v="0"/>
    <n v="3"/>
  </r>
  <r>
    <n v="31467"/>
    <n v="3202603"/>
    <x v="32"/>
    <n v="0.4"/>
    <n v="947120.68"/>
    <n v="93447.11"/>
    <n v="1040567.79"/>
    <n v="17005.740000000002"/>
    <n v="263778.46999999997"/>
    <n v="0.4"/>
    <n v="33296.36"/>
    <n v="0"/>
    <n v="0"/>
    <x v="0"/>
    <n v="3"/>
  </r>
  <r>
    <n v="31468"/>
    <n v="3202652"/>
    <x v="33"/>
    <n v="0.28000000000000003"/>
    <n v="666921.14"/>
    <n v="65801.36"/>
    <n v="732722.5"/>
    <n v="11974.7"/>
    <n v="42688.38"/>
    <n v="0.28000000000000003"/>
    <n v="23445.85"/>
    <n v="0"/>
    <n v="0"/>
    <x v="0"/>
    <n v="3"/>
  </r>
  <r>
    <n v="31469"/>
    <n v="3202702"/>
    <x v="34"/>
    <n v="0.38"/>
    <n v="886912.52"/>
    <n v="87506.71"/>
    <n v="974419.23"/>
    <n v="15924.69"/>
    <n v="35255.199999999997"/>
    <n v="0.38"/>
    <n v="31179.72"/>
    <n v="0"/>
    <n v="0"/>
    <x v="0"/>
    <n v="3"/>
  </r>
  <r>
    <n v="31470"/>
    <n v="3202801"/>
    <x v="35"/>
    <n v="2.59"/>
    <n v="6016184.6100000003"/>
    <n v="593583.42000000004"/>
    <n v="6609768.0300000003"/>
    <n v="108021.8"/>
    <n v="133976.87"/>
    <n v="2.59"/>
    <n v="211501.11"/>
    <n v="0"/>
    <n v="0"/>
    <x v="0"/>
    <n v="3"/>
  </r>
  <r>
    <n v="31471"/>
    <n v="3202900"/>
    <x v="36"/>
    <n v="0.34"/>
    <n v="801231.67"/>
    <n v="79053.06"/>
    <n v="880284.73"/>
    <n v="14386.27"/>
    <n v="61060.01"/>
    <n v="0.34"/>
    <n v="28167.58"/>
    <n v="0"/>
    <n v="0"/>
    <x v="0"/>
    <n v="3"/>
  </r>
  <r>
    <n v="31472"/>
    <n v="3203007"/>
    <x v="37"/>
    <n v="0.45"/>
    <n v="1051327.0900000001"/>
    <n v="103728.58"/>
    <n v="1155055.67"/>
    <n v="18876.79"/>
    <n v="80122.69"/>
    <n v="0.45"/>
    <n v="36959.78"/>
    <n v="0"/>
    <n v="0"/>
    <x v="0"/>
    <n v="3"/>
  </r>
  <r>
    <n v="31473"/>
    <n v="3203056"/>
    <x v="38"/>
    <n v="0.84"/>
    <n v="1959080.91"/>
    <n v="193291.59"/>
    <n v="2152372.5"/>
    <n v="35175.69"/>
    <n v="100761.02"/>
    <n v="0.84"/>
    <n v="68872.19"/>
    <n v="0"/>
    <n v="0"/>
    <x v="0"/>
    <n v="3"/>
  </r>
  <r>
    <n v="31474"/>
    <n v="3203106"/>
    <x v="39"/>
    <n v="0.22"/>
    <n v="521032.16"/>
    <n v="51407.35"/>
    <n v="572439.51"/>
    <n v="9355.24"/>
    <n v="35707.08"/>
    <n v="0.22"/>
    <n v="18317.07"/>
    <n v="0"/>
    <n v="0"/>
    <x v="0"/>
    <n v="3"/>
  </r>
  <r>
    <n v="31475"/>
    <n v="3203130"/>
    <x v="40"/>
    <n v="0.43"/>
    <n v="1007328.83"/>
    <n v="99387.53"/>
    <n v="1106716.3600000001"/>
    <n v="18086.79"/>
    <n v="78426.27"/>
    <n v="0.43"/>
    <n v="35413"/>
    <n v="0"/>
    <n v="0"/>
    <x v="0"/>
    <n v="3"/>
  </r>
  <r>
    <n v="31476"/>
    <n v="3203163"/>
    <x v="41"/>
    <n v="0.38"/>
    <n v="900806.69"/>
    <n v="88877.57"/>
    <n v="989684.26"/>
    <n v="16174.16"/>
    <n v="53639.73"/>
    <n v="0.38"/>
    <n v="31668.18"/>
    <n v="0"/>
    <n v="0"/>
    <x v="0"/>
    <n v="3"/>
  </r>
  <r>
    <n v="31477"/>
    <n v="3203205"/>
    <x v="42"/>
    <n v="6.16"/>
    <n v="14271649.68"/>
    <n v="1408104.18"/>
    <n v="15679753.859999999"/>
    <n v="256250.32"/>
    <n v="784473.4"/>
    <n v="6.16"/>
    <n v="501724.92"/>
    <n v="0"/>
    <n v="0"/>
    <x v="0"/>
    <n v="3"/>
  </r>
  <r>
    <n v="31478"/>
    <n v="3203304"/>
    <x v="43"/>
    <n v="0.25"/>
    <n v="592818.81000000006"/>
    <n v="58490.14"/>
    <n v="651308.94999999995"/>
    <n v="10644.18"/>
    <n v="42577.19"/>
    <n v="0.25"/>
    <n v="20840.759999999998"/>
    <n v="0"/>
    <n v="0"/>
    <x v="0"/>
    <n v="3"/>
  </r>
  <r>
    <n v="31479"/>
    <n v="3203320"/>
    <x v="44"/>
    <n v="0.61"/>
    <n v="1421838.84"/>
    <n v="140284.9"/>
    <n v="1562123.74"/>
    <n v="25529.4"/>
    <n v="192489.49"/>
    <n v="0.61"/>
    <n v="49985.25"/>
    <n v="0"/>
    <n v="0"/>
    <x v="0"/>
    <n v="3"/>
  </r>
  <r>
    <n v="31480"/>
    <n v="3203346"/>
    <x v="45"/>
    <n v="0.71"/>
    <n v="1644145.91"/>
    <n v="162218.71"/>
    <n v="1806364.62"/>
    <n v="29520.97"/>
    <n v="139692.6"/>
    <n v="0.71"/>
    <n v="57800.53"/>
    <n v="0"/>
    <n v="0"/>
    <x v="0"/>
    <n v="3"/>
  </r>
  <r>
    <n v="31481"/>
    <n v="3203353"/>
    <x v="46"/>
    <n v="0.42"/>
    <n v="993434.64"/>
    <n v="98016.66"/>
    <n v="1091451.3"/>
    <n v="17837.32"/>
    <n v="87221.66"/>
    <n v="0.42"/>
    <n v="34924.550000000003"/>
    <n v="0"/>
    <n v="0"/>
    <x v="0"/>
    <n v="3"/>
  </r>
  <r>
    <n v="31482"/>
    <n v="3203403"/>
    <x v="47"/>
    <n v="0.51"/>
    <n v="1192584.71"/>
    <n v="117665.69"/>
    <n v="1310250.3999999999"/>
    <n v="21413.1"/>
    <n v="96995.8"/>
    <n v="0.51"/>
    <n v="41925.74"/>
    <n v="0"/>
    <n v="0"/>
    <x v="0"/>
    <n v="3"/>
  </r>
  <r>
    <n v="31483"/>
    <n v="3203502"/>
    <x v="48"/>
    <n v="0.53"/>
    <n v="1229635.8799999999"/>
    <n v="121321.31"/>
    <n v="1350957.19"/>
    <n v="22078.36"/>
    <n v="48484.34"/>
    <n v="0.53"/>
    <n v="43228.29"/>
    <n v="0"/>
    <n v="0"/>
    <x v="0"/>
    <n v="3"/>
  </r>
  <r>
    <n v="31484"/>
    <n v="3203601"/>
    <x v="49"/>
    <n v="0.28999999999999998"/>
    <n v="683131.04"/>
    <n v="67400.759999999995"/>
    <n v="750531.8"/>
    <n v="12265.75"/>
    <n v="8787.81"/>
    <n v="0.28999999999999998"/>
    <n v="24015.71"/>
    <n v="0"/>
    <n v="0"/>
    <x v="0"/>
    <n v="3"/>
  </r>
  <r>
    <n v="31485"/>
    <n v="3203700"/>
    <x v="50"/>
    <n v="0.51"/>
    <n v="1192584.71"/>
    <n v="117665.69"/>
    <n v="1310250.3999999999"/>
    <n v="21413.1"/>
    <n v="33947.360000000001"/>
    <n v="0.51"/>
    <n v="41925.74"/>
    <n v="0"/>
    <n v="0"/>
    <x v="0"/>
    <n v="3"/>
  </r>
  <r>
    <n v="31486"/>
    <n v="3203809"/>
    <x v="51"/>
    <n v="0.28999999999999998"/>
    <n v="680815.34"/>
    <n v="67172.259999999995"/>
    <n v="747987.6"/>
    <n v="12224.18"/>
    <n v="37555.82"/>
    <n v="0.28999999999999998"/>
    <n v="23934.31"/>
    <n v="0"/>
    <n v="0"/>
    <x v="0"/>
    <n v="3"/>
  </r>
  <r>
    <n v="31487"/>
    <n v="3203908"/>
    <x v="52"/>
    <n v="1.22"/>
    <n v="2827467.83"/>
    <n v="278970.5"/>
    <n v="3106438.33"/>
    <n v="50767.75"/>
    <n v="194213.73"/>
    <n v="1.22"/>
    <n v="99400.639999999999"/>
    <n v="0"/>
    <n v="0"/>
    <x v="0"/>
    <n v="3"/>
  </r>
  <r>
    <n v="31488"/>
    <n v="3204005"/>
    <x v="53"/>
    <n v="0.45"/>
    <n v="1044380"/>
    <n v="103043.15"/>
    <n v="1147423.1499999999"/>
    <n v="18752.05"/>
    <n v="41838.15"/>
    <n v="0.45"/>
    <n v="36715.550000000003"/>
    <n v="0"/>
    <n v="0"/>
    <x v="0"/>
    <n v="3"/>
  </r>
  <r>
    <n v="31489"/>
    <n v="3204054"/>
    <x v="54"/>
    <n v="0.31"/>
    <n v="727129.33"/>
    <n v="71741.789999999994"/>
    <n v="798871.12"/>
    <n v="13055.75"/>
    <n v="64674.3"/>
    <n v="0.31"/>
    <n v="25562.49"/>
    <n v="0"/>
    <n v="0"/>
    <x v="0"/>
    <n v="3"/>
  </r>
  <r>
    <n v="31490"/>
    <n v="3204104"/>
    <x v="55"/>
    <n v="0.65"/>
    <n v="1516782.5"/>
    <n v="149652.49"/>
    <n v="1666434.99"/>
    <n v="27234.13"/>
    <n v="43909.42"/>
    <n v="0.65"/>
    <n v="53323.03"/>
    <n v="0"/>
    <n v="0"/>
    <x v="0"/>
    <n v="3"/>
  </r>
  <r>
    <n v="31491"/>
    <n v="3204203"/>
    <x v="56"/>
    <n v="0.28999999999999998"/>
    <n v="683131.04"/>
    <n v="67400.759999999995"/>
    <n v="750531.8"/>
    <n v="12265.75"/>
    <n v="129119.64"/>
    <n v="0.28999999999999998"/>
    <n v="24015.71"/>
    <n v="0"/>
    <n v="0"/>
    <x v="0"/>
    <n v="3"/>
  </r>
  <r>
    <n v="31492"/>
    <n v="3204252"/>
    <x v="57"/>
    <n v="0.22"/>
    <n v="518716.45"/>
    <n v="51178.85"/>
    <n v="569895.30000000005"/>
    <n v="9313.66"/>
    <n v="12786.38"/>
    <n v="0.22"/>
    <n v="18235.66"/>
    <n v="0"/>
    <n v="0"/>
    <x v="0"/>
    <n v="3"/>
  </r>
  <r>
    <n v="31493"/>
    <n v="1718402"/>
    <x v="58"/>
    <n v="0.33"/>
    <n v="773443.3"/>
    <n v="76311.360000000001"/>
    <n v="849754.66"/>
    <n v="13887.33"/>
    <n v="61926.29"/>
    <n v="0.33"/>
    <n v="27190.67"/>
    <n v="0"/>
    <n v="0"/>
    <x v="0"/>
    <n v="3"/>
  </r>
  <r>
    <n v="31494"/>
    <n v="3204351"/>
    <x v="59"/>
    <n v="0.81"/>
    <n v="1887294.26"/>
    <n v="186208.8"/>
    <n v="2073503.06"/>
    <n v="33886.75"/>
    <n v="90726.37"/>
    <n v="0.81"/>
    <n v="66348.5"/>
    <n v="0"/>
    <n v="0"/>
    <x v="0"/>
    <n v="3"/>
  </r>
  <r>
    <n v="31495"/>
    <n v="3204401"/>
    <x v="60"/>
    <n v="0.26"/>
    <n v="609028.69999999995"/>
    <n v="60089.47"/>
    <n v="669118.17000000004"/>
    <n v="10935.23"/>
    <n v="43065.75"/>
    <n v="0.26"/>
    <n v="21410.62"/>
    <n v="0"/>
    <n v="0"/>
    <x v="0"/>
    <n v="3"/>
  </r>
  <r>
    <n v="31496"/>
    <n v="3204500"/>
    <x v="61"/>
    <n v="0.49"/>
    <n v="1146270.72"/>
    <n v="113096.13"/>
    <n v="1259366.8500000001"/>
    <n v="20581.52"/>
    <n v="53893.27"/>
    <n v="0.49"/>
    <n v="40297.56"/>
    <n v="0"/>
    <n v="0"/>
    <x v="0"/>
    <n v="3"/>
  </r>
  <r>
    <n v="31497"/>
    <n v="3204559"/>
    <x v="62"/>
    <n v="2.29"/>
    <n v="5314528"/>
    <n v="524354.89"/>
    <n v="5838882.8899999997"/>
    <n v="95423.41"/>
    <n v="331357.17"/>
    <n v="2.29"/>
    <n v="186834.12"/>
    <n v="0"/>
    <n v="0"/>
    <x v="0"/>
    <n v="3"/>
  </r>
  <r>
    <n v="31498"/>
    <n v="3204609"/>
    <x v="63"/>
    <n v="0.69"/>
    <n v="1602463.37"/>
    <n v="158106.13"/>
    <n v="1760569.5"/>
    <n v="28772.55"/>
    <n v="130479.93"/>
    <n v="0.69"/>
    <n v="56335.17"/>
    <n v="0"/>
    <n v="0"/>
    <x v="0"/>
    <n v="3"/>
  </r>
  <r>
    <n v="31499"/>
    <n v="3204658"/>
    <x v="64"/>
    <n v="0.48"/>
    <n v="1125429.47"/>
    <n v="111039.85"/>
    <n v="1236469.32"/>
    <n v="20207.310000000001"/>
    <n v="37036.1"/>
    <n v="0.48"/>
    <n v="39564.870000000003"/>
    <n v="0"/>
    <n v="0"/>
    <x v="0"/>
    <n v="3"/>
  </r>
  <r>
    <n v="31500"/>
    <n v="3204708"/>
    <x v="65"/>
    <n v="0.7"/>
    <n v="1627936"/>
    <n v="160619.38"/>
    <n v="1788555.38"/>
    <n v="29229.919999999998"/>
    <n v="108609.93"/>
    <n v="0.7"/>
    <n v="57230.67"/>
    <n v="0"/>
    <n v="0"/>
    <x v="0"/>
    <n v="3"/>
  </r>
  <r>
    <n v="31501"/>
    <n v="3204807"/>
    <x v="66"/>
    <n v="0.26"/>
    <n v="604397.30000000005"/>
    <n v="59632.49"/>
    <n v="664029.79"/>
    <n v="10852.07"/>
    <n v="41621.49"/>
    <n v="0.26"/>
    <n v="21247.8"/>
    <n v="0"/>
    <n v="0"/>
    <x v="0"/>
    <n v="3"/>
  </r>
  <r>
    <n v="31502"/>
    <n v="3204906"/>
    <x v="67"/>
    <n v="1.94"/>
    <n v="4494770.72"/>
    <n v="443474"/>
    <n v="4938244.72"/>
    <n v="80704.509999999995"/>
    <n v="409000.13"/>
    <n v="1.94"/>
    <n v="158015.26"/>
    <n v="0"/>
    <n v="0"/>
    <x v="0"/>
    <n v="3"/>
  </r>
  <r>
    <n v="31503"/>
    <n v="3204955"/>
    <x v="68"/>
    <n v="0.32"/>
    <n v="759549.1"/>
    <n v="74940.479999999996"/>
    <n v="834489.58"/>
    <n v="13637.86"/>
    <n v="40352.99"/>
    <n v="0.32"/>
    <n v="26702.22"/>
    <n v="0"/>
    <n v="0"/>
    <x v="0"/>
    <n v="3"/>
  </r>
  <r>
    <n v="31504"/>
    <n v="3205002"/>
    <x v="69"/>
    <n v="14.13"/>
    <n v="32720819.34"/>
    <n v="3228381"/>
    <n v="35949200.340000004"/>
    <n v="587508.84"/>
    <n v="2148998.85"/>
    <n v="14.13"/>
    <n v="1150312.04"/>
    <n v="0"/>
    <n v="0"/>
    <x v="0"/>
    <n v="3"/>
  </r>
  <r>
    <n v="31505"/>
    <n v="3205010"/>
    <x v="70"/>
    <n v="0.71"/>
    <n v="1648777.31"/>
    <n v="162675.68"/>
    <n v="1811452.99"/>
    <n v="29604.13"/>
    <n v="57493.07"/>
    <n v="0.71"/>
    <n v="57963.35"/>
    <n v="0"/>
    <n v="0"/>
    <x v="0"/>
    <n v="3"/>
  </r>
  <r>
    <n v="31506"/>
    <n v="3205036"/>
    <x v="71"/>
    <n v="0.49"/>
    <n v="1148586.4099999999"/>
    <n v="113324.63"/>
    <n v="1261911.04"/>
    <n v="20623.099999999999"/>
    <n v="78826.45"/>
    <n v="0.49"/>
    <n v="40378.959999999999"/>
    <n v="0"/>
    <n v="0"/>
    <x v="0"/>
    <n v="3"/>
  </r>
  <r>
    <n v="31507"/>
    <n v="3205069"/>
    <x v="72"/>
    <n v="0.72"/>
    <n v="1688144.17"/>
    <n v="166559.78"/>
    <n v="1854703.95"/>
    <n v="30310.97"/>
    <n v="225993.48"/>
    <n v="0.72"/>
    <n v="59347.31"/>
    <n v="0"/>
    <n v="0"/>
    <x v="0"/>
    <n v="3"/>
  </r>
  <r>
    <n v="31508"/>
    <n v="2112803"/>
    <x v="73"/>
    <n v="2"/>
    <n v="4649922.51"/>
    <n v="458781.97"/>
    <n v="5108704.4800000004"/>
    <n v="83490.289999999994"/>
    <n v="711368.36"/>
    <n v="2"/>
    <n v="163469.68"/>
    <n v="0"/>
    <n v="0"/>
    <x v="0"/>
    <n v="3"/>
  </r>
  <r>
    <n v="31509"/>
    <n v="3205150"/>
    <x v="74"/>
    <n v="0.32"/>
    <n v="761864.79"/>
    <n v="75168.94"/>
    <n v="837033.73"/>
    <n v="13679.43"/>
    <n v="31253.51"/>
    <n v="0.32"/>
    <n v="26783.63"/>
    <n v="0"/>
    <n v="0"/>
    <x v="0"/>
    <n v="3"/>
  </r>
  <r>
    <n v="31510"/>
    <n v="3205176"/>
    <x v="75"/>
    <n v="0.57999999999999996"/>
    <n v="1363946.41"/>
    <n v="134572.99"/>
    <n v="1498519.4"/>
    <n v="24489.93"/>
    <n v="55282.73"/>
    <n v="0.57999999999999996"/>
    <n v="47950.02"/>
    <n v="0"/>
    <n v="0"/>
    <x v="0"/>
    <n v="3"/>
  </r>
  <r>
    <n v="31511"/>
    <n v="3205200"/>
    <x v="76"/>
    <n v="6.05"/>
    <n v="14021554.24"/>
    <n v="1383428.65"/>
    <n v="15404982.890000001"/>
    <n v="251759.81"/>
    <n v="2246859.9700000002"/>
    <n v="6.05"/>
    <n v="492932.73"/>
    <n v="0"/>
    <n v="0"/>
    <x v="0"/>
    <n v="3"/>
  </r>
  <r>
    <n v="31512"/>
    <n v="3205309"/>
    <x v="77"/>
    <n v="15.31"/>
    <n v="35455659.229999997"/>
    <n v="3498212.44"/>
    <n v="38953871.670000002"/>
    <n v="636613.43999999994"/>
    <n v="2523486.7000000002"/>
    <n v="15.31"/>
    <n v="1246456.3"/>
    <n v="0"/>
    <n v="0"/>
    <x v="0"/>
    <n v="3"/>
  </r>
  <r>
    <n v="31513"/>
    <n v="3200102"/>
    <x v="0"/>
    <n v="0.82"/>
    <n v="1649650.56"/>
    <n v="141982.26"/>
    <n v="1791632.82"/>
    <n v="31134.52"/>
    <n v="349292.06"/>
    <n v="0.82"/>
    <n v="57050.79"/>
    <n v="0"/>
    <n v="0"/>
    <x v="0"/>
    <n v="4"/>
  </r>
  <r>
    <n v="31514"/>
    <n v="3200169"/>
    <x v="1"/>
    <n v="0.31"/>
    <n v="622888.78"/>
    <n v="53610.82"/>
    <n v="676499.6"/>
    <n v="11756.03"/>
    <n v="111376.75"/>
    <n v="0.31"/>
    <n v="21541.71"/>
    <n v="0"/>
    <n v="0"/>
    <x v="0"/>
    <n v="4"/>
  </r>
  <r>
    <n v="31515"/>
    <n v="3200136"/>
    <x v="2"/>
    <n v="0.41"/>
    <n v="839895.18"/>
    <n v="72288.160000000003"/>
    <n v="912183.34"/>
    <n v="15851.68"/>
    <n v="132837.54999999999"/>
    <n v="0.41"/>
    <n v="29046.57"/>
    <n v="0"/>
    <n v="0"/>
    <x v="0"/>
    <n v="4"/>
  </r>
  <r>
    <n v="31516"/>
    <n v="3200201"/>
    <x v="3"/>
    <n v="0.52"/>
    <n v="1056901.57"/>
    <n v="90965.5"/>
    <n v="1147867.07"/>
    <n v="19947.330000000002"/>
    <n v="428033.74"/>
    <n v="0.52"/>
    <n v="36551.42"/>
    <n v="0"/>
    <n v="0"/>
    <x v="0"/>
    <n v="4"/>
  </r>
  <r>
    <n v="31517"/>
    <n v="3200300"/>
    <x v="4"/>
    <n v="0.51"/>
    <n v="1024752.5"/>
    <n v="88198.47"/>
    <n v="1112950.97"/>
    <n v="19340.57"/>
    <n v="403614.15"/>
    <n v="0.51"/>
    <n v="35439.589999999997"/>
    <n v="0"/>
    <n v="0"/>
    <x v="0"/>
    <n v="4"/>
  </r>
  <r>
    <n v="31518"/>
    <n v="3200359"/>
    <x v="5"/>
    <n v="0.22"/>
    <n v="452096.71"/>
    <n v="38911.08"/>
    <n v="491007.79"/>
    <n v="8532.6"/>
    <n v="56350.99"/>
    <n v="0.22"/>
    <n v="15635.11"/>
    <n v="0"/>
    <n v="0"/>
    <x v="0"/>
    <n v="4"/>
  </r>
  <r>
    <n v="31519"/>
    <n v="3200409"/>
    <x v="6"/>
    <n v="2.65"/>
    <n v="5330722.26"/>
    <n v="458805.02"/>
    <n v="5789527.2800000003"/>
    <n v="100608.87"/>
    <n v="450466.95"/>
    <n v="2.65"/>
    <n v="184355.36"/>
    <n v="0"/>
    <n v="0"/>
    <x v="0"/>
    <n v="4"/>
  </r>
  <r>
    <n v="31520"/>
    <n v="3200508"/>
    <x v="7"/>
    <n v="0.19"/>
    <n v="389807.81"/>
    <n v="33550.019999999997"/>
    <n v="423357.84"/>
    <n v="7357"/>
    <n v="150993.68"/>
    <n v="0.19"/>
    <n v="13480.94"/>
    <n v="0"/>
    <n v="0"/>
    <x v="0"/>
    <n v="4"/>
  </r>
  <r>
    <n v="31521"/>
    <n v="3200607"/>
    <x v="8"/>
    <n v="3.34"/>
    <n v="6727198.71"/>
    <n v="578997.06999999995"/>
    <n v="7306195.7800000003"/>
    <n v="126965.13"/>
    <n v="1581176.4"/>
    <n v="3.34"/>
    <n v="232650.49"/>
    <n v="0"/>
    <n v="0"/>
    <x v="0"/>
    <n v="4"/>
  </r>
  <r>
    <n v="31522"/>
    <n v="3200706"/>
    <x v="9"/>
    <n v="0.37"/>
    <n v="761531.74"/>
    <n v="65543.58"/>
    <n v="827075.32"/>
    <n v="14372.7"/>
    <n v="110344.47"/>
    <n v="0.37"/>
    <n v="26336.48"/>
    <n v="0"/>
    <n v="0"/>
    <x v="0"/>
    <n v="4"/>
  </r>
  <r>
    <n v="31523"/>
    <n v="3200805"/>
    <x v="10"/>
    <n v="0.69"/>
    <n v="1392457.8"/>
    <n v="119846.15"/>
    <n v="1512303.95"/>
    <n v="26280.42"/>
    <n v="569998.05000000005"/>
    <n v="0.69"/>
    <n v="48156.15"/>
    <n v="0"/>
    <n v="0"/>
    <x v="0"/>
    <n v="4"/>
  </r>
  <r>
    <n v="31524"/>
    <n v="3200904"/>
    <x v="11"/>
    <n v="0.94"/>
    <n v="1898806.1"/>
    <n v="163426.59"/>
    <n v="2062232.69"/>
    <n v="35836.93"/>
    <n v="659771.68999999994"/>
    <n v="0.94"/>
    <n v="65667.48"/>
    <n v="0"/>
    <n v="0"/>
    <x v="0"/>
    <n v="4"/>
  </r>
  <r>
    <n v="31525"/>
    <n v="3107109"/>
    <x v="12"/>
    <n v="0.4"/>
    <n v="811764.7"/>
    <n v="69867.039999999994"/>
    <n v="881631.74"/>
    <n v="15320.76"/>
    <n v="136089.31"/>
    <n v="0.4"/>
    <n v="28073.71"/>
    <n v="0"/>
    <n v="0"/>
    <x v="0"/>
    <n v="4"/>
  </r>
  <r>
    <n v="31526"/>
    <n v="3201100"/>
    <x v="13"/>
    <n v="0.18"/>
    <n v="363686.66"/>
    <n v="31301.78"/>
    <n v="394988.44"/>
    <n v="6864.01"/>
    <n v="430497.79"/>
    <n v="0.18"/>
    <n v="12577.58"/>
    <n v="0"/>
    <n v="0"/>
    <x v="0"/>
    <n v="4"/>
  </r>
  <r>
    <n v="31527"/>
    <n v="3201159"/>
    <x v="14"/>
    <n v="0.43"/>
    <n v="878072.22"/>
    <n v="75573.98"/>
    <n v="953646.2"/>
    <n v="16572.21"/>
    <n v="86844.59"/>
    <n v="0.43"/>
    <n v="30366.86"/>
    <n v="0"/>
    <n v="0"/>
    <x v="0"/>
    <n v="4"/>
  </r>
  <r>
    <n v="31528"/>
    <n v="3201209"/>
    <x v="15"/>
    <n v="3.37"/>
    <n v="6781450.3099999996"/>
    <n v="583666.41"/>
    <n v="7365116.7199999997"/>
    <n v="127989.05"/>
    <n v="3818258.57"/>
    <n v="3.37"/>
    <n v="234526.7"/>
    <n v="0"/>
    <n v="0"/>
    <x v="0"/>
    <n v="4"/>
  </r>
  <r>
    <n v="31529"/>
    <n v="3201308"/>
    <x v="16"/>
    <n v="5.99"/>
    <n v="12037827.779999999"/>
    <n v="1036072.7"/>
    <n v="13073900.48"/>
    <n v="227194.78"/>
    <n v="4295141.87"/>
    <n v="5.99"/>
    <n v="416310.95"/>
    <n v="0"/>
    <n v="0"/>
    <x v="0"/>
    <n v="4"/>
  </r>
  <r>
    <n v="31530"/>
    <n v="3201407"/>
    <x v="17"/>
    <n v="0.93"/>
    <n v="1882731.54"/>
    <n v="162043.09"/>
    <n v="2044774.64"/>
    <n v="35533.550000000003"/>
    <n v="1035591.59"/>
    <n v="0.93"/>
    <n v="65111.56"/>
    <n v="0"/>
    <n v="0"/>
    <x v="0"/>
    <n v="4"/>
  </r>
  <r>
    <n v="31531"/>
    <n v="3201506"/>
    <x v="18"/>
    <n v="2.25"/>
    <n v="4531013.4400000004"/>
    <n v="389975.62"/>
    <n v="4920989.0599999996"/>
    <n v="85515.64"/>
    <n v="2594469.61"/>
    <n v="2.25"/>
    <n v="156698.57999999999"/>
    <n v="0"/>
    <n v="0"/>
    <x v="0"/>
    <n v="4"/>
  </r>
  <r>
    <n v="31532"/>
    <n v="3201605"/>
    <x v="19"/>
    <n v="0.55000000000000004"/>
    <n v="1111153.19"/>
    <n v="95634.81"/>
    <n v="1206788"/>
    <n v="20971.240000000002"/>
    <n v="169271.54"/>
    <n v="0.55000000000000004"/>
    <n v="38427.629999999997"/>
    <n v="0"/>
    <n v="0"/>
    <x v="0"/>
    <n v="4"/>
  </r>
  <r>
    <n v="31533"/>
    <n v="3201704"/>
    <x v="20"/>
    <n v="0.45"/>
    <n v="918258.62"/>
    <n v="79032.73"/>
    <n v="997291.34"/>
    <n v="17330.66"/>
    <n v="201895.17"/>
    <n v="0.45"/>
    <n v="31756.65"/>
    <n v="0"/>
    <n v="0"/>
    <x v="0"/>
    <n v="4"/>
  </r>
  <r>
    <n v="31534"/>
    <n v="3201803"/>
    <x v="21"/>
    <n v="0.18"/>
    <n v="373733.26"/>
    <n v="32166.51"/>
    <n v="405899.77"/>
    <n v="7053.62"/>
    <n v="46447.35"/>
    <n v="0.18"/>
    <n v="12925.03"/>
    <n v="0"/>
    <n v="0"/>
    <x v="0"/>
    <n v="4"/>
  </r>
  <r>
    <n v="31535"/>
    <n v="3201902"/>
    <x v="22"/>
    <n v="1.28"/>
    <n v="2575946.4700000002"/>
    <n v="221706.77"/>
    <n v="2797653.24"/>
    <n v="48616.88"/>
    <n v="832978.48"/>
    <n v="1.28"/>
    <n v="89085.4"/>
    <n v="0"/>
    <n v="0"/>
    <x v="0"/>
    <n v="4"/>
  </r>
  <r>
    <n v="31536"/>
    <n v="3202009"/>
    <x v="23"/>
    <n v="0.25"/>
    <n v="502329.63"/>
    <n v="43234.559999999998"/>
    <n v="545564.18999999994"/>
    <n v="9480.67"/>
    <n v="153834.87"/>
    <n v="0.25"/>
    <n v="17372.349999999999"/>
    <n v="0"/>
    <n v="0"/>
    <x v="0"/>
    <n v="4"/>
  </r>
  <r>
    <n v="31537"/>
    <n v="3202108"/>
    <x v="24"/>
    <n v="0.72"/>
    <n v="1448718.72"/>
    <n v="124688.44"/>
    <n v="1573407.16"/>
    <n v="27342.25"/>
    <n v="190632.97"/>
    <n v="0.72"/>
    <n v="50101.85"/>
    <n v="0"/>
    <n v="0"/>
    <x v="0"/>
    <n v="4"/>
  </r>
  <r>
    <n v="31538"/>
    <n v="3202207"/>
    <x v="25"/>
    <n v="0.35"/>
    <n v="711298.78"/>
    <n v="61220.11"/>
    <n v="772518.89"/>
    <n v="13424.63"/>
    <n v="253951.84"/>
    <n v="0.35"/>
    <n v="24599.25"/>
    <n v="0"/>
    <n v="0"/>
    <x v="0"/>
    <n v="4"/>
  </r>
  <r>
    <n v="31539"/>
    <n v="3202256"/>
    <x v="26"/>
    <n v="0.43"/>
    <n v="864007"/>
    <n v="74363.45"/>
    <n v="938370.45"/>
    <n v="16306.75"/>
    <n v="217372.33"/>
    <n v="0.43"/>
    <n v="29880.44"/>
    <n v="0"/>
    <n v="0"/>
    <x v="0"/>
    <n v="4"/>
  </r>
  <r>
    <n v="31540"/>
    <n v="3202306"/>
    <x v="27"/>
    <n v="0.41"/>
    <n v="835876.54"/>
    <n v="71942.289999999994"/>
    <n v="907818.83"/>
    <n v="15775.83"/>
    <n v="575680.71"/>
    <n v="0.41"/>
    <n v="28907.59"/>
    <n v="0"/>
    <n v="0"/>
    <x v="0"/>
    <n v="4"/>
  </r>
  <r>
    <n v="31541"/>
    <n v="3202405"/>
    <x v="28"/>
    <n v="0.99"/>
    <n v="1999272.02"/>
    <n v="172073.5"/>
    <n v="2171345.52"/>
    <n v="37733.07"/>
    <n v="3908574.7"/>
    <n v="0.99"/>
    <n v="69141.95"/>
    <n v="0"/>
    <n v="0"/>
    <x v="0"/>
    <n v="4"/>
  </r>
  <r>
    <n v="31542"/>
    <n v="3202454"/>
    <x v="29"/>
    <n v="0.41"/>
    <n v="837885.84"/>
    <n v="72115.22"/>
    <n v="910001.06"/>
    <n v="15813.76"/>
    <n v="374807.01"/>
    <n v="0.41"/>
    <n v="28977.08"/>
    <n v="0"/>
    <n v="0"/>
    <x v="0"/>
    <n v="4"/>
  </r>
  <r>
    <n v="31543"/>
    <n v="3202504"/>
    <x v="30"/>
    <n v="0.25"/>
    <n v="518404.2"/>
    <n v="44618.07"/>
    <n v="563022.27"/>
    <n v="9784.0499999999993"/>
    <n v="233694.62"/>
    <n v="0.25"/>
    <n v="17928.259999999998"/>
    <n v="0"/>
    <n v="0"/>
    <x v="0"/>
    <n v="4"/>
  </r>
  <r>
    <n v="31544"/>
    <n v="3202553"/>
    <x v="31"/>
    <n v="0.25"/>
    <n v="506348.29"/>
    <n v="43580.43"/>
    <n v="549928.72"/>
    <n v="9556.52"/>
    <n v="81487.09"/>
    <n v="0.25"/>
    <n v="17511.330000000002"/>
    <n v="0"/>
    <n v="0"/>
    <x v="0"/>
    <n v="4"/>
  </r>
  <r>
    <n v="31545"/>
    <n v="3202603"/>
    <x v="32"/>
    <n v="0.4"/>
    <n v="821811.3"/>
    <n v="70731.740000000005"/>
    <n v="892543.03"/>
    <n v="15510.38"/>
    <n v="504049.93"/>
    <n v="0.4"/>
    <n v="28421.16"/>
    <n v="0"/>
    <n v="0"/>
    <x v="0"/>
    <n v="4"/>
  </r>
  <r>
    <n v="31546"/>
    <n v="3202652"/>
    <x v="33"/>
    <n v="0.28000000000000003"/>
    <n v="578683.77"/>
    <n v="49806.2"/>
    <n v="628489.97"/>
    <n v="10921.73"/>
    <n v="140766.93"/>
    <n v="0.28000000000000003"/>
    <n v="20012.95"/>
    <n v="0"/>
    <n v="0"/>
    <x v="0"/>
    <n v="4"/>
  </r>
  <r>
    <n v="31547"/>
    <n v="3202702"/>
    <x v="34"/>
    <n v="0.38"/>
    <n v="769569.04"/>
    <n v="66235.320000000007"/>
    <n v="835804.36"/>
    <n v="14524.39"/>
    <n v="156942"/>
    <n v="0.38"/>
    <n v="26614.44"/>
    <n v="0"/>
    <n v="0"/>
    <x v="0"/>
    <n v="4"/>
  </r>
  <r>
    <n v="31548"/>
    <n v="3202801"/>
    <x v="35"/>
    <n v="2.59"/>
    <n v="5220209.75"/>
    <n v="449293.44"/>
    <n v="5669503.1900000004"/>
    <n v="98523.12"/>
    <n v="361109.83"/>
    <n v="2.59"/>
    <n v="180533.44"/>
    <n v="0"/>
    <n v="0"/>
    <x v="0"/>
    <n v="4"/>
  </r>
  <r>
    <n v="31549"/>
    <n v="3202900"/>
    <x v="36"/>
    <n v="0.34"/>
    <n v="695224.22"/>
    <n v="59836.62"/>
    <n v="755060.84"/>
    <n v="13121.25"/>
    <n v="234392.88"/>
    <n v="0.34"/>
    <n v="24043.33"/>
    <n v="0"/>
    <n v="0"/>
    <x v="0"/>
    <n v="4"/>
  </r>
  <r>
    <n v="31550"/>
    <n v="3203007"/>
    <x v="37"/>
    <n v="0.45"/>
    <n v="912230.62"/>
    <n v="78513.95"/>
    <n v="990744.56"/>
    <n v="17216.900000000001"/>
    <n v="341262.5"/>
    <n v="0.45"/>
    <n v="31548.18"/>
    <n v="0"/>
    <n v="0"/>
    <x v="0"/>
    <n v="4"/>
  </r>
  <r>
    <n v="31551"/>
    <n v="3203056"/>
    <x v="38"/>
    <n v="0.84"/>
    <n v="1699883.54"/>
    <n v="146305.72"/>
    <n v="1846189.26"/>
    <n v="32082.59"/>
    <n v="427683.48"/>
    <n v="0.84"/>
    <n v="58788.03"/>
    <n v="0"/>
    <n v="0"/>
    <x v="0"/>
    <n v="4"/>
  </r>
  <r>
    <n v="31552"/>
    <n v="3203106"/>
    <x v="39"/>
    <n v="0.22"/>
    <n v="452096.71"/>
    <n v="38911.08"/>
    <n v="491007.79"/>
    <n v="8532.6"/>
    <n v="110739.36"/>
    <n v="0.22"/>
    <n v="15635.11"/>
    <n v="0"/>
    <n v="0"/>
    <x v="0"/>
    <n v="4"/>
  </r>
  <r>
    <n v="31553"/>
    <n v="3203130"/>
    <x v="40"/>
    <n v="0.43"/>
    <n v="874053.59"/>
    <n v="75228.12"/>
    <n v="949281.71"/>
    <n v="16496.37"/>
    <n v="352160.24"/>
    <n v="0.43"/>
    <n v="30227.89"/>
    <n v="0"/>
    <n v="0"/>
    <x v="0"/>
    <n v="4"/>
  </r>
  <r>
    <n v="31554"/>
    <n v="3203163"/>
    <x v="41"/>
    <n v="0.38"/>
    <n v="781624.96"/>
    <n v="67272.97"/>
    <n v="848897.94"/>
    <n v="14751.92"/>
    <n v="118777.57"/>
    <n v="0.38"/>
    <n v="27031.37"/>
    <n v="0"/>
    <n v="0"/>
    <x v="0"/>
    <n v="4"/>
  </r>
  <r>
    <n v="31555"/>
    <n v="3203205"/>
    <x v="42"/>
    <n v="6.16"/>
    <n v="12383430.59"/>
    <n v="1065818.07"/>
    <n v="13449248.66"/>
    <n v="233717.48"/>
    <n v="2953171.03"/>
    <n v="6.16"/>
    <n v="428263.13"/>
    <n v="0"/>
    <n v="0"/>
    <x v="0"/>
    <n v="4"/>
  </r>
  <r>
    <n v="31556"/>
    <n v="3203304"/>
    <x v="43"/>
    <n v="0.25"/>
    <n v="514385.55"/>
    <n v="44272.19"/>
    <n v="558657.74"/>
    <n v="9708.2099999999991"/>
    <n v="174679.99"/>
    <n v="0.25"/>
    <n v="17789.28"/>
    <n v="0"/>
    <n v="0"/>
    <x v="0"/>
    <n v="4"/>
  </r>
  <r>
    <n v="31557"/>
    <n v="3203320"/>
    <x v="44"/>
    <n v="0.61"/>
    <n v="1233721.6200000001"/>
    <n v="106184.05"/>
    <n v="1339905.67"/>
    <n v="23284.53"/>
    <n v="507055.49"/>
    <n v="0.61"/>
    <n v="42666.49"/>
    <n v="0"/>
    <n v="0"/>
    <x v="0"/>
    <n v="4"/>
  </r>
  <r>
    <n v="31558"/>
    <n v="3203346"/>
    <x v="45"/>
    <n v="0.71"/>
    <n v="1426616.23"/>
    <n v="122786.12"/>
    <n v="1549402.35"/>
    <n v="26925.1"/>
    <n v="401455.51"/>
    <n v="0.71"/>
    <n v="49337.47"/>
    <n v="0"/>
    <n v="0"/>
    <x v="0"/>
    <n v="4"/>
  </r>
  <r>
    <n v="31559"/>
    <n v="3203353"/>
    <x v="46"/>
    <n v="0.42"/>
    <n v="861997.69"/>
    <n v="74190.48"/>
    <n v="936188.17"/>
    <n v="16268.83"/>
    <n v="344293.6"/>
    <n v="0.42"/>
    <n v="29810.95"/>
    <n v="0"/>
    <n v="0"/>
    <x v="0"/>
    <n v="4"/>
  </r>
  <r>
    <n v="31560"/>
    <n v="3203403"/>
    <x v="47"/>
    <n v="0.51"/>
    <n v="1034799.09"/>
    <n v="89063.15"/>
    <n v="1123862.24"/>
    <n v="19530.18"/>
    <n v="331893.65000000002"/>
    <n v="0.51"/>
    <n v="35787.040000000001"/>
    <n v="0"/>
    <n v="0"/>
    <x v="0"/>
    <n v="4"/>
  </r>
  <r>
    <n v="31561"/>
    <n v="3203502"/>
    <x v="48"/>
    <n v="0.53"/>
    <n v="1066948.19"/>
    <n v="91830.17"/>
    <n v="1158778.3600000001"/>
    <n v="20136.939999999999"/>
    <n v="244132.1"/>
    <n v="0.53"/>
    <n v="36898.870000000003"/>
    <n v="0"/>
    <n v="0"/>
    <x v="0"/>
    <n v="4"/>
  </r>
  <r>
    <n v="31562"/>
    <n v="3203601"/>
    <x v="49"/>
    <n v="0.28999999999999998"/>
    <n v="592748.99"/>
    <n v="51016.76"/>
    <n v="643765.75"/>
    <n v="11187.19"/>
    <n v="56806.79"/>
    <n v="0.28999999999999998"/>
    <n v="20499.37"/>
    <n v="0"/>
    <n v="0"/>
    <x v="0"/>
    <n v="4"/>
  </r>
  <r>
    <n v="31563"/>
    <n v="3203700"/>
    <x v="50"/>
    <n v="0.51"/>
    <n v="1034799.09"/>
    <n v="89063.15"/>
    <n v="1123862.24"/>
    <n v="19530.18"/>
    <n v="191785.55"/>
    <n v="0.51"/>
    <n v="35787.040000000001"/>
    <n v="0"/>
    <n v="0"/>
    <x v="0"/>
    <n v="4"/>
  </r>
  <r>
    <n v="31564"/>
    <n v="3203809"/>
    <x v="51"/>
    <n v="0.28999999999999998"/>
    <n v="590739.66"/>
    <n v="50843.82"/>
    <n v="641583.48"/>
    <n v="11149.27"/>
    <n v="169852.96"/>
    <n v="0.28999999999999998"/>
    <n v="20429.88"/>
    <n v="0"/>
    <n v="0"/>
    <x v="0"/>
    <n v="4"/>
  </r>
  <r>
    <n v="31565"/>
    <n v="3203908"/>
    <x v="52"/>
    <n v="1.22"/>
    <n v="2453378.0299999998"/>
    <n v="211157.52"/>
    <n v="2664535.5499999998"/>
    <n v="46303.59"/>
    <n v="725018.51"/>
    <n v="1.22"/>
    <n v="84846.55"/>
    <n v="0"/>
    <n v="0"/>
    <x v="0"/>
    <n v="4"/>
  </r>
  <r>
    <n v="31566"/>
    <n v="3204005"/>
    <x v="53"/>
    <n v="0.45"/>
    <n v="906202.68"/>
    <n v="77995.13"/>
    <n v="984197.81"/>
    <n v="17103.13"/>
    <n v="164910.68"/>
    <n v="0.45"/>
    <n v="31339.72"/>
    <n v="0"/>
    <n v="0"/>
    <x v="0"/>
    <n v="4"/>
  </r>
  <r>
    <n v="31567"/>
    <n v="3204054"/>
    <x v="54"/>
    <n v="0.31"/>
    <n v="630926.06000000006"/>
    <n v="54302.61"/>
    <n v="685228.66"/>
    <n v="11907.72"/>
    <n v="236334.76"/>
    <n v="0.31"/>
    <n v="21819.67"/>
    <n v="0"/>
    <n v="0"/>
    <x v="0"/>
    <n v="4"/>
  </r>
  <r>
    <n v="31568"/>
    <n v="3204104"/>
    <x v="55"/>
    <n v="0.65"/>
    <n v="1316103.69"/>
    <n v="113274.53"/>
    <n v="1429378.22"/>
    <n v="24839.360000000001"/>
    <n v="258190.53"/>
    <n v="0.65"/>
    <n v="45515.55"/>
    <n v="0"/>
    <n v="0"/>
    <x v="0"/>
    <n v="4"/>
  </r>
  <r>
    <n v="31569"/>
    <n v="3204203"/>
    <x v="56"/>
    <n v="0.28999999999999998"/>
    <n v="592748.99"/>
    <n v="51016.76"/>
    <n v="643765.75"/>
    <n v="11187.19"/>
    <n v="409644.21"/>
    <n v="0.28999999999999998"/>
    <n v="20499.37"/>
    <n v="0"/>
    <n v="0"/>
    <x v="0"/>
    <n v="4"/>
  </r>
  <r>
    <n v="31570"/>
    <n v="3204252"/>
    <x v="57"/>
    <n v="0.22"/>
    <n v="450087.36"/>
    <n v="38738.15"/>
    <n v="488825.51"/>
    <n v="8494.68"/>
    <n v="50525.2"/>
    <n v="0.22"/>
    <n v="15565.62"/>
    <n v="0"/>
    <n v="0"/>
    <x v="0"/>
    <n v="4"/>
  </r>
  <r>
    <n v="31571"/>
    <n v="1718402"/>
    <x v="58"/>
    <n v="0.33"/>
    <n v="671112.42"/>
    <n v="57761.35"/>
    <n v="728873.76"/>
    <n v="12666.18"/>
    <n v="203284.36"/>
    <n v="0.33"/>
    <n v="23209.46"/>
    <n v="0"/>
    <n v="0"/>
    <x v="0"/>
    <n v="4"/>
  </r>
  <r>
    <n v="31572"/>
    <n v="3204351"/>
    <x v="59"/>
    <n v="0.81"/>
    <n v="1637594.68"/>
    <n v="140944.62"/>
    <n v="1778539.3"/>
    <n v="30906.98"/>
    <n v="477926.18"/>
    <n v="0.81"/>
    <n v="56633.86"/>
    <n v="0"/>
    <n v="0"/>
    <x v="0"/>
    <n v="4"/>
  </r>
  <r>
    <n v="31573"/>
    <n v="3204401"/>
    <x v="60"/>
    <n v="0.26"/>
    <n v="528450.78"/>
    <n v="45482.74"/>
    <n v="573933.52"/>
    <n v="9973.66"/>
    <n v="173495.92"/>
    <n v="0.26"/>
    <n v="18275.71"/>
    <n v="0"/>
    <n v="0"/>
    <x v="0"/>
    <n v="4"/>
  </r>
  <r>
    <n v="31574"/>
    <n v="3204500"/>
    <x v="61"/>
    <n v="0.49"/>
    <n v="994612.68"/>
    <n v="85604.4"/>
    <n v="1080217.08"/>
    <n v="18771.73"/>
    <n v="134620.79"/>
    <n v="0.49"/>
    <n v="34397.25"/>
    <n v="0"/>
    <n v="0"/>
    <x v="0"/>
    <n v="4"/>
  </r>
  <r>
    <n v="31575"/>
    <n v="3204559"/>
    <x v="62"/>
    <n v="2.29"/>
    <n v="4611386.22"/>
    <n v="396893.16"/>
    <n v="5008279.38"/>
    <n v="87032.55"/>
    <n v="845125.81"/>
    <n v="2.29"/>
    <n v="159478.16"/>
    <n v="0"/>
    <n v="0"/>
    <x v="0"/>
    <n v="4"/>
  </r>
  <r>
    <n v="31576"/>
    <n v="3204609"/>
    <x v="63"/>
    <n v="0.69"/>
    <n v="1390448.48"/>
    <n v="119673.21"/>
    <n v="1510121.69"/>
    <n v="26242.49"/>
    <n v="578761.31999999995"/>
    <n v="0.69"/>
    <n v="48086.66"/>
    <n v="0"/>
    <n v="0"/>
    <x v="0"/>
    <n v="4"/>
  </r>
  <r>
    <n v="31577"/>
    <n v="3204658"/>
    <x v="64"/>
    <n v="0.48"/>
    <n v="976528.85"/>
    <n v="84047.95"/>
    <n v="1060576.8"/>
    <n v="18430.419999999998"/>
    <n v="147481.12"/>
    <n v="0.48"/>
    <n v="33771.85"/>
    <n v="0"/>
    <n v="0"/>
    <x v="0"/>
    <n v="4"/>
  </r>
  <r>
    <n v="31578"/>
    <n v="3204708"/>
    <x v="65"/>
    <n v="0.7"/>
    <n v="1412550.99"/>
    <n v="121575.56"/>
    <n v="1534126.55"/>
    <n v="26659.64"/>
    <n v="545745.22"/>
    <n v="0.7"/>
    <n v="48851.040000000001"/>
    <n v="0"/>
    <n v="0"/>
    <x v="0"/>
    <n v="4"/>
  </r>
  <r>
    <n v="31579"/>
    <n v="3204807"/>
    <x v="66"/>
    <n v="0.26"/>
    <n v="524432.16"/>
    <n v="45136.88"/>
    <n v="569569.04"/>
    <n v="9897.82"/>
    <n v="169043.17"/>
    <n v="0.26"/>
    <n v="18136.73"/>
    <n v="0"/>
    <n v="0"/>
    <x v="0"/>
    <n v="4"/>
  </r>
  <r>
    <n v="31580"/>
    <n v="3204906"/>
    <x v="67"/>
    <n v="1.94"/>
    <n v="3900087.42"/>
    <n v="335673.04"/>
    <n v="4235760.46"/>
    <n v="73607.92"/>
    <n v="1615677.08"/>
    <n v="1.94"/>
    <n v="134878.91"/>
    <n v="0"/>
    <n v="0"/>
    <x v="0"/>
    <n v="4"/>
  </r>
  <r>
    <n v="31581"/>
    <n v="3204955"/>
    <x v="68"/>
    <n v="0.32"/>
    <n v="659056.48"/>
    <n v="56723.71"/>
    <n v="715780.19"/>
    <n v="12438.64"/>
    <n v="207100"/>
    <n v="0.32"/>
    <n v="22792.52"/>
    <n v="0"/>
    <n v="0"/>
    <x v="0"/>
    <n v="4"/>
  </r>
  <r>
    <n v="31582"/>
    <n v="3205002"/>
    <x v="69"/>
    <n v="14.13"/>
    <n v="28391671.93"/>
    <n v="2443616.65"/>
    <n v="30835288.579999998"/>
    <n v="535847.47"/>
    <n v="7280134"/>
    <n v="14.13"/>
    <n v="981885.12"/>
    <n v="0"/>
    <n v="0"/>
    <x v="0"/>
    <n v="4"/>
  </r>
  <r>
    <n v="31583"/>
    <n v="3205010"/>
    <x v="70"/>
    <n v="0.71"/>
    <n v="1430634.85"/>
    <n v="123131.98"/>
    <n v="1553766.83"/>
    <n v="27000.95"/>
    <n v="215181.44"/>
    <n v="0.71"/>
    <n v="49476.45"/>
    <n v="0"/>
    <n v="0"/>
    <x v="0"/>
    <n v="4"/>
  </r>
  <r>
    <n v="31584"/>
    <n v="3205036"/>
    <x v="71"/>
    <n v="0.49"/>
    <n v="996622.04"/>
    <n v="85777.34"/>
    <n v="1082399.3799999999"/>
    <n v="18809.650000000001"/>
    <n v="365615.69"/>
    <n v="0.49"/>
    <n v="34466.74"/>
    <n v="0"/>
    <n v="0"/>
    <x v="0"/>
    <n v="4"/>
  </r>
  <r>
    <n v="31585"/>
    <n v="3205069"/>
    <x v="72"/>
    <n v="0.72"/>
    <n v="1464793.28"/>
    <n v="126071.94"/>
    <n v="1590865.22"/>
    <n v="27645.63"/>
    <n v="908108.78"/>
    <n v="0.72"/>
    <n v="50657.77"/>
    <n v="0"/>
    <n v="0"/>
    <x v="0"/>
    <n v="4"/>
  </r>
  <r>
    <n v="31586"/>
    <n v="2112803"/>
    <x v="73"/>
    <n v="2"/>
    <n v="4034711.77"/>
    <n v="347259.88"/>
    <n v="4381971.6500000004"/>
    <n v="76148.740000000005"/>
    <n v="936545.42"/>
    <n v="2"/>
    <n v="139534.70000000001"/>
    <n v="0"/>
    <n v="0"/>
    <x v="0"/>
    <n v="4"/>
  </r>
  <r>
    <n v="31587"/>
    <n v="3205150"/>
    <x v="74"/>
    <n v="0.32"/>
    <n v="661065.81000000006"/>
    <n v="56896.67"/>
    <n v="717962.48"/>
    <n v="12476.56"/>
    <n v="87306.39"/>
    <n v="0.32"/>
    <n v="22862.01"/>
    <n v="0"/>
    <n v="0"/>
    <x v="0"/>
    <n v="4"/>
  </r>
  <r>
    <n v="31588"/>
    <n v="3205176"/>
    <x v="75"/>
    <n v="0.57999999999999996"/>
    <n v="1183488.6599999999"/>
    <n v="101860.58"/>
    <n v="1285349.24"/>
    <n v="22336.46"/>
    <n v="223000.15"/>
    <n v="0.57999999999999996"/>
    <n v="40929.25"/>
    <n v="0"/>
    <n v="0"/>
    <x v="0"/>
    <n v="4"/>
  </r>
  <r>
    <n v="31589"/>
    <n v="3205200"/>
    <x v="76"/>
    <n v="6.05"/>
    <n v="12166424.18"/>
    <n v="1047140.77"/>
    <n v="13213564.960000001"/>
    <n v="229621.83"/>
    <n v="10497854.220000001"/>
    <n v="6.05"/>
    <n v="420758.28"/>
    <n v="0"/>
    <n v="0"/>
    <x v="0"/>
    <n v="4"/>
  </r>
  <r>
    <n v="31590"/>
    <n v="3205309"/>
    <x v="77"/>
    <n v="15.31"/>
    <n v="30764677.260000002"/>
    <n v="2647856.7000000002"/>
    <n v="33412533.960000001"/>
    <n v="580634.16"/>
    <n v="15654414.470000001"/>
    <n v="15.31"/>
    <n v="1063952.0900000001"/>
    <n v="0"/>
    <n v="0"/>
    <x v="0"/>
    <n v="4"/>
  </r>
  <r>
    <n v="31591"/>
    <n v="3200102"/>
    <x v="0"/>
    <n v="0.82"/>
    <n v="1307613.17"/>
    <n v="79641.08"/>
    <n v="1387254.25"/>
    <n v="26102.92"/>
    <n v="285247.57"/>
    <n v="0.82"/>
    <n v="37889.97"/>
    <n v="0"/>
    <n v="0"/>
    <x v="0"/>
    <n v="5"/>
  </r>
  <r>
    <n v="31592"/>
    <n v="3200169"/>
    <x v="1"/>
    <n v="0.31"/>
    <n v="493739.43"/>
    <n v="30071.54"/>
    <n v="523810.97"/>
    <n v="9856.16"/>
    <n v="92648.51"/>
    <n v="0.31"/>
    <n v="14306.81"/>
    <n v="0"/>
    <n v="0"/>
    <x v="0"/>
    <n v="5"/>
  </r>
  <r>
    <n v="31593"/>
    <n v="3200136"/>
    <x v="2"/>
    <n v="0.41"/>
    <n v="665751.87"/>
    <n v="40548.089999999997"/>
    <n v="706299.96"/>
    <n v="13289.92"/>
    <n v="81998.880000000005"/>
    <n v="0.41"/>
    <n v="19291.12"/>
    <n v="0"/>
    <n v="0"/>
    <x v="0"/>
    <n v="5"/>
  </r>
  <r>
    <n v="31594"/>
    <n v="3200201"/>
    <x v="3"/>
    <n v="0.52"/>
    <n v="837764.32"/>
    <n v="51024.61"/>
    <n v="888788.93"/>
    <n v="16723.669999999998"/>
    <n v="255062.69"/>
    <n v="0.52"/>
    <n v="24275.42"/>
    <n v="0"/>
    <n v="0"/>
    <x v="0"/>
    <n v="5"/>
  </r>
  <r>
    <n v="31595"/>
    <n v="3200300"/>
    <x v="4"/>
    <n v="0.51"/>
    <n v="812281.01"/>
    <n v="49472.54"/>
    <n v="861753.55"/>
    <n v="16214.97"/>
    <n v="246809.54"/>
    <n v="0.51"/>
    <n v="23537.01"/>
    <n v="0"/>
    <n v="0"/>
    <x v="0"/>
    <n v="5"/>
  </r>
  <r>
    <n v="31596"/>
    <n v="3200359"/>
    <x v="5"/>
    <n v="0.22"/>
    <n v="358359.26"/>
    <n v="21826.1"/>
    <n v="380185.36"/>
    <n v="7153.66"/>
    <n v="50083.83"/>
    <n v="0.22"/>
    <n v="10383.969999999999"/>
    <n v="0"/>
    <n v="0"/>
    <x v="0"/>
    <n v="5"/>
  </r>
  <r>
    <n v="31597"/>
    <n v="3200409"/>
    <x v="6"/>
    <n v="2.65"/>
    <n v="4225453.91"/>
    <n v="257354.16"/>
    <n v="4482808.07"/>
    <n v="84349.63"/>
    <n v="274022.24"/>
    <n v="2.65"/>
    <n v="122438.59"/>
    <n v="0"/>
    <n v="0"/>
    <x v="0"/>
    <n v="5"/>
  </r>
  <r>
    <n v="31598"/>
    <n v="3200508"/>
    <x v="7"/>
    <n v="0.19"/>
    <n v="308985.33"/>
    <n v="18818.96"/>
    <n v="327804.28999999998"/>
    <n v="6168.05"/>
    <n v="92584.13"/>
    <n v="0.19"/>
    <n v="8953.2900000000009"/>
    <n v="0"/>
    <n v="0"/>
    <x v="0"/>
    <n v="5"/>
  </r>
  <r>
    <n v="31599"/>
    <n v="3200607"/>
    <x v="8"/>
    <n v="3.34"/>
    <n v="5332385.8899999997"/>
    <n v="324772.61"/>
    <n v="5657158.5"/>
    <n v="106446.5"/>
    <n v="1125665.42"/>
    <n v="3.34"/>
    <n v="154513.53"/>
    <n v="0"/>
    <n v="0"/>
    <x v="0"/>
    <n v="5"/>
  </r>
  <r>
    <n v="31600"/>
    <n v="3200706"/>
    <x v="9"/>
    <n v="0.37"/>
    <n v="603636.28"/>
    <n v="36764.870000000003"/>
    <n v="640401.15"/>
    <n v="12049.95"/>
    <n v="70199.850000000006"/>
    <n v="0.37"/>
    <n v="17491.23"/>
    <n v="0"/>
    <n v="0"/>
    <x v="0"/>
    <n v="5"/>
  </r>
  <r>
    <n v="31601"/>
    <n v="3200805"/>
    <x v="10"/>
    <n v="0.69"/>
    <n v="1103746.55"/>
    <n v="67224.42"/>
    <n v="1170970.97"/>
    <n v="22033.279999999999"/>
    <n v="351371.44"/>
    <n v="0.69"/>
    <n v="31982.639999999999"/>
    <n v="0"/>
    <n v="0"/>
    <x v="0"/>
    <n v="5"/>
  </r>
  <r>
    <n v="31602"/>
    <n v="3200904"/>
    <x v="11"/>
    <n v="0.94"/>
    <n v="1505108.9"/>
    <n v="91669.69"/>
    <n v="1596778.59"/>
    <n v="30045.38"/>
    <n v="446930"/>
    <n v="0.94"/>
    <n v="43612.69"/>
    <n v="0"/>
    <n v="0"/>
    <x v="0"/>
    <n v="5"/>
  </r>
  <r>
    <n v="31603"/>
    <n v="3107109"/>
    <x v="12"/>
    <n v="0.4"/>
    <n v="643453.99"/>
    <n v="39190"/>
    <n v="682643.99"/>
    <n v="12844.8"/>
    <n v="93832.02"/>
    <n v="0.4"/>
    <n v="18645"/>
    <n v="0"/>
    <n v="0"/>
    <x v="0"/>
    <n v="5"/>
  </r>
  <r>
    <n v="31604"/>
    <n v="3201100"/>
    <x v="13"/>
    <n v="0.18"/>
    <n v="288280.11"/>
    <n v="17557.919999999998"/>
    <n v="305838.03000000003"/>
    <n v="5754.72"/>
    <n v="242740.35"/>
    <n v="0.18"/>
    <n v="8353.33"/>
    <n v="0"/>
    <n v="0"/>
    <x v="0"/>
    <n v="5"/>
  </r>
  <r>
    <n v="31605"/>
    <n v="3201159"/>
    <x v="14"/>
    <n v="0.43"/>
    <n v="696013.35"/>
    <n v="42391.17"/>
    <n v="738404.52"/>
    <n v="13894"/>
    <n v="90702.24"/>
    <n v="0.43"/>
    <n v="20167.98"/>
    <n v="0"/>
    <n v="0"/>
    <x v="0"/>
    <n v="5"/>
  </r>
  <r>
    <n v="31606"/>
    <n v="3201209"/>
    <x v="15"/>
    <n v="3.37"/>
    <n v="5375388.9800000004"/>
    <n v="327391.73"/>
    <n v="5702780.71"/>
    <n v="107304.94"/>
    <n v="2202863.2599999998"/>
    <n v="3.37"/>
    <n v="155759.60999999999"/>
    <n v="0"/>
    <n v="0"/>
    <x v="0"/>
    <n v="5"/>
  </r>
  <r>
    <n v="31607"/>
    <n v="3201308"/>
    <x v="16"/>
    <n v="5.99"/>
    <n v="9541912.6999999993"/>
    <n v="581156.73"/>
    <n v="10123069.43"/>
    <n v="190478.19"/>
    <n v="3117192.82"/>
    <n v="5.99"/>
    <n v="276490.61"/>
    <n v="0"/>
    <n v="0"/>
    <x v="0"/>
    <n v="5"/>
  </r>
  <r>
    <n v="31608"/>
    <n v="3201407"/>
    <x v="17"/>
    <n v="0.93"/>
    <n v="1492367.24"/>
    <n v="90893.64"/>
    <n v="1583260.88"/>
    <n v="29791.03"/>
    <n v="488365.95"/>
    <n v="0.93"/>
    <n v="43243.48"/>
    <n v="0"/>
    <n v="0"/>
    <x v="0"/>
    <n v="5"/>
  </r>
  <r>
    <n v="31609"/>
    <n v="3201506"/>
    <x v="18"/>
    <n v="2.25"/>
    <n v="3591556.16"/>
    <n v="218746.19"/>
    <n v="3810302.35"/>
    <n v="71695.600000000006"/>
    <n v="1550890.86"/>
    <n v="2.25"/>
    <n v="104070.49"/>
    <n v="0"/>
    <n v="0"/>
    <x v="0"/>
    <n v="5"/>
  </r>
  <r>
    <n v="31610"/>
    <n v="3201605"/>
    <x v="19"/>
    <n v="0.55000000000000004"/>
    <n v="880767.44"/>
    <n v="53643.76"/>
    <n v="934411.2"/>
    <n v="17582.11"/>
    <n v="150252.20000000001"/>
    <n v="0.55000000000000004"/>
    <n v="25521.5"/>
    <n v="0"/>
    <n v="0"/>
    <x v="0"/>
    <n v="5"/>
  </r>
  <r>
    <n v="31611"/>
    <n v="3201704"/>
    <x v="20"/>
    <n v="0.45"/>
    <n v="727867.51"/>
    <n v="44331.29"/>
    <n v="772198.8"/>
    <n v="14529.88"/>
    <n v="143773.46"/>
    <n v="0.45"/>
    <n v="21091"/>
    <n v="0"/>
    <n v="0"/>
    <x v="0"/>
    <n v="5"/>
  </r>
  <r>
    <n v="31612"/>
    <n v="3201803"/>
    <x v="21"/>
    <n v="0.18"/>
    <n v="296243.65999999997"/>
    <n v="18042.919999999998"/>
    <n v="314286.58"/>
    <n v="5913.69"/>
    <n v="34897.83"/>
    <n v="0.18"/>
    <n v="8584.08"/>
    <n v="0"/>
    <n v="0"/>
    <x v="0"/>
    <n v="5"/>
  </r>
  <r>
    <n v="31613"/>
    <n v="3201902"/>
    <x v="22"/>
    <n v="1.28"/>
    <n v="2041851.47"/>
    <n v="124360.34"/>
    <n v="2166211.81"/>
    <n v="40759.980000000003"/>
    <n v="493140.17"/>
    <n v="1.28"/>
    <n v="59165.57"/>
    <n v="0"/>
    <n v="0"/>
    <x v="0"/>
    <n v="5"/>
  </r>
  <r>
    <n v="31614"/>
    <n v="3202009"/>
    <x v="23"/>
    <n v="0.25"/>
    <n v="398176.95"/>
    <n v="24251.24"/>
    <n v="422428.19"/>
    <n v="7948.51"/>
    <n v="82845.17"/>
    <n v="0.25"/>
    <n v="11537.75"/>
    <n v="0"/>
    <n v="0"/>
    <x v="0"/>
    <n v="5"/>
  </r>
  <r>
    <n v="31615"/>
    <n v="3202108"/>
    <x v="24"/>
    <n v="0.72"/>
    <n v="1148342.3500000001"/>
    <n v="69940.58"/>
    <n v="1218282.93"/>
    <n v="22923.51"/>
    <n v="150087.74"/>
    <n v="0.72"/>
    <n v="33274.870000000003"/>
    <n v="0"/>
    <n v="0"/>
    <x v="0"/>
    <n v="5"/>
  </r>
  <r>
    <n v="31616"/>
    <n v="3202207"/>
    <x v="25"/>
    <n v="0.35"/>
    <n v="563818.57999999996"/>
    <n v="34339.760000000002"/>
    <n v="598158.34"/>
    <n v="11255.1"/>
    <n v="163322.31"/>
    <n v="0.35"/>
    <n v="16337.45"/>
    <n v="0"/>
    <n v="0"/>
    <x v="0"/>
    <n v="5"/>
  </r>
  <r>
    <n v="31617"/>
    <n v="3202256"/>
    <x v="26"/>
    <n v="0.43"/>
    <n v="684864.37"/>
    <n v="41712.129999999997"/>
    <n v="726576.5"/>
    <n v="13671.44"/>
    <n v="119242.56"/>
    <n v="0.43"/>
    <n v="19844.93"/>
    <n v="0"/>
    <n v="0"/>
    <x v="0"/>
    <n v="5"/>
  </r>
  <r>
    <n v="31618"/>
    <n v="3202306"/>
    <x v="27"/>
    <n v="0.41"/>
    <n v="662566.46"/>
    <n v="40354.07"/>
    <n v="702920.53"/>
    <n v="13226.33"/>
    <n v="353298.36"/>
    <n v="0.41"/>
    <n v="19198.810000000001"/>
    <n v="0"/>
    <n v="0"/>
    <x v="0"/>
    <n v="5"/>
  </r>
  <r>
    <n v="31619"/>
    <n v="3202405"/>
    <x v="28"/>
    <n v="0.99"/>
    <n v="1584744.32"/>
    <n v="96519.92"/>
    <n v="1681264.24"/>
    <n v="31635.09"/>
    <n v="2068063.14"/>
    <n v="0.99"/>
    <n v="45920.24"/>
    <n v="0"/>
    <n v="0"/>
    <x v="0"/>
    <n v="5"/>
  </r>
  <r>
    <n v="31620"/>
    <n v="3202454"/>
    <x v="29"/>
    <n v="0.41"/>
    <n v="664159.15"/>
    <n v="40451.06"/>
    <n v="704610.21"/>
    <n v="13258.12"/>
    <n v="260447.63"/>
    <n v="0.41"/>
    <n v="19244.96"/>
    <n v="0"/>
    <n v="0"/>
    <x v="0"/>
    <n v="5"/>
  </r>
  <r>
    <n v="31621"/>
    <n v="3202504"/>
    <x v="30"/>
    <n v="0.25"/>
    <n v="410918.62"/>
    <n v="25027.27"/>
    <n v="435945.89"/>
    <n v="8202.8700000000008"/>
    <n v="142211.44"/>
    <n v="0.25"/>
    <n v="11906.96"/>
    <n v="0"/>
    <n v="0"/>
    <x v="0"/>
    <n v="5"/>
  </r>
  <r>
    <n v="31622"/>
    <n v="3202553"/>
    <x v="31"/>
    <n v="0.25"/>
    <n v="401362.36"/>
    <n v="24445.26"/>
    <n v="425807.62"/>
    <n v="8012.1"/>
    <n v="58256.73"/>
    <n v="0.25"/>
    <n v="11630.05"/>
    <n v="0"/>
    <n v="0"/>
    <x v="0"/>
    <n v="5"/>
  </r>
  <r>
    <n v="31623"/>
    <n v="3202603"/>
    <x v="32"/>
    <n v="0.4"/>
    <n v="651417.51"/>
    <n v="39675.03"/>
    <n v="691092.54"/>
    <n v="13003.77"/>
    <n v="342989.86"/>
    <n v="0.4"/>
    <n v="18875.759999999998"/>
    <n v="0"/>
    <n v="0"/>
    <x v="0"/>
    <n v="5"/>
  </r>
  <r>
    <n v="31624"/>
    <n v="3202652"/>
    <x v="33"/>
    <n v="0.28000000000000003"/>
    <n v="458699.86"/>
    <n v="27937.439999999999"/>
    <n v="486637.3"/>
    <n v="9156.69"/>
    <n v="124334.29"/>
    <n v="0.28000000000000003"/>
    <n v="13291.49"/>
    <n v="0"/>
    <n v="0"/>
    <x v="0"/>
    <n v="5"/>
  </r>
  <r>
    <n v="31625"/>
    <n v="3202702"/>
    <x v="34"/>
    <n v="0.38"/>
    <n v="610007.09"/>
    <n v="37152.9"/>
    <n v="647159.99"/>
    <n v="12177.12"/>
    <n v="130202.26"/>
    <n v="0.38"/>
    <n v="17675.830000000002"/>
    <n v="0"/>
    <n v="0"/>
    <x v="0"/>
    <n v="5"/>
  </r>
  <r>
    <n v="31626"/>
    <n v="3202801"/>
    <x v="35"/>
    <n v="2.59"/>
    <n v="4137854.98"/>
    <n v="252018.88"/>
    <n v="4389873.8600000003"/>
    <n v="82600.960000000006"/>
    <n v="254621.18"/>
    <n v="2.59"/>
    <n v="119900.28"/>
    <n v="0"/>
    <n v="0"/>
    <x v="0"/>
    <n v="5"/>
  </r>
  <r>
    <n v="31627"/>
    <n v="3202900"/>
    <x v="36"/>
    <n v="0.34"/>
    <n v="551076.91"/>
    <n v="33563.72"/>
    <n v="584640.63"/>
    <n v="11000.74"/>
    <n v="115520.22"/>
    <n v="0.34"/>
    <n v="15968.24"/>
    <n v="0"/>
    <n v="0"/>
    <x v="0"/>
    <n v="5"/>
  </r>
  <r>
    <n v="31628"/>
    <n v="3203007"/>
    <x v="37"/>
    <n v="0.45"/>
    <n v="723089.37"/>
    <n v="44040.27"/>
    <n v="767129.64"/>
    <n v="14434.5"/>
    <n v="270480.78000000003"/>
    <n v="0.45"/>
    <n v="20952.55"/>
    <n v="0"/>
    <n v="0"/>
    <x v="0"/>
    <n v="5"/>
  </r>
  <r>
    <n v="31629"/>
    <n v="3203056"/>
    <x v="38"/>
    <n v="0.84"/>
    <n v="1347430.86"/>
    <n v="82066.19"/>
    <n v="1429497.05"/>
    <n v="26897.77"/>
    <n v="284028.15999999997"/>
    <n v="0.84"/>
    <n v="39043.74"/>
    <n v="0"/>
    <n v="0"/>
    <x v="0"/>
    <n v="5"/>
  </r>
  <r>
    <n v="31630"/>
    <n v="3203106"/>
    <x v="39"/>
    <n v="0.22"/>
    <n v="358359.26"/>
    <n v="21826.1"/>
    <n v="380185.36"/>
    <n v="7153.66"/>
    <n v="73308.009999999995"/>
    <n v="0.22"/>
    <n v="10383.969999999999"/>
    <n v="0"/>
    <n v="0"/>
    <x v="0"/>
    <n v="5"/>
  </r>
  <r>
    <n v="31631"/>
    <n v="3203130"/>
    <x v="40"/>
    <n v="0.43"/>
    <n v="692827.93"/>
    <n v="42197.17"/>
    <n v="735025.1"/>
    <n v="13830.41"/>
    <n v="183642.46"/>
    <n v="0.43"/>
    <n v="20075.68"/>
    <n v="0"/>
    <n v="0"/>
    <x v="0"/>
    <n v="5"/>
  </r>
  <r>
    <n v="31632"/>
    <n v="3203163"/>
    <x v="41"/>
    <n v="0.38"/>
    <n v="619563.36"/>
    <n v="37734.910000000003"/>
    <n v="657298.27"/>
    <n v="12367.89"/>
    <n v="114436.51"/>
    <n v="0.38"/>
    <n v="17952.740000000002"/>
    <n v="0"/>
    <n v="0"/>
    <x v="0"/>
    <n v="5"/>
  </r>
  <r>
    <n v="31633"/>
    <n v="3203205"/>
    <x v="42"/>
    <n v="6.16"/>
    <n v="9815858.4399999995"/>
    <n v="597841.56999999995"/>
    <n v="10413700.01"/>
    <n v="195946.77"/>
    <n v="1859776.94"/>
    <n v="6.16"/>
    <n v="284428.58"/>
    <n v="0"/>
    <n v="0"/>
    <x v="0"/>
    <n v="5"/>
  </r>
  <r>
    <n v="31634"/>
    <n v="3203304"/>
    <x v="43"/>
    <n v="0.25"/>
    <n v="407733.21"/>
    <n v="24833.26"/>
    <n v="432566.47"/>
    <n v="8139.28"/>
    <n v="143372.09"/>
    <n v="0.25"/>
    <n v="11814.65"/>
    <n v="0"/>
    <n v="0"/>
    <x v="0"/>
    <n v="5"/>
  </r>
  <r>
    <n v="31635"/>
    <n v="3203320"/>
    <x v="44"/>
    <n v="0.61"/>
    <n v="977922.63"/>
    <n v="59561.04"/>
    <n v="1037483.67"/>
    <n v="19521.55"/>
    <n v="361179.2"/>
    <n v="0.61"/>
    <n v="28336.71"/>
    <n v="0"/>
    <n v="0"/>
    <x v="0"/>
    <n v="5"/>
  </r>
  <r>
    <n v="31636"/>
    <n v="3203346"/>
    <x v="45"/>
    <n v="0.71"/>
    <n v="1130822.58"/>
    <n v="68873.539999999994"/>
    <n v="1199696.1200000001"/>
    <n v="22573.78"/>
    <n v="277409.12"/>
    <n v="0.71"/>
    <n v="32767.21"/>
    <n v="0"/>
    <n v="0"/>
    <x v="0"/>
    <n v="5"/>
  </r>
  <r>
    <n v="31637"/>
    <n v="3203353"/>
    <x v="46"/>
    <n v="0.42"/>
    <n v="683271.66"/>
    <n v="41615.120000000003"/>
    <n v="724886.78"/>
    <n v="13639.65"/>
    <n v="145553.71"/>
    <n v="0.42"/>
    <n v="19798.78"/>
    <n v="0"/>
    <n v="0"/>
    <x v="0"/>
    <n v="5"/>
  </r>
  <r>
    <n v="31638"/>
    <n v="3203403"/>
    <x v="47"/>
    <n v="0.51"/>
    <n v="820244.53"/>
    <n v="49957.55"/>
    <n v="870202.08"/>
    <n v="16373.94"/>
    <n v="198866.25"/>
    <n v="0.51"/>
    <n v="23767.759999999998"/>
    <n v="0"/>
    <n v="0"/>
    <x v="0"/>
    <n v="5"/>
  </r>
  <r>
    <n v="31639"/>
    <n v="3203502"/>
    <x v="48"/>
    <n v="0.53"/>
    <n v="845727.85"/>
    <n v="51509.64"/>
    <n v="897237.49"/>
    <n v="16882.64"/>
    <n v="170409.33"/>
    <n v="0.53"/>
    <n v="24506.18"/>
    <n v="0"/>
    <n v="0"/>
    <x v="0"/>
    <n v="5"/>
  </r>
  <r>
    <n v="31640"/>
    <n v="3203601"/>
    <x v="49"/>
    <n v="0.28999999999999998"/>
    <n v="469848.83"/>
    <n v="28616.45"/>
    <n v="498465.28000000003"/>
    <n v="9379.25"/>
    <n v="35481.160000000003"/>
    <n v="0.28999999999999998"/>
    <n v="13614.54"/>
    <n v="0"/>
    <n v="0"/>
    <x v="0"/>
    <n v="5"/>
  </r>
  <r>
    <n v="31641"/>
    <n v="3203700"/>
    <x v="50"/>
    <n v="0.51"/>
    <n v="820244.53"/>
    <n v="49957.55"/>
    <n v="870202.08"/>
    <n v="16373.94"/>
    <n v="113032.06"/>
    <n v="0.51"/>
    <n v="23767.759999999998"/>
    <n v="0"/>
    <n v="0"/>
    <x v="0"/>
    <n v="5"/>
  </r>
  <r>
    <n v="31642"/>
    <n v="3203809"/>
    <x v="51"/>
    <n v="0.28999999999999998"/>
    <n v="468256.12"/>
    <n v="28519.45"/>
    <n v="496775.57"/>
    <n v="9347.4500000000007"/>
    <n v="90550.51"/>
    <n v="0.28999999999999998"/>
    <n v="13568.39"/>
    <n v="0"/>
    <n v="0"/>
    <x v="0"/>
    <n v="5"/>
  </r>
  <r>
    <n v="31643"/>
    <n v="3203908"/>
    <x v="52"/>
    <n v="1.22"/>
    <n v="1944696.29"/>
    <n v="118443.05"/>
    <n v="2063139.34"/>
    <n v="38820.54"/>
    <n v="515183.94"/>
    <n v="1.22"/>
    <n v="56350.36"/>
    <n v="0"/>
    <n v="0"/>
    <x v="0"/>
    <n v="5"/>
  </r>
  <r>
    <n v="31644"/>
    <n v="3204005"/>
    <x v="53"/>
    <n v="0.45"/>
    <n v="718311.23"/>
    <n v="43749.22"/>
    <n v="762060.45"/>
    <n v="14339.12"/>
    <n v="114086.37"/>
    <n v="0.45"/>
    <n v="20814.099999999999"/>
    <n v="0"/>
    <n v="0"/>
    <x v="0"/>
    <n v="5"/>
  </r>
  <r>
    <n v="31645"/>
    <n v="3204054"/>
    <x v="54"/>
    <n v="0.31"/>
    <n v="500110.25"/>
    <n v="30459.55"/>
    <n v="530569.80000000005"/>
    <n v="9983.33"/>
    <n v="196450.61"/>
    <n v="0.31"/>
    <n v="14491.41"/>
    <n v="0"/>
    <n v="0"/>
    <x v="0"/>
    <n v="5"/>
  </r>
  <r>
    <n v="31646"/>
    <n v="3204104"/>
    <x v="55"/>
    <n v="0.65"/>
    <n v="1043223.64"/>
    <n v="63538.239999999998"/>
    <n v="1106761.8799999999"/>
    <n v="20825.11"/>
    <n v="158418.64000000001"/>
    <n v="0.65"/>
    <n v="30228.9"/>
    <n v="0"/>
    <n v="0"/>
    <x v="0"/>
    <n v="5"/>
  </r>
  <r>
    <n v="31647"/>
    <n v="3204203"/>
    <x v="56"/>
    <n v="0.28999999999999998"/>
    <n v="469848.83"/>
    <n v="28616.45"/>
    <n v="498465.28000000003"/>
    <n v="9379.25"/>
    <n v="222845.12"/>
    <n v="0.28999999999999998"/>
    <n v="13614.54"/>
    <n v="0"/>
    <n v="0"/>
    <x v="0"/>
    <n v="5"/>
  </r>
  <r>
    <n v="31648"/>
    <n v="3204252"/>
    <x v="57"/>
    <n v="0.22"/>
    <n v="356766.56"/>
    <n v="21729.11"/>
    <n v="378495.67"/>
    <n v="7121.87"/>
    <n v="39702.6"/>
    <n v="0.22"/>
    <n v="10337.82"/>
    <n v="0"/>
    <n v="0"/>
    <x v="0"/>
    <n v="5"/>
  </r>
  <r>
    <n v="31649"/>
    <n v="1718402"/>
    <x v="58"/>
    <n v="0.33"/>
    <n v="531964.42000000004"/>
    <n v="32399.66"/>
    <n v="564364.07999999996"/>
    <n v="10619.21"/>
    <n v="142448.87"/>
    <n v="0.33"/>
    <n v="15414.43"/>
    <n v="0"/>
    <n v="0"/>
    <x v="0"/>
    <n v="5"/>
  </r>
  <r>
    <n v="31650"/>
    <n v="3204351"/>
    <x v="59"/>
    <n v="0.81"/>
    <n v="1298056.8500000001"/>
    <n v="79059.03"/>
    <n v="1377115.88"/>
    <n v="25912.16"/>
    <n v="248664.12"/>
    <n v="0.81"/>
    <n v="37613.06"/>
    <n v="0"/>
    <n v="0"/>
    <x v="0"/>
    <n v="5"/>
  </r>
  <r>
    <n v="31651"/>
    <n v="3204401"/>
    <x v="60"/>
    <n v="0.26"/>
    <n v="418882.17"/>
    <n v="25512.32"/>
    <n v="444394.49"/>
    <n v="8361.84"/>
    <n v="114272.67"/>
    <n v="0.26"/>
    <n v="12137.71"/>
    <n v="0"/>
    <n v="0"/>
    <x v="0"/>
    <n v="5"/>
  </r>
  <r>
    <n v="31652"/>
    <n v="3204500"/>
    <x v="61"/>
    <n v="0.49"/>
    <n v="788390.38"/>
    <n v="48017.45"/>
    <n v="836407.83"/>
    <n v="15738.06"/>
    <n v="114973.55"/>
    <n v="0.49"/>
    <n v="22844.74"/>
    <n v="0"/>
    <n v="0"/>
    <x v="0"/>
    <n v="5"/>
  </r>
  <r>
    <n v="31653"/>
    <n v="3204559"/>
    <x v="62"/>
    <n v="2.29"/>
    <n v="3655264.49"/>
    <n v="222626.4"/>
    <n v="3877890.89"/>
    <n v="72967.360000000001"/>
    <n v="730772.02"/>
    <n v="2.29"/>
    <n v="105916.53"/>
    <n v="0"/>
    <n v="0"/>
    <x v="0"/>
    <n v="5"/>
  </r>
  <r>
    <n v="31654"/>
    <n v="3204609"/>
    <x v="63"/>
    <n v="0.69"/>
    <n v="1102153.83"/>
    <n v="67127.42"/>
    <n v="1169281.25"/>
    <n v="22001.49"/>
    <n v="331645.17"/>
    <n v="0.69"/>
    <n v="31936.49"/>
    <n v="0"/>
    <n v="0"/>
    <x v="0"/>
    <n v="5"/>
  </r>
  <r>
    <n v="31655"/>
    <n v="3204658"/>
    <x v="64"/>
    <n v="0.48"/>
    <n v="774056.01"/>
    <n v="47144.41"/>
    <n v="821200.42"/>
    <n v="15451.91"/>
    <n v="90092.35"/>
    <n v="0.48"/>
    <n v="22429.38"/>
    <n v="0"/>
    <n v="0"/>
    <x v="0"/>
    <n v="5"/>
  </r>
  <r>
    <n v="31656"/>
    <n v="3204708"/>
    <x v="65"/>
    <n v="0.7"/>
    <n v="1119673.6200000001"/>
    <n v="68194.45"/>
    <n v="1187868.07"/>
    <n v="22351.22"/>
    <n v="361105.4"/>
    <n v="0.7"/>
    <n v="32444.15"/>
    <n v="0"/>
    <n v="0"/>
    <x v="0"/>
    <n v="5"/>
  </r>
  <r>
    <n v="31657"/>
    <n v="3204807"/>
    <x v="66"/>
    <n v="0.26"/>
    <n v="415696.76"/>
    <n v="25318.28"/>
    <n v="441015.03999999998"/>
    <n v="8298.25"/>
    <n v="86848.91"/>
    <n v="0.26"/>
    <n v="12045.41"/>
    <n v="0"/>
    <n v="0"/>
    <x v="0"/>
    <n v="5"/>
  </r>
  <r>
    <n v="31658"/>
    <n v="3204906"/>
    <x v="67"/>
    <n v="1.94"/>
    <n v="3091445.93"/>
    <n v="188286.63"/>
    <n v="3279732.56"/>
    <n v="61712.26"/>
    <n v="1169158.3700000001"/>
    <n v="1.94"/>
    <n v="89579.08"/>
    <n v="0"/>
    <n v="0"/>
    <x v="0"/>
    <n v="5"/>
  </r>
  <r>
    <n v="31659"/>
    <n v="3204955"/>
    <x v="68"/>
    <n v="0.32"/>
    <n v="522408.16"/>
    <n v="31817.62"/>
    <n v="554225.78"/>
    <n v="10428.450000000001"/>
    <n v="111382.49"/>
    <n v="0.32"/>
    <n v="15137.53"/>
    <n v="0"/>
    <n v="0"/>
    <x v="0"/>
    <n v="5"/>
  </r>
  <r>
    <n v="31660"/>
    <n v="3205002"/>
    <x v="69"/>
    <n v="14.13"/>
    <n v="22504961.809999999"/>
    <n v="1370680.07"/>
    <n v="23875641.879999999"/>
    <n v="449250.01"/>
    <n v="4757973.1100000003"/>
    <n v="14.13"/>
    <n v="652113.55000000005"/>
    <n v="0"/>
    <n v="0"/>
    <x v="0"/>
    <n v="5"/>
  </r>
  <r>
    <n v="31661"/>
    <n v="3205010"/>
    <x v="70"/>
    <n v="0.71"/>
    <n v="1134007.97"/>
    <n v="69067.539999999994"/>
    <n v="1203075.51"/>
    <n v="22637.37"/>
    <n v="179371.96"/>
    <n v="0.71"/>
    <n v="32859.51"/>
    <n v="0"/>
    <n v="0"/>
    <x v="0"/>
    <n v="5"/>
  </r>
  <r>
    <n v="31662"/>
    <n v="3205036"/>
    <x v="71"/>
    <n v="0.49"/>
    <n v="789983.09"/>
    <n v="48114.48"/>
    <n v="838097.57"/>
    <n v="15769.85"/>
    <n v="208051.05"/>
    <n v="0.49"/>
    <n v="22890.89"/>
    <n v="0"/>
    <n v="0"/>
    <x v="0"/>
    <n v="5"/>
  </r>
  <r>
    <n v="31663"/>
    <n v="3205069"/>
    <x v="72"/>
    <n v="0.72"/>
    <n v="1161084.01"/>
    <n v="70716.62"/>
    <n v="1231800.6299999999"/>
    <n v="23177.87"/>
    <n v="426925.34"/>
    <n v="0.72"/>
    <n v="33644.07"/>
    <n v="0"/>
    <n v="0"/>
    <x v="0"/>
    <n v="5"/>
  </r>
  <r>
    <n v="31664"/>
    <n v="2112803"/>
    <x v="73"/>
    <n v="2"/>
    <n v="3198157.35"/>
    <n v="194785.96"/>
    <n v="3392943.31"/>
    <n v="63842.46"/>
    <n v="739256.55"/>
    <n v="2"/>
    <n v="92671.2"/>
    <n v="0"/>
    <n v="0"/>
    <x v="0"/>
    <n v="5"/>
  </r>
  <r>
    <n v="31665"/>
    <n v="3205150"/>
    <x v="74"/>
    <n v="0.32"/>
    <n v="524000.89"/>
    <n v="31914.639999999999"/>
    <n v="555915.53"/>
    <n v="10460.24"/>
    <n v="77794.240000000005"/>
    <n v="0.32"/>
    <n v="15183.68"/>
    <n v="0"/>
    <n v="0"/>
    <x v="0"/>
    <n v="5"/>
  </r>
  <r>
    <n v="31666"/>
    <n v="3205176"/>
    <x v="75"/>
    <n v="0.57999999999999996"/>
    <n v="938104.92"/>
    <n v="57135.93"/>
    <n v="995240.85"/>
    <n v="18726.7"/>
    <n v="185161.59"/>
    <n v="0.57999999999999996"/>
    <n v="27182.94"/>
    <n v="0"/>
    <n v="0"/>
    <x v="0"/>
    <n v="5"/>
  </r>
  <r>
    <n v="31667"/>
    <n v="3205200"/>
    <x v="76"/>
    <n v="6.05"/>
    <n v="9643845.9900000002"/>
    <n v="587365.04"/>
    <n v="10231211.029999999"/>
    <n v="192513.01"/>
    <n v="6269357.5300000003"/>
    <n v="6.05"/>
    <n v="279444.27"/>
    <n v="0"/>
    <n v="0"/>
    <x v="0"/>
    <n v="5"/>
  </r>
  <r>
    <n v="31668"/>
    <n v="3205309"/>
    <x v="77"/>
    <n v="15.31"/>
    <n v="24385949.640000001"/>
    <n v="1485243.05"/>
    <n v="25871192.690000001"/>
    <n v="486798.79"/>
    <n v="6116503.1200000001"/>
    <n v="15.31"/>
    <n v="706617.89"/>
    <n v="0"/>
    <n v="0"/>
    <x v="0"/>
    <n v="5"/>
  </r>
  <r>
    <n v="31825"/>
    <n v="3200102"/>
    <x v="0"/>
    <n v="0.82"/>
    <n v="1651938.88"/>
    <n v="22200.87"/>
    <n v="1674139.75"/>
    <n v="27257.32"/>
    <n v="235491.46"/>
    <n v="0.82"/>
    <n v="20187.61"/>
    <n v="0"/>
    <n v="0"/>
    <x v="0"/>
    <n v="6"/>
  </r>
  <r>
    <n v="31826"/>
    <n v="3200169"/>
    <x v="1"/>
    <n v="0.31"/>
    <n v="623752.81000000006"/>
    <n v="8382.77"/>
    <n v="632135.57999999996"/>
    <n v="10292.040000000001"/>
    <n v="96501.59"/>
    <n v="0.31"/>
    <n v="7622.61"/>
    <n v="0"/>
    <n v="0"/>
    <x v="0"/>
    <n v="6"/>
  </r>
  <r>
    <n v="31827"/>
    <n v="3200136"/>
    <x v="2"/>
    <n v="0.41"/>
    <n v="841060.24"/>
    <n v="11303.24"/>
    <n v="852363.48"/>
    <n v="13877.66"/>
    <n v="86141.62"/>
    <n v="0.41"/>
    <n v="10278.23"/>
    <n v="0"/>
    <n v="0"/>
    <x v="0"/>
    <n v="6"/>
  </r>
  <r>
    <n v="31828"/>
    <n v="3200201"/>
    <x v="3"/>
    <n v="0.52"/>
    <n v="1058367.6599999999"/>
    <n v="14223.69"/>
    <n v="1072591.3500000001"/>
    <n v="17463.27"/>
    <n v="244925.33"/>
    <n v="0.52"/>
    <n v="12933.84"/>
    <n v="0"/>
    <n v="0"/>
    <x v="0"/>
    <n v="6"/>
  </r>
  <r>
    <n v="31829"/>
    <n v="3200300"/>
    <x v="4"/>
    <n v="0.51"/>
    <n v="1026173.95"/>
    <n v="13791.03"/>
    <n v="1039964.98"/>
    <n v="16932.07"/>
    <n v="232262.79"/>
    <n v="0.51"/>
    <n v="12540.42"/>
    <n v="0"/>
    <n v="0"/>
    <x v="0"/>
    <n v="6"/>
  </r>
  <r>
    <n v="31830"/>
    <n v="3200359"/>
    <x v="5"/>
    <n v="0.22"/>
    <n v="452723.8"/>
    <n v="6084.27"/>
    <n v="458808.07"/>
    <n v="7470.03"/>
    <n v="59527.85"/>
    <n v="0.22"/>
    <n v="5532.53"/>
    <n v="0"/>
    <n v="0"/>
    <x v="0"/>
    <n v="6"/>
  </r>
  <r>
    <n v="31831"/>
    <n v="3200409"/>
    <x v="6"/>
    <n v="2.65"/>
    <n v="5338116.8099999996"/>
    <n v="71740.42"/>
    <n v="5409857.2300000004"/>
    <n v="88079.98"/>
    <n v="285514.96000000002"/>
    <n v="2.65"/>
    <n v="65234.78"/>
    <n v="0"/>
    <n v="0"/>
    <x v="0"/>
    <n v="6"/>
  </r>
  <r>
    <n v="31832"/>
    <n v="3200508"/>
    <x v="7"/>
    <n v="0.19"/>
    <n v="390348.53"/>
    <n v="5246"/>
    <n v="395594.53"/>
    <n v="6440.83"/>
    <n v="80765.36"/>
    <n v="0.19"/>
    <n v="4770.28"/>
    <n v="0"/>
    <n v="0"/>
    <x v="0"/>
    <n v="6"/>
  </r>
  <r>
    <n v="31833"/>
    <n v="3200607"/>
    <x v="8"/>
    <n v="3.34"/>
    <n v="6736530.3399999999"/>
    <n v="90534.1"/>
    <n v="6827064.4400000004"/>
    <n v="111154.07"/>
    <n v="1009696.17"/>
    <n v="3.34"/>
    <n v="82324.160000000003"/>
    <n v="0"/>
    <n v="0"/>
    <x v="0"/>
    <n v="6"/>
  </r>
  <r>
    <n v="31834"/>
    <n v="3200706"/>
    <x v="9"/>
    <n v="0.37"/>
    <n v="762588.11"/>
    <n v="10248.629999999999"/>
    <n v="772836.74"/>
    <n v="12582.85"/>
    <n v="81905.789999999994"/>
    <n v="0.37"/>
    <n v="9319.25"/>
    <n v="0"/>
    <n v="0"/>
    <x v="0"/>
    <n v="6"/>
  </r>
  <r>
    <n v="31835"/>
    <n v="3200805"/>
    <x v="10"/>
    <n v="0.69"/>
    <n v="1394389.34"/>
    <n v="18739.560000000001"/>
    <n v="1413128.9"/>
    <n v="23007.7"/>
    <n v="371097.02"/>
    <n v="0.69"/>
    <n v="17040.22"/>
    <n v="0"/>
    <n v="0"/>
    <x v="0"/>
    <n v="6"/>
  </r>
  <r>
    <n v="31836"/>
    <n v="3200904"/>
    <x v="11"/>
    <n v="0.94"/>
    <n v="1901440.02"/>
    <n v="25553.99"/>
    <n v="1926994.01"/>
    <n v="31374.13"/>
    <n v="468691.7"/>
    <n v="0.94"/>
    <n v="23236.66"/>
    <n v="0"/>
    <n v="0"/>
    <x v="0"/>
    <n v="6"/>
  </r>
  <r>
    <n v="31837"/>
    <n v="3107109"/>
    <x v="12"/>
    <n v="0.4"/>
    <n v="812890.75"/>
    <n v="10924.67"/>
    <n v="823815.42"/>
    <n v="13412.86"/>
    <n v="110102.39999999999"/>
    <n v="0.4"/>
    <n v="9933.98"/>
    <n v="0"/>
    <n v="0"/>
    <x v="0"/>
    <n v="6"/>
  </r>
  <r>
    <n v="31838"/>
    <n v="3201100"/>
    <x v="13"/>
    <n v="0.18"/>
    <n v="364191.17"/>
    <n v="4894.47"/>
    <n v="369085.64"/>
    <n v="6009.23"/>
    <n v="255218.62"/>
    <n v="0.18"/>
    <n v="4450.62"/>
    <n v="0"/>
    <n v="0"/>
    <x v="0"/>
    <n v="6"/>
  </r>
  <r>
    <n v="31839"/>
    <n v="3201159"/>
    <x v="14"/>
    <n v="0.43"/>
    <n v="879290.25"/>
    <n v="11817.03"/>
    <n v="891107.28"/>
    <n v="14508.46"/>
    <n v="77949.53"/>
    <n v="0.43"/>
    <n v="10745.42"/>
    <n v="0"/>
    <n v="0"/>
    <x v="0"/>
    <n v="6"/>
  </r>
  <r>
    <n v="31840"/>
    <n v="3201209"/>
    <x v="15"/>
    <n v="3.37"/>
    <n v="6790857.1900000004"/>
    <n v="91264.21"/>
    <n v="6882121.4000000004"/>
    <n v="112050.48"/>
    <n v="2219750.02"/>
    <n v="3.37"/>
    <n v="82988.070000000007"/>
    <n v="0"/>
    <n v="0"/>
    <x v="0"/>
    <n v="6"/>
  </r>
  <r>
    <n v="31841"/>
    <n v="3201308"/>
    <x v="16"/>
    <n v="5.99"/>
    <n v="12054526.060000001"/>
    <n v="162004.07"/>
    <n v="12216530.130000001"/>
    <n v="198902.05"/>
    <n v="3192937.83"/>
    <n v="5.99"/>
    <n v="147313.04"/>
    <n v="0"/>
    <n v="0"/>
    <x v="0"/>
    <n v="6"/>
  </r>
  <r>
    <n v="31842"/>
    <n v="3201407"/>
    <x v="17"/>
    <n v="0.93"/>
    <n v="1885343.17"/>
    <n v="25337.64"/>
    <n v="1910680.81"/>
    <n v="31108.53"/>
    <n v="470158.92"/>
    <n v="0.93"/>
    <n v="23039.95"/>
    <n v="0"/>
    <n v="0"/>
    <x v="0"/>
    <n v="6"/>
  </r>
  <r>
    <n v="31843"/>
    <n v="3201506"/>
    <x v="18"/>
    <n v="2.25"/>
    <n v="4537298.67"/>
    <n v="60978"/>
    <n v="4598276.67"/>
    <n v="74866.320000000007"/>
    <n v="1389029.15"/>
    <n v="2.25"/>
    <n v="55448.33"/>
    <n v="0"/>
    <n v="0"/>
    <x v="0"/>
    <n v="6"/>
  </r>
  <r>
    <n v="31844"/>
    <n v="3201605"/>
    <x v="19"/>
    <n v="0.55000000000000004"/>
    <n v="1112694.5"/>
    <n v="14953.81"/>
    <n v="1127648.31"/>
    <n v="18359.68"/>
    <n v="149279.65"/>
    <n v="0.55000000000000004"/>
    <n v="13597.75"/>
    <n v="0"/>
    <n v="0"/>
    <x v="0"/>
    <n v="6"/>
  </r>
  <r>
    <n v="31845"/>
    <n v="3201704"/>
    <x v="20"/>
    <n v="0.45"/>
    <n v="919532.35"/>
    <n v="12357.87"/>
    <n v="931890.22"/>
    <n v="15172.46"/>
    <n v="94704.34"/>
    <n v="0.45"/>
    <n v="11237.2"/>
    <n v="0"/>
    <n v="0"/>
    <x v="0"/>
    <n v="6"/>
  </r>
  <r>
    <n v="31846"/>
    <n v="3201803"/>
    <x v="21"/>
    <n v="0.18"/>
    <n v="374251.72"/>
    <n v="5029.68"/>
    <n v="379281.4"/>
    <n v="6175.23"/>
    <n v="24070.1"/>
    <n v="0.18"/>
    <n v="4573.57"/>
    <n v="0"/>
    <n v="0"/>
    <x v="0"/>
    <n v="6"/>
  </r>
  <r>
    <n v="31847"/>
    <n v="3201902"/>
    <x v="22"/>
    <n v="1.28"/>
    <n v="2579519.67"/>
    <n v="34666.879999999997"/>
    <n v="2614186.5499999998"/>
    <n v="42562.58"/>
    <n v="419172.27"/>
    <n v="1.28"/>
    <n v="31523.17"/>
    <n v="0"/>
    <n v="0"/>
    <x v="0"/>
    <n v="6"/>
  </r>
  <r>
    <n v="31848"/>
    <n v="3202009"/>
    <x v="23"/>
    <n v="0.25"/>
    <n v="503026.47"/>
    <n v="6760.32"/>
    <n v="509786.79"/>
    <n v="8300.0400000000009"/>
    <n v="68519.259999999995"/>
    <n v="0.25"/>
    <n v="6147.27"/>
    <n v="0"/>
    <n v="0"/>
    <x v="0"/>
    <n v="6"/>
  </r>
  <r>
    <n v="31849"/>
    <n v="3202108"/>
    <x v="24"/>
    <n v="0.72"/>
    <n v="1450728.3"/>
    <n v="19496.75"/>
    <n v="1470225.05"/>
    <n v="23937.3"/>
    <n v="153652.10999999999"/>
    <n v="0.72"/>
    <n v="17728.71"/>
    <n v="0"/>
    <n v="0"/>
    <x v="0"/>
    <n v="6"/>
  </r>
  <r>
    <n v="31850"/>
    <n v="3202207"/>
    <x v="25"/>
    <n v="0.35"/>
    <n v="712285.45"/>
    <n v="9572.6200000000008"/>
    <n v="721858.07"/>
    <n v="11752.85"/>
    <n v="170107.89"/>
    <n v="0.35"/>
    <n v="8704.52"/>
    <n v="0"/>
    <n v="0"/>
    <x v="0"/>
    <n v="6"/>
  </r>
  <r>
    <n v="31851"/>
    <n v="3202256"/>
    <x v="26"/>
    <n v="0.43"/>
    <n v="865205.51"/>
    <n v="11627.72"/>
    <n v="876833.23"/>
    <n v="14276.06"/>
    <n v="91634.51"/>
    <n v="0.43"/>
    <n v="10573.3"/>
    <n v="0"/>
    <n v="0"/>
    <x v="0"/>
    <n v="6"/>
  </r>
  <r>
    <n v="31852"/>
    <n v="3202306"/>
    <x v="27"/>
    <n v="0.41"/>
    <n v="837036.02"/>
    <n v="11249.16"/>
    <n v="848285.18"/>
    <n v="13811.26"/>
    <n v="371296.4"/>
    <n v="0.41"/>
    <n v="10229.049999999999"/>
    <n v="0"/>
    <n v="0"/>
    <x v="0"/>
    <n v="6"/>
  </r>
  <r>
    <n v="31853"/>
    <n v="3202405"/>
    <x v="28"/>
    <n v="0.99"/>
    <n v="2002045.3"/>
    <n v="26906.05"/>
    <n v="2028951.35"/>
    <n v="33034.14"/>
    <n v="2064429"/>
    <n v="0.99"/>
    <n v="24466.12"/>
    <n v="0"/>
    <n v="0"/>
    <x v="0"/>
    <n v="6"/>
  </r>
  <r>
    <n v="31854"/>
    <n v="3202454"/>
    <x v="29"/>
    <n v="0.41"/>
    <n v="839048.15"/>
    <n v="11276.19"/>
    <n v="850324.34"/>
    <n v="13844.46"/>
    <n v="219636"/>
    <n v="0.41"/>
    <n v="10253.64"/>
    <n v="0"/>
    <n v="0"/>
    <x v="0"/>
    <n v="6"/>
  </r>
  <r>
    <n v="31855"/>
    <n v="3202504"/>
    <x v="30"/>
    <n v="0.25"/>
    <n v="519123.31"/>
    <n v="6976.65"/>
    <n v="526099.96"/>
    <n v="8565.64"/>
    <n v="143835.99"/>
    <n v="0.25"/>
    <n v="6343.97"/>
    <n v="0"/>
    <n v="0"/>
    <x v="0"/>
    <n v="6"/>
  </r>
  <r>
    <n v="31856"/>
    <n v="3202553"/>
    <x v="31"/>
    <n v="0.25"/>
    <n v="507050.68"/>
    <n v="6814.42"/>
    <n v="513865.1"/>
    <n v="8366.44"/>
    <n v="54729.279999999999"/>
    <n v="0.25"/>
    <n v="6196.45"/>
    <n v="0"/>
    <n v="0"/>
    <x v="0"/>
    <n v="6"/>
  </r>
  <r>
    <n v="31857"/>
    <n v="3202603"/>
    <x v="32"/>
    <n v="0.4"/>
    <n v="822951.29"/>
    <n v="11059.88"/>
    <n v="834011.17"/>
    <n v="13578.86"/>
    <n v="255313.12"/>
    <n v="0.4"/>
    <n v="10056.92"/>
    <n v="0"/>
    <n v="0"/>
    <x v="0"/>
    <n v="6"/>
  </r>
  <r>
    <n v="31858"/>
    <n v="3202652"/>
    <x v="33"/>
    <n v="0.28000000000000003"/>
    <n v="579486.47"/>
    <n v="7787.9"/>
    <n v="587274.37"/>
    <n v="9561.64"/>
    <n v="95916.2"/>
    <n v="0.28000000000000003"/>
    <n v="7081.65"/>
    <n v="0"/>
    <n v="0"/>
    <x v="0"/>
    <n v="6"/>
  </r>
  <r>
    <n v="31859"/>
    <n v="3202702"/>
    <x v="34"/>
    <n v="0.38"/>
    <n v="770636.51"/>
    <n v="10356.790000000001"/>
    <n v="780993.3"/>
    <n v="12715.65"/>
    <n v="96279.65"/>
    <n v="0.38"/>
    <n v="9417.61"/>
    <n v="0"/>
    <n v="0"/>
    <x v="0"/>
    <n v="6"/>
  </r>
  <r>
    <n v="31860"/>
    <n v="3202801"/>
    <x v="35"/>
    <n v="2.59"/>
    <n v="5227450.95"/>
    <n v="70253.149999999994"/>
    <n v="5297704.0999999996"/>
    <n v="86253.97"/>
    <n v="263602.59000000003"/>
    <n v="2.59"/>
    <n v="63882.38"/>
    <n v="0"/>
    <n v="0"/>
    <x v="0"/>
    <n v="6"/>
  </r>
  <r>
    <n v="31861"/>
    <n v="3202900"/>
    <x v="36"/>
    <n v="0.34"/>
    <n v="696188.6"/>
    <n v="9356.2800000000007"/>
    <n v="705544.88"/>
    <n v="11487.25"/>
    <n v="93818.49"/>
    <n v="0.34"/>
    <n v="8507.81"/>
    <n v="0"/>
    <n v="0"/>
    <x v="0"/>
    <n v="6"/>
  </r>
  <r>
    <n v="31862"/>
    <n v="3203007"/>
    <x v="37"/>
    <n v="0.45"/>
    <n v="913496.03"/>
    <n v="12276.72"/>
    <n v="925772.75"/>
    <n v="15072.86"/>
    <n v="228536.85"/>
    <n v="0.45"/>
    <n v="11163.43"/>
    <n v="0"/>
    <n v="0"/>
    <x v="0"/>
    <n v="6"/>
  </r>
  <r>
    <n v="31863"/>
    <n v="3203056"/>
    <x v="38"/>
    <n v="0.84"/>
    <n v="1702241.54"/>
    <n v="22876.880000000001"/>
    <n v="1725118.42"/>
    <n v="28087.32"/>
    <n v="254162.34"/>
    <n v="0.84"/>
    <n v="20802.349999999999"/>
    <n v="0"/>
    <n v="0"/>
    <x v="0"/>
    <n v="6"/>
  </r>
  <r>
    <n v="31864"/>
    <n v="3203106"/>
    <x v="39"/>
    <n v="0.22"/>
    <n v="452723.8"/>
    <n v="6084.27"/>
    <n v="458808.07"/>
    <n v="7470.03"/>
    <n v="75325.09"/>
    <n v="0.22"/>
    <n v="5532.53"/>
    <n v="0"/>
    <n v="0"/>
    <x v="0"/>
    <n v="6"/>
  </r>
  <r>
    <n v="31865"/>
    <n v="3203130"/>
    <x v="40"/>
    <n v="0.43"/>
    <n v="875266.05"/>
    <n v="11762.93"/>
    <n v="887028.98"/>
    <n v="14442.06"/>
    <n v="168068.72"/>
    <n v="0.43"/>
    <n v="10696.25"/>
    <n v="0"/>
    <n v="0"/>
    <x v="0"/>
    <n v="6"/>
  </r>
  <r>
    <n v="31866"/>
    <n v="3203163"/>
    <x v="41"/>
    <n v="0.38"/>
    <n v="782709.17"/>
    <n v="10519.06"/>
    <n v="793228.23"/>
    <n v="12914.86"/>
    <n v="79795.44"/>
    <n v="0.38"/>
    <n v="9565.14"/>
    <n v="0"/>
    <n v="0"/>
    <x v="0"/>
    <n v="6"/>
  </r>
  <r>
    <n v="31867"/>
    <n v="3203205"/>
    <x v="42"/>
    <n v="6.16"/>
    <n v="12400608.27"/>
    <n v="166655.17000000001"/>
    <n v="12567263.439999999"/>
    <n v="204612.47"/>
    <n v="1914230.61"/>
    <n v="6.16"/>
    <n v="151542.35999999999"/>
    <n v="0"/>
    <n v="0"/>
    <x v="0"/>
    <n v="6"/>
  </r>
  <r>
    <n v="31868"/>
    <n v="3203304"/>
    <x v="43"/>
    <n v="0.25"/>
    <n v="515099.1"/>
    <n v="6922.53"/>
    <n v="522021.63"/>
    <n v="8499.24"/>
    <n v="115510.59"/>
    <n v="0.25"/>
    <n v="6294.8"/>
    <n v="0"/>
    <n v="0"/>
    <x v="0"/>
    <n v="6"/>
  </r>
  <r>
    <n v="31869"/>
    <n v="3203320"/>
    <x v="44"/>
    <n v="0.61"/>
    <n v="1235432.99"/>
    <n v="16603.330000000002"/>
    <n v="1252036.32"/>
    <n v="20384.89"/>
    <n v="408040.75"/>
    <n v="0.61"/>
    <n v="15097.68"/>
    <n v="0"/>
    <n v="0"/>
    <x v="0"/>
    <n v="6"/>
  </r>
  <r>
    <n v="31870"/>
    <n v="3203346"/>
    <x v="45"/>
    <n v="0.71"/>
    <n v="1428595.16"/>
    <n v="19199.27"/>
    <n v="1447794.43"/>
    <n v="23572.1"/>
    <n v="234632.04"/>
    <n v="0.71"/>
    <n v="17458.23"/>
    <n v="0"/>
    <n v="0"/>
    <x v="0"/>
    <n v="6"/>
  </r>
  <r>
    <n v="31871"/>
    <n v="3203353"/>
    <x v="46"/>
    <n v="0.42"/>
    <n v="863193.42"/>
    <n v="11600.71"/>
    <n v="874794.13"/>
    <n v="14242.86"/>
    <n v="112998.89"/>
    <n v="0.42"/>
    <n v="10548.7"/>
    <n v="0"/>
    <n v="0"/>
    <x v="0"/>
    <n v="6"/>
  </r>
  <r>
    <n v="31872"/>
    <n v="3203403"/>
    <x v="47"/>
    <n v="0.51"/>
    <n v="1036234.51"/>
    <n v="13926.24"/>
    <n v="1050160.75"/>
    <n v="17098.07"/>
    <n v="209886.62"/>
    <n v="0.51"/>
    <n v="12663.36"/>
    <n v="0"/>
    <n v="0"/>
    <x v="0"/>
    <n v="6"/>
  </r>
  <r>
    <n v="31873"/>
    <n v="3203502"/>
    <x v="48"/>
    <n v="0.53"/>
    <n v="1068428.2"/>
    <n v="14358.91"/>
    <n v="1082787.1100000001"/>
    <n v="17629.28"/>
    <n v="139747.64000000001"/>
    <n v="0.53"/>
    <n v="13056.8"/>
    <n v="0"/>
    <n v="0"/>
    <x v="0"/>
    <n v="6"/>
  </r>
  <r>
    <n v="31874"/>
    <n v="3203601"/>
    <x v="49"/>
    <n v="0.28999999999999998"/>
    <n v="593571.21"/>
    <n v="7977.15"/>
    <n v="601548.36"/>
    <n v="9794.0400000000009"/>
    <n v="32855.599999999999"/>
    <n v="0.28999999999999998"/>
    <n v="7253.77"/>
    <n v="0"/>
    <n v="0"/>
    <x v="0"/>
    <n v="6"/>
  </r>
  <r>
    <n v="31875"/>
    <n v="3203700"/>
    <x v="50"/>
    <n v="0.51"/>
    <n v="1036234.51"/>
    <n v="13926.24"/>
    <n v="1050160.75"/>
    <n v="17098.07"/>
    <n v="116107.85"/>
    <n v="0.51"/>
    <n v="12663.36"/>
    <n v="0"/>
    <n v="0"/>
    <x v="0"/>
    <n v="6"/>
  </r>
  <r>
    <n v="31876"/>
    <n v="3203809"/>
    <x v="51"/>
    <n v="0.28999999999999998"/>
    <n v="591559.11"/>
    <n v="7950.11"/>
    <n v="599509.22"/>
    <n v="9760.84"/>
    <n v="89735.14"/>
    <n v="0.28999999999999998"/>
    <n v="7229.19"/>
    <n v="0"/>
    <n v="0"/>
    <x v="0"/>
    <n v="6"/>
  </r>
  <r>
    <n v="31877"/>
    <n v="3203908"/>
    <x v="52"/>
    <n v="1.22"/>
    <n v="2456781.23"/>
    <n v="33017.39"/>
    <n v="2489798.62"/>
    <n v="40537.370000000003"/>
    <n v="511670.19"/>
    <n v="1.22"/>
    <n v="30023.23"/>
    <n v="0"/>
    <n v="0"/>
    <x v="0"/>
    <n v="6"/>
  </r>
  <r>
    <n v="31878"/>
    <n v="3204005"/>
    <x v="53"/>
    <n v="0.45"/>
    <n v="907459.73"/>
    <n v="12195.58"/>
    <n v="919655.31"/>
    <n v="14973.26"/>
    <n v="112594.57"/>
    <n v="0.45"/>
    <n v="11089.66"/>
    <n v="0"/>
    <n v="0"/>
    <x v="0"/>
    <n v="6"/>
  </r>
  <r>
    <n v="31879"/>
    <n v="3204054"/>
    <x v="54"/>
    <n v="0.31"/>
    <n v="631801.22"/>
    <n v="8490.93"/>
    <n v="640292.15"/>
    <n v="10424.84"/>
    <n v="179027.8"/>
    <n v="0.31"/>
    <n v="7720.97"/>
    <n v="0"/>
    <n v="0"/>
    <x v="0"/>
    <n v="6"/>
  </r>
  <r>
    <n v="31880"/>
    <n v="3204104"/>
    <x v="55"/>
    <n v="0.65"/>
    <n v="1317929.33"/>
    <n v="17712.02"/>
    <n v="1335641.3500000001"/>
    <n v="21746.09"/>
    <n v="160773.49"/>
    <n v="0.65"/>
    <n v="16105.83"/>
    <n v="0"/>
    <n v="0"/>
    <x v="0"/>
    <n v="6"/>
  </r>
  <r>
    <n v="31881"/>
    <n v="3204203"/>
    <x v="56"/>
    <n v="0.28999999999999998"/>
    <n v="593571.21"/>
    <n v="7977.15"/>
    <n v="601548.36"/>
    <n v="9794.0400000000009"/>
    <n v="215308.82"/>
    <n v="0.28999999999999998"/>
    <n v="7253.77"/>
    <n v="0"/>
    <n v="0"/>
    <x v="0"/>
    <n v="6"/>
  </r>
  <r>
    <n v="31882"/>
    <n v="3204252"/>
    <x v="57"/>
    <n v="0.22"/>
    <n v="450711.71"/>
    <n v="6057.22"/>
    <n v="456768.93"/>
    <n v="7436.83"/>
    <n v="39474.480000000003"/>
    <n v="0.22"/>
    <n v="5507.95"/>
    <n v="0"/>
    <n v="0"/>
    <x v="0"/>
    <n v="6"/>
  </r>
  <r>
    <n v="31883"/>
    <n v="1718402"/>
    <x v="58"/>
    <n v="0.33"/>
    <n v="672043.35"/>
    <n v="9031.77"/>
    <n v="681075.12"/>
    <n v="11088.85"/>
    <n v="145698.5"/>
    <n v="0.33"/>
    <n v="8212.75"/>
    <n v="0"/>
    <n v="0"/>
    <x v="0"/>
    <n v="6"/>
  </r>
  <r>
    <n v="31884"/>
    <n v="3204351"/>
    <x v="59"/>
    <n v="0.81"/>
    <n v="1639866.25"/>
    <n v="22038.59"/>
    <n v="1661904.84"/>
    <n v="27058.12"/>
    <n v="212806.88"/>
    <n v="0.81"/>
    <n v="20040.080000000002"/>
    <n v="0"/>
    <n v="0"/>
    <x v="0"/>
    <n v="6"/>
  </r>
  <r>
    <n v="31885"/>
    <n v="3204401"/>
    <x v="60"/>
    <n v="0.26"/>
    <n v="529183.81999999995"/>
    <n v="7111.85"/>
    <n v="536295.67000000004"/>
    <n v="8731.64"/>
    <n v="114107.62"/>
    <n v="0.26"/>
    <n v="6466.92"/>
    <n v="0"/>
    <n v="0"/>
    <x v="0"/>
    <n v="6"/>
  </r>
  <r>
    <n v="31886"/>
    <n v="3204500"/>
    <x v="61"/>
    <n v="0.49"/>
    <n v="995992.38"/>
    <n v="13385.44"/>
    <n v="1009377.82"/>
    <n v="16434.07"/>
    <n v="98470.44"/>
    <n v="0.49"/>
    <n v="12171.58"/>
    <n v="0"/>
    <n v="0"/>
    <x v="0"/>
    <n v="6"/>
  </r>
  <r>
    <n v="31887"/>
    <n v="3204559"/>
    <x v="62"/>
    <n v="2.29"/>
    <n v="4617782.9000000004"/>
    <n v="62059.63"/>
    <n v="4679842.53"/>
    <n v="76194.33"/>
    <n v="592306.18999999994"/>
    <n v="2.29"/>
    <n v="56431.89"/>
    <n v="0"/>
    <n v="0"/>
    <x v="0"/>
    <n v="6"/>
  </r>
  <r>
    <n v="31888"/>
    <n v="3204609"/>
    <x v="63"/>
    <n v="0.69"/>
    <n v="1392377.23"/>
    <n v="18712.52"/>
    <n v="1411089.75"/>
    <n v="22974.5"/>
    <n v="283807.27"/>
    <n v="0.69"/>
    <n v="17015.63"/>
    <n v="0"/>
    <n v="0"/>
    <x v="0"/>
    <n v="6"/>
  </r>
  <r>
    <n v="31889"/>
    <n v="3204658"/>
    <x v="64"/>
    <n v="0.48"/>
    <n v="977883.45"/>
    <n v="13142.05"/>
    <n v="991025.5"/>
    <n v="16135.27"/>
    <n v="83158.11"/>
    <n v="0.48"/>
    <n v="11950.28"/>
    <n v="0"/>
    <n v="0"/>
    <x v="0"/>
    <n v="6"/>
  </r>
  <r>
    <n v="31890"/>
    <n v="3204708"/>
    <x v="65"/>
    <n v="0.7"/>
    <n v="1414510.42"/>
    <n v="19009.990000000002"/>
    <n v="1433520.41"/>
    <n v="23339.7"/>
    <n v="351870.45"/>
    <n v="0.7"/>
    <n v="17286.11"/>
    <n v="0"/>
    <n v="0"/>
    <x v="0"/>
    <n v="6"/>
  </r>
  <r>
    <n v="31891"/>
    <n v="3204807"/>
    <x v="66"/>
    <n v="0.26"/>
    <n v="525159.64"/>
    <n v="7057.75"/>
    <n v="532217.39"/>
    <n v="8665.24"/>
    <n v="81552.87"/>
    <n v="0.26"/>
    <n v="6417.75"/>
    <n v="0"/>
    <n v="0"/>
    <x v="0"/>
    <n v="6"/>
  </r>
  <r>
    <n v="31892"/>
    <n v="3204906"/>
    <x v="67"/>
    <n v="1.94"/>
    <n v="3905497.44"/>
    <n v="52487.06"/>
    <n v="3957984.5"/>
    <n v="64441.48"/>
    <n v="1137551.1000000001"/>
    <n v="1.94"/>
    <n v="47727.360000000001"/>
    <n v="0"/>
    <n v="0"/>
    <x v="0"/>
    <n v="6"/>
  </r>
  <r>
    <n v="31893"/>
    <n v="3204955"/>
    <x v="68"/>
    <n v="0.32"/>
    <n v="659970.72"/>
    <n v="8869.5400000000009"/>
    <n v="668840.26"/>
    <n v="10889.65"/>
    <n v="92153.59"/>
    <n v="0.32"/>
    <n v="8065.21"/>
    <n v="0"/>
    <n v="0"/>
    <x v="0"/>
    <n v="6"/>
  </r>
  <r>
    <n v="31894"/>
    <n v="3205002"/>
    <x v="69"/>
    <n v="14.13"/>
    <n v="28431055.43"/>
    <n v="382092.78"/>
    <n v="28813148.210000001"/>
    <n v="469118"/>
    <n v="5166187.78"/>
    <n v="14.13"/>
    <n v="347443.38"/>
    <n v="0"/>
    <n v="0"/>
    <x v="0"/>
    <n v="6"/>
  </r>
  <r>
    <n v="31895"/>
    <n v="3205010"/>
    <x v="70"/>
    <n v="0.71"/>
    <n v="1432619.37"/>
    <n v="19253.36"/>
    <n v="1451872.73"/>
    <n v="23638.5"/>
    <n v="184716.72"/>
    <n v="0.71"/>
    <n v="17507.41"/>
    <n v="0"/>
    <n v="0"/>
    <x v="0"/>
    <n v="6"/>
  </r>
  <r>
    <n v="31896"/>
    <n v="3205036"/>
    <x v="71"/>
    <n v="0.49"/>
    <n v="998004.51"/>
    <n v="13412.46"/>
    <n v="1011416.97"/>
    <n v="16467.27"/>
    <n v="176496.34"/>
    <n v="0.49"/>
    <n v="12196.18"/>
    <n v="0"/>
    <n v="0"/>
    <x v="0"/>
    <n v="6"/>
  </r>
  <r>
    <n v="31897"/>
    <n v="3205069"/>
    <x v="72"/>
    <n v="0.72"/>
    <n v="1466825.14"/>
    <n v="19713.080000000002"/>
    <n v="1486538.22"/>
    <n v="24202.9"/>
    <n v="355567.92"/>
    <n v="0.72"/>
    <n v="17925.419999999998"/>
    <n v="0"/>
    <n v="0"/>
    <x v="0"/>
    <n v="6"/>
  </r>
  <r>
    <n v="31898"/>
    <n v="2112803"/>
    <x v="73"/>
    <n v="2"/>
    <n v="4040308.53"/>
    <n v="54298.81"/>
    <n v="4094607.34"/>
    <n v="66665.88"/>
    <n v="615564.69999999995"/>
    <n v="2"/>
    <n v="49374.83"/>
    <n v="0"/>
    <n v="0"/>
    <x v="0"/>
    <n v="6"/>
  </r>
  <r>
    <n v="31899"/>
    <n v="3205150"/>
    <x v="74"/>
    <n v="0.32"/>
    <n v="661982.80000000005"/>
    <n v="8896.56"/>
    <n v="670879.36"/>
    <n v="10922.85"/>
    <n v="73620.97"/>
    <n v="0.32"/>
    <n v="8089.81"/>
    <n v="0"/>
    <n v="0"/>
    <x v="0"/>
    <n v="6"/>
  </r>
  <r>
    <n v="31900"/>
    <n v="3205176"/>
    <x v="75"/>
    <n v="0.57999999999999996"/>
    <n v="1185130.3400000001"/>
    <n v="15927.3"/>
    <n v="1201057.6399999999"/>
    <n v="19554.88"/>
    <n v="161917.85999999999"/>
    <n v="0.57999999999999996"/>
    <n v="14482.96"/>
    <n v="0"/>
    <n v="0"/>
    <x v="0"/>
    <n v="6"/>
  </r>
  <r>
    <n v="31901"/>
    <n v="3205200"/>
    <x v="76"/>
    <n v="6.05"/>
    <n v="12183300.82"/>
    <n v="163734.75"/>
    <n v="12347035.57"/>
    <n v="201026.86"/>
    <n v="6471334.7800000003"/>
    <n v="6.05"/>
    <n v="148886.74"/>
    <n v="0"/>
    <n v="0"/>
    <x v="0"/>
    <n v="6"/>
  </r>
  <r>
    <n v="31902"/>
    <n v="3205309"/>
    <x v="77"/>
    <n v="15.31"/>
    <n v="30807352.5"/>
    <n v="414028.52"/>
    <n v="31221381.02"/>
    <n v="508327.37"/>
    <n v="6436904.75"/>
    <n v="15.31"/>
    <n v="376482.98"/>
    <n v="0"/>
    <n v="0"/>
    <x v="0"/>
    <n v="6"/>
  </r>
  <r>
    <n v="32215"/>
    <n v="3200102"/>
    <x v="0"/>
    <n v="0.82"/>
    <n v="1764983.02"/>
    <n v="247342.23"/>
    <n v="2012325.25"/>
    <n v="29914.15"/>
    <n v="248116.76"/>
    <n v="0.82"/>
    <n v="36676.269999999997"/>
    <n v="0"/>
    <n v="0"/>
    <x v="0"/>
    <n v="7"/>
  </r>
  <r>
    <n v="32216"/>
    <n v="3200169"/>
    <x v="1"/>
    <n v="0.31"/>
    <n v="666436.92000000004"/>
    <n v="93393.52"/>
    <n v="759830.44"/>
    <n v="11295.23"/>
    <n v="80714.23"/>
    <n v="0.31"/>
    <n v="13848.53"/>
    <n v="0"/>
    <n v="0"/>
    <x v="0"/>
    <n v="7"/>
  </r>
  <r>
    <n v="32217"/>
    <n v="3200136"/>
    <x v="2"/>
    <n v="0.41"/>
    <n v="898614.99"/>
    <n v="125930.61"/>
    <n v="1024545.6"/>
    <n v="15230.35"/>
    <n v="67088.05"/>
    <n v="0.41"/>
    <n v="18673.18"/>
    <n v="0"/>
    <n v="0"/>
    <x v="0"/>
    <n v="7"/>
  </r>
  <r>
    <n v="32218"/>
    <n v="3200201"/>
    <x v="3"/>
    <n v="0.52"/>
    <n v="1130793"/>
    <n v="158467.73000000001"/>
    <n v="1289260.73"/>
    <n v="19165.46"/>
    <n v="250732.42"/>
    <n v="0.52"/>
    <n v="23497.83"/>
    <n v="0"/>
    <n v="0"/>
    <x v="0"/>
    <n v="7"/>
  </r>
  <r>
    <n v="32219"/>
    <n v="3200300"/>
    <x v="4"/>
    <n v="0.51"/>
    <n v="1096396.25"/>
    <n v="153647.41"/>
    <n v="1250043.6599999999"/>
    <n v="18582.48"/>
    <n v="206496.36"/>
    <n v="0.51"/>
    <n v="22783.07"/>
    <n v="0"/>
    <n v="0"/>
    <x v="0"/>
    <n v="7"/>
  </r>
  <r>
    <n v="32220"/>
    <n v="3200359"/>
    <x v="5"/>
    <n v="0.22"/>
    <n v="483704.24"/>
    <n v="67785.63"/>
    <n v="551489.87"/>
    <n v="8198.15"/>
    <n v="54374.54"/>
    <n v="0.22"/>
    <n v="10051.35"/>
    <n v="0"/>
    <n v="0"/>
    <x v="0"/>
    <n v="7"/>
  </r>
  <r>
    <n v="32221"/>
    <n v="3200409"/>
    <x v="6"/>
    <n v="2.65"/>
    <n v="5703410.4100000001"/>
    <n v="799267.87"/>
    <n v="6502678.2800000003"/>
    <n v="96665.35"/>
    <n v="284193.42"/>
    <n v="2.65"/>
    <n v="118516.61"/>
    <n v="0"/>
    <n v="0"/>
    <x v="0"/>
    <n v="7"/>
  </r>
  <r>
    <n v="32222"/>
    <n v="3200508"/>
    <x v="7"/>
    <n v="0.19"/>
    <n v="417060.53"/>
    <n v="58446.28"/>
    <n v="475506.81"/>
    <n v="7068.63"/>
    <n v="98750.91"/>
    <n v="0.19"/>
    <n v="8666.5"/>
    <n v="0"/>
    <n v="0"/>
    <x v="0"/>
    <n v="7"/>
  </r>
  <r>
    <n v="32223"/>
    <n v="3200607"/>
    <x v="8"/>
    <n v="3.34"/>
    <n v="7197519.0300000003"/>
    <n v="1008650.17"/>
    <n v="8206169.2000000002"/>
    <n v="121988.54"/>
    <n v="1054580.8600000001"/>
    <n v="3.34"/>
    <n v="149564.12"/>
    <n v="0"/>
    <n v="0"/>
    <x v="0"/>
    <n v="7"/>
  </r>
  <r>
    <n v="32224"/>
    <n v="3200706"/>
    <x v="9"/>
    <n v="0.37"/>
    <n v="814772.9"/>
    <n v="114181.11"/>
    <n v="928954.01"/>
    <n v="13809.34"/>
    <n v="71350.47"/>
    <n v="0.37"/>
    <n v="16930.939999999999"/>
    <n v="0"/>
    <n v="0"/>
    <x v="0"/>
    <n v="7"/>
  </r>
  <r>
    <n v="32225"/>
    <n v="3200805"/>
    <x v="10"/>
    <n v="0.69"/>
    <n v="1489809.08"/>
    <n v="208779.71"/>
    <n v="1698588.79"/>
    <n v="25250.32"/>
    <n v="342286.25"/>
    <n v="0.69"/>
    <n v="30958.16"/>
    <n v="0"/>
    <n v="0"/>
    <x v="0"/>
    <n v="7"/>
  </r>
  <r>
    <n v="32226"/>
    <n v="3200904"/>
    <x v="11"/>
    <n v="0.94"/>
    <n v="2031557.79"/>
    <n v="284699.62"/>
    <n v="2316257.41"/>
    <n v="34432.25"/>
    <n v="432664.25"/>
    <n v="0.94"/>
    <n v="42215.68"/>
    <n v="0"/>
    <n v="0"/>
    <x v="0"/>
    <n v="7"/>
  </r>
  <r>
    <n v="32227"/>
    <n v="3107109"/>
    <x v="12"/>
    <n v="0.4"/>
    <n v="868517.86"/>
    <n v="121712.88"/>
    <n v="990230.74"/>
    <n v="14720.24"/>
    <n v="95741.29"/>
    <n v="0.4"/>
    <n v="18047.759999999998"/>
    <n v="0"/>
    <n v="0"/>
    <x v="0"/>
    <n v="7"/>
  </r>
  <r>
    <n v="32228"/>
    <n v="3201100"/>
    <x v="13"/>
    <n v="0.18"/>
    <n v="389113.18"/>
    <n v="54529.78"/>
    <n v="443642.96"/>
    <n v="6594.96"/>
    <n v="232283.27"/>
    <n v="0.18"/>
    <n v="8085.75"/>
    <n v="0"/>
    <n v="0"/>
    <x v="0"/>
    <n v="7"/>
  </r>
  <r>
    <n v="32229"/>
    <n v="3201159"/>
    <x v="14"/>
    <n v="0.43"/>
    <n v="939461.12"/>
    <n v="131654.76"/>
    <n v="1071115.8799999999"/>
    <n v="15922.64"/>
    <n v="92937.85"/>
    <n v="0.43"/>
    <n v="19521.96"/>
    <n v="0"/>
    <n v="0"/>
    <x v="0"/>
    <n v="7"/>
  </r>
  <r>
    <n v="32230"/>
    <n v="3201209"/>
    <x v="15"/>
    <n v="3.37"/>
    <n v="7255563.5700000003"/>
    <n v="1016784.4"/>
    <n v="8272347.9699999997"/>
    <n v="122972.31"/>
    <n v="2357785.5299999998"/>
    <n v="3.37"/>
    <n v="150770.28"/>
    <n v="0"/>
    <n v="0"/>
    <x v="0"/>
    <n v="7"/>
  </r>
  <r>
    <n v="32231"/>
    <n v="3201308"/>
    <x v="16"/>
    <n v="5.99"/>
    <n v="12879431.439999999"/>
    <n v="1804905.3"/>
    <n v="14684336.74"/>
    <n v="218289.52"/>
    <n v="3536705.06"/>
    <n v="5.99"/>
    <n v="267634"/>
    <n v="0"/>
    <n v="0"/>
    <x v="0"/>
    <n v="7"/>
  </r>
  <r>
    <n v="32232"/>
    <n v="3201407"/>
    <x v="17"/>
    <n v="0.93"/>
    <n v="2014359.41"/>
    <n v="282289.46999999997"/>
    <n v="2296648.88"/>
    <n v="34140.76"/>
    <n v="454227.98"/>
    <n v="0.93"/>
    <n v="41858.300000000003"/>
    <n v="0"/>
    <n v="0"/>
    <x v="0"/>
    <n v="7"/>
  </r>
  <r>
    <n v="32233"/>
    <n v="3201506"/>
    <x v="18"/>
    <n v="2.25"/>
    <n v="4847791.34"/>
    <n v="679362.63"/>
    <n v="5527153.9699999997"/>
    <n v="82163.72"/>
    <n v="1553084.45"/>
    <n v="2.25"/>
    <n v="100736.89"/>
    <n v="0"/>
    <n v="0"/>
    <x v="0"/>
    <n v="7"/>
  </r>
  <r>
    <n v="32234"/>
    <n v="3201605"/>
    <x v="19"/>
    <n v="0.55000000000000004"/>
    <n v="1188837.52"/>
    <n v="166602.01999999999"/>
    <n v="1355439.54"/>
    <n v="20149.240000000002"/>
    <n v="145461.85999999999"/>
    <n v="0.55000000000000004"/>
    <n v="24703.99"/>
    <n v="0"/>
    <n v="0"/>
    <x v="0"/>
    <n v="7"/>
  </r>
  <r>
    <n v="32235"/>
    <n v="3201704"/>
    <x v="20"/>
    <n v="0.45"/>
    <n v="982457.07"/>
    <n v="137680.15"/>
    <n v="1120137.22"/>
    <n v="16651.36"/>
    <n v="92338.05"/>
    <n v="0.45"/>
    <n v="20415.41"/>
    <n v="0"/>
    <n v="0"/>
    <x v="0"/>
    <n v="7"/>
  </r>
  <r>
    <n v="32236"/>
    <n v="3201803"/>
    <x v="21"/>
    <n v="0.18"/>
    <n v="399862.15"/>
    <n v="56036.13"/>
    <n v="455898.28"/>
    <n v="6777.14"/>
    <n v="24409.38"/>
    <n v="0.18"/>
    <n v="8309.1200000000008"/>
    <n v="0"/>
    <n v="0"/>
    <x v="0"/>
    <n v="7"/>
  </r>
  <r>
    <n v="32237"/>
    <n v="3201902"/>
    <x v="22"/>
    <n v="1.28"/>
    <n v="2756039.24"/>
    <n v="386227.45"/>
    <n v="3142266.69"/>
    <n v="46711.26"/>
    <n v="391976.8"/>
    <n v="1.28"/>
    <n v="57270.37"/>
    <n v="0"/>
    <n v="0"/>
    <x v="0"/>
    <n v="7"/>
  </r>
  <r>
    <n v="32238"/>
    <n v="3202009"/>
    <x v="23"/>
    <n v="0.25"/>
    <n v="537449.16"/>
    <n v="75317.350000000006"/>
    <n v="612766.51"/>
    <n v="9109.06"/>
    <n v="68214.149999999994"/>
    <n v="0.25"/>
    <n v="11168.17"/>
    <n v="0"/>
    <n v="0"/>
    <x v="0"/>
    <n v="7"/>
  </r>
  <r>
    <n v="32239"/>
    <n v="3202108"/>
    <x v="24"/>
    <n v="0.72"/>
    <n v="1550003.35"/>
    <n v="217215.3"/>
    <n v="1767218.65"/>
    <n v="26270.53"/>
    <n v="159439.24"/>
    <n v="0.72"/>
    <n v="32209"/>
    <n v="0"/>
    <n v="0"/>
    <x v="0"/>
    <n v="7"/>
  </r>
  <r>
    <n v="32240"/>
    <n v="3202207"/>
    <x v="25"/>
    <n v="0.35"/>
    <n v="761028.01"/>
    <n v="106649.38"/>
    <n v="867677.39"/>
    <n v="12898.43"/>
    <n v="170145.5"/>
    <n v="0.35"/>
    <n v="15814.13"/>
    <n v="0"/>
    <n v="0"/>
    <x v="0"/>
    <n v="7"/>
  </r>
  <r>
    <n v="32241"/>
    <n v="3202256"/>
    <x v="26"/>
    <n v="0.43"/>
    <n v="924412.56"/>
    <n v="129545.87"/>
    <n v="1053958.43"/>
    <n v="15667.58"/>
    <n v="118049.74"/>
    <n v="0.43"/>
    <n v="19209.25"/>
    <n v="0"/>
    <n v="0"/>
    <x v="0"/>
    <n v="7"/>
  </r>
  <r>
    <n v="32242"/>
    <n v="3202306"/>
    <x v="27"/>
    <n v="0.41"/>
    <n v="894315.38"/>
    <n v="125328.09"/>
    <n v="1019643.47"/>
    <n v="15157.48"/>
    <n v="345213.19"/>
    <n v="0.41"/>
    <n v="18583.830000000002"/>
    <n v="0"/>
    <n v="0"/>
    <x v="0"/>
    <n v="7"/>
  </r>
  <r>
    <n v="32243"/>
    <n v="3202405"/>
    <x v="28"/>
    <n v="0.99"/>
    <n v="2139047.6"/>
    <n v="299763.11"/>
    <n v="2438810.71"/>
    <n v="36254.06"/>
    <n v="2102277.89"/>
    <n v="0.99"/>
    <n v="44449.31"/>
    <n v="0"/>
    <n v="0"/>
    <x v="0"/>
    <n v="7"/>
  </r>
  <r>
    <n v="32244"/>
    <n v="3202454"/>
    <x v="29"/>
    <n v="0.41"/>
    <n v="896465.18"/>
    <n v="125629.35"/>
    <n v="1022094.53"/>
    <n v="15193.91"/>
    <n v="220859.5"/>
    <n v="0.41"/>
    <n v="18628.509999999998"/>
    <n v="0"/>
    <n v="0"/>
    <x v="0"/>
    <n v="7"/>
  </r>
  <r>
    <n v="32245"/>
    <n v="3202504"/>
    <x v="30"/>
    <n v="0.25"/>
    <n v="554647.51"/>
    <n v="77727.53"/>
    <n v="632375.04000000004"/>
    <n v="9400.5499999999993"/>
    <n v="154227.38"/>
    <n v="0.25"/>
    <n v="11525.55"/>
    <n v="0"/>
    <n v="0"/>
    <x v="0"/>
    <n v="7"/>
  </r>
  <r>
    <n v="32246"/>
    <n v="3202553"/>
    <x v="31"/>
    <n v="0.25"/>
    <n v="541748.74"/>
    <n v="75919.94"/>
    <n v="617668.68000000005"/>
    <n v="9181.93"/>
    <n v="49315.33"/>
    <n v="0.25"/>
    <n v="11257.51"/>
    <n v="0"/>
    <n v="0"/>
    <x v="0"/>
    <n v="7"/>
  </r>
  <r>
    <n v="32247"/>
    <n v="3202603"/>
    <x v="32"/>
    <n v="0.4"/>
    <n v="879266.81"/>
    <n v="123219.22"/>
    <n v="1002486.03"/>
    <n v="14902.42"/>
    <n v="253809.78"/>
    <n v="0.4"/>
    <n v="18271.12"/>
    <n v="0"/>
    <n v="0"/>
    <x v="0"/>
    <n v="7"/>
  </r>
  <r>
    <n v="32248"/>
    <n v="3202652"/>
    <x v="33"/>
    <n v="0.28000000000000003"/>
    <n v="619141.43000000005"/>
    <n v="86765.59"/>
    <n v="705907.02"/>
    <n v="10493.64"/>
    <n v="91176.89"/>
    <n v="0.28000000000000003"/>
    <n v="12865.73"/>
    <n v="0"/>
    <n v="0"/>
    <x v="0"/>
    <n v="7"/>
  </r>
  <r>
    <n v="32249"/>
    <n v="3202702"/>
    <x v="34"/>
    <n v="0.38"/>
    <n v="823372.12"/>
    <n v="115386.21"/>
    <n v="938758.33"/>
    <n v="13955.08"/>
    <n v="97521.19"/>
    <n v="0.38"/>
    <n v="17109.64"/>
    <n v="0"/>
    <n v="0"/>
    <x v="0"/>
    <n v="7"/>
  </r>
  <r>
    <n v="32250"/>
    <n v="3202801"/>
    <x v="35"/>
    <n v="2.59"/>
    <n v="5585171.5800000001"/>
    <n v="782698.03"/>
    <n v="6367869.6100000003"/>
    <n v="94661.36"/>
    <n v="300902.03999999998"/>
    <n v="2.59"/>
    <n v="116059.61"/>
    <n v="0"/>
    <n v="0"/>
    <x v="0"/>
    <n v="7"/>
  </r>
  <r>
    <n v="32251"/>
    <n v="3202900"/>
    <x v="36"/>
    <n v="0.34"/>
    <n v="743829.63"/>
    <n v="104239.23"/>
    <n v="848068.86"/>
    <n v="12606.94"/>
    <n v="82071.839999999997"/>
    <n v="0.34"/>
    <n v="15456.75"/>
    <n v="0"/>
    <n v="0"/>
    <x v="0"/>
    <n v="7"/>
  </r>
  <r>
    <n v="32252"/>
    <n v="3203007"/>
    <x v="37"/>
    <n v="0.45"/>
    <n v="976007.66"/>
    <n v="136776.34"/>
    <n v="1112784"/>
    <n v="16542.05"/>
    <n v="234316.92"/>
    <n v="0.45"/>
    <n v="20281.400000000001"/>
    <n v="0"/>
    <n v="0"/>
    <x v="0"/>
    <n v="7"/>
  </r>
  <r>
    <n v="32253"/>
    <n v="3203056"/>
    <x v="38"/>
    <n v="0.84"/>
    <n v="1818727.93"/>
    <n v="254873.96"/>
    <n v="2073601.89"/>
    <n v="30825.06"/>
    <n v="264107"/>
    <n v="0.84"/>
    <n v="37793.08"/>
    <n v="0"/>
    <n v="0"/>
    <x v="0"/>
    <n v="7"/>
  </r>
  <r>
    <n v="32254"/>
    <n v="3203106"/>
    <x v="39"/>
    <n v="0.22"/>
    <n v="483704.24"/>
    <n v="67785.63"/>
    <n v="551489.87"/>
    <n v="8198.15"/>
    <n v="70970.77"/>
    <n v="0.22"/>
    <n v="10051.35"/>
    <n v="0"/>
    <n v="0"/>
    <x v="0"/>
    <n v="7"/>
  </r>
  <r>
    <n v="32255"/>
    <n v="3203130"/>
    <x v="40"/>
    <n v="0.43"/>
    <n v="935161.54"/>
    <n v="131052.22"/>
    <n v="1066213.76"/>
    <n v="15849.77"/>
    <n v="172387.47"/>
    <n v="0.43"/>
    <n v="19432.61"/>
    <n v="0"/>
    <n v="0"/>
    <x v="0"/>
    <n v="7"/>
  </r>
  <r>
    <n v="32256"/>
    <n v="3203163"/>
    <x v="41"/>
    <n v="0.38"/>
    <n v="836270.89"/>
    <n v="117193.8"/>
    <n v="953464.69"/>
    <n v="14173.7"/>
    <n v="70299.88"/>
    <n v="0.38"/>
    <n v="17377.669999999998"/>
    <n v="0"/>
    <n v="0"/>
    <x v="0"/>
    <n v="7"/>
  </r>
  <r>
    <n v="32257"/>
    <n v="3203205"/>
    <x v="42"/>
    <n v="6.16"/>
    <n v="13249196.470000001"/>
    <n v="1856723.66"/>
    <n v="15105920.130000001"/>
    <n v="224556.56"/>
    <n v="1991026.26"/>
    <n v="6.16"/>
    <n v="275317.71000000002"/>
    <n v="0"/>
    <n v="0"/>
    <x v="0"/>
    <n v="7"/>
  </r>
  <r>
    <n v="32258"/>
    <n v="3203304"/>
    <x v="43"/>
    <n v="0.25"/>
    <n v="550347.93000000005"/>
    <n v="77124.990000000005"/>
    <n v="627472.92000000004"/>
    <n v="9327.68"/>
    <n v="127533.25"/>
    <n v="0.25"/>
    <n v="11436.21"/>
    <n v="0"/>
    <n v="0"/>
    <x v="0"/>
    <n v="7"/>
  </r>
  <r>
    <n v="32259"/>
    <n v="3203320"/>
    <x v="44"/>
    <n v="0.61"/>
    <n v="1319975.1299999999"/>
    <n v="184979.45"/>
    <n v="1504954.58"/>
    <n v="22371.85"/>
    <n v="476766.18"/>
    <n v="0.61"/>
    <n v="27429.02"/>
    <n v="0"/>
    <n v="0"/>
    <x v="0"/>
    <n v="7"/>
  </r>
  <r>
    <n v="32260"/>
    <n v="3203346"/>
    <x v="45"/>
    <n v="0.71"/>
    <n v="1526355.58"/>
    <n v="213901.31"/>
    <n v="1740256.89"/>
    <n v="25869.73"/>
    <n v="236034.89"/>
    <n v="0.71"/>
    <n v="31717.599999999999"/>
    <n v="0"/>
    <n v="0"/>
    <x v="0"/>
    <n v="7"/>
  </r>
  <r>
    <n v="32261"/>
    <n v="3203353"/>
    <x v="46"/>
    <n v="0.42"/>
    <n v="922262.74"/>
    <n v="129244.59"/>
    <n v="1051507.33"/>
    <n v="15631.15"/>
    <n v="136367.31"/>
    <n v="0.42"/>
    <n v="19164.580000000002"/>
    <n v="0"/>
    <n v="0"/>
    <x v="0"/>
    <n v="7"/>
  </r>
  <r>
    <n v="32262"/>
    <n v="3203403"/>
    <x v="47"/>
    <n v="0.51"/>
    <n v="1107145.26"/>
    <n v="155153.75"/>
    <n v="1262299.01"/>
    <n v="18764.66"/>
    <n v="205054.2"/>
    <n v="0.51"/>
    <n v="23006.43"/>
    <n v="0"/>
    <n v="0"/>
    <x v="0"/>
    <n v="7"/>
  </r>
  <r>
    <n v="32263"/>
    <n v="3203502"/>
    <x v="48"/>
    <n v="0.53"/>
    <n v="1141541.99"/>
    <n v="159974.07999999999"/>
    <n v="1301516.07"/>
    <n v="19347.64"/>
    <n v="150459.1"/>
    <n v="0.53"/>
    <n v="23721.19"/>
    <n v="0"/>
    <n v="0"/>
    <x v="0"/>
    <n v="7"/>
  </r>
  <r>
    <n v="32264"/>
    <n v="3203601"/>
    <x v="49"/>
    <n v="0.28999999999999998"/>
    <n v="634189.99"/>
    <n v="88874.46"/>
    <n v="723064.45"/>
    <n v="10748.69"/>
    <n v="32067.279999999999"/>
    <n v="0.28999999999999998"/>
    <n v="13178.44"/>
    <n v="0"/>
    <n v="0"/>
    <x v="0"/>
    <n v="7"/>
  </r>
  <r>
    <n v="32265"/>
    <n v="3203700"/>
    <x v="50"/>
    <n v="0.51"/>
    <n v="1107145.26"/>
    <n v="155153.75"/>
    <n v="1262299.01"/>
    <n v="18764.66"/>
    <n v="100349.5"/>
    <n v="0.51"/>
    <n v="23006.43"/>
    <n v="0"/>
    <n v="0"/>
    <x v="0"/>
    <n v="7"/>
  </r>
  <r>
    <n v="32266"/>
    <n v="3203809"/>
    <x v="51"/>
    <n v="0.28999999999999998"/>
    <n v="632040.22"/>
    <n v="88573.21"/>
    <n v="720613.43"/>
    <n v="10712.25"/>
    <n v="108974.65"/>
    <n v="0.28999999999999998"/>
    <n v="13133.77"/>
    <n v="0"/>
    <n v="0"/>
    <x v="0"/>
    <n v="7"/>
  </r>
  <r>
    <n v="32267"/>
    <n v="3203908"/>
    <x v="52"/>
    <n v="1.22"/>
    <n v="2624901.66"/>
    <n v="367850"/>
    <n v="2992751.66"/>
    <n v="44488.65"/>
    <n v="498163.31"/>
    <n v="1.22"/>
    <n v="54545.34"/>
    <n v="0"/>
    <n v="0"/>
    <x v="0"/>
    <n v="7"/>
  </r>
  <r>
    <n v="32268"/>
    <n v="3204005"/>
    <x v="53"/>
    <n v="0.45"/>
    <n v="969558.27"/>
    <n v="135872.51"/>
    <n v="1105430.78"/>
    <n v="16432.740000000002"/>
    <n v="132070.96"/>
    <n v="0.45"/>
    <n v="20147.38"/>
    <n v="0"/>
    <n v="0"/>
    <x v="0"/>
    <n v="7"/>
  </r>
  <r>
    <n v="32269"/>
    <n v="3204054"/>
    <x v="54"/>
    <n v="0.31"/>
    <n v="675036.16000000003"/>
    <n v="94598.6"/>
    <n v="769634.76"/>
    <n v="11440.98"/>
    <n v="196580.07"/>
    <n v="0.31"/>
    <n v="14027.22"/>
    <n v="0"/>
    <n v="0"/>
    <x v="0"/>
    <n v="7"/>
  </r>
  <r>
    <n v="32270"/>
    <n v="3204104"/>
    <x v="55"/>
    <n v="0.65"/>
    <n v="1408116.76"/>
    <n v="197331.53"/>
    <n v="1605448.29"/>
    <n v="23865.74"/>
    <n v="191072.98"/>
    <n v="0.65"/>
    <n v="29260.6"/>
    <n v="0"/>
    <n v="0"/>
    <x v="0"/>
    <n v="7"/>
  </r>
  <r>
    <n v="32271"/>
    <n v="3204203"/>
    <x v="56"/>
    <n v="0.28999999999999998"/>
    <n v="634189.99"/>
    <n v="88874.46"/>
    <n v="723064.45"/>
    <n v="10748.69"/>
    <n v="242803.61"/>
    <n v="0.28999999999999998"/>
    <n v="13178.44"/>
    <n v="0"/>
    <n v="0"/>
    <x v="0"/>
    <n v="7"/>
  </r>
  <r>
    <n v="32272"/>
    <n v="3204252"/>
    <x v="57"/>
    <n v="0.22"/>
    <n v="481554.44"/>
    <n v="67484.350000000006"/>
    <n v="549038.79"/>
    <n v="8161.72"/>
    <n v="43803.53"/>
    <n v="0.22"/>
    <n v="10006.68"/>
    <n v="0"/>
    <n v="0"/>
    <x v="0"/>
    <n v="7"/>
  </r>
  <r>
    <n v="32273"/>
    <n v="1718402"/>
    <x v="58"/>
    <n v="0.33"/>
    <n v="718032.07"/>
    <n v="100624.03"/>
    <n v="818656.1"/>
    <n v="12169.7"/>
    <n v="141462.32999999999"/>
    <n v="0.33"/>
    <n v="14920.67"/>
    <n v="0"/>
    <n v="0"/>
    <x v="0"/>
    <n v="7"/>
  </r>
  <r>
    <n v="32274"/>
    <n v="3204351"/>
    <x v="59"/>
    <n v="0.81"/>
    <n v="1752084.23"/>
    <n v="245534.63"/>
    <n v="1997618.86"/>
    <n v="29695.54"/>
    <n v="205196.42"/>
    <n v="0.81"/>
    <n v="36408.230000000003"/>
    <n v="0"/>
    <n v="0"/>
    <x v="0"/>
    <n v="7"/>
  </r>
  <r>
    <n v="32275"/>
    <n v="3204401"/>
    <x v="60"/>
    <n v="0.26"/>
    <n v="565396.5"/>
    <n v="79233.87"/>
    <n v="644630.37"/>
    <n v="9582.73"/>
    <n v="108546.67"/>
    <n v="0.26"/>
    <n v="11748.91"/>
    <n v="0"/>
    <n v="0"/>
    <x v="0"/>
    <n v="7"/>
  </r>
  <r>
    <n v="32276"/>
    <n v="3204500"/>
    <x v="61"/>
    <n v="0.49"/>
    <n v="1064149.3500000001"/>
    <n v="149128.39000000001"/>
    <n v="1213277.74"/>
    <n v="18035.939999999999"/>
    <n v="81333.259999999995"/>
    <n v="0.49"/>
    <n v="22112.97"/>
    <n v="0"/>
    <n v="0"/>
    <x v="0"/>
    <n v="7"/>
  </r>
  <r>
    <n v="32277"/>
    <n v="3204559"/>
    <x v="62"/>
    <n v="2.29"/>
    <n v="4933783.21"/>
    <n v="691413.42"/>
    <n v="5625196.6299999999"/>
    <n v="83621.17"/>
    <n v="519877.25"/>
    <n v="2.29"/>
    <n v="102523.79"/>
    <n v="0"/>
    <n v="0"/>
    <x v="0"/>
    <n v="7"/>
  </r>
  <r>
    <n v="32278"/>
    <n v="3204609"/>
    <x v="63"/>
    <n v="0.69"/>
    <n v="1487659.28"/>
    <n v="208478.48"/>
    <n v="1696137.76"/>
    <n v="25213.88"/>
    <n v="300577.59999999998"/>
    <n v="0.69"/>
    <n v="30913.49"/>
    <n v="0"/>
    <n v="0"/>
    <x v="0"/>
    <n v="7"/>
  </r>
  <r>
    <n v="32279"/>
    <n v="3204658"/>
    <x v="64"/>
    <n v="0.48"/>
    <n v="1044801.15"/>
    <n v="146416.95000000001"/>
    <n v="1191218.1000000001"/>
    <n v="17708.009999999998"/>
    <n v="93968.36"/>
    <n v="0.48"/>
    <n v="21710.92"/>
    <n v="0"/>
    <n v="0"/>
    <x v="0"/>
    <n v="7"/>
  </r>
  <r>
    <n v="32280"/>
    <n v="3204708"/>
    <x v="65"/>
    <n v="0.7"/>
    <n v="1511307.01"/>
    <n v="211792.44"/>
    <n v="1723099.45"/>
    <n v="25614.68"/>
    <n v="357714.64"/>
    <n v="0.7"/>
    <n v="31404.89"/>
    <n v="0"/>
    <n v="0"/>
    <x v="0"/>
    <n v="7"/>
  </r>
  <r>
    <n v="32281"/>
    <n v="3204807"/>
    <x v="66"/>
    <n v="0.26"/>
    <n v="561096.91"/>
    <n v="78631.33"/>
    <n v="639728.24"/>
    <n v="9509.86"/>
    <n v="87818.38"/>
    <n v="0.26"/>
    <n v="11659.57"/>
    <n v="0"/>
    <n v="0"/>
    <x v="0"/>
    <n v="7"/>
  </r>
  <r>
    <n v="32282"/>
    <n v="3204906"/>
    <x v="67"/>
    <n v="1.94"/>
    <n v="4172755.2"/>
    <n v="584764.02"/>
    <n v="4757519.22"/>
    <n v="70722.740000000005"/>
    <n v="1196439.44"/>
    <n v="1.94"/>
    <n v="86709.67"/>
    <n v="0"/>
    <n v="0"/>
    <x v="0"/>
    <n v="7"/>
  </r>
  <r>
    <n v="32283"/>
    <n v="3204955"/>
    <x v="68"/>
    <n v="0.32"/>
    <n v="705133.29"/>
    <n v="98816.37"/>
    <n v="803949.66"/>
    <n v="11951.09"/>
    <n v="97870.49"/>
    <n v="0.32"/>
    <n v="14652.64"/>
    <n v="0"/>
    <n v="0"/>
    <x v="0"/>
    <n v="7"/>
  </r>
  <r>
    <n v="32284"/>
    <n v="3205002"/>
    <x v="69"/>
    <n v="14.13"/>
    <n v="30376626.02"/>
    <n v="4256937.4800000004"/>
    <n v="34633563.5"/>
    <n v="514844.09"/>
    <n v="5620659.4299999997"/>
    <n v="14.13"/>
    <n v="631224.92000000004"/>
    <n v="0"/>
    <n v="0"/>
    <x v="0"/>
    <n v="7"/>
  </r>
  <r>
    <n v="32285"/>
    <n v="3205010"/>
    <x v="70"/>
    <n v="0.71"/>
    <n v="1530655.21"/>
    <n v="214503.86"/>
    <n v="1745159.07"/>
    <n v="25942.6"/>
    <n v="200590.44"/>
    <n v="0.71"/>
    <n v="31806.95"/>
    <n v="0"/>
    <n v="0"/>
    <x v="0"/>
    <n v="7"/>
  </r>
  <r>
    <n v="32286"/>
    <n v="3205036"/>
    <x v="71"/>
    <n v="0.49"/>
    <n v="1066299.1200000001"/>
    <n v="149429.65"/>
    <n v="1215728.77"/>
    <n v="18072.38"/>
    <n v="195808.78"/>
    <n v="0.49"/>
    <n v="22157.65"/>
    <n v="0"/>
    <n v="0"/>
    <x v="0"/>
    <n v="7"/>
  </r>
  <r>
    <n v="32287"/>
    <n v="3205069"/>
    <x v="72"/>
    <n v="0.72"/>
    <n v="1567201.73"/>
    <n v="219625.45"/>
    <n v="1786827.18"/>
    <n v="26562.02"/>
    <n v="356550.87"/>
    <n v="0.72"/>
    <n v="32566.38"/>
    <n v="0"/>
    <n v="0"/>
    <x v="0"/>
    <n v="7"/>
  </r>
  <r>
    <n v="32288"/>
    <n v="2112803"/>
    <x v="73"/>
    <n v="2"/>
    <n v="4316791.5999999996"/>
    <n v="604949.05000000005"/>
    <n v="4921740.6500000004"/>
    <n v="73163.97"/>
    <n v="740695.24"/>
    <n v="2"/>
    <n v="89702.73"/>
    <n v="0"/>
    <n v="0"/>
    <x v="0"/>
    <n v="7"/>
  </r>
  <r>
    <n v="32289"/>
    <n v="3205150"/>
    <x v="74"/>
    <n v="0.32"/>
    <n v="707283.09"/>
    <n v="99117.66"/>
    <n v="806400.75"/>
    <n v="11987.52"/>
    <n v="73475.95"/>
    <n v="0.32"/>
    <n v="14697.31"/>
    <n v="0"/>
    <n v="0"/>
    <x v="0"/>
    <n v="7"/>
  </r>
  <r>
    <n v="32290"/>
    <n v="3205176"/>
    <x v="75"/>
    <n v="0.57999999999999996"/>
    <n v="1266230.19"/>
    <n v="177447.7"/>
    <n v="1443677.89"/>
    <n v="21460.95"/>
    <n v="153397.37"/>
    <n v="0.57999999999999996"/>
    <n v="26312.21"/>
    <n v="0"/>
    <n v="0"/>
    <x v="0"/>
    <n v="7"/>
  </r>
  <r>
    <n v="32291"/>
    <n v="3205200"/>
    <x v="76"/>
    <n v="6.05"/>
    <n v="13017018.460000001"/>
    <n v="1824186.58"/>
    <n v="14841205.039999999"/>
    <n v="220621.44"/>
    <n v="7150360.1399999997"/>
    <n v="6.05"/>
    <n v="270493.06"/>
    <n v="0"/>
    <n v="0"/>
    <x v="0"/>
    <n v="7"/>
  </r>
  <r>
    <n v="32292"/>
    <n v="3205309"/>
    <x v="77"/>
    <n v="15.31"/>
    <n v="32915535.66"/>
    <n v="4612736.8600000003"/>
    <n v="37528272.520000003"/>
    <n v="557875.29"/>
    <n v="7086916.6399999997"/>
    <n v="15.31"/>
    <n v="683983.35999999999"/>
    <n v="0"/>
    <n v="0"/>
    <x v="0"/>
    <n v="7"/>
  </r>
  <r>
    <n v="32293"/>
    <n v="3200102"/>
    <x v="0"/>
    <n v="0.82"/>
    <n v="1974108.7"/>
    <n v="124728.02"/>
    <n v="2098836.7200000002"/>
    <n v="32454.47"/>
    <n v="159168.88"/>
    <n v="0.82"/>
    <n v="47259.71"/>
    <n v="0"/>
    <n v="0"/>
    <x v="0"/>
    <n v="8"/>
  </r>
  <r>
    <n v="32294"/>
    <n v="3200169"/>
    <x v="1"/>
    <n v="0.31"/>
    <n v="745400.36"/>
    <n v="47095.839999999997"/>
    <n v="792496.2"/>
    <n v="12254.43"/>
    <n v="35714.400000000001"/>
    <n v="0.31"/>
    <n v="17844.71"/>
    <n v="0"/>
    <n v="0"/>
    <x v="0"/>
    <n v="8"/>
  </r>
  <r>
    <n v="32295"/>
    <n v="3200136"/>
    <x v="2"/>
    <n v="0.41"/>
    <n v="1005088.22"/>
    <n v="63503.4"/>
    <n v="1068591.6200000001"/>
    <n v="16523.71"/>
    <n v="36411.49"/>
    <n v="0.41"/>
    <n v="24061.58"/>
    <n v="0"/>
    <n v="0"/>
    <x v="0"/>
    <n v="8"/>
  </r>
  <r>
    <n v="32296"/>
    <n v="3200201"/>
    <x v="3"/>
    <n v="0.52"/>
    <n v="1264776.07"/>
    <n v="79911.03"/>
    <n v="1344687.1"/>
    <n v="20793"/>
    <n v="99350.26"/>
    <n v="0.52"/>
    <n v="30278.45"/>
    <n v="0"/>
    <n v="0"/>
    <x v="0"/>
    <n v="8"/>
  </r>
  <r>
    <n v="32297"/>
    <n v="3200300"/>
    <x v="4"/>
    <n v="0.51"/>
    <n v="1226303.8"/>
    <n v="77480.259999999995"/>
    <n v="1303784.06"/>
    <n v="20160.509999999998"/>
    <n v="101321.28"/>
    <n v="0.51"/>
    <n v="29357.43"/>
    <n v="0"/>
    <n v="0"/>
    <x v="0"/>
    <n v="8"/>
  </r>
  <r>
    <n v="32298"/>
    <n v="3200359"/>
    <x v="5"/>
    <n v="0.22"/>
    <n v="541016.38"/>
    <n v="34182.44"/>
    <n v="575198.81999999995"/>
    <n v="8894.34"/>
    <n v="37004.410000000003"/>
    <n v="0.22"/>
    <n v="12951.81"/>
    <n v="0"/>
    <n v="0"/>
    <x v="0"/>
    <n v="8"/>
  </r>
  <r>
    <n v="32299"/>
    <n v="3200409"/>
    <x v="6"/>
    <n v="2.65"/>
    <n v="6379184.2699999996"/>
    <n v="403049.22"/>
    <n v="6782233.4900000002"/>
    <n v="104874.19"/>
    <n v="140973.85999999999"/>
    <n v="2.65"/>
    <n v="152716.20000000001"/>
    <n v="0"/>
    <n v="0"/>
    <x v="0"/>
    <n v="8"/>
  </r>
  <r>
    <n v="32300"/>
    <n v="3200508"/>
    <x v="7"/>
    <n v="0.19"/>
    <n v="466476.34"/>
    <n v="29472.87"/>
    <n v="495949.21"/>
    <n v="7668.9"/>
    <n v="60580.03"/>
    <n v="0.19"/>
    <n v="11167.34"/>
    <n v="0"/>
    <n v="0"/>
    <x v="0"/>
    <n v="8"/>
  </r>
  <r>
    <n v="32301"/>
    <n v="3200607"/>
    <x v="8"/>
    <n v="3.34"/>
    <n v="8050323.7699999996"/>
    <n v="508635.02"/>
    <n v="8558958.7899999991"/>
    <n v="132347.82999999999"/>
    <n v="508813.91"/>
    <n v="3.34"/>
    <n v="192722.9"/>
    <n v="0"/>
    <n v="0"/>
    <x v="0"/>
    <n v="8"/>
  </r>
  <r>
    <n v="32302"/>
    <n v="3200706"/>
    <x v="9"/>
    <n v="0.37"/>
    <n v="911312.06"/>
    <n v="57578.46"/>
    <n v="968890.52"/>
    <n v="14982.03"/>
    <n v="47909.599999999999"/>
    <n v="0.37"/>
    <n v="21816.6"/>
    <n v="0"/>
    <n v="0"/>
    <x v="0"/>
    <n v="8"/>
  </r>
  <r>
    <n v="32303"/>
    <n v="3200805"/>
    <x v="10"/>
    <n v="0.69"/>
    <n v="1666330.45"/>
    <n v="105281.99"/>
    <n v="1771612.44"/>
    <n v="27394.58"/>
    <n v="141980.79"/>
    <n v="0.69"/>
    <n v="39891.57"/>
    <n v="0"/>
    <n v="0"/>
    <x v="0"/>
    <n v="8"/>
  </r>
  <r>
    <n v="32304"/>
    <n v="3200904"/>
    <x v="11"/>
    <n v="0.94"/>
    <n v="2272268.79"/>
    <n v="143566.32"/>
    <n v="2415835.11"/>
    <n v="37356.239999999998"/>
    <n v="217351.06"/>
    <n v="0.94"/>
    <n v="54397.59"/>
    <n v="0"/>
    <n v="0"/>
    <x v="0"/>
    <n v="8"/>
  </r>
  <r>
    <n v="32305"/>
    <n v="3107109"/>
    <x v="12"/>
    <n v="0.4"/>
    <n v="971424.96"/>
    <n v="61376.53"/>
    <n v="1032801.49"/>
    <n v="15970.29"/>
    <n v="57491.14"/>
    <n v="0.4"/>
    <n v="23255.69"/>
    <n v="0"/>
    <n v="0"/>
    <x v="0"/>
    <n v="8"/>
  </r>
  <r>
    <n v="32306"/>
    <n v="3201100"/>
    <x v="13"/>
    <n v="0.18"/>
    <n v="435217.62"/>
    <n v="27497.88"/>
    <n v="462715.5"/>
    <n v="7155"/>
    <n v="137063.54999999999"/>
    <n v="0.18"/>
    <n v="10419.01"/>
    <n v="0"/>
    <n v="0"/>
    <x v="0"/>
    <n v="8"/>
  </r>
  <r>
    <n v="32307"/>
    <n v="3201159"/>
    <x v="14"/>
    <n v="0.43"/>
    <n v="1050774.04"/>
    <n v="66389.94"/>
    <n v="1117163.98"/>
    <n v="17274.79"/>
    <n v="71277.66"/>
    <n v="0.43"/>
    <n v="25155.29"/>
    <n v="0"/>
    <n v="0"/>
    <x v="0"/>
    <n v="8"/>
  </r>
  <r>
    <n v="32308"/>
    <n v="3201209"/>
    <x v="15"/>
    <n v="3.37"/>
    <n v="8115245.7199999997"/>
    <n v="512736.94"/>
    <n v="8627982.6600000001"/>
    <n v="133415.15"/>
    <n v="1173524.6399999999"/>
    <n v="3.37"/>
    <n v="194277.12"/>
    <n v="0"/>
    <n v="0"/>
    <x v="0"/>
    <n v="8"/>
  </r>
  <r>
    <n v="32309"/>
    <n v="3201308"/>
    <x v="16"/>
    <n v="5.99"/>
    <n v="14405462.85"/>
    <n v="910165.03"/>
    <n v="15315627.880000001"/>
    <n v="236826.71"/>
    <n v="1559183.57"/>
    <n v="5.99"/>
    <n v="344863.46"/>
    <n v="0"/>
    <n v="0"/>
    <x v="0"/>
    <n v="8"/>
  </r>
  <r>
    <n v="32310"/>
    <n v="3201407"/>
    <x v="17"/>
    <n v="0.93"/>
    <n v="2253032.65"/>
    <n v="142350.96"/>
    <n v="2395383.61"/>
    <n v="37040"/>
    <n v="247502.42"/>
    <n v="0.93"/>
    <n v="53937.08"/>
    <n v="0"/>
    <n v="0"/>
    <x v="0"/>
    <n v="8"/>
  </r>
  <r>
    <n v="32311"/>
    <n v="3201506"/>
    <x v="18"/>
    <n v="2.25"/>
    <n v="5422186.3700000001"/>
    <n v="342584.22"/>
    <n v="5764770.5899999999"/>
    <n v="89141.08"/>
    <n v="672730.12"/>
    <n v="2.25"/>
    <n v="129805.9"/>
    <n v="0"/>
    <n v="0"/>
    <x v="0"/>
    <n v="8"/>
  </r>
  <r>
    <n v="32312"/>
    <n v="3201605"/>
    <x v="19"/>
    <n v="0.55000000000000004"/>
    <n v="1329698.04"/>
    <n v="84012.91"/>
    <n v="1413710.95"/>
    <n v="21860.32"/>
    <n v="90245.69"/>
    <n v="0.55000000000000004"/>
    <n v="31832.66"/>
    <n v="0"/>
    <n v="0"/>
    <x v="0"/>
    <n v="8"/>
  </r>
  <r>
    <n v="32313"/>
    <n v="3201704"/>
    <x v="20"/>
    <n v="0.45"/>
    <n v="1098864.3799999999"/>
    <n v="69428.36"/>
    <n v="1168292.74"/>
    <n v="18065.400000000001"/>
    <n v="35179.43"/>
    <n v="0.45"/>
    <n v="26306.560000000001"/>
    <n v="0"/>
    <n v="0"/>
    <x v="0"/>
    <n v="8"/>
  </r>
  <r>
    <n v="32314"/>
    <n v="3201803"/>
    <x v="21"/>
    <n v="0.18"/>
    <n v="447240.2"/>
    <n v="28257.52"/>
    <n v="475497.72"/>
    <n v="7352.66"/>
    <n v="16788.66"/>
    <n v="0.18"/>
    <n v="10706.82"/>
    <n v="0"/>
    <n v="0"/>
    <x v="0"/>
    <n v="8"/>
  </r>
  <r>
    <n v="32315"/>
    <n v="3201902"/>
    <x v="22"/>
    <n v="1.28"/>
    <n v="3082591.11"/>
    <n v="194764.09"/>
    <n v="3277355.2"/>
    <n v="50677.99"/>
    <n v="188421.64"/>
    <n v="1.28"/>
    <n v="73796.52"/>
    <n v="0"/>
    <n v="0"/>
    <x v="0"/>
    <n v="8"/>
  </r>
  <r>
    <n v="32316"/>
    <n v="3202009"/>
    <x v="23"/>
    <n v="0.25"/>
    <n v="601129.32999999996"/>
    <n v="37980.53"/>
    <n v="639109.86"/>
    <n v="9882.6"/>
    <n v="36436.83"/>
    <n v="0.25"/>
    <n v="14390.9"/>
    <n v="0"/>
    <n v="0"/>
    <x v="0"/>
    <n v="8"/>
  </r>
  <r>
    <n v="32317"/>
    <n v="3202108"/>
    <x v="24"/>
    <n v="0.72"/>
    <n v="1733656.92"/>
    <n v="109535.81"/>
    <n v="1843192.73"/>
    <n v="28501.43"/>
    <n v="69329.429999999993"/>
    <n v="0.72"/>
    <n v="41503.35"/>
    <n v="0"/>
    <n v="0"/>
    <x v="0"/>
    <n v="8"/>
  </r>
  <r>
    <n v="32318"/>
    <n v="3202207"/>
    <x v="25"/>
    <n v="0.35"/>
    <n v="851199.1"/>
    <n v="53784.43"/>
    <n v="904983.53"/>
    <n v="13993.77"/>
    <n v="70206.94"/>
    <n v="0.35"/>
    <n v="20377.509999999998"/>
    <n v="0"/>
    <n v="0"/>
    <x v="0"/>
    <n v="8"/>
  </r>
  <r>
    <n v="32319"/>
    <n v="3202256"/>
    <x v="26"/>
    <n v="0.43"/>
    <n v="1033942.42"/>
    <n v="65322.47"/>
    <n v="1099264.8899999999"/>
    <n v="16998.080000000002"/>
    <n v="54169.599999999999"/>
    <n v="0.43"/>
    <n v="24752.34"/>
    <n v="0"/>
    <n v="0"/>
    <x v="0"/>
    <n v="8"/>
  </r>
  <r>
    <n v="32320"/>
    <n v="3202306"/>
    <x v="27"/>
    <n v="0.41"/>
    <n v="1000279.16"/>
    <n v="63199.58"/>
    <n v="1063478.74"/>
    <n v="16444.650000000001"/>
    <n v="152574.82999999999"/>
    <n v="0.41"/>
    <n v="23946.45"/>
    <n v="0"/>
    <n v="0"/>
    <x v="0"/>
    <n v="8"/>
  </r>
  <r>
    <n v="32321"/>
    <n v="3202405"/>
    <x v="28"/>
    <n v="0.99"/>
    <n v="2392494.66"/>
    <n v="151162.44"/>
    <n v="2543657.1"/>
    <n v="39332.76"/>
    <n v="1074857.8999999999"/>
    <n v="0.99"/>
    <n v="57275.77"/>
    <n v="0"/>
    <n v="0"/>
    <x v="0"/>
    <n v="8"/>
  </r>
  <r>
    <n v="32322"/>
    <n v="3202454"/>
    <x v="29"/>
    <n v="0.41"/>
    <n v="1002683.68"/>
    <n v="63351.5"/>
    <n v="1066035.18"/>
    <n v="16484.18"/>
    <n v="129970.04"/>
    <n v="0.41"/>
    <n v="24004.02"/>
    <n v="0"/>
    <n v="0"/>
    <x v="0"/>
    <n v="8"/>
  </r>
  <r>
    <n v="32323"/>
    <n v="3202504"/>
    <x v="30"/>
    <n v="0.25"/>
    <n v="620365.46"/>
    <n v="39195.879999999997"/>
    <n v="659561.34"/>
    <n v="10198.85"/>
    <n v="61815.98"/>
    <n v="0.25"/>
    <n v="14851.4"/>
    <n v="0"/>
    <n v="0"/>
    <x v="0"/>
    <n v="8"/>
  </r>
  <r>
    <n v="32324"/>
    <n v="3202553"/>
    <x v="31"/>
    <n v="0.25"/>
    <n v="605938.32999999996"/>
    <n v="38284.370000000003"/>
    <n v="644222.69999999995"/>
    <n v="9961.66"/>
    <n v="40478.65"/>
    <n v="0.25"/>
    <n v="14506.03"/>
    <n v="0"/>
    <n v="0"/>
    <x v="0"/>
    <n v="8"/>
  </r>
  <r>
    <n v="32325"/>
    <n v="3202603"/>
    <x v="32"/>
    <n v="0.4"/>
    <n v="983447.55"/>
    <n v="62136.12"/>
    <n v="1045583.67"/>
    <n v="16167.94"/>
    <n v="86116.94"/>
    <n v="0.4"/>
    <n v="23543.51"/>
    <n v="0"/>
    <n v="0"/>
    <x v="0"/>
    <n v="8"/>
  </r>
  <r>
    <n v="32326"/>
    <n v="3202652"/>
    <x v="33"/>
    <n v="0.28000000000000003"/>
    <n v="692500.98"/>
    <n v="43753.55"/>
    <n v="736254.53"/>
    <n v="11384.76"/>
    <n v="73920.28"/>
    <n v="0.28000000000000003"/>
    <n v="16578.310000000001"/>
    <n v="0"/>
    <n v="0"/>
    <x v="0"/>
    <n v="8"/>
  </r>
  <r>
    <n v="32327"/>
    <n v="3202702"/>
    <x v="34"/>
    <n v="0.38"/>
    <n v="920930.11"/>
    <n v="58186.14"/>
    <n v="979116.25"/>
    <n v="15140.15"/>
    <n v="54808.83"/>
    <n v="0.38"/>
    <n v="22046.86"/>
    <n v="0"/>
    <n v="0"/>
    <x v="0"/>
    <n v="8"/>
  </r>
  <r>
    <n v="32328"/>
    <n v="3202801"/>
    <x v="35"/>
    <n v="2.59"/>
    <n v="6246935.7800000003"/>
    <n v="394693.5"/>
    <n v="6641629.2800000003"/>
    <n v="102700.02"/>
    <n v="169139.28"/>
    <n v="2.59"/>
    <n v="149550.20000000001"/>
    <n v="0"/>
    <n v="0"/>
    <x v="0"/>
    <n v="8"/>
  </r>
  <r>
    <n v="32329"/>
    <n v="3202900"/>
    <x v="36"/>
    <n v="0.34"/>
    <n v="831962.95"/>
    <n v="52565.03"/>
    <n v="884527.98"/>
    <n v="13677.52"/>
    <n v="53415.27"/>
    <n v="0.34"/>
    <n v="19917"/>
    <n v="0"/>
    <n v="0"/>
    <x v="0"/>
    <n v="8"/>
  </r>
  <r>
    <n v="32330"/>
    <n v="3203007"/>
    <x v="37"/>
    <n v="0.45"/>
    <n v="1091650.83"/>
    <n v="68972.63"/>
    <n v="1160623.46"/>
    <n v="17946.810000000001"/>
    <n v="159180.48000000001"/>
    <n v="0.45"/>
    <n v="26133.87"/>
    <n v="0"/>
    <n v="0"/>
    <x v="0"/>
    <n v="8"/>
  </r>
  <r>
    <n v="32331"/>
    <n v="3203056"/>
    <x v="38"/>
    <n v="0.84"/>
    <n v="2034221.6"/>
    <n v="128526.05"/>
    <n v="2162747.65"/>
    <n v="33442.730000000003"/>
    <n v="113942.03"/>
    <n v="0.84"/>
    <n v="48698.79"/>
    <n v="0"/>
    <n v="0"/>
    <x v="0"/>
    <n v="8"/>
  </r>
  <r>
    <n v="32332"/>
    <n v="3203106"/>
    <x v="39"/>
    <n v="0.22"/>
    <n v="541016.38"/>
    <n v="34182.44"/>
    <n v="575198.81999999995"/>
    <n v="8894.34"/>
    <n v="39734.480000000003"/>
    <n v="0.22"/>
    <n v="12951.81"/>
    <n v="0"/>
    <n v="0"/>
    <x v="0"/>
    <n v="8"/>
  </r>
  <r>
    <n v="32333"/>
    <n v="3203130"/>
    <x v="40"/>
    <n v="0.43"/>
    <n v="1045965"/>
    <n v="66086.11"/>
    <n v="1112051.1100000001"/>
    <n v="17195.73"/>
    <n v="71522.12"/>
    <n v="0.43"/>
    <n v="25040.16"/>
    <n v="0"/>
    <n v="0"/>
    <x v="0"/>
    <n v="8"/>
  </r>
  <r>
    <n v="32334"/>
    <n v="3203163"/>
    <x v="41"/>
    <n v="0.38"/>
    <n v="935357.23"/>
    <n v="59097.7"/>
    <n v="994454.93"/>
    <n v="15377.33"/>
    <n v="44177.55"/>
    <n v="0.38"/>
    <n v="22392.23"/>
    <n v="0"/>
    <n v="0"/>
    <x v="0"/>
    <n v="8"/>
  </r>
  <r>
    <n v="32335"/>
    <n v="3203205"/>
    <x v="42"/>
    <n v="6.16"/>
    <n v="14819039.810000001"/>
    <n v="936295.61"/>
    <n v="15755335.42"/>
    <n v="243625.94"/>
    <n v="911410.89"/>
    <n v="6.16"/>
    <n v="354764.39"/>
    <n v="0"/>
    <n v="0"/>
    <x v="0"/>
    <n v="8"/>
  </r>
  <r>
    <n v="32336"/>
    <n v="3203304"/>
    <x v="43"/>
    <n v="0.25"/>
    <n v="615556.4"/>
    <n v="38892.06"/>
    <n v="654448.46"/>
    <n v="10119.790000000001"/>
    <n v="71316.479999999996"/>
    <n v="0.25"/>
    <n v="14736.28"/>
    <n v="0"/>
    <n v="0"/>
    <x v="0"/>
    <n v="8"/>
  </r>
  <r>
    <n v="32337"/>
    <n v="3203320"/>
    <x v="44"/>
    <n v="0.61"/>
    <n v="1476373.59"/>
    <n v="93280.17"/>
    <n v="1569653.76"/>
    <n v="24271.67"/>
    <n v="270699.43"/>
    <n v="0.61"/>
    <n v="35344.04"/>
    <n v="0"/>
    <n v="0"/>
    <x v="0"/>
    <n v="8"/>
  </r>
  <r>
    <n v="32338"/>
    <n v="3203346"/>
    <x v="45"/>
    <n v="0.71"/>
    <n v="1707207.27"/>
    <n v="107864.67"/>
    <n v="1815071.94"/>
    <n v="28066.59"/>
    <n v="91705.1"/>
    <n v="0.71"/>
    <n v="40870.15"/>
    <n v="0"/>
    <n v="0"/>
    <x v="0"/>
    <n v="8"/>
  </r>
  <r>
    <n v="32339"/>
    <n v="3203353"/>
    <x v="46"/>
    <n v="0.42"/>
    <n v="1031537.91"/>
    <n v="65174.54"/>
    <n v="1096712.45"/>
    <n v="16958.55"/>
    <n v="43907.01"/>
    <n v="0.42"/>
    <n v="24694.78"/>
    <n v="0"/>
    <n v="0"/>
    <x v="0"/>
    <n v="8"/>
  </r>
  <r>
    <n v="32340"/>
    <n v="3203403"/>
    <x v="47"/>
    <n v="0.51"/>
    <n v="1238326.3899999999"/>
    <n v="78239.850000000006"/>
    <n v="1316566.24"/>
    <n v="20358.16"/>
    <n v="122858.91"/>
    <n v="0.51"/>
    <n v="29645.25"/>
    <n v="0"/>
    <n v="0"/>
    <x v="0"/>
    <n v="8"/>
  </r>
  <r>
    <n v="32341"/>
    <n v="3203502"/>
    <x v="48"/>
    <n v="0.53"/>
    <n v="1276798.6399999999"/>
    <n v="80670.62"/>
    <n v="1357469.26"/>
    <n v="20990.65"/>
    <n v="84138.12"/>
    <n v="0.53"/>
    <n v="30566.26"/>
    <n v="0"/>
    <n v="0"/>
    <x v="0"/>
    <n v="8"/>
  </r>
  <r>
    <n v="32342"/>
    <n v="3203601"/>
    <x v="49"/>
    <n v="0.28999999999999998"/>
    <n v="709332.59"/>
    <n v="44817"/>
    <n v="754149.59"/>
    <n v="11661.47"/>
    <n v="22043.33"/>
    <n v="0.28999999999999998"/>
    <n v="16981.259999999998"/>
    <n v="0"/>
    <n v="0"/>
    <x v="0"/>
    <n v="8"/>
  </r>
  <r>
    <n v="32343"/>
    <n v="3203700"/>
    <x v="50"/>
    <n v="0.51"/>
    <n v="1238326.3899999999"/>
    <n v="78239.850000000006"/>
    <n v="1316566.24"/>
    <n v="20358.16"/>
    <n v="74597.279999999999"/>
    <n v="0.51"/>
    <n v="29645.25"/>
    <n v="0"/>
    <n v="0"/>
    <x v="0"/>
    <n v="8"/>
  </r>
  <r>
    <n v="32344"/>
    <n v="3203809"/>
    <x v="51"/>
    <n v="0.28999999999999998"/>
    <n v="706928.06"/>
    <n v="44665.11"/>
    <n v="751593.17"/>
    <n v="11621.94"/>
    <n v="55654.34"/>
    <n v="0.28999999999999998"/>
    <n v="16923.7"/>
    <n v="0"/>
    <n v="0"/>
    <x v="0"/>
    <n v="8"/>
  </r>
  <r>
    <n v="32345"/>
    <n v="3203908"/>
    <x v="52"/>
    <n v="1.22"/>
    <n v="2935915.55"/>
    <n v="185496.85"/>
    <n v="3121412.4"/>
    <n v="48266.64"/>
    <n v="242357.33"/>
    <n v="1.22"/>
    <n v="70285.14"/>
    <n v="0"/>
    <n v="0"/>
    <x v="0"/>
    <n v="8"/>
  </r>
  <r>
    <n v="32346"/>
    <n v="3204005"/>
    <x v="53"/>
    <n v="0.45"/>
    <n v="1084437.29"/>
    <n v="68516.850000000006"/>
    <n v="1152954.1399999999"/>
    <n v="17828.22"/>
    <n v="76698.179999999993"/>
    <n v="0.45"/>
    <n v="25961.18"/>
    <n v="0"/>
    <n v="0"/>
    <x v="0"/>
    <n v="8"/>
  </r>
  <r>
    <n v="32347"/>
    <n v="3204054"/>
    <x v="54"/>
    <n v="0.31"/>
    <n v="755018.41"/>
    <n v="47703.54"/>
    <n v="802721.95"/>
    <n v="12412.55"/>
    <n v="124016.3"/>
    <n v="0.31"/>
    <n v="18074.97"/>
    <n v="0"/>
    <n v="0"/>
    <x v="0"/>
    <n v="8"/>
  </r>
  <r>
    <n v="32348"/>
    <n v="3204104"/>
    <x v="55"/>
    <n v="0.65"/>
    <n v="1574958.8"/>
    <n v="99508.95"/>
    <n v="1674467.75"/>
    <n v="25892.42"/>
    <n v="81839.44"/>
    <n v="0.65"/>
    <n v="37704.15"/>
    <n v="0"/>
    <n v="0"/>
    <x v="0"/>
    <n v="8"/>
  </r>
  <r>
    <n v="32349"/>
    <n v="3204203"/>
    <x v="56"/>
    <n v="0.28999999999999998"/>
    <n v="709332.59"/>
    <n v="44817"/>
    <n v="754149.59"/>
    <n v="11661.47"/>
    <n v="117475.18"/>
    <n v="0.28999999999999998"/>
    <n v="16981.259999999998"/>
    <n v="0"/>
    <n v="0"/>
    <x v="0"/>
    <n v="8"/>
  </r>
  <r>
    <n v="32350"/>
    <n v="3204252"/>
    <x v="57"/>
    <n v="0.22"/>
    <n v="538611.88"/>
    <n v="34030.53"/>
    <n v="572642.41"/>
    <n v="8854.81"/>
    <n v="19684.259999999998"/>
    <n v="0.22"/>
    <n v="12894.24"/>
    <n v="0"/>
    <n v="0"/>
    <x v="0"/>
    <n v="8"/>
  </r>
  <r>
    <n v="32351"/>
    <n v="1718402"/>
    <x v="58"/>
    <n v="0.33"/>
    <n v="803108.75"/>
    <n v="50741.97"/>
    <n v="853850.72"/>
    <n v="13203.16"/>
    <n v="77182.13"/>
    <n v="0.33"/>
    <n v="19226.240000000002"/>
    <n v="0"/>
    <n v="0"/>
    <x v="0"/>
    <n v="8"/>
  </r>
  <r>
    <n v="32352"/>
    <n v="3204351"/>
    <x v="59"/>
    <n v="0.81"/>
    <n v="1959681.57"/>
    <n v="123816.48"/>
    <n v="2083498.05"/>
    <n v="32217.29"/>
    <n v="102920.25"/>
    <n v="0.81"/>
    <n v="46914.32"/>
    <n v="0"/>
    <n v="0"/>
    <x v="0"/>
    <n v="8"/>
  </r>
  <r>
    <n v="32353"/>
    <n v="3204401"/>
    <x v="60"/>
    <n v="0.26"/>
    <n v="632388.03"/>
    <n v="39955.519999999997"/>
    <n v="672343.55"/>
    <n v="10396.5"/>
    <n v="63857.48"/>
    <n v="0.26"/>
    <n v="15139.23"/>
    <n v="0"/>
    <n v="0"/>
    <x v="0"/>
    <n v="8"/>
  </r>
  <r>
    <n v="32354"/>
    <n v="3204500"/>
    <x v="61"/>
    <n v="0.49"/>
    <n v="1190236.01"/>
    <n v="75201.42"/>
    <n v="1265437.43"/>
    <n v="19567.55"/>
    <n v="45973.29"/>
    <n v="0.49"/>
    <n v="28493.98"/>
    <n v="0"/>
    <n v="0"/>
    <x v="0"/>
    <n v="8"/>
  </r>
  <r>
    <n v="32355"/>
    <n v="3204559"/>
    <x v="62"/>
    <n v="2.29"/>
    <n v="5518367.0800000001"/>
    <n v="348661.13"/>
    <n v="5867028.21"/>
    <n v="90722.3"/>
    <n v="330955.96999999997"/>
    <n v="2.29"/>
    <n v="132108.43"/>
    <n v="0"/>
    <n v="0"/>
    <x v="0"/>
    <n v="8"/>
  </r>
  <r>
    <n v="32356"/>
    <n v="3204609"/>
    <x v="63"/>
    <n v="0.69"/>
    <n v="1663925.94"/>
    <n v="105130.06"/>
    <n v="1769056"/>
    <n v="27355.05"/>
    <n v="123975.63"/>
    <n v="0.69"/>
    <n v="39834"/>
    <n v="0"/>
    <n v="0"/>
    <x v="0"/>
    <n v="8"/>
  </r>
  <r>
    <n v="32357"/>
    <n v="3204658"/>
    <x v="64"/>
    <n v="0.48"/>
    <n v="1168595.3799999999"/>
    <n v="73834.11"/>
    <n v="1242429.49"/>
    <n v="19211.78"/>
    <n v="46744.55"/>
    <n v="0.48"/>
    <n v="27975.91"/>
    <n v="0"/>
    <n v="0"/>
    <x v="0"/>
    <n v="8"/>
  </r>
  <r>
    <n v="32358"/>
    <n v="3204708"/>
    <x v="65"/>
    <n v="0.7"/>
    <n v="1690375.63"/>
    <n v="106801.19"/>
    <n v="1797176.82"/>
    <n v="27789.88"/>
    <n v="155848.69"/>
    <n v="0.7"/>
    <n v="40467.199999999997"/>
    <n v="0"/>
    <n v="0"/>
    <x v="0"/>
    <n v="8"/>
  </r>
  <r>
    <n v="32359"/>
    <n v="3204807"/>
    <x v="66"/>
    <n v="0.26"/>
    <n v="627579"/>
    <n v="39651.64"/>
    <n v="667230.64"/>
    <n v="10317.44"/>
    <n v="57672.71"/>
    <n v="0.26"/>
    <n v="15024.1"/>
    <n v="0"/>
    <n v="0"/>
    <x v="0"/>
    <n v="8"/>
  </r>
  <r>
    <n v="32360"/>
    <n v="3204906"/>
    <x v="67"/>
    <n v="1.94"/>
    <n v="4667167.99"/>
    <n v="294880.71000000002"/>
    <n v="4962048.7"/>
    <n v="76728.53"/>
    <n v="622996.28"/>
    <n v="1.94"/>
    <n v="111730.93"/>
    <n v="0"/>
    <n v="0"/>
    <x v="0"/>
    <n v="8"/>
  </r>
  <r>
    <n v="32361"/>
    <n v="3204955"/>
    <x v="68"/>
    <n v="0.32"/>
    <n v="788681.66"/>
    <n v="49830.43"/>
    <n v="838512.09"/>
    <n v="12965.98"/>
    <n v="37595.120000000003"/>
    <n v="0.32"/>
    <n v="18880.849999999999"/>
    <n v="0"/>
    <n v="0"/>
    <x v="0"/>
    <n v="8"/>
  </r>
  <r>
    <n v="32362"/>
    <n v="3205002"/>
    <x v="69"/>
    <n v="14.13"/>
    <n v="33975828.759999998"/>
    <n v="2146658.66"/>
    <n v="36122487.420000002"/>
    <n v="558564.75"/>
    <n v="2718629.26"/>
    <n v="14.13"/>
    <n v="813373.5"/>
    <n v="0"/>
    <n v="0"/>
    <x v="0"/>
    <n v="8"/>
  </r>
  <r>
    <n v="32363"/>
    <n v="3205010"/>
    <x v="70"/>
    <n v="0.71"/>
    <n v="1712016.27"/>
    <n v="108168.49"/>
    <n v="1820184.76"/>
    <n v="28145.65"/>
    <n v="103323.19"/>
    <n v="0.71"/>
    <n v="40985.279999999999"/>
    <n v="0"/>
    <n v="0"/>
    <x v="0"/>
    <n v="8"/>
  </r>
  <r>
    <n v="32364"/>
    <n v="3205036"/>
    <x v="71"/>
    <n v="0.49"/>
    <n v="1192640.54"/>
    <n v="75353.350000000006"/>
    <n v="1267993.8899999999"/>
    <n v="19607.09"/>
    <n v="78347.08"/>
    <n v="0.49"/>
    <n v="28551.54"/>
    <n v="0"/>
    <n v="0"/>
    <x v="0"/>
    <n v="8"/>
  </r>
  <r>
    <n v="32365"/>
    <n v="3205069"/>
    <x v="72"/>
    <n v="0.72"/>
    <n v="1752893.08"/>
    <n v="110751.17"/>
    <n v="1863644.25"/>
    <n v="28817.67"/>
    <n v="142113.09"/>
    <n v="0.72"/>
    <n v="41963.86"/>
    <n v="0"/>
    <n v="0"/>
    <x v="0"/>
    <n v="8"/>
  </r>
  <r>
    <n v="32366"/>
    <n v="2112803"/>
    <x v="73"/>
    <n v="2"/>
    <n v="4828270.63"/>
    <n v="305059.49"/>
    <n v="5133330.12"/>
    <n v="79377.070000000007"/>
    <n v="316288.87"/>
    <n v="2"/>
    <n v="115587.68"/>
    <n v="0"/>
    <n v="0"/>
    <x v="0"/>
    <n v="8"/>
  </r>
  <r>
    <n v="32367"/>
    <n v="3205150"/>
    <x v="74"/>
    <n v="0.32"/>
    <n v="791086.18"/>
    <n v="49982.36"/>
    <n v="841068.54"/>
    <n v="13005.51"/>
    <n v="33215.99"/>
    <n v="0.32"/>
    <n v="18938.419999999998"/>
    <n v="0"/>
    <n v="0"/>
    <x v="0"/>
    <n v="8"/>
  </r>
  <r>
    <n v="32368"/>
    <n v="3205176"/>
    <x v="75"/>
    <n v="0.57999999999999996"/>
    <n v="1416260.66"/>
    <n v="89482.09"/>
    <n v="1505742.75"/>
    <n v="23283.41"/>
    <n v="90436.81"/>
    <n v="0.57999999999999996"/>
    <n v="33904.949999999997"/>
    <n v="0"/>
    <n v="0"/>
    <x v="0"/>
    <n v="8"/>
  </r>
  <r>
    <n v="32369"/>
    <n v="3205200"/>
    <x v="76"/>
    <n v="6.05"/>
    <n v="14559351.99"/>
    <n v="919888.05"/>
    <n v="15479240.039999999"/>
    <n v="239356.66"/>
    <n v="3125359.76"/>
    <n v="6.05"/>
    <n v="348547.53"/>
    <n v="0"/>
    <n v="0"/>
    <x v="0"/>
    <n v="8"/>
  </r>
  <r>
    <n v="32370"/>
    <n v="3205309"/>
    <x v="77"/>
    <n v="15.31"/>
    <n v="36815563.82"/>
    <n v="2326078.4700000002"/>
    <n v="39141642.289999999"/>
    <n v="605250.17000000004"/>
    <n v="3100415.79"/>
    <n v="15.31"/>
    <n v="881356.08"/>
    <n v="0"/>
    <n v="0"/>
    <x v="0"/>
    <n v="8"/>
  </r>
  <r>
    <n v="32527"/>
    <n v="3200102"/>
    <x v="0"/>
    <n v="0.82"/>
    <n v="2038937.23"/>
    <n v="129073.96"/>
    <n v="2168011.19"/>
    <n v="43749.23"/>
    <n v="97398.77"/>
    <n v="0.82"/>
    <n v="51618.93"/>
    <n v="0"/>
    <n v="0"/>
    <x v="0"/>
    <n v="9"/>
  </r>
  <r>
    <n v="32528"/>
    <n v="3200169"/>
    <x v="1"/>
    <n v="0.31"/>
    <n v="769878.85"/>
    <n v="48736.82"/>
    <n v="818615.67"/>
    <n v="16519.2"/>
    <n v="27757.57"/>
    <n v="0.31"/>
    <n v="19490.7"/>
    <n v="0"/>
    <n v="0"/>
    <x v="0"/>
    <n v="9"/>
  </r>
  <r>
    <n v="32529"/>
    <n v="3200136"/>
    <x v="2"/>
    <n v="0.41"/>
    <n v="1038094.69"/>
    <n v="65716.100000000006"/>
    <n v="1103810.79"/>
    <n v="22274.27"/>
    <n v="30623.85"/>
    <n v="0.41"/>
    <n v="26281.01"/>
    <n v="0"/>
    <n v="0"/>
    <x v="0"/>
    <n v="9"/>
  </r>
  <r>
    <n v="32530"/>
    <n v="3200201"/>
    <x v="3"/>
    <n v="0.52"/>
    <n v="1306310.57"/>
    <n v="82695.37"/>
    <n v="1389005.94"/>
    <n v="28029.35"/>
    <n v="87036.83"/>
    <n v="0.52"/>
    <n v="33071.31"/>
    <n v="0"/>
    <n v="0"/>
    <x v="0"/>
    <n v="9"/>
  </r>
  <r>
    <n v="32531"/>
    <n v="3200300"/>
    <x v="4"/>
    <n v="0.51"/>
    <n v="1266574.8799999999"/>
    <n v="80179.929999999993"/>
    <n v="1346754.81"/>
    <n v="27176.75"/>
    <n v="50098.93"/>
    <n v="0.51"/>
    <n v="32065.35"/>
    <n v="0"/>
    <n v="0"/>
    <x v="0"/>
    <n v="9"/>
  </r>
  <r>
    <n v="32532"/>
    <n v="3200359"/>
    <x v="5"/>
    <n v="0.22"/>
    <n v="558783.03"/>
    <n v="35373.53"/>
    <n v="594156.56000000006"/>
    <n v="11989.74"/>
    <n v="20430.509999999998"/>
    <n v="0.22"/>
    <n v="14146.48"/>
    <n v="0"/>
    <n v="0"/>
    <x v="0"/>
    <n v="9"/>
  </r>
  <r>
    <n v="32533"/>
    <n v="3200409"/>
    <x v="6"/>
    <n v="2.65"/>
    <n v="6588672.8399999999"/>
    <n v="417092.83"/>
    <n v="7005765.6699999999"/>
    <n v="141372.37"/>
    <n v="92700.9"/>
    <n v="2.65"/>
    <n v="166802.68"/>
    <n v="0"/>
    <n v="0"/>
    <x v="0"/>
    <n v="9"/>
  </r>
  <r>
    <n v="32534"/>
    <n v="3200508"/>
    <x v="7"/>
    <n v="0.19"/>
    <n v="481795.15"/>
    <n v="30499.82"/>
    <n v="512294.97"/>
    <n v="10337.82"/>
    <n v="53203.33"/>
    <n v="0.19"/>
    <n v="12197.41"/>
    <n v="0"/>
    <n v="0"/>
    <x v="0"/>
    <n v="9"/>
  </r>
  <r>
    <n v="32535"/>
    <n v="3200607"/>
    <x v="8"/>
    <n v="3.34"/>
    <n v="8314691.5700000003"/>
    <n v="526357.62"/>
    <n v="8841049.1899999995"/>
    <n v="178407.35"/>
    <n v="412261.99"/>
    <n v="3.34"/>
    <n v="210499.57"/>
    <n v="0"/>
    <n v="0"/>
    <x v="0"/>
    <n v="9"/>
  </r>
  <r>
    <n v="32536"/>
    <n v="3200706"/>
    <x v="9"/>
    <n v="0.37"/>
    <n v="941238.97"/>
    <n v="59584.7"/>
    <n v="1000823.67"/>
    <n v="20196.05"/>
    <n v="32442.94"/>
    <n v="0.37"/>
    <n v="23828.959999999999"/>
    <n v="0"/>
    <n v="0"/>
    <x v="0"/>
    <n v="9"/>
  </r>
  <r>
    <n v="32537"/>
    <n v="3200805"/>
    <x v="10"/>
    <n v="0.69"/>
    <n v="1721051.74"/>
    <n v="108950.38"/>
    <n v="1830002.12"/>
    <n v="36928.400000000001"/>
    <n v="139512.98000000001"/>
    <n v="0.69"/>
    <n v="43571.15"/>
    <n v="0"/>
    <n v="0"/>
    <x v="0"/>
    <n v="9"/>
  </r>
  <r>
    <n v="32538"/>
    <n v="3200904"/>
    <x v="11"/>
    <n v="0.94"/>
    <n v="2346888.7599999998"/>
    <n v="148568.71"/>
    <n v="2495457.4700000002"/>
    <n v="50356.91"/>
    <n v="184088.47"/>
    <n v="0.94"/>
    <n v="59415.199999999997"/>
    <n v="0"/>
    <n v="0"/>
    <x v="0"/>
    <n v="9"/>
  </r>
  <r>
    <n v="32539"/>
    <n v="3107109"/>
    <x v="12"/>
    <n v="0.4"/>
    <n v="1003325.98"/>
    <n v="63515.08"/>
    <n v="1066841.06"/>
    <n v="21528.25"/>
    <n v="54578.49"/>
    <n v="0.4"/>
    <n v="25400.79"/>
    <n v="0"/>
    <n v="0"/>
    <x v="0"/>
    <n v="9"/>
  </r>
  <r>
    <n v="32540"/>
    <n v="3201100"/>
    <x v="13"/>
    <n v="0.18"/>
    <n v="449509.9"/>
    <n v="28456.02"/>
    <n v="477965.92"/>
    <n v="9645.08"/>
    <n v="99864.24"/>
    <n v="0.18"/>
    <n v="11380.06"/>
    <n v="0"/>
    <n v="0"/>
    <x v="0"/>
    <n v="9"/>
  </r>
  <r>
    <n v="32541"/>
    <n v="3201159"/>
    <x v="14"/>
    <n v="0.43"/>
    <n v="1085280.8"/>
    <n v="68703.179999999993"/>
    <n v="1153983.98"/>
    <n v="23286.74"/>
    <n v="53937.72"/>
    <n v="0.43"/>
    <n v="27475.599999999999"/>
    <n v="0"/>
    <n v="0"/>
    <x v="0"/>
    <n v="9"/>
  </r>
  <r>
    <n v="32542"/>
    <n v="3201209"/>
    <x v="15"/>
    <n v="3.37"/>
    <n v="8381745.5"/>
    <n v="530602.46"/>
    <n v="8912347.9600000009"/>
    <n v="179846.12"/>
    <n v="994403.57"/>
    <n v="3.37"/>
    <n v="212197.15"/>
    <n v="0"/>
    <n v="0"/>
    <x v="0"/>
    <n v="9"/>
  </r>
  <r>
    <n v="32543"/>
    <n v="3201308"/>
    <x v="16"/>
    <n v="5.99"/>
    <n v="14878529.58"/>
    <n v="941878.31"/>
    <n v="15820407.890000001"/>
    <n v="319246.84000000003"/>
    <n v="1178062.74"/>
    <n v="5.99"/>
    <n v="376673.52"/>
    <n v="0"/>
    <n v="0"/>
    <x v="0"/>
    <n v="9"/>
  </r>
  <r>
    <n v="32544"/>
    <n v="3201407"/>
    <x v="17"/>
    <n v="0.93"/>
    <n v="2327020.87"/>
    <n v="147310.96"/>
    <n v="2474331.83"/>
    <n v="49930.61"/>
    <n v="186744.36"/>
    <n v="0.93"/>
    <n v="58912.22"/>
    <n v="0"/>
    <n v="0"/>
    <x v="0"/>
    <n v="9"/>
  </r>
  <r>
    <n v="32545"/>
    <n v="3201506"/>
    <x v="18"/>
    <n v="2.25"/>
    <n v="5600247.75"/>
    <n v="354521.03"/>
    <n v="5954768.7800000003"/>
    <n v="120163.85"/>
    <n v="559161.77"/>
    <n v="2.25"/>
    <n v="141779.14000000001"/>
    <n v="0"/>
    <n v="0"/>
    <x v="0"/>
    <n v="9"/>
  </r>
  <r>
    <n v="32546"/>
    <n v="3201605"/>
    <x v="19"/>
    <n v="0.55000000000000004"/>
    <n v="1373364.51"/>
    <n v="86940.19"/>
    <n v="1460304.7"/>
    <n v="29468.12"/>
    <n v="70612.44"/>
    <n v="0.55000000000000004"/>
    <n v="34768.9"/>
    <n v="0"/>
    <n v="0"/>
    <x v="0"/>
    <n v="9"/>
  </r>
  <r>
    <n v="32547"/>
    <n v="3201704"/>
    <x v="20"/>
    <n v="0.45"/>
    <n v="1134950.43"/>
    <n v="71847.520000000004"/>
    <n v="1206797.95"/>
    <n v="24352.5"/>
    <n v="40814.19"/>
    <n v="0.45"/>
    <n v="28733.07"/>
    <n v="0"/>
    <n v="0"/>
    <x v="0"/>
    <n v="9"/>
  </r>
  <r>
    <n v="32548"/>
    <n v="3201803"/>
    <x v="21"/>
    <n v="0.18"/>
    <n v="461927.31"/>
    <n v="29242.09"/>
    <n v="491169.4"/>
    <n v="9911.52"/>
    <n v="21201.61"/>
    <n v="0.18"/>
    <n v="11694.42"/>
    <n v="0"/>
    <n v="0"/>
    <x v="0"/>
    <n v="9"/>
  </r>
  <r>
    <n v="32549"/>
    <n v="3201902"/>
    <x v="22"/>
    <n v="1.28"/>
    <n v="3183821.58"/>
    <n v="201550.33"/>
    <n v="3385371.91"/>
    <n v="68314.880000000005"/>
    <n v="149530.39000000001"/>
    <n v="1.28"/>
    <n v="80603.490000000005"/>
    <n v="0"/>
    <n v="0"/>
    <x v="0"/>
    <n v="9"/>
  </r>
  <r>
    <n v="32550"/>
    <n v="3202009"/>
    <x v="23"/>
    <n v="0.25"/>
    <n v="620870.03"/>
    <n v="39303.870000000003"/>
    <n v="660173.9"/>
    <n v="13321.93"/>
    <n v="24438.57"/>
    <n v="0.25"/>
    <n v="15718.3"/>
    <n v="0"/>
    <n v="0"/>
    <x v="0"/>
    <n v="9"/>
  </r>
  <r>
    <n v="32551"/>
    <n v="3202108"/>
    <x v="24"/>
    <n v="0.72"/>
    <n v="1790589.2"/>
    <n v="113352.44"/>
    <n v="1903941.64"/>
    <n v="38420.46"/>
    <n v="60051.519999999997"/>
    <n v="0.72"/>
    <n v="45331.6"/>
    <n v="0"/>
    <n v="0"/>
    <x v="0"/>
    <n v="9"/>
  </r>
  <r>
    <n v="32552"/>
    <n v="3202207"/>
    <x v="25"/>
    <n v="0.35"/>
    <n v="879151.99"/>
    <n v="55654.3"/>
    <n v="934806.29"/>
    <n v="18863.86"/>
    <n v="51631.75"/>
    <n v="0.35"/>
    <n v="22257.119999999999"/>
    <n v="0"/>
    <n v="0"/>
    <x v="0"/>
    <n v="9"/>
  </r>
  <r>
    <n v="32553"/>
    <n v="3202256"/>
    <x v="26"/>
    <n v="0.43"/>
    <n v="1067896.47"/>
    <n v="67602.66"/>
    <n v="1135499.1299999999"/>
    <n v="22913.73"/>
    <n v="32324.33"/>
    <n v="0.43"/>
    <n v="27035.49"/>
    <n v="0"/>
    <n v="0"/>
    <x v="0"/>
    <n v="9"/>
  </r>
  <r>
    <n v="32554"/>
    <n v="3202306"/>
    <x v="27"/>
    <n v="0.41"/>
    <n v="1033127.75"/>
    <n v="65401.67"/>
    <n v="1098529.42"/>
    <n v="22167.7"/>
    <n v="137247.92000000001"/>
    <n v="0.41"/>
    <n v="26155.26"/>
    <n v="0"/>
    <n v="0"/>
    <x v="0"/>
    <n v="9"/>
  </r>
  <r>
    <n v="32555"/>
    <n v="3202405"/>
    <x v="28"/>
    <n v="0.99"/>
    <n v="2471062.7400000002"/>
    <n v="156429.47"/>
    <n v="2627492.21"/>
    <n v="53021.3"/>
    <n v="809986.19"/>
    <n v="0.99"/>
    <n v="62558.87"/>
    <n v="0"/>
    <n v="0"/>
    <x v="0"/>
    <n v="9"/>
  </r>
  <r>
    <n v="32556"/>
    <n v="3202454"/>
    <x v="29"/>
    <n v="0.41"/>
    <n v="1035611.24"/>
    <n v="65558.880000000005"/>
    <n v="1101170.1200000001"/>
    <n v="22220.99"/>
    <n v="111258.08"/>
    <n v="0.41"/>
    <n v="26218.14"/>
    <n v="0"/>
    <n v="0"/>
    <x v="0"/>
    <n v="9"/>
  </r>
  <r>
    <n v="32557"/>
    <n v="3202504"/>
    <x v="30"/>
    <n v="0.25"/>
    <n v="640737.87"/>
    <n v="40561.599999999999"/>
    <n v="681299.47"/>
    <n v="13748.24"/>
    <n v="40771.18"/>
    <n v="0.25"/>
    <n v="16221.3"/>
    <n v="0"/>
    <n v="0"/>
    <x v="0"/>
    <n v="9"/>
  </r>
  <r>
    <n v="32558"/>
    <n v="3202553"/>
    <x v="31"/>
    <n v="0.25"/>
    <n v="625837"/>
    <n v="39618.32"/>
    <n v="665455.31999999995"/>
    <n v="13428.51"/>
    <n v="28947.599999999999"/>
    <n v="0.25"/>
    <n v="15844.05"/>
    <n v="0"/>
    <n v="0"/>
    <x v="0"/>
    <n v="9"/>
  </r>
  <r>
    <n v="32559"/>
    <n v="3202603"/>
    <x v="32"/>
    <n v="0.4"/>
    <n v="1015743.37"/>
    <n v="64301.16"/>
    <n v="1080044.53"/>
    <n v="21794.69"/>
    <n v="64321.7"/>
    <n v="0.4"/>
    <n v="25715.15"/>
    <n v="0"/>
    <n v="0"/>
    <x v="0"/>
    <n v="9"/>
  </r>
  <r>
    <n v="32560"/>
    <n v="3202652"/>
    <x v="33"/>
    <n v="0.28000000000000003"/>
    <n v="715242.27"/>
    <n v="45278.1"/>
    <n v="760520.37"/>
    <n v="15346.87"/>
    <n v="59797.03"/>
    <n v="0.28000000000000003"/>
    <n v="18107.490000000002"/>
    <n v="0"/>
    <n v="0"/>
    <x v="0"/>
    <n v="9"/>
  </r>
  <r>
    <n v="32561"/>
    <n v="3202702"/>
    <x v="34"/>
    <n v="0.38"/>
    <n v="951172.88"/>
    <n v="60213.56"/>
    <n v="1011386.44"/>
    <n v="20409.2"/>
    <n v="33833.18"/>
    <n v="0.38"/>
    <n v="24080.45"/>
    <n v="0"/>
    <n v="0"/>
    <x v="0"/>
    <n v="9"/>
  </r>
  <r>
    <n v="32562"/>
    <n v="3202801"/>
    <x v="35"/>
    <n v="2.59"/>
    <n v="6452081.4199999999"/>
    <n v="408445.98"/>
    <n v="6860527.4000000004"/>
    <n v="138441.54999999999"/>
    <n v="141631.23000000001"/>
    <n v="2.59"/>
    <n v="163344.65"/>
    <n v="0"/>
    <n v="0"/>
    <x v="0"/>
    <n v="9"/>
  </r>
  <r>
    <n v="32563"/>
    <n v="3202900"/>
    <x v="36"/>
    <n v="0.34"/>
    <n v="859284.13"/>
    <n v="54396.57"/>
    <n v="913680.7"/>
    <n v="18437.560000000001"/>
    <n v="43337.07"/>
    <n v="0.34"/>
    <n v="21754.14"/>
    <n v="0"/>
    <n v="0"/>
    <x v="0"/>
    <n v="9"/>
  </r>
  <r>
    <n v="32564"/>
    <n v="3203007"/>
    <x v="37"/>
    <n v="0.45"/>
    <n v="1127500"/>
    <n v="71375.86"/>
    <n v="1198875.8600000001"/>
    <n v="24192.63"/>
    <n v="122241.83"/>
    <n v="0.45"/>
    <n v="28544.44"/>
    <n v="0"/>
    <n v="0"/>
    <x v="0"/>
    <n v="9"/>
  </r>
  <r>
    <n v="32565"/>
    <n v="3203056"/>
    <x v="38"/>
    <n v="0.84"/>
    <n v="2101024.2000000002"/>
    <n v="133004.34"/>
    <n v="2234028.54"/>
    <n v="45081.43"/>
    <n v="90384.7"/>
    <n v="0.84"/>
    <n v="53190.75"/>
    <n v="0"/>
    <n v="0"/>
    <x v="0"/>
    <n v="9"/>
  </r>
  <r>
    <n v="32566"/>
    <n v="3203106"/>
    <x v="39"/>
    <n v="0.22"/>
    <n v="558783.03"/>
    <n v="35373.53"/>
    <n v="594156.56000000006"/>
    <n v="11989.74"/>
    <n v="26852.2"/>
    <n v="0.22"/>
    <n v="14146.48"/>
    <n v="0"/>
    <n v="0"/>
    <x v="0"/>
    <n v="9"/>
  </r>
  <r>
    <n v="32567"/>
    <n v="3203130"/>
    <x v="40"/>
    <n v="0.43"/>
    <n v="1080313.8600000001"/>
    <n v="68388.740000000005"/>
    <n v="1148702.6000000001"/>
    <n v="23180.17"/>
    <n v="67838.19"/>
    <n v="0.43"/>
    <n v="27349.85"/>
    <n v="0"/>
    <n v="0"/>
    <x v="0"/>
    <n v="9"/>
  </r>
  <r>
    <n v="32568"/>
    <n v="3203163"/>
    <x v="41"/>
    <n v="0.38"/>
    <n v="966073.78"/>
    <n v="61156.85"/>
    <n v="1027230.63"/>
    <n v="20728.93"/>
    <n v="32359.200000000001"/>
    <n v="0.38"/>
    <n v="24457.69"/>
    <n v="0"/>
    <n v="0"/>
    <x v="0"/>
    <n v="9"/>
  </r>
  <r>
    <n v="32569"/>
    <n v="3203205"/>
    <x v="42"/>
    <n v="6.16"/>
    <n v="15305688.18"/>
    <n v="968919.36"/>
    <n v="16274607.539999999"/>
    <n v="328412.33"/>
    <n v="717195.82"/>
    <n v="6.16"/>
    <n v="387487.72"/>
    <n v="0"/>
    <n v="0"/>
    <x v="0"/>
    <n v="9"/>
  </r>
  <r>
    <n v="32570"/>
    <n v="3203304"/>
    <x v="43"/>
    <n v="0.25"/>
    <n v="635770.91"/>
    <n v="40247.15"/>
    <n v="676018.06"/>
    <n v="13641.66"/>
    <n v="45654.31"/>
    <n v="0.25"/>
    <n v="16095.55"/>
    <n v="0"/>
    <n v="0"/>
    <x v="0"/>
    <n v="9"/>
  </r>
  <r>
    <n v="32571"/>
    <n v="3203320"/>
    <x v="44"/>
    <n v="0.61"/>
    <n v="1524856.82"/>
    <n v="96530.32"/>
    <n v="1621387.14"/>
    <n v="32718.67"/>
    <n v="233389.41"/>
    <n v="0.61"/>
    <n v="38604.160000000003"/>
    <n v="0"/>
    <n v="0"/>
    <x v="0"/>
    <n v="9"/>
  </r>
  <r>
    <n v="32572"/>
    <n v="3203346"/>
    <x v="45"/>
    <n v="0.71"/>
    <n v="1763270.91"/>
    <n v="111623.03"/>
    <n v="1874893.94"/>
    <n v="37834.29"/>
    <n v="69131.899999999994"/>
    <n v="0.71"/>
    <n v="44640"/>
    <n v="0"/>
    <n v="0"/>
    <x v="0"/>
    <n v="9"/>
  </r>
  <r>
    <n v="32573"/>
    <n v="3203353"/>
    <x v="46"/>
    <n v="0.42"/>
    <n v="1065413"/>
    <n v="67445.47"/>
    <n v="1132858.47"/>
    <n v="22860.44"/>
    <n v="34704.870000000003"/>
    <n v="0.42"/>
    <n v="26972.62"/>
    <n v="0"/>
    <n v="0"/>
    <x v="0"/>
    <n v="9"/>
  </r>
  <r>
    <n v="32574"/>
    <n v="3203403"/>
    <x v="47"/>
    <n v="0.51"/>
    <n v="1278992.29"/>
    <n v="80966"/>
    <n v="1359958.29"/>
    <n v="27443.19"/>
    <n v="103038.44"/>
    <n v="0.51"/>
    <n v="32379.72"/>
    <n v="0"/>
    <n v="0"/>
    <x v="0"/>
    <n v="9"/>
  </r>
  <r>
    <n v="32575"/>
    <n v="3203502"/>
    <x v="48"/>
    <n v="0.53"/>
    <n v="1318727.97"/>
    <n v="83481.460000000006"/>
    <n v="1402209.43"/>
    <n v="28295.79"/>
    <n v="61964.5"/>
    <n v="0.53"/>
    <n v="33385.68"/>
    <n v="0"/>
    <n v="0"/>
    <x v="0"/>
    <n v="9"/>
  </r>
  <r>
    <n v="32576"/>
    <n v="3203601"/>
    <x v="49"/>
    <n v="0.28999999999999998"/>
    <n v="732626.65"/>
    <n v="46378.58"/>
    <n v="779005.23"/>
    <n v="15719.88"/>
    <n v="20363.25"/>
    <n v="0.28999999999999998"/>
    <n v="18547.599999999999"/>
    <n v="0"/>
    <n v="0"/>
    <x v="0"/>
    <n v="9"/>
  </r>
  <r>
    <n v="32577"/>
    <n v="3203700"/>
    <x v="50"/>
    <n v="0.51"/>
    <n v="1278992.29"/>
    <n v="80966"/>
    <n v="1359958.29"/>
    <n v="27443.19"/>
    <n v="49239.24"/>
    <n v="0.51"/>
    <n v="32379.72"/>
    <n v="0"/>
    <n v="0"/>
    <x v="0"/>
    <n v="9"/>
  </r>
  <r>
    <n v="32578"/>
    <n v="3203809"/>
    <x v="51"/>
    <n v="0.28999999999999998"/>
    <n v="730143.18"/>
    <n v="46221.36"/>
    <n v="776364.54"/>
    <n v="15666.6"/>
    <n v="37611.17"/>
    <n v="0.28999999999999998"/>
    <n v="18484.73"/>
    <n v="0"/>
    <n v="0"/>
    <x v="0"/>
    <n v="9"/>
  </r>
  <r>
    <n v="32579"/>
    <n v="3203908"/>
    <x v="52"/>
    <n v="1.22"/>
    <n v="3032329.26"/>
    <n v="191960.21"/>
    <n v="3224289.47"/>
    <n v="65064.33"/>
    <n v="205913.7"/>
    <n v="1.22"/>
    <n v="76768.210000000006"/>
    <n v="0"/>
    <n v="0"/>
    <x v="0"/>
    <n v="9"/>
  </r>
  <r>
    <n v="32580"/>
    <n v="3204005"/>
    <x v="53"/>
    <n v="0.45"/>
    <n v="1120049.55"/>
    <n v="70904.2"/>
    <n v="1190953.75"/>
    <n v="24032.77"/>
    <n v="49258.82"/>
    <n v="0.45"/>
    <n v="28355.83"/>
    <n v="0"/>
    <n v="0"/>
    <x v="0"/>
    <n v="9"/>
  </r>
  <r>
    <n v="32581"/>
    <n v="3204054"/>
    <x v="54"/>
    <n v="0.31"/>
    <n v="779812.78"/>
    <n v="49365.67"/>
    <n v="829178.45"/>
    <n v="16732.349999999999"/>
    <n v="84702.080000000002"/>
    <n v="0.31"/>
    <n v="19742.189999999999"/>
    <n v="0"/>
    <n v="0"/>
    <x v="0"/>
    <n v="9"/>
  </r>
  <r>
    <n v="32582"/>
    <n v="3204104"/>
    <x v="55"/>
    <n v="0.65"/>
    <n v="1626679.52"/>
    <n v="102976.19"/>
    <n v="1729655.71"/>
    <n v="34903.47"/>
    <n v="70423.710000000006"/>
    <n v="0.65"/>
    <n v="41181.97"/>
    <n v="0"/>
    <n v="0"/>
    <x v="0"/>
    <n v="9"/>
  </r>
  <r>
    <n v="32583"/>
    <n v="3204203"/>
    <x v="56"/>
    <n v="0.28999999999999998"/>
    <n v="732626.65"/>
    <n v="46378.58"/>
    <n v="779005.23"/>
    <n v="15719.88"/>
    <n v="101193.28"/>
    <n v="0.28999999999999998"/>
    <n v="18547.599999999999"/>
    <n v="0"/>
    <n v="0"/>
    <x v="0"/>
    <n v="9"/>
  </r>
  <r>
    <n v="32584"/>
    <n v="3204252"/>
    <x v="57"/>
    <n v="0.22"/>
    <n v="556299.56999999995"/>
    <n v="35216.29"/>
    <n v="591515.86"/>
    <n v="11936.45"/>
    <n v="19593.3"/>
    <n v="0.22"/>
    <n v="14083.61"/>
    <n v="0"/>
    <n v="0"/>
    <x v="0"/>
    <n v="9"/>
  </r>
  <r>
    <n v="32585"/>
    <n v="1718402"/>
    <x v="58"/>
    <n v="0.33"/>
    <n v="829482.38"/>
    <n v="52510"/>
    <n v="881992.38"/>
    <n v="17798.099999999999"/>
    <n v="65482.85"/>
    <n v="0.33"/>
    <n v="20999.66"/>
    <n v="0"/>
    <n v="0"/>
    <x v="0"/>
    <n v="9"/>
  </r>
  <r>
    <n v="32586"/>
    <n v="3204351"/>
    <x v="59"/>
    <n v="0.81"/>
    <n v="2024036.3"/>
    <n v="128130.68"/>
    <n v="2152166.98"/>
    <n v="43429.51"/>
    <n v="84940.1"/>
    <n v="0.81"/>
    <n v="51241.68"/>
    <n v="0"/>
    <n v="0"/>
    <x v="0"/>
    <n v="9"/>
  </r>
  <r>
    <n v="32587"/>
    <n v="3204401"/>
    <x v="60"/>
    <n v="0.26"/>
    <n v="653155.30000000005"/>
    <n v="41347.67"/>
    <n v="694502.97"/>
    <n v="14014.68"/>
    <n v="35904.54"/>
    <n v="0.26"/>
    <n v="16535.66"/>
    <n v="0"/>
    <n v="0"/>
    <x v="0"/>
    <n v="9"/>
  </r>
  <r>
    <n v="32588"/>
    <n v="3204500"/>
    <x v="61"/>
    <n v="0.49"/>
    <n v="1229322.67"/>
    <n v="77821.69"/>
    <n v="1307144.3600000001"/>
    <n v="26377.43"/>
    <n v="39370.58"/>
    <n v="0.49"/>
    <n v="31122.25"/>
    <n v="0"/>
    <n v="0"/>
    <x v="0"/>
    <n v="9"/>
  </r>
  <r>
    <n v="32589"/>
    <n v="3204559"/>
    <x v="62"/>
    <n v="2.29"/>
    <n v="5699586.96"/>
    <n v="360809.67"/>
    <n v="6060396.6299999999"/>
    <n v="122295.36"/>
    <n v="254600.89"/>
    <n v="2.29"/>
    <n v="144294.07"/>
    <n v="0"/>
    <n v="0"/>
    <x v="0"/>
    <n v="9"/>
  </r>
  <r>
    <n v="32590"/>
    <n v="3204609"/>
    <x v="63"/>
    <n v="0.69"/>
    <n v="1718568.27"/>
    <n v="108793.15"/>
    <n v="1827361.42"/>
    <n v="36875.120000000003"/>
    <n v="96924.78"/>
    <n v="0.69"/>
    <n v="43508.27"/>
    <n v="0"/>
    <n v="0"/>
    <x v="0"/>
    <n v="9"/>
  </r>
  <r>
    <n v="32591"/>
    <n v="3204658"/>
    <x v="64"/>
    <n v="0.48"/>
    <n v="1206971.3500000001"/>
    <n v="76406.78"/>
    <n v="1283378.1299999999"/>
    <n v="25897.84"/>
    <n v="30584.81"/>
    <n v="0.48"/>
    <n v="30556.39"/>
    <n v="0"/>
    <n v="0"/>
    <x v="0"/>
    <n v="9"/>
  </r>
  <r>
    <n v="32592"/>
    <n v="3204708"/>
    <x v="65"/>
    <n v="0.7"/>
    <n v="1745886.55"/>
    <n v="110522.52"/>
    <n v="1856409.07"/>
    <n v="37461.279999999999"/>
    <n v="123583.81"/>
    <n v="0.7"/>
    <n v="44199.88"/>
    <n v="0"/>
    <n v="0"/>
    <x v="0"/>
    <n v="9"/>
  </r>
  <r>
    <n v="32593"/>
    <n v="3204807"/>
    <x v="66"/>
    <n v="0.26"/>
    <n v="648188.32999999996"/>
    <n v="41033.24"/>
    <n v="689221.57"/>
    <n v="13908.1"/>
    <n v="31643.86"/>
    <n v="0.26"/>
    <n v="16409.91"/>
    <n v="0"/>
    <n v="0"/>
    <x v="0"/>
    <n v="9"/>
  </r>
  <r>
    <n v="32594"/>
    <n v="3204906"/>
    <x v="67"/>
    <n v="1.94"/>
    <n v="4820434.97"/>
    <n v="305155.37"/>
    <n v="5125590.34"/>
    <n v="103431.5"/>
    <n v="514385.68"/>
    <n v="1.94"/>
    <n v="122036.94"/>
    <n v="0"/>
    <n v="0"/>
    <x v="0"/>
    <n v="9"/>
  </r>
  <r>
    <n v="32595"/>
    <n v="3204955"/>
    <x v="68"/>
    <n v="0.32"/>
    <n v="814581.46"/>
    <n v="51566.71"/>
    <n v="866148.17"/>
    <n v="17478.38"/>
    <n v="30022.97"/>
    <n v="0.32"/>
    <n v="20622.419999999998"/>
    <n v="0"/>
    <n v="0"/>
    <x v="0"/>
    <n v="9"/>
  </r>
  <r>
    <n v="32596"/>
    <n v="3205002"/>
    <x v="69"/>
    <n v="14.13"/>
    <n v="35091574.5"/>
    <n v="2221455.54"/>
    <n v="37313030.039999999"/>
    <n v="752955.75"/>
    <n v="2050773.83"/>
    <n v="14.13"/>
    <n v="888398.74"/>
    <n v="0"/>
    <n v="0"/>
    <x v="0"/>
    <n v="9"/>
  </r>
  <r>
    <n v="32597"/>
    <n v="3205010"/>
    <x v="70"/>
    <n v="0.71"/>
    <n v="1768237.88"/>
    <n v="111937.48"/>
    <n v="1880175.36"/>
    <n v="37940.870000000003"/>
    <n v="78199.03"/>
    <n v="0.71"/>
    <n v="44765.74"/>
    <n v="0"/>
    <n v="0"/>
    <x v="0"/>
    <n v="9"/>
  </r>
  <r>
    <n v="32598"/>
    <n v="3205036"/>
    <x v="71"/>
    <n v="0.49"/>
    <n v="1231806.1299999999"/>
    <n v="77978.929999999993"/>
    <n v="1309785.06"/>
    <n v="26430.720000000001"/>
    <n v="71810.039999999994"/>
    <n v="0.49"/>
    <n v="31185.13"/>
    <n v="0"/>
    <n v="0"/>
    <x v="0"/>
    <n v="9"/>
  </r>
  <r>
    <n v="32599"/>
    <n v="3205069"/>
    <x v="72"/>
    <n v="0.72"/>
    <n v="1810457.04"/>
    <n v="114610.14"/>
    <n v="1925067.18"/>
    <n v="38846.76"/>
    <n v="108702.78"/>
    <n v="0.72"/>
    <n v="45834.59"/>
    <n v="0"/>
    <n v="0"/>
    <x v="0"/>
    <n v="9"/>
  </r>
  <r>
    <n v="32600"/>
    <n v="2112803"/>
    <x v="73"/>
    <n v="2"/>
    <n v="4986828.1399999997"/>
    <n v="315688.8"/>
    <n v="5302516.9400000004"/>
    <n v="107001.78"/>
    <n v="215910.79"/>
    <n v="2"/>
    <n v="126249.45"/>
    <n v="0"/>
    <n v="0"/>
    <x v="0"/>
    <n v="9"/>
  </r>
  <r>
    <n v="32601"/>
    <n v="3205150"/>
    <x v="74"/>
    <n v="0.32"/>
    <n v="817064.98"/>
    <n v="51723.93"/>
    <n v="868788.91"/>
    <n v="17531.669999999998"/>
    <n v="30656.82"/>
    <n v="0.32"/>
    <n v="20685.29"/>
    <n v="0"/>
    <n v="0"/>
    <x v="0"/>
    <n v="9"/>
  </r>
  <r>
    <n v="32602"/>
    <n v="3205176"/>
    <x v="75"/>
    <n v="0.57999999999999996"/>
    <n v="1462769.79"/>
    <n v="92599.95"/>
    <n v="1555369.74"/>
    <n v="31386.48"/>
    <n v="59994.83"/>
    <n v="0.57999999999999996"/>
    <n v="37032.33"/>
    <n v="0"/>
    <n v="0"/>
    <x v="0"/>
    <n v="9"/>
  </r>
  <r>
    <n v="32603"/>
    <n v="3205200"/>
    <x v="76"/>
    <n v="6.05"/>
    <n v="15037472.33"/>
    <n v="951940.08"/>
    <n v="15989412.41"/>
    <n v="322657.26"/>
    <n v="2440789.23"/>
    <n v="6.05"/>
    <n v="380697.41"/>
    <n v="0"/>
    <n v="0"/>
    <x v="0"/>
    <n v="9"/>
  </r>
  <r>
    <n v="32604"/>
    <n v="3205309"/>
    <x v="77"/>
    <n v="15.31"/>
    <n v="38024564.549999997"/>
    <n v="2407126.83"/>
    <n v="40431691.380000003"/>
    <n v="815888.57"/>
    <n v="2525804.75"/>
    <n v="15.31"/>
    <n v="962651.99"/>
    <n v="0"/>
    <n v="0"/>
    <x v="0"/>
    <n v="9"/>
  </r>
  <r>
    <n v="32605"/>
    <n v="3200102"/>
    <x v="0"/>
    <n v="0.82"/>
    <n v="2457990.5499999998"/>
    <n v="180101.09"/>
    <n v="2638091.64"/>
    <n v="48163.08"/>
    <n v="68036.62"/>
    <n v="0.82"/>
    <n v="57751.15"/>
    <n v="0"/>
    <n v="0"/>
    <x v="0"/>
    <n v="10"/>
  </r>
  <r>
    <n v="32606"/>
    <n v="3200169"/>
    <x v="1"/>
    <n v="0.31"/>
    <n v="928108.49"/>
    <n v="68004.03"/>
    <n v="996112.52"/>
    <n v="18185.810000000001"/>
    <n v="17076.32"/>
    <n v="0.31"/>
    <n v="21806.15"/>
    <n v="0"/>
    <n v="0"/>
    <x v="0"/>
    <n v="10"/>
  </r>
  <r>
    <n v="32607"/>
    <n v="3200136"/>
    <x v="2"/>
    <n v="0.41"/>
    <n v="1251449.5"/>
    <n v="91695.81"/>
    <n v="1343145.31"/>
    <n v="24521.52"/>
    <n v="24221.67"/>
    <n v="0.41"/>
    <n v="29403.14"/>
    <n v="0"/>
    <n v="0"/>
    <x v="0"/>
    <n v="10"/>
  </r>
  <r>
    <n v="32608"/>
    <n v="3200201"/>
    <x v="3"/>
    <n v="0.52"/>
    <n v="1574790.55"/>
    <n v="115387.54"/>
    <n v="1690178.09"/>
    <n v="30857.22"/>
    <n v="58406.21"/>
    <n v="0.52"/>
    <n v="37000.120000000003"/>
    <n v="0"/>
    <n v="0"/>
    <x v="0"/>
    <n v="10"/>
  </r>
  <r>
    <n v="32609"/>
    <n v="3200300"/>
    <x v="4"/>
    <n v="0.51"/>
    <n v="1526888.16"/>
    <n v="111877.64"/>
    <n v="1638765.8"/>
    <n v="29918.6"/>
    <n v="45547.63"/>
    <n v="0.51"/>
    <n v="35874.65"/>
    <n v="0"/>
    <n v="0"/>
    <x v="0"/>
    <n v="10"/>
  </r>
  <r>
    <n v="32610"/>
    <n v="3200359"/>
    <x v="5"/>
    <n v="0.22"/>
    <n v="673627.13"/>
    <n v="49357.77"/>
    <n v="722984.9"/>
    <n v="13199.38"/>
    <n v="16731.09"/>
    <n v="0.22"/>
    <n v="15827.05"/>
    <n v="0"/>
    <n v="0"/>
    <x v="0"/>
    <n v="10"/>
  </r>
  <r>
    <n v="32611"/>
    <n v="3200409"/>
    <x v="6"/>
    <n v="2.65"/>
    <n v="7942812.3300000001"/>
    <n v="581983.15"/>
    <n v="8524795.4800000004"/>
    <n v="155635.38"/>
    <n v="65929.039999999994"/>
    <n v="2.65"/>
    <n v="186618.51"/>
    <n v="0"/>
    <n v="0"/>
    <x v="0"/>
    <n v="10"/>
  </r>
  <r>
    <n v="32612"/>
    <n v="3200508"/>
    <x v="7"/>
    <n v="0.19"/>
    <n v="580816.29"/>
    <n v="42557.39"/>
    <n v="623373.68000000005"/>
    <n v="11380.8"/>
    <n v="40342.379999999997"/>
    <n v="0.19"/>
    <n v="13646.44"/>
    <n v="0"/>
    <n v="0"/>
    <x v="0"/>
    <n v="10"/>
  </r>
  <r>
    <n v="32613"/>
    <n v="3200607"/>
    <x v="8"/>
    <n v="3.34"/>
    <n v="10023571.689999999"/>
    <n v="734443.91"/>
    <n v="10758015.6"/>
    <n v="196406.8"/>
    <n v="254718.32"/>
    <n v="3.34"/>
    <n v="235506.52"/>
    <n v="0"/>
    <n v="0"/>
    <x v="0"/>
    <n v="10"/>
  </r>
  <r>
    <n v="32614"/>
    <n v="3200706"/>
    <x v="9"/>
    <n v="0.37"/>
    <n v="1134687.5"/>
    <n v="83140.45"/>
    <n v="1217827.95"/>
    <n v="22233.63"/>
    <n v="19325.3"/>
    <n v="0.37"/>
    <n v="26659.79"/>
    <n v="0"/>
    <n v="0"/>
    <x v="0"/>
    <n v="10"/>
  </r>
  <r>
    <n v="32615"/>
    <n v="3200805"/>
    <x v="10"/>
    <n v="0.69"/>
    <n v="2074771.56"/>
    <n v="152021.98000000001"/>
    <n v="2226793.54"/>
    <n v="40654.1"/>
    <n v="81567.039999999994"/>
    <n v="0.69"/>
    <n v="48747.32"/>
    <n v="0"/>
    <n v="0"/>
    <x v="0"/>
    <n v="10"/>
  </r>
  <r>
    <n v="32616"/>
    <n v="3200904"/>
    <x v="11"/>
    <n v="0.94"/>
    <n v="2829233.93"/>
    <n v="207302.71"/>
    <n v="3036536.64"/>
    <n v="55437.4"/>
    <n v="103819.54"/>
    <n v="0.94"/>
    <n v="66473.62"/>
    <n v="0"/>
    <n v="0"/>
    <x v="0"/>
    <n v="10"/>
  </r>
  <r>
    <n v="32617"/>
    <n v="3107109"/>
    <x v="12"/>
    <n v="0.4"/>
    <n v="1209534.94"/>
    <n v="88624.639999999999"/>
    <n v="1298159.58"/>
    <n v="23700.22"/>
    <n v="32804.269999999997"/>
    <n v="0.4"/>
    <n v="28418.35"/>
    <n v="0"/>
    <n v="0"/>
    <x v="0"/>
    <n v="10"/>
  </r>
  <r>
    <n v="32618"/>
    <n v="3201100"/>
    <x v="13"/>
    <n v="0.18"/>
    <n v="541895.59"/>
    <n v="39705.599999999999"/>
    <n v="581601.18999999994"/>
    <n v="10618.17"/>
    <n v="90960.35"/>
    <n v="0.18"/>
    <n v="12731.98"/>
    <n v="0"/>
    <n v="0"/>
    <x v="0"/>
    <n v="10"/>
  </r>
  <r>
    <n v="32619"/>
    <n v="3201159"/>
    <x v="14"/>
    <n v="0.43"/>
    <n v="1308333.56"/>
    <n v="95863.78"/>
    <n v="1404197.34"/>
    <n v="25636.13"/>
    <n v="38706.65"/>
    <n v="0.43"/>
    <n v="30739.64"/>
    <n v="0"/>
    <n v="0"/>
    <x v="0"/>
    <n v="10"/>
  </r>
  <r>
    <n v="32620"/>
    <n v="3201209"/>
    <x v="15"/>
    <n v="3.37"/>
    <n v="10104406.960000001"/>
    <n v="740366.82"/>
    <n v="10844773.779999999"/>
    <n v="197990.72"/>
    <n v="715619.52"/>
    <n v="3.37"/>
    <n v="237405.76"/>
    <n v="0"/>
    <n v="0"/>
    <x v="0"/>
    <n v="10"/>
  </r>
  <r>
    <n v="32621"/>
    <n v="3201308"/>
    <x v="16"/>
    <n v="5.99"/>
    <n v="17936445.050000001"/>
    <n v="1314233.3700000001"/>
    <n v="19250678.420000002"/>
    <n v="351455.54"/>
    <n v="771722.66"/>
    <n v="5.99"/>
    <n v="421421.6"/>
    <n v="0"/>
    <n v="0"/>
    <x v="0"/>
    <n v="10"/>
  </r>
  <r>
    <n v="32622"/>
    <n v="3201407"/>
    <x v="17"/>
    <n v="0.93"/>
    <n v="2805282.76"/>
    <n v="205547.77"/>
    <n v="3010830.53"/>
    <n v="54968.09"/>
    <n v="153709.53"/>
    <n v="0.93"/>
    <n v="65910.87"/>
    <n v="0"/>
    <n v="0"/>
    <x v="0"/>
    <n v="10"/>
  </r>
  <r>
    <n v="32623"/>
    <n v="3201506"/>
    <x v="18"/>
    <n v="2.25"/>
    <n v="6751240.7800000003"/>
    <n v="494674.72"/>
    <n v="7245915.5"/>
    <n v="132287.14000000001"/>
    <n v="380369.47"/>
    <n v="2.25"/>
    <n v="158622.21"/>
    <n v="0"/>
    <n v="0"/>
    <x v="0"/>
    <n v="10"/>
  </r>
  <r>
    <n v="32624"/>
    <n v="3201605"/>
    <x v="19"/>
    <n v="0.55000000000000004"/>
    <n v="1655625.79"/>
    <n v="121310.48"/>
    <n v="1776936.27"/>
    <n v="32441.15"/>
    <n v="48013.72"/>
    <n v="0.55000000000000004"/>
    <n v="38899.370000000003"/>
    <n v="0"/>
    <n v="0"/>
    <x v="0"/>
    <n v="10"/>
  </r>
  <r>
    <n v="32625"/>
    <n v="3201704"/>
    <x v="20"/>
    <n v="0.45"/>
    <n v="1368211.54"/>
    <n v="100251.17"/>
    <n v="1468462.71"/>
    <n v="26809.41"/>
    <n v="25606.77"/>
    <n v="0.45"/>
    <n v="32146.5"/>
    <n v="0"/>
    <n v="0"/>
    <x v="0"/>
    <n v="10"/>
  </r>
  <r>
    <n v="32626"/>
    <n v="3201803"/>
    <x v="21"/>
    <n v="0.18"/>
    <n v="556865.07999999996"/>
    <n v="40802.43"/>
    <n v="597667.51"/>
    <n v="10911.49"/>
    <n v="10991.56"/>
    <n v="0.18"/>
    <n v="13083.69"/>
    <n v="0"/>
    <n v="0"/>
    <x v="0"/>
    <n v="10"/>
  </r>
  <r>
    <n v="32627"/>
    <n v="3201902"/>
    <x v="22"/>
    <n v="1.28"/>
    <n v="3838177.69"/>
    <n v="281229.71000000002"/>
    <n v="4119407.4"/>
    <n v="75207.14"/>
    <n v="93456.92"/>
    <n v="1.28"/>
    <n v="90179.02"/>
    <n v="0"/>
    <n v="0"/>
    <x v="0"/>
    <n v="10"/>
  </r>
  <r>
    <n v="32628"/>
    <n v="3202009"/>
    <x v="23"/>
    <n v="0.25"/>
    <n v="748474.59"/>
    <n v="54842"/>
    <n v="803316.59"/>
    <n v="14665.98"/>
    <n v="20887.59"/>
    <n v="0.25"/>
    <n v="17585.61"/>
    <n v="0"/>
    <n v="0"/>
    <x v="0"/>
    <n v="10"/>
  </r>
  <r>
    <n v="32629"/>
    <n v="3202108"/>
    <x v="24"/>
    <n v="0.72"/>
    <n v="2158600.73"/>
    <n v="158164.29"/>
    <n v="2316765.02"/>
    <n v="42296.69"/>
    <n v="40013.97"/>
    <n v="0.72"/>
    <n v="50716.9"/>
    <n v="0"/>
    <n v="0"/>
    <x v="0"/>
    <n v="10"/>
  </r>
  <r>
    <n v="32630"/>
    <n v="3202207"/>
    <x v="25"/>
    <n v="0.35"/>
    <n v="1059840.02"/>
    <n v="77656.259999999995"/>
    <n v="1137496.28"/>
    <n v="20767.03"/>
    <n v="30510.959999999999"/>
    <n v="0.35"/>
    <n v="24901.23"/>
    <n v="0"/>
    <n v="0"/>
    <x v="0"/>
    <n v="10"/>
  </r>
  <r>
    <n v="32631"/>
    <n v="3202256"/>
    <x v="26"/>
    <n v="0.43"/>
    <n v="1287376.28"/>
    <n v="94328.23"/>
    <n v="1381704.51"/>
    <n v="25225.48"/>
    <n v="20228.28"/>
    <n v="0.43"/>
    <n v="30247.26"/>
    <n v="0"/>
    <n v="0"/>
    <x v="0"/>
    <n v="10"/>
  </r>
  <r>
    <n v="32632"/>
    <n v="3202306"/>
    <x v="27"/>
    <n v="0.41"/>
    <n v="1245461.73"/>
    <n v="91257.07"/>
    <n v="1336718.8"/>
    <n v="24404.19"/>
    <n v="105779.53"/>
    <n v="0.41"/>
    <n v="29262.46"/>
    <n v="0"/>
    <n v="0"/>
    <x v="0"/>
    <n v="10"/>
  </r>
  <r>
    <n v="32633"/>
    <n v="3202405"/>
    <x v="28"/>
    <n v="0.99"/>
    <n v="2978928.86"/>
    <n v="218271.11"/>
    <n v="3197199.97"/>
    <n v="58370.6"/>
    <n v="621251.62"/>
    <n v="0.99"/>
    <n v="69990.740000000005"/>
    <n v="0"/>
    <n v="0"/>
    <x v="0"/>
    <n v="10"/>
  </r>
  <r>
    <n v="32634"/>
    <n v="3202454"/>
    <x v="29"/>
    <n v="0.41"/>
    <n v="1248455.6499999999"/>
    <n v="91476.42"/>
    <n v="1339932.07"/>
    <n v="24462.85"/>
    <n v="66894.75"/>
    <n v="0.41"/>
    <n v="29332.799999999999"/>
    <n v="0"/>
    <n v="0"/>
    <x v="0"/>
    <n v="10"/>
  </r>
  <r>
    <n v="32635"/>
    <n v="3202504"/>
    <x v="30"/>
    <n v="0.25"/>
    <n v="772425.76"/>
    <n v="56596.94"/>
    <n v="829022.7"/>
    <n v="15135.29"/>
    <n v="34137.919999999998"/>
    <n v="0.25"/>
    <n v="18148.349999999999"/>
    <n v="0"/>
    <n v="0"/>
    <x v="0"/>
    <n v="10"/>
  </r>
  <r>
    <n v="32636"/>
    <n v="3202553"/>
    <x v="31"/>
    <n v="0.25"/>
    <n v="754462.39"/>
    <n v="55280.75"/>
    <n v="809743.14"/>
    <n v="14783.31"/>
    <n v="19711.09"/>
    <n v="0.25"/>
    <n v="17726.3"/>
    <n v="0"/>
    <n v="0"/>
    <x v="0"/>
    <n v="10"/>
  </r>
  <r>
    <n v="32637"/>
    <n v="3202603"/>
    <x v="32"/>
    <n v="0.4"/>
    <n v="1224504.42"/>
    <n v="89721.5"/>
    <n v="1314225.92"/>
    <n v="23993.54"/>
    <n v="49369.82"/>
    <n v="0.4"/>
    <n v="28770.06"/>
    <n v="0"/>
    <n v="0"/>
    <x v="0"/>
    <n v="10"/>
  </r>
  <r>
    <n v="32638"/>
    <n v="3202652"/>
    <x v="33"/>
    <n v="0.28000000000000003"/>
    <n v="862242.74"/>
    <n v="63177.96"/>
    <n v="925420.7"/>
    <n v="16895.21"/>
    <n v="35667.980000000003"/>
    <n v="0.28000000000000003"/>
    <n v="20258.62"/>
    <n v="0"/>
    <n v="0"/>
    <x v="0"/>
    <n v="10"/>
  </r>
  <r>
    <n v="32639"/>
    <n v="3202702"/>
    <x v="34"/>
    <n v="0.38"/>
    <n v="1146663.0900000001"/>
    <n v="84017.91"/>
    <n v="1230681"/>
    <n v="22468.28"/>
    <n v="25254.84"/>
    <n v="0.38"/>
    <n v="26941.15"/>
    <n v="0"/>
    <n v="0"/>
    <x v="0"/>
    <n v="10"/>
  </r>
  <r>
    <n v="32640"/>
    <n v="3202801"/>
    <x v="35"/>
    <n v="2.59"/>
    <n v="7778147.9199999999"/>
    <n v="569917.93999999994"/>
    <n v="8348065.8600000003"/>
    <n v="152408.85999999999"/>
    <n v="105514.59"/>
    <n v="2.59"/>
    <n v="182749.68"/>
    <n v="0"/>
    <n v="0"/>
    <x v="0"/>
    <n v="10"/>
  </r>
  <r>
    <n v="32641"/>
    <n v="3202900"/>
    <x v="36"/>
    <n v="0.34"/>
    <n v="1035888.83"/>
    <n v="75901.31"/>
    <n v="1111790.1399999999"/>
    <n v="20297.72"/>
    <n v="26032.47"/>
    <n v="0.34"/>
    <n v="24338.49"/>
    <n v="0"/>
    <n v="0"/>
    <x v="0"/>
    <n v="10"/>
  </r>
  <r>
    <n v="32642"/>
    <n v="3203007"/>
    <x v="37"/>
    <n v="0.45"/>
    <n v="1359229.87"/>
    <n v="99593.05"/>
    <n v="1458822.92"/>
    <n v="26633.42"/>
    <n v="77834.14"/>
    <n v="0.45"/>
    <n v="31935.47"/>
    <n v="0"/>
    <n v="0"/>
    <x v="0"/>
    <n v="10"/>
  </r>
  <r>
    <n v="32643"/>
    <n v="3203056"/>
    <x v="38"/>
    <n v="0.84"/>
    <n v="2532838.02"/>
    <n v="185585.3"/>
    <n v="2718423.32"/>
    <n v="49629.67"/>
    <n v="72424.070000000007"/>
    <n v="0.84"/>
    <n v="59509.71"/>
    <n v="0"/>
    <n v="0"/>
    <x v="0"/>
    <n v="10"/>
  </r>
  <r>
    <n v="32644"/>
    <n v="3203106"/>
    <x v="39"/>
    <n v="0.22"/>
    <n v="673627.13"/>
    <n v="49357.77"/>
    <n v="722984.9"/>
    <n v="13199.38"/>
    <n v="13582.92"/>
    <n v="0.22"/>
    <n v="15827.05"/>
    <n v="0"/>
    <n v="0"/>
    <x v="0"/>
    <n v="10"/>
  </r>
  <r>
    <n v="32645"/>
    <n v="3203130"/>
    <x v="40"/>
    <n v="0.43"/>
    <n v="1302345.8"/>
    <n v="95425.06"/>
    <n v="1397770.86"/>
    <n v="25518.799999999999"/>
    <n v="45108.959999999999"/>
    <n v="0.43"/>
    <n v="30598.959999999999"/>
    <n v="0"/>
    <n v="0"/>
    <x v="0"/>
    <n v="10"/>
  </r>
  <r>
    <n v="32646"/>
    <n v="3203163"/>
    <x v="41"/>
    <n v="0.38"/>
    <n v="1164626.45"/>
    <n v="85334.13"/>
    <n v="1249960.58"/>
    <n v="22820.26"/>
    <n v="19517.740000000002"/>
    <n v="0.38"/>
    <n v="27363.22"/>
    <n v="0"/>
    <n v="0"/>
    <x v="0"/>
    <n v="10"/>
  </r>
  <r>
    <n v="32647"/>
    <n v="3203205"/>
    <x v="42"/>
    <n v="6.16"/>
    <n v="18451395.57"/>
    <n v="1351964.68"/>
    <n v="19803360.25"/>
    <n v="361545.73"/>
    <n v="479174.08"/>
    <n v="6.16"/>
    <n v="433520.51"/>
    <n v="0"/>
    <n v="0"/>
    <x v="0"/>
    <n v="10"/>
  </r>
  <r>
    <n v="32648"/>
    <n v="3203304"/>
    <x v="43"/>
    <n v="0.25"/>
    <n v="766437.97"/>
    <n v="56158.2"/>
    <n v="822596.17"/>
    <n v="15017.96"/>
    <n v="26234.38"/>
    <n v="0.25"/>
    <n v="18007.66"/>
    <n v="0"/>
    <n v="0"/>
    <x v="0"/>
    <n v="10"/>
  </r>
  <r>
    <n v="32649"/>
    <n v="3203320"/>
    <x v="44"/>
    <n v="0.61"/>
    <n v="1838253.61"/>
    <n v="134691.95000000001"/>
    <n v="1972945.56"/>
    <n v="36019.65"/>
    <n v="202436.19"/>
    <n v="0.61"/>
    <n v="43190.26"/>
    <n v="0"/>
    <n v="0"/>
    <x v="0"/>
    <n v="10"/>
  </r>
  <r>
    <n v="32650"/>
    <n v="3203346"/>
    <x v="45"/>
    <n v="0.71"/>
    <n v="2125667.8199999998"/>
    <n v="155751.23000000001"/>
    <n v="2281419.0499999998"/>
    <n v="41651.379999999997"/>
    <n v="56590.14"/>
    <n v="0.71"/>
    <n v="49943.14"/>
    <n v="0"/>
    <n v="0"/>
    <x v="0"/>
    <n v="10"/>
  </r>
  <r>
    <n v="32651"/>
    <n v="3203353"/>
    <x v="46"/>
    <n v="0.42"/>
    <n v="1284382.4099999999"/>
    <n v="94108.84"/>
    <n v="1378491.25"/>
    <n v="25166.82"/>
    <n v="15770.22"/>
    <n v="0.42"/>
    <n v="30176.91"/>
    <n v="0"/>
    <n v="0"/>
    <x v="0"/>
    <n v="10"/>
  </r>
  <r>
    <n v="32652"/>
    <n v="3203403"/>
    <x v="47"/>
    <n v="0.51"/>
    <n v="1541857.64"/>
    <n v="112974.49"/>
    <n v="1654832.13"/>
    <n v="30211.919999999998"/>
    <n v="62939.99"/>
    <n v="0.51"/>
    <n v="36226.36"/>
    <n v="0"/>
    <n v="0"/>
    <x v="0"/>
    <n v="10"/>
  </r>
  <r>
    <n v="32653"/>
    <n v="3203502"/>
    <x v="48"/>
    <n v="0.53"/>
    <n v="1589760.05"/>
    <n v="116484.37"/>
    <n v="1706244.42"/>
    <n v="31150.54"/>
    <n v="39103.97"/>
    <n v="0.53"/>
    <n v="37351.839999999997"/>
    <n v="0"/>
    <n v="0"/>
    <x v="0"/>
    <n v="10"/>
  </r>
  <r>
    <n v="32654"/>
    <n v="3203601"/>
    <x v="49"/>
    <n v="0.28999999999999998"/>
    <n v="883200.03"/>
    <n v="64713.56"/>
    <n v="947913.59"/>
    <n v="17305.86"/>
    <n v="10837.06"/>
    <n v="0.28999999999999998"/>
    <n v="20751.02"/>
    <n v="0"/>
    <n v="0"/>
    <x v="0"/>
    <n v="10"/>
  </r>
  <r>
    <n v="32655"/>
    <n v="3203700"/>
    <x v="50"/>
    <n v="0.51"/>
    <n v="1541857.64"/>
    <n v="112974.49"/>
    <n v="1654832.13"/>
    <n v="30211.919999999998"/>
    <n v="36964.83"/>
    <n v="0.51"/>
    <n v="36226.36"/>
    <n v="0"/>
    <n v="0"/>
    <x v="0"/>
    <n v="10"/>
  </r>
  <r>
    <n v="32656"/>
    <n v="3203809"/>
    <x v="51"/>
    <n v="0.28999999999999998"/>
    <n v="880206.09"/>
    <n v="64494.18"/>
    <n v="944700.27"/>
    <n v="17247.189999999999"/>
    <n v="28875.78"/>
    <n v="0.28999999999999998"/>
    <n v="20680.669999999998"/>
    <n v="0"/>
    <n v="0"/>
    <x v="0"/>
    <n v="10"/>
  </r>
  <r>
    <n v="32657"/>
    <n v="3203908"/>
    <x v="52"/>
    <n v="1.22"/>
    <n v="3655549.89"/>
    <n v="267848.25"/>
    <n v="3923398.14"/>
    <n v="71628.639999999999"/>
    <n v="164269.45000000001"/>
    <n v="1.22"/>
    <n v="85888.13"/>
    <n v="0"/>
    <n v="0"/>
    <x v="0"/>
    <n v="10"/>
  </r>
  <r>
    <n v="32658"/>
    <n v="3204005"/>
    <x v="53"/>
    <n v="0.45"/>
    <n v="1350248.14"/>
    <n v="98934.95"/>
    <n v="1449183.09"/>
    <n v="26457.43"/>
    <n v="31911.62"/>
    <n v="0.45"/>
    <n v="31724.44"/>
    <n v="0"/>
    <n v="0"/>
    <x v="0"/>
    <n v="10"/>
  </r>
  <r>
    <n v="32659"/>
    <n v="3204054"/>
    <x v="54"/>
    <n v="0.31"/>
    <n v="940084.07"/>
    <n v="68881.539999999994"/>
    <n v="1008965.61"/>
    <n v="18420.47"/>
    <n v="51475.12"/>
    <n v="0.31"/>
    <n v="22087.53"/>
    <n v="0"/>
    <n v="0"/>
    <x v="0"/>
    <n v="10"/>
  </r>
  <r>
    <n v="32660"/>
    <n v="3204104"/>
    <x v="55"/>
    <n v="0.65"/>
    <n v="1961003.43"/>
    <n v="143686.01999999999"/>
    <n v="2104689.4500000002"/>
    <n v="38424.870000000003"/>
    <n v="42142.07"/>
    <n v="0.65"/>
    <n v="46074.3"/>
    <n v="0"/>
    <n v="0"/>
    <x v="0"/>
    <n v="10"/>
  </r>
  <r>
    <n v="32661"/>
    <n v="3204203"/>
    <x v="56"/>
    <n v="0.28999999999999998"/>
    <n v="883200.03"/>
    <n v="64713.56"/>
    <n v="947913.59"/>
    <n v="17305.86"/>
    <n v="83640.490000000005"/>
    <n v="0.28999999999999998"/>
    <n v="20751.02"/>
    <n v="0"/>
    <n v="0"/>
    <x v="0"/>
    <n v="10"/>
  </r>
  <r>
    <n v="32662"/>
    <n v="3204252"/>
    <x v="57"/>
    <n v="0.22"/>
    <n v="670633.23"/>
    <n v="49138.42"/>
    <n v="719771.65"/>
    <n v="13140.72"/>
    <n v="9308.02"/>
    <n v="0.22"/>
    <n v="15756.71"/>
    <n v="0"/>
    <n v="0"/>
    <x v="0"/>
    <n v="10"/>
  </r>
  <r>
    <n v="32663"/>
    <n v="1718402"/>
    <x v="58"/>
    <n v="0.33"/>
    <n v="999962.03"/>
    <n v="73268.899999999994"/>
    <n v="1073230.93"/>
    <n v="19593.75"/>
    <n v="45547.5"/>
    <n v="0.33"/>
    <n v="23494.38"/>
    <n v="0"/>
    <n v="0"/>
    <x v="0"/>
    <n v="10"/>
  </r>
  <r>
    <n v="32664"/>
    <n v="3204351"/>
    <x v="59"/>
    <n v="0.81"/>
    <n v="2440027.17"/>
    <n v="178784.87"/>
    <n v="2618812.04"/>
    <n v="47811.09"/>
    <n v="45227.28"/>
    <n v="0.81"/>
    <n v="57329.1"/>
    <n v="0"/>
    <n v="0"/>
    <x v="0"/>
    <n v="10"/>
  </r>
  <r>
    <n v="32665"/>
    <n v="3204401"/>
    <x v="60"/>
    <n v="0.26"/>
    <n v="787395.25"/>
    <n v="57693.77"/>
    <n v="845089.02"/>
    <n v="15428.61"/>
    <n v="28052.93"/>
    <n v="0.26"/>
    <n v="18500.060000000001"/>
    <n v="0"/>
    <n v="0"/>
    <x v="0"/>
    <n v="10"/>
  </r>
  <r>
    <n v="32666"/>
    <n v="3204500"/>
    <x v="61"/>
    <n v="0.49"/>
    <n v="1481979.65"/>
    <n v="108587.14"/>
    <n v="1590566.79"/>
    <n v="29038.639999999999"/>
    <n v="18638.98"/>
    <n v="0.49"/>
    <n v="34819.51"/>
    <n v="0"/>
    <n v="0"/>
    <x v="0"/>
    <n v="10"/>
  </r>
  <r>
    <n v="32667"/>
    <n v="3204559"/>
    <x v="62"/>
    <n v="2.29"/>
    <n v="6870996.7300000004"/>
    <n v="503449.45"/>
    <n v="7374446.1799999997"/>
    <n v="134633.69"/>
    <n v="171943.95"/>
    <n v="2.29"/>
    <n v="161435.92000000001"/>
    <n v="0"/>
    <n v="0"/>
    <x v="0"/>
    <n v="10"/>
  </r>
  <r>
    <n v="32668"/>
    <n v="3204609"/>
    <x v="63"/>
    <n v="0.69"/>
    <n v="2071777.67"/>
    <n v="151802.62"/>
    <n v="2223580.29"/>
    <n v="40595.43"/>
    <n v="75549.100000000006"/>
    <n v="0.69"/>
    <n v="48676.97"/>
    <n v="0"/>
    <n v="0"/>
    <x v="0"/>
    <n v="10"/>
  </r>
  <r>
    <n v="32669"/>
    <n v="3204658"/>
    <x v="64"/>
    <n v="0.48"/>
    <n v="1455034.59"/>
    <n v="106612.83"/>
    <n v="1561647.42"/>
    <n v="28510.66"/>
    <n v="19827.02"/>
    <n v="0.48"/>
    <n v="34186.43"/>
    <n v="0"/>
    <n v="0"/>
    <x v="0"/>
    <n v="10"/>
  </r>
  <r>
    <n v="32670"/>
    <n v="3204708"/>
    <x v="65"/>
    <n v="0.7"/>
    <n v="2104710.5299999998"/>
    <n v="154215.65"/>
    <n v="2258926.1800000002"/>
    <n v="41240.730000000003"/>
    <n v="88256.76"/>
    <n v="0.7"/>
    <n v="49450.74"/>
    <n v="0"/>
    <n v="0"/>
    <x v="0"/>
    <n v="10"/>
  </r>
  <r>
    <n v="32671"/>
    <n v="3204807"/>
    <x v="66"/>
    <n v="0.26"/>
    <n v="781407.47"/>
    <n v="57255.02"/>
    <n v="838662.49"/>
    <n v="15311.28"/>
    <n v="34874.51"/>
    <n v="0.26"/>
    <n v="18359.38"/>
    <n v="0"/>
    <n v="0"/>
    <x v="0"/>
    <n v="10"/>
  </r>
  <r>
    <n v="32672"/>
    <n v="3204906"/>
    <x v="67"/>
    <n v="1.94"/>
    <n v="5811156.7000000002"/>
    <n v="425793.17"/>
    <n v="6236949.8700000001"/>
    <n v="113866.67"/>
    <n v="403383.87"/>
    <n v="1.94"/>
    <n v="136534.69"/>
    <n v="0"/>
    <n v="0"/>
    <x v="0"/>
    <n v="10"/>
  </r>
  <r>
    <n v="32673"/>
    <n v="3204955"/>
    <x v="68"/>
    <n v="0.32"/>
    <n v="981998.66"/>
    <n v="71952.69"/>
    <n v="1053951.3500000001"/>
    <n v="19241.77"/>
    <n v="19857.060000000001"/>
    <n v="0.32"/>
    <n v="23072.32"/>
    <n v="0"/>
    <n v="0"/>
    <x v="0"/>
    <n v="10"/>
  </r>
  <r>
    <n v="32674"/>
    <n v="3205002"/>
    <x v="69"/>
    <n v="14.13"/>
    <n v="42303783.759999998"/>
    <n v="3099669.11"/>
    <n v="45403452.869999997"/>
    <n v="828921.17"/>
    <n v="1331247.69"/>
    <n v="14.13"/>
    <n v="993938.78"/>
    <n v="0"/>
    <n v="0"/>
    <x v="0"/>
    <n v="10"/>
  </r>
  <r>
    <n v="32675"/>
    <n v="3205010"/>
    <x v="70"/>
    <n v="0.71"/>
    <n v="2131655.63"/>
    <n v="156189.96"/>
    <n v="2287845.59"/>
    <n v="41768.71"/>
    <n v="47003.13"/>
    <n v="0.71"/>
    <n v="50083.82"/>
    <n v="0"/>
    <n v="0"/>
    <x v="0"/>
    <n v="10"/>
  </r>
  <r>
    <n v="32676"/>
    <n v="3205036"/>
    <x v="71"/>
    <n v="0.49"/>
    <n v="1484973.57"/>
    <n v="108806.51"/>
    <n v="1593780.08"/>
    <n v="29097.3"/>
    <n v="67140.58"/>
    <n v="0.49"/>
    <n v="34889.85"/>
    <n v="0"/>
    <n v="0"/>
    <x v="0"/>
    <n v="10"/>
  </r>
  <r>
    <n v="32677"/>
    <n v="3205069"/>
    <x v="72"/>
    <n v="0.72"/>
    <n v="2182551.9"/>
    <n v="159919.23000000001"/>
    <n v="2342471.13"/>
    <n v="42766"/>
    <n v="65268.07"/>
    <n v="0.72"/>
    <n v="51279.65"/>
    <n v="0"/>
    <n v="0"/>
    <x v="0"/>
    <n v="10"/>
  </r>
  <r>
    <n v="32678"/>
    <n v="2112803"/>
    <x v="73"/>
    <n v="2"/>
    <n v="6011747.9000000004"/>
    <n v="440490.85"/>
    <n v="6452238.75"/>
    <n v="117797.15"/>
    <n v="124381.86"/>
    <n v="2"/>
    <n v="141247.63"/>
    <n v="0"/>
    <n v="0"/>
    <x v="0"/>
    <n v="10"/>
  </r>
  <r>
    <n v="32679"/>
    <n v="3205150"/>
    <x v="74"/>
    <n v="0.32"/>
    <n v="984992.57"/>
    <n v="72172.02"/>
    <n v="1057164.5900000001"/>
    <n v="19300.43"/>
    <n v="25386.73"/>
    <n v="0.32"/>
    <n v="23142.66"/>
    <n v="0"/>
    <n v="0"/>
    <x v="0"/>
    <n v="10"/>
  </r>
  <r>
    <n v="32680"/>
    <n v="3205176"/>
    <x v="75"/>
    <n v="0.57999999999999996"/>
    <n v="1763406.13"/>
    <n v="129207.74"/>
    <n v="1892613.87"/>
    <n v="34553.050000000003"/>
    <n v="45756.3"/>
    <n v="0.57999999999999996"/>
    <n v="41431.699999999997"/>
    <n v="0"/>
    <n v="0"/>
    <x v="0"/>
    <n v="10"/>
  </r>
  <r>
    <n v="32681"/>
    <n v="3205200"/>
    <x v="76"/>
    <n v="6.05"/>
    <n v="18128054.550000001"/>
    <n v="1328272.8999999999"/>
    <n v="19456327.449999999"/>
    <n v="355210.03"/>
    <n v="1539171.26"/>
    <n v="6.05"/>
    <n v="425923.52"/>
    <n v="0"/>
    <n v="0"/>
    <x v="0"/>
    <n v="10"/>
  </r>
  <r>
    <n v="32682"/>
    <n v="3205309"/>
    <x v="77"/>
    <n v="15.31"/>
    <n v="45839577.780000001"/>
    <n v="3358742.67"/>
    <n v="49198320.450000003"/>
    <n v="898203.25"/>
    <n v="1604210.5"/>
    <n v="15.31"/>
    <n v="1077013.27"/>
    <n v="0"/>
    <n v="0"/>
    <x v="0"/>
    <n v="10"/>
  </r>
  <r>
    <n v="32683"/>
    <n v="3200102"/>
    <x v="0"/>
    <n v="0.82"/>
    <n v="2180584.96"/>
    <n v="21110.85"/>
    <n v="2201695.81"/>
    <n v="46631.88"/>
    <n v="53091.91"/>
    <n v="0.82"/>
    <n v="49643.42"/>
    <n v="0"/>
    <n v="0"/>
    <x v="0"/>
    <n v="11"/>
  </r>
  <r>
    <n v="32684"/>
    <n v="3200169"/>
    <x v="1"/>
    <n v="0.31"/>
    <n v="823363.36"/>
    <n v="7971.2"/>
    <n v="831334.56"/>
    <n v="17607.650000000001"/>
    <n v="10686.12"/>
    <n v="0.31"/>
    <n v="18744.77"/>
    <n v="0"/>
    <n v="0"/>
    <x v="0"/>
    <n v="11"/>
  </r>
  <r>
    <n v="32685"/>
    <n v="3200136"/>
    <x v="2"/>
    <n v="0.41"/>
    <n v="1110212.57"/>
    <n v="10748.24"/>
    <n v="1120960.81"/>
    <n v="23741.93"/>
    <n v="14042.34"/>
    <n v="0.41"/>
    <n v="25275.21"/>
    <n v="0"/>
    <n v="0"/>
    <x v="0"/>
    <n v="11"/>
  </r>
  <r>
    <n v="32686"/>
    <n v="3200201"/>
    <x v="3"/>
    <n v="0.52"/>
    <n v="1397061.74"/>
    <n v="13525.36"/>
    <n v="1410587.1"/>
    <n v="29876.21"/>
    <n v="40873.69"/>
    <n v="0.52"/>
    <n v="31805.65"/>
    <n v="0"/>
    <n v="0"/>
    <x v="0"/>
    <n v="11"/>
  </r>
  <r>
    <n v="32687"/>
    <n v="3200300"/>
    <x v="4"/>
    <n v="0.51"/>
    <n v="1354565.57"/>
    <n v="13113.93"/>
    <n v="1367679.5"/>
    <n v="28967.43"/>
    <n v="21013.13"/>
    <n v="0.51"/>
    <n v="30838.18"/>
    <n v="0"/>
    <n v="0"/>
    <x v="0"/>
    <n v="11"/>
  </r>
  <r>
    <n v="32688"/>
    <n v="3200359"/>
    <x v="5"/>
    <n v="0.22"/>
    <n v="597602.43999999994"/>
    <n v="5785.54"/>
    <n v="603387.98"/>
    <n v="12779.75"/>
    <n v="11726.04"/>
    <n v="0.22"/>
    <n v="13605.08"/>
    <n v="0"/>
    <n v="0"/>
    <x v="0"/>
    <n v="11"/>
  </r>
  <r>
    <n v="32689"/>
    <n v="3200409"/>
    <x v="6"/>
    <n v="2.65"/>
    <n v="7046396.9400000004"/>
    <n v="68218.17"/>
    <n v="7114615.1100000003"/>
    <n v="150687.43"/>
    <n v="57837.66"/>
    <n v="2.65"/>
    <n v="160418.98000000001"/>
    <n v="0"/>
    <n v="0"/>
    <x v="0"/>
    <n v="11"/>
  </r>
  <r>
    <n v="32690"/>
    <n v="3200508"/>
    <x v="7"/>
    <n v="0.19"/>
    <n v="515266.12"/>
    <n v="4988.43"/>
    <n v="520254.55"/>
    <n v="11018.98"/>
    <n v="29810.46"/>
    <n v="0.19"/>
    <n v="11730.6"/>
    <n v="0"/>
    <n v="0"/>
    <x v="0"/>
    <n v="11"/>
  </r>
  <r>
    <n v="32691"/>
    <n v="3200607"/>
    <x v="8"/>
    <n v="3.34"/>
    <n v="8892324.5299999993"/>
    <n v="86089.1"/>
    <n v="8978413.6300000008"/>
    <n v="190162.65"/>
    <n v="153724.01999999999"/>
    <n v="3.34"/>
    <n v="202443.55"/>
    <n v="0"/>
    <n v="0"/>
    <x v="0"/>
    <n v="11"/>
  </r>
  <r>
    <n v="32692"/>
    <n v="3200706"/>
    <x v="9"/>
    <n v="0.37"/>
    <n v="1006628.15"/>
    <n v="9745.4599999999991"/>
    <n v="1016373.61"/>
    <n v="21526.78"/>
    <n v="17580.55"/>
    <n v="0.37"/>
    <n v="22917"/>
    <n v="0"/>
    <n v="0"/>
    <x v="0"/>
    <n v="11"/>
  </r>
  <r>
    <n v="32693"/>
    <n v="3200805"/>
    <x v="10"/>
    <n v="0.69"/>
    <n v="1840615.55"/>
    <n v="17819.509999999998"/>
    <n v="1858435.06"/>
    <n v="39361.620000000003"/>
    <n v="55939.17"/>
    <n v="0.69"/>
    <n v="41903.64"/>
    <n v="0"/>
    <n v="0"/>
    <x v="0"/>
    <n v="11"/>
  </r>
  <r>
    <n v="32694"/>
    <n v="3200904"/>
    <x v="11"/>
    <n v="0.94"/>
    <n v="2509930.3199999998"/>
    <n v="24299.35"/>
    <n v="2534229.67"/>
    <n v="53674.94"/>
    <n v="74840.95"/>
    <n v="0.94"/>
    <n v="57141.33"/>
    <n v="0"/>
    <n v="0"/>
    <x v="0"/>
    <n v="11"/>
  </r>
  <r>
    <n v="32695"/>
    <n v="3107109"/>
    <x v="12"/>
    <n v="0.4"/>
    <n v="1073028.3899999999"/>
    <n v="10388.31"/>
    <n v="1083416.7"/>
    <n v="22946.75"/>
    <n v="20096.72"/>
    <n v="0.4"/>
    <n v="24428.67"/>
    <n v="0"/>
    <n v="0"/>
    <x v="0"/>
    <n v="11"/>
  </r>
  <r>
    <n v="32696"/>
    <n v="3201100"/>
    <x v="13"/>
    <n v="0.18"/>
    <n v="480737.98"/>
    <n v="4654.16"/>
    <n v="485392.14"/>
    <n v="10280.6"/>
    <n v="56241.74"/>
    <n v="0.18"/>
    <n v="10944.53"/>
    <n v="0"/>
    <n v="0"/>
    <x v="0"/>
    <n v="11"/>
  </r>
  <r>
    <n v="32697"/>
    <n v="3201159"/>
    <x v="14"/>
    <n v="0.43"/>
    <n v="1160676.77"/>
    <n v="11236.83"/>
    <n v="1171913.6000000001"/>
    <n v="24821.11"/>
    <n v="23776.17"/>
    <n v="0.43"/>
    <n v="26424.080000000002"/>
    <n v="0"/>
    <n v="0"/>
    <x v="0"/>
    <n v="11"/>
  </r>
  <r>
    <n v="32698"/>
    <n v="3201209"/>
    <x v="15"/>
    <n v="3.37"/>
    <n v="8964036.8300000001"/>
    <n v="86783.35"/>
    <n v="9050820.1799999997"/>
    <n v="191696.22"/>
    <n v="442683.01"/>
    <n v="3.37"/>
    <n v="204076.16"/>
    <n v="0"/>
    <n v="0"/>
    <x v="0"/>
    <n v="11"/>
  </r>
  <r>
    <n v="32699"/>
    <n v="3201308"/>
    <x v="16"/>
    <n v="5.99"/>
    <n v="15912161.369999999"/>
    <n v="154050.09"/>
    <n v="16066211.460000001"/>
    <n v="340282.09"/>
    <n v="528420.14"/>
    <n v="5.99"/>
    <n v="362257.86"/>
    <n v="0"/>
    <n v="0"/>
    <x v="0"/>
    <n v="11"/>
  </r>
  <r>
    <n v="32700"/>
    <n v="3201407"/>
    <x v="17"/>
    <n v="0.93"/>
    <n v="2488682.2200000002"/>
    <n v="24093.61"/>
    <n v="2512775.83"/>
    <n v="53220.55"/>
    <n v="116343.4"/>
    <n v="0.93"/>
    <n v="56657.59"/>
    <n v="0"/>
    <n v="0"/>
    <x v="0"/>
    <n v="11"/>
  </r>
  <r>
    <n v="32701"/>
    <n v="3201506"/>
    <x v="18"/>
    <n v="2.25"/>
    <n v="5989304.5800000001"/>
    <n v="57984.14"/>
    <n v="6047288.7199999997"/>
    <n v="128081.48"/>
    <n v="243448.83"/>
    <n v="2.25"/>
    <n v="136353.10999999999"/>
    <n v="0"/>
    <n v="0"/>
    <x v="0"/>
    <n v="11"/>
  </r>
  <r>
    <n v="32702"/>
    <n v="3201605"/>
    <x v="19"/>
    <n v="0.55000000000000004"/>
    <n v="1468774"/>
    <n v="14219.59"/>
    <n v="1482993.59"/>
    <n v="31409.78"/>
    <n v="32646.28"/>
    <n v="0.55000000000000004"/>
    <n v="33438.26"/>
    <n v="0"/>
    <n v="0"/>
    <x v="0"/>
    <n v="11"/>
  </r>
  <r>
    <n v="32703"/>
    <n v="3201704"/>
    <x v="20"/>
    <n v="0.45"/>
    <n v="1213796.99"/>
    <n v="11751.12"/>
    <n v="1225548.1100000001"/>
    <n v="25957.09"/>
    <n v="15861.68"/>
    <n v="0.45"/>
    <n v="27633.42"/>
    <n v="0"/>
    <n v="0"/>
    <x v="0"/>
    <n v="11"/>
  </r>
  <r>
    <n v="32704"/>
    <n v="3201803"/>
    <x v="21"/>
    <n v="0.18"/>
    <n v="494018.04"/>
    <n v="4782.72"/>
    <n v="498800.76"/>
    <n v="10564.59"/>
    <n v="6109.41"/>
    <n v="0.18"/>
    <n v="11246.86"/>
    <n v="0"/>
    <n v="0"/>
    <x v="0"/>
    <n v="11"/>
  </r>
  <r>
    <n v="32705"/>
    <n v="3201902"/>
    <x v="22"/>
    <n v="1.28"/>
    <n v="3405005.97"/>
    <n v="32964.81"/>
    <n v="3437970.78"/>
    <n v="72816.160000000003"/>
    <n v="61904.91"/>
    <n v="1.28"/>
    <n v="77518.710000000006"/>
    <n v="0"/>
    <n v="0"/>
    <x v="0"/>
    <n v="11"/>
  </r>
  <r>
    <n v="32706"/>
    <n v="3202009"/>
    <x v="23"/>
    <n v="0.25"/>
    <n v="664002.72"/>
    <n v="6428.39"/>
    <n v="670431.11"/>
    <n v="14199.72"/>
    <n v="6386.54"/>
    <n v="0.25"/>
    <n v="15116.75"/>
    <n v="0"/>
    <n v="0"/>
    <x v="0"/>
    <n v="11"/>
  </r>
  <r>
    <n v="32707"/>
    <n v="3202108"/>
    <x v="24"/>
    <n v="0.72"/>
    <n v="1914983.86"/>
    <n v="18539.48"/>
    <n v="1933523.34"/>
    <n v="40951.99"/>
    <n v="26875.98"/>
    <n v="0.72"/>
    <n v="43596.72"/>
    <n v="0"/>
    <n v="0"/>
    <x v="0"/>
    <n v="11"/>
  </r>
  <r>
    <n v="32708"/>
    <n v="3202207"/>
    <x v="25"/>
    <n v="0.35"/>
    <n v="940227.86"/>
    <n v="9102.61"/>
    <n v="949330.47"/>
    <n v="20106.8"/>
    <n v="23433.25"/>
    <n v="0.35"/>
    <n v="21405.32"/>
    <n v="0"/>
    <n v="0"/>
    <x v="0"/>
    <n v="11"/>
  </r>
  <r>
    <n v="32709"/>
    <n v="3202256"/>
    <x v="26"/>
    <n v="0.43"/>
    <n v="1142084.72"/>
    <n v="11056.85"/>
    <n v="1153141.57"/>
    <n v="24423.52"/>
    <n v="11382.05"/>
    <n v="0.43"/>
    <n v="26000.81"/>
    <n v="0"/>
    <n v="0"/>
    <x v="0"/>
    <n v="11"/>
  </r>
  <r>
    <n v="32710"/>
    <n v="3202306"/>
    <x v="27"/>
    <n v="0.41"/>
    <n v="1104900.53"/>
    <n v="10696.85"/>
    <n v="1115597.3799999999"/>
    <n v="23628.33"/>
    <n v="58189.08"/>
    <n v="0.41"/>
    <n v="25154.28"/>
    <n v="0"/>
    <n v="0"/>
    <x v="0"/>
    <n v="11"/>
  </r>
  <r>
    <n v="32711"/>
    <n v="3202405"/>
    <x v="28"/>
    <n v="0.99"/>
    <n v="2642730.84"/>
    <n v="25585.02"/>
    <n v="2668315.86"/>
    <n v="56514.89"/>
    <n v="410622.11"/>
    <n v="0.99"/>
    <n v="60164.68"/>
    <n v="0"/>
    <n v="0"/>
    <x v="0"/>
    <n v="11"/>
  </r>
  <r>
    <n v="32712"/>
    <n v="3202454"/>
    <x v="29"/>
    <n v="0.41"/>
    <n v="1107556.56"/>
    <n v="10722.54"/>
    <n v="1118279.1000000001"/>
    <n v="23685.13"/>
    <n v="41473.72"/>
    <n v="0.41"/>
    <n v="25214.74"/>
    <n v="0"/>
    <n v="0"/>
    <x v="0"/>
    <n v="11"/>
  </r>
  <r>
    <n v="32713"/>
    <n v="3202504"/>
    <x v="30"/>
    <n v="0.25"/>
    <n v="685250.82"/>
    <n v="6634.1"/>
    <n v="691884.92"/>
    <n v="14654.11"/>
    <n v="16930.48"/>
    <n v="0.25"/>
    <n v="15600.49"/>
    <n v="0"/>
    <n v="0"/>
    <x v="0"/>
    <n v="11"/>
  </r>
  <r>
    <n v="32714"/>
    <n v="3202553"/>
    <x v="31"/>
    <n v="0.25"/>
    <n v="669314.74"/>
    <n v="6479.85"/>
    <n v="675794.59"/>
    <n v="14313.32"/>
    <n v="8986.4599999999991"/>
    <n v="0.25"/>
    <n v="15237.69"/>
    <n v="0"/>
    <n v="0"/>
    <x v="0"/>
    <n v="11"/>
  </r>
  <r>
    <n v="32715"/>
    <n v="3202603"/>
    <x v="32"/>
    <n v="0.4"/>
    <n v="1086308.47"/>
    <n v="10516.85"/>
    <n v="1096825.32"/>
    <n v="23230.74"/>
    <n v="35220.75"/>
    <n v="0.4"/>
    <n v="24731.01"/>
    <n v="0"/>
    <n v="0"/>
    <x v="0"/>
    <n v="11"/>
  </r>
  <r>
    <n v="32716"/>
    <n v="3202652"/>
    <x v="33"/>
    <n v="0.28000000000000003"/>
    <n v="764931.15"/>
    <n v="7405.51"/>
    <n v="772336.66"/>
    <n v="16358.08"/>
    <n v="25129.23"/>
    <n v="0.28000000000000003"/>
    <n v="17414.5"/>
    <n v="0"/>
    <n v="0"/>
    <x v="0"/>
    <n v="11"/>
  </r>
  <r>
    <n v="32717"/>
    <n v="3202702"/>
    <x v="34"/>
    <n v="0.38"/>
    <n v="1017252.17"/>
    <n v="9848.31"/>
    <n v="1027100.48"/>
    <n v="21753.97"/>
    <n v="23007.81"/>
    <n v="0.38"/>
    <n v="23158.87"/>
    <n v="0"/>
    <n v="0"/>
    <x v="0"/>
    <n v="11"/>
  </r>
  <r>
    <n v="32718"/>
    <n v="3202801"/>
    <x v="35"/>
    <n v="2.59"/>
    <n v="6900316.3600000003"/>
    <n v="66803.92"/>
    <n v="6967120.2800000003"/>
    <n v="147563.49"/>
    <n v="69692.94"/>
    <n v="2.59"/>
    <n v="157093.29"/>
    <n v="0"/>
    <n v="0"/>
    <x v="0"/>
    <n v="11"/>
  </r>
  <r>
    <n v="32719"/>
    <n v="3202900"/>
    <x v="36"/>
    <n v="0.34"/>
    <n v="918979.77"/>
    <n v="8896.91"/>
    <n v="927876.68"/>
    <n v="19652.41"/>
    <n v="12610.75"/>
    <n v="0.34"/>
    <n v="20921.59"/>
    <n v="0"/>
    <n v="0"/>
    <x v="0"/>
    <n v="11"/>
  </r>
  <r>
    <n v="32720"/>
    <n v="3203007"/>
    <x v="37"/>
    <n v="0.45"/>
    <n v="1205828.96"/>
    <n v="11673.98"/>
    <n v="1217502.94"/>
    <n v="25786.69"/>
    <n v="51533.58"/>
    <n v="0.45"/>
    <n v="27452.02"/>
    <n v="0"/>
    <n v="0"/>
    <x v="0"/>
    <n v="11"/>
  </r>
  <r>
    <n v="32721"/>
    <n v="3203056"/>
    <x v="38"/>
    <n v="0.84"/>
    <n v="2246985.23"/>
    <n v="21753.72"/>
    <n v="2268738.9500000002"/>
    <n v="48051.85"/>
    <n v="45879.17"/>
    <n v="0.84"/>
    <n v="51155.09"/>
    <n v="0"/>
    <n v="0"/>
    <x v="0"/>
    <n v="11"/>
  </r>
  <r>
    <n v="32722"/>
    <n v="3203106"/>
    <x v="39"/>
    <n v="0.22"/>
    <n v="597602.43999999994"/>
    <n v="5785.54"/>
    <n v="603387.98"/>
    <n v="12779.75"/>
    <n v="10886.17"/>
    <n v="0.22"/>
    <n v="13605.08"/>
    <n v="0"/>
    <n v="0"/>
    <x v="0"/>
    <n v="11"/>
  </r>
  <r>
    <n v="32723"/>
    <n v="3203130"/>
    <x v="40"/>
    <n v="0.43"/>
    <n v="1155364.74"/>
    <n v="11185.4"/>
    <n v="1166550.1399999999"/>
    <n v="24707.51"/>
    <n v="25025.4"/>
    <n v="0.43"/>
    <n v="26303.15"/>
    <n v="0"/>
    <n v="0"/>
    <x v="0"/>
    <n v="11"/>
  </r>
  <r>
    <n v="32724"/>
    <n v="3203163"/>
    <x v="41"/>
    <n v="0.38"/>
    <n v="1033188.25"/>
    <n v="10002.59"/>
    <n v="1043190.84"/>
    <n v="22094.76"/>
    <n v="15357.27"/>
    <n v="0.38"/>
    <n v="23521.67"/>
    <n v="0"/>
    <n v="0"/>
    <x v="0"/>
    <n v="11"/>
  </r>
  <r>
    <n v="32725"/>
    <n v="3203205"/>
    <x v="42"/>
    <n v="6.16"/>
    <n v="16368995.210000001"/>
    <n v="158472.84"/>
    <n v="16527468.050000001"/>
    <n v="350051.5"/>
    <n v="310651.05"/>
    <n v="6.16"/>
    <n v="372658.19"/>
    <n v="0"/>
    <n v="0"/>
    <x v="0"/>
    <n v="11"/>
  </r>
  <r>
    <n v="32726"/>
    <n v="3203304"/>
    <x v="43"/>
    <n v="0.25"/>
    <n v="679938.78"/>
    <n v="6582.68"/>
    <n v="686521.46"/>
    <n v="14540.51"/>
    <n v="17891.12"/>
    <n v="0.25"/>
    <n v="15479.55"/>
    <n v="0"/>
    <n v="0"/>
    <x v="0"/>
    <n v="11"/>
  </r>
  <r>
    <n v="32727"/>
    <n v="3203320"/>
    <x v="44"/>
    <n v="0.61"/>
    <n v="1630790.7"/>
    <n v="15788.15"/>
    <n v="1646578.85"/>
    <n v="34874.51"/>
    <n v="122213.04"/>
    <n v="0.61"/>
    <n v="37126.74"/>
    <n v="0"/>
    <n v="0"/>
    <x v="0"/>
    <n v="11"/>
  </r>
  <r>
    <n v="32728"/>
    <n v="3203346"/>
    <x v="45"/>
    <n v="0.71"/>
    <n v="1885767.75"/>
    <n v="18256.650000000001"/>
    <n v="1904024.4"/>
    <n v="40327.21"/>
    <n v="37045.08"/>
    <n v="0.71"/>
    <n v="42931.58"/>
    <n v="0"/>
    <n v="0"/>
    <x v="0"/>
    <n v="11"/>
  </r>
  <r>
    <n v="32729"/>
    <n v="3203353"/>
    <x v="46"/>
    <n v="0.42"/>
    <n v="1139428.6599999999"/>
    <n v="11031.13"/>
    <n v="1150459.79"/>
    <n v="24366.720000000001"/>
    <n v="15169.37"/>
    <n v="0.42"/>
    <n v="25940.35"/>
    <n v="0"/>
    <n v="0"/>
    <x v="0"/>
    <n v="11"/>
  </r>
  <r>
    <n v="32730"/>
    <n v="3203403"/>
    <x v="47"/>
    <n v="0.51"/>
    <n v="1367845.62"/>
    <n v="13242.52"/>
    <n v="1381088.14"/>
    <n v="29251.42"/>
    <n v="54585.62"/>
    <n v="0.51"/>
    <n v="31140.51"/>
    <n v="0"/>
    <n v="0"/>
    <x v="0"/>
    <n v="11"/>
  </r>
  <r>
    <n v="32731"/>
    <n v="3203502"/>
    <x v="48"/>
    <n v="0.53"/>
    <n v="1410341.8"/>
    <n v="13653.93"/>
    <n v="1423995.73"/>
    <n v="30160.21"/>
    <n v="24169.77"/>
    <n v="0.53"/>
    <n v="32107.98"/>
    <n v="0"/>
    <n v="0"/>
    <x v="0"/>
    <n v="11"/>
  </r>
  <r>
    <n v="32732"/>
    <n v="3203601"/>
    <x v="49"/>
    <n v="0.28999999999999998"/>
    <n v="783523.22"/>
    <n v="7585.48"/>
    <n v="791108.7"/>
    <n v="16755.669999999998"/>
    <n v="7279.55"/>
    <n v="0.28999999999999998"/>
    <n v="17837.77"/>
    <n v="0"/>
    <n v="0"/>
    <x v="0"/>
    <n v="11"/>
  </r>
  <r>
    <n v="32733"/>
    <n v="3203700"/>
    <x v="50"/>
    <n v="0.51"/>
    <n v="1367845.62"/>
    <n v="13242.52"/>
    <n v="1381088.14"/>
    <n v="29251.42"/>
    <n v="20773.23"/>
    <n v="0.51"/>
    <n v="31140.51"/>
    <n v="0"/>
    <n v="0"/>
    <x v="0"/>
    <n v="11"/>
  </r>
  <r>
    <n v="32734"/>
    <n v="3203809"/>
    <x v="51"/>
    <n v="0.28999999999999998"/>
    <n v="780867.21"/>
    <n v="7559.79"/>
    <n v="788427"/>
    <n v="16698.87"/>
    <n v="19817.28"/>
    <n v="0.28999999999999998"/>
    <n v="17777.3"/>
    <n v="0"/>
    <n v="0"/>
    <x v="0"/>
    <n v="11"/>
  </r>
  <r>
    <n v="32735"/>
    <n v="3203908"/>
    <x v="52"/>
    <n v="1.22"/>
    <n v="3242989.33"/>
    <n v="31396.29"/>
    <n v="3274385.62"/>
    <n v="69351.429999999993"/>
    <n v="101797.85"/>
    <n v="1.22"/>
    <n v="73830.22"/>
    <n v="0"/>
    <n v="0"/>
    <x v="0"/>
    <n v="11"/>
  </r>
  <r>
    <n v="32736"/>
    <n v="3204005"/>
    <x v="53"/>
    <n v="0.45"/>
    <n v="1197860.92"/>
    <n v="11596.83"/>
    <n v="1209457.75"/>
    <n v="25616.3"/>
    <n v="19519.330000000002"/>
    <n v="0.45"/>
    <n v="27270.62"/>
    <n v="0"/>
    <n v="0"/>
    <x v="0"/>
    <n v="11"/>
  </r>
  <r>
    <n v="32737"/>
    <n v="3204054"/>
    <x v="54"/>
    <n v="0.31"/>
    <n v="833987.45"/>
    <n v="8074.07"/>
    <n v="842061.52"/>
    <n v="17834.849999999999"/>
    <n v="36293.480000000003"/>
    <n v="0.31"/>
    <n v="18986.64"/>
    <n v="0"/>
    <n v="0"/>
    <x v="0"/>
    <n v="11"/>
  </r>
  <r>
    <n v="32738"/>
    <n v="3204104"/>
    <x v="55"/>
    <n v="0.65"/>
    <n v="1739687.15"/>
    <n v="16842.400000000001"/>
    <n v="1756529.55"/>
    <n v="37203.269999999997"/>
    <n v="28750.61"/>
    <n v="0.65"/>
    <n v="39605.89"/>
    <n v="0"/>
    <n v="0"/>
    <x v="0"/>
    <n v="11"/>
  </r>
  <r>
    <n v="32739"/>
    <n v="3204203"/>
    <x v="56"/>
    <n v="0.28999999999999998"/>
    <n v="783523.22"/>
    <n v="7585.48"/>
    <n v="791108.7"/>
    <n v="16755.669999999998"/>
    <n v="42859.95"/>
    <n v="0.28999999999999998"/>
    <n v="17837.77"/>
    <n v="0"/>
    <n v="0"/>
    <x v="0"/>
    <n v="11"/>
  </r>
  <r>
    <n v="32740"/>
    <n v="3204252"/>
    <x v="57"/>
    <n v="0.22"/>
    <n v="594946.43000000005"/>
    <n v="5759.84"/>
    <n v="600706.27"/>
    <n v="12722.95"/>
    <n v="6974.1"/>
    <n v="0.22"/>
    <n v="13544.61"/>
    <n v="0"/>
    <n v="0"/>
    <x v="0"/>
    <n v="11"/>
  </r>
  <r>
    <n v="32741"/>
    <n v="1718402"/>
    <x v="58"/>
    <n v="0.33"/>
    <n v="887107.64"/>
    <n v="8588.33"/>
    <n v="895695.97"/>
    <n v="18970.830000000002"/>
    <n v="35607.919999999998"/>
    <n v="0.33"/>
    <n v="20195.98"/>
    <n v="0"/>
    <n v="0"/>
    <x v="0"/>
    <n v="11"/>
  </r>
  <r>
    <n v="32742"/>
    <n v="3204351"/>
    <x v="59"/>
    <n v="0.81"/>
    <n v="2164648.92"/>
    <n v="20956.580000000002"/>
    <n v="2185605.5"/>
    <n v="46291.09"/>
    <n v="23461.200000000001"/>
    <n v="0.81"/>
    <n v="49280.61"/>
    <n v="0"/>
    <n v="0"/>
    <x v="0"/>
    <n v="11"/>
  </r>
  <r>
    <n v="32743"/>
    <n v="3204401"/>
    <x v="60"/>
    <n v="0.26"/>
    <n v="698530.88"/>
    <n v="6762.68"/>
    <n v="705293.56"/>
    <n v="14938.11"/>
    <n v="19719.2"/>
    <n v="0.26"/>
    <n v="15902.82"/>
    <n v="0"/>
    <n v="0"/>
    <x v="0"/>
    <n v="11"/>
  </r>
  <r>
    <n v="32744"/>
    <n v="3204500"/>
    <x v="61"/>
    <n v="0.49"/>
    <n v="1314725.3999999999"/>
    <n v="12728.22"/>
    <n v="1327453.6200000001"/>
    <n v="28115.45"/>
    <n v="18704.57"/>
    <n v="0.49"/>
    <n v="29931.17"/>
    <n v="0"/>
    <n v="0"/>
    <x v="0"/>
    <n v="11"/>
  </r>
  <r>
    <n v="32745"/>
    <n v="3204559"/>
    <x v="62"/>
    <n v="2.29"/>
    <n v="6095545.04"/>
    <n v="59012.7"/>
    <n v="6154557.7400000002"/>
    <n v="130353.43"/>
    <n v="106296.84"/>
    <n v="2.29"/>
    <n v="138771.79"/>
    <n v="0"/>
    <n v="0"/>
    <x v="0"/>
    <n v="11"/>
  </r>
  <r>
    <n v="32746"/>
    <n v="3204609"/>
    <x v="63"/>
    <n v="0.69"/>
    <n v="1837959.55"/>
    <n v="17793.810000000001"/>
    <n v="1855753.36"/>
    <n v="39304.83"/>
    <n v="41003.17"/>
    <n v="0.69"/>
    <n v="41843.17"/>
    <n v="0"/>
    <n v="0"/>
    <x v="0"/>
    <n v="11"/>
  </r>
  <r>
    <n v="32747"/>
    <n v="3204658"/>
    <x v="64"/>
    <n v="0.48"/>
    <n v="1290821.29"/>
    <n v="12496.8"/>
    <n v="1303318.0900000001"/>
    <n v="27604.26"/>
    <n v="10078.969999999999"/>
    <n v="0.48"/>
    <n v="29386.97"/>
    <n v="0"/>
    <n v="0"/>
    <x v="0"/>
    <n v="11"/>
  </r>
  <r>
    <n v="32748"/>
    <n v="3204708"/>
    <x v="65"/>
    <n v="0.7"/>
    <n v="1867175.66"/>
    <n v="18076.650000000001"/>
    <n v="1885252.31"/>
    <n v="39929.61"/>
    <n v="50588.65"/>
    <n v="0.7"/>
    <n v="42508.31"/>
    <n v="0"/>
    <n v="0"/>
    <x v="0"/>
    <n v="11"/>
  </r>
  <r>
    <n v="32749"/>
    <n v="3204807"/>
    <x v="66"/>
    <n v="0.26"/>
    <n v="693218.86"/>
    <n v="6711.25"/>
    <n v="699930.11"/>
    <n v="14824.51"/>
    <n v="18274.46"/>
    <n v="0.26"/>
    <n v="15781.89"/>
    <n v="0"/>
    <n v="0"/>
    <x v="0"/>
    <n v="11"/>
  </r>
  <r>
    <n v="32750"/>
    <n v="3204906"/>
    <x v="67"/>
    <n v="1.94"/>
    <n v="5155317.2"/>
    <n v="49910.05"/>
    <n v="5205227.25"/>
    <n v="110246.63"/>
    <n v="264527.28999999998"/>
    <n v="1.94"/>
    <n v="117366.47"/>
    <n v="0"/>
    <n v="0"/>
    <x v="0"/>
    <n v="11"/>
  </r>
  <r>
    <n v="32751"/>
    <n v="3204955"/>
    <x v="68"/>
    <n v="0.32"/>
    <n v="871171.58"/>
    <n v="8434.0400000000009"/>
    <n v="879605.62"/>
    <n v="18630.03"/>
    <n v="15471.34"/>
    <n v="0.32"/>
    <n v="19833.18"/>
    <n v="0"/>
    <n v="0"/>
    <x v="0"/>
    <n v="11"/>
  </r>
  <r>
    <n v="32752"/>
    <n v="3205002"/>
    <x v="69"/>
    <n v="14.13"/>
    <n v="37529434.200000003"/>
    <n v="363332.99"/>
    <n v="37892767.189999998"/>
    <n v="802568.18"/>
    <n v="882582.63"/>
    <n v="14.13"/>
    <n v="854398.87"/>
    <n v="0"/>
    <n v="0"/>
    <x v="0"/>
    <n v="11"/>
  </r>
  <r>
    <n v="32753"/>
    <n v="3205010"/>
    <x v="70"/>
    <n v="0.71"/>
    <n v="1891079.76"/>
    <n v="18308.080000000002"/>
    <n v="1909387.84"/>
    <n v="40440.800000000003"/>
    <n v="35275.019999999997"/>
    <n v="0.71"/>
    <n v="43052.51"/>
    <n v="0"/>
    <n v="0"/>
    <x v="0"/>
    <n v="11"/>
  </r>
  <r>
    <n v="32754"/>
    <n v="3205036"/>
    <x v="71"/>
    <n v="0.49"/>
    <n v="1317381.3899999999"/>
    <n v="12753.94"/>
    <n v="1330135.33"/>
    <n v="28172.240000000002"/>
    <n v="67145.100000000006"/>
    <n v="0.49"/>
    <n v="29991.64"/>
    <n v="0"/>
    <n v="0"/>
    <x v="0"/>
    <n v="11"/>
  </r>
  <r>
    <n v="32755"/>
    <n v="3205069"/>
    <x v="72"/>
    <n v="0.72"/>
    <n v="1936231.96"/>
    <n v="18745.23"/>
    <n v="1954977.19"/>
    <n v="41406.379999999997"/>
    <n v="36419.26"/>
    <n v="0.72"/>
    <n v="44080.45"/>
    <n v="0"/>
    <n v="0"/>
    <x v="0"/>
    <n v="11"/>
  </r>
  <r>
    <n v="32756"/>
    <n v="2112803"/>
    <x v="73"/>
    <n v="2"/>
    <n v="5333269.92"/>
    <n v="51632.88"/>
    <n v="5384902.7999999998"/>
    <n v="114052.15"/>
    <n v="83150.539999999994"/>
    <n v="2"/>
    <n v="121417.76"/>
    <n v="0"/>
    <n v="0"/>
    <x v="0"/>
    <n v="11"/>
  </r>
  <r>
    <n v="32757"/>
    <n v="3205150"/>
    <x v="74"/>
    <n v="0.32"/>
    <n v="873827.59"/>
    <n v="8459.77"/>
    <n v="882287.36"/>
    <n v="18686.830000000002"/>
    <n v="9665.59"/>
    <n v="0.32"/>
    <n v="19893.650000000001"/>
    <n v="0"/>
    <n v="0"/>
    <x v="0"/>
    <n v="11"/>
  </r>
  <r>
    <n v="32758"/>
    <n v="3205176"/>
    <x v="75"/>
    <n v="0.57999999999999996"/>
    <n v="1564390.42"/>
    <n v="15145.32"/>
    <n v="1579535.74"/>
    <n v="33454.54"/>
    <n v="21760.58"/>
    <n v="0.57999999999999996"/>
    <n v="35615.07"/>
    <n v="0"/>
    <n v="0"/>
    <x v="0"/>
    <n v="11"/>
  </r>
  <r>
    <n v="32759"/>
    <n v="3205200"/>
    <x v="76"/>
    <n v="6.05"/>
    <n v="16082146.09"/>
    <n v="155695.76999999999"/>
    <n v="16237841.859999999"/>
    <n v="343917.22"/>
    <n v="1036197.06"/>
    <n v="6.05"/>
    <n v="366127.75"/>
    <n v="0"/>
    <n v="0"/>
    <x v="0"/>
    <n v="11"/>
  </r>
  <r>
    <n v="32760"/>
    <n v="3205309"/>
    <x v="77"/>
    <n v="15.31"/>
    <n v="40666183.289999999"/>
    <n v="393700.7"/>
    <n v="41059883.990000002"/>
    <n v="869647.66"/>
    <n v="1069176"/>
    <n v="15.31"/>
    <n v="925810.41"/>
    <n v="0"/>
    <n v="0"/>
    <x v="0"/>
    <n v="11"/>
  </r>
  <r>
    <n v="32761"/>
    <n v="3200102"/>
    <x v="0"/>
    <n v="0.82"/>
    <n v="2038834.42"/>
    <n v="257909.77"/>
    <n v="2296744.19"/>
    <n v="65918.5"/>
    <n v="55869.93"/>
    <n v="0.82"/>
    <n v="58323.839999999997"/>
    <n v="0"/>
    <n v="0"/>
    <x v="0"/>
    <n v="12"/>
  </r>
  <r>
    <n v="32762"/>
    <n v="3200169"/>
    <x v="1"/>
    <n v="0.31"/>
    <n v="769840.04"/>
    <n v="97383.72"/>
    <n v="867223.76"/>
    <n v="24890.05"/>
    <n v="13673.04"/>
    <n v="0.31"/>
    <n v="22022.400000000001"/>
    <n v="0"/>
    <n v="0"/>
    <x v="0"/>
    <n v="12"/>
  </r>
  <r>
    <n v="32763"/>
    <n v="3200136"/>
    <x v="2"/>
    <n v="0.41"/>
    <n v="1038042.36"/>
    <n v="131310.92000000001"/>
    <n v="1169353.28"/>
    <n v="33561.43"/>
    <n v="11472.63"/>
    <n v="0.41"/>
    <n v="29694.720000000001"/>
    <n v="0"/>
    <n v="0"/>
    <x v="0"/>
    <n v="12"/>
  </r>
  <r>
    <n v="32764"/>
    <n v="3200201"/>
    <x v="3"/>
    <n v="0.52"/>
    <n v="1306244.69"/>
    <n v="165238.19"/>
    <n v="1471482.8799999999"/>
    <n v="42232.800000000003"/>
    <n v="47680.28"/>
    <n v="0.52"/>
    <n v="37367.040000000001"/>
    <n v="0"/>
    <n v="0"/>
    <x v="0"/>
    <n v="12"/>
  </r>
  <r>
    <n v="32765"/>
    <n v="3200300"/>
    <x v="4"/>
    <n v="0.51"/>
    <n v="1266511.03"/>
    <n v="160211.95000000001"/>
    <n v="1426722.98"/>
    <n v="40948.15"/>
    <n v="23997.46"/>
    <n v="0.51"/>
    <n v="36230.400000000001"/>
    <n v="0"/>
    <n v="0"/>
    <x v="0"/>
    <n v="12"/>
  </r>
  <r>
    <n v="32766"/>
    <n v="3200359"/>
    <x v="5"/>
    <n v="0.22"/>
    <n v="558754.88"/>
    <n v="70681.759999999995"/>
    <n v="629436.64"/>
    <n v="18065.36"/>
    <n v="6968.77"/>
    <n v="0.22"/>
    <n v="15984"/>
    <n v="0"/>
    <n v="0"/>
    <x v="0"/>
    <n v="12"/>
  </r>
  <r>
    <n v="32767"/>
    <n v="3200409"/>
    <x v="6"/>
    <n v="2.65"/>
    <n v="6588340.7000000002"/>
    <n v="833416.13"/>
    <n v="7421756.8300000001"/>
    <n v="213010.69"/>
    <n v="65652.19"/>
    <n v="2.65"/>
    <n v="188469.11"/>
    <n v="0"/>
    <n v="0"/>
    <x v="0"/>
    <n v="12"/>
  </r>
  <r>
    <n v="32768"/>
    <n v="3200508"/>
    <x v="7"/>
    <n v="0.19"/>
    <n v="481770.86"/>
    <n v="60943.38"/>
    <n v="542714.24"/>
    <n v="15576.36"/>
    <n v="23373.75"/>
    <n v="0.19"/>
    <n v="13781.76"/>
    <n v="0"/>
    <n v="0"/>
    <x v="0"/>
    <n v="12"/>
  </r>
  <r>
    <n v="32769"/>
    <n v="3200607"/>
    <x v="8"/>
    <n v="3.34"/>
    <n v="8314272.3899999997"/>
    <n v="1051744.1399999999"/>
    <n v="9366016.5299999993"/>
    <n v="268812.58"/>
    <n v="189221.52"/>
    <n v="3.34"/>
    <n v="237841.91"/>
    <n v="0"/>
    <n v="0"/>
    <x v="0"/>
    <n v="12"/>
  </r>
  <r>
    <n v="32770"/>
    <n v="3200706"/>
    <x v="9"/>
    <n v="0.37"/>
    <n v="941191.53"/>
    <n v="119059.45"/>
    <n v="1060250.98"/>
    <n v="30430.1"/>
    <n v="25555.48"/>
    <n v="0.37"/>
    <n v="26924.16"/>
    <n v="0"/>
    <n v="0"/>
    <x v="0"/>
    <n v="12"/>
  </r>
  <r>
    <n v="32771"/>
    <n v="3200805"/>
    <x v="10"/>
    <n v="0.69"/>
    <n v="1720964.99"/>
    <n v="217699.71"/>
    <n v="1938664.7"/>
    <n v="55641.31"/>
    <n v="49003.4"/>
    <n v="0.69"/>
    <n v="49230.720000000001"/>
    <n v="0"/>
    <n v="0"/>
    <x v="0"/>
    <n v="12"/>
  </r>
  <r>
    <n v="32772"/>
    <n v="3200904"/>
    <x v="11"/>
    <n v="0.94"/>
    <n v="2346770.4300000002"/>
    <n v="296863.28999999998"/>
    <n v="2643633.7200000002"/>
    <n v="75874.52"/>
    <n v="102562.62"/>
    <n v="0.94"/>
    <n v="67132.800000000003"/>
    <n v="0"/>
    <n v="0"/>
    <x v="0"/>
    <n v="12"/>
  </r>
  <r>
    <n v="32773"/>
    <n v="3107109"/>
    <x v="12"/>
    <n v="0.4"/>
    <n v="1003275.41"/>
    <n v="126912.99"/>
    <n v="1130188.3999999999"/>
    <n v="32437.360000000001"/>
    <n v="26971.27"/>
    <n v="0.4"/>
    <n v="28700.16"/>
    <n v="0"/>
    <n v="0"/>
    <x v="0"/>
    <n v="12"/>
  </r>
  <r>
    <n v="32774"/>
    <n v="3201100"/>
    <x v="13"/>
    <n v="0.18"/>
    <n v="449487.26"/>
    <n v="56859.51"/>
    <n v="506346.77"/>
    <n v="14532.58"/>
    <n v="80710.48"/>
    <n v="0.18"/>
    <n v="12858.24"/>
    <n v="0"/>
    <n v="0"/>
    <x v="0"/>
    <n v="12"/>
  </r>
  <r>
    <n v="32775"/>
    <n v="3201159"/>
    <x v="14"/>
    <n v="0.43"/>
    <n v="1085226.1100000001"/>
    <n v="137279.60999999999"/>
    <n v="1222505.72"/>
    <n v="35086.949999999997"/>
    <n v="18815.09"/>
    <n v="0.43"/>
    <n v="31044.48"/>
    <n v="0"/>
    <n v="0"/>
    <x v="0"/>
    <n v="12"/>
  </r>
  <r>
    <n v="32776"/>
    <n v="3201209"/>
    <x v="15"/>
    <n v="3.37"/>
    <n v="8381323.0300000003"/>
    <n v="1060225.93"/>
    <n v="9441548.9600000009"/>
    <n v="270980.42"/>
    <n v="610982.75"/>
    <n v="3.37"/>
    <n v="239759.99"/>
    <n v="0"/>
    <n v="0"/>
    <x v="0"/>
    <n v="12"/>
  </r>
  <r>
    <n v="32777"/>
    <n v="3201308"/>
    <x v="16"/>
    <n v="5.99"/>
    <n v="14877779.550000001"/>
    <n v="1882018.86"/>
    <n v="16759798.41"/>
    <n v="481020.36"/>
    <n v="561771.18000000005"/>
    <n v="5.99"/>
    <n v="425600.62"/>
    <n v="0"/>
    <n v="0"/>
    <x v="0"/>
    <n v="12"/>
  </r>
  <r>
    <n v="32778"/>
    <n v="3201407"/>
    <x v="17"/>
    <n v="0.93"/>
    <n v="2326903.61"/>
    <n v="294350.14"/>
    <n v="2621253.75"/>
    <n v="75232.19"/>
    <n v="141169.03"/>
    <n v="0.93"/>
    <n v="66564.479999999996"/>
    <n v="0"/>
    <n v="0"/>
    <x v="0"/>
    <n v="12"/>
  </r>
  <r>
    <n v="32779"/>
    <n v="3201506"/>
    <x v="18"/>
    <n v="2.25"/>
    <n v="5599965.4100000001"/>
    <n v="708387.99"/>
    <n v="6308353.4000000004"/>
    <n v="181055.07"/>
    <n v="254942.15"/>
    <n v="2.25"/>
    <n v="160195.19"/>
    <n v="0"/>
    <n v="0"/>
    <x v="0"/>
    <n v="12"/>
  </r>
  <r>
    <n v="32780"/>
    <n v="3201605"/>
    <x v="19"/>
    <n v="0.55000000000000004"/>
    <n v="1373295.31"/>
    <n v="173719.95"/>
    <n v="1547015.26"/>
    <n v="44400.639999999999"/>
    <n v="30812.27"/>
    <n v="0.55000000000000004"/>
    <n v="39285.120000000003"/>
    <n v="0"/>
    <n v="0"/>
    <x v="0"/>
    <n v="12"/>
  </r>
  <r>
    <n v="32781"/>
    <n v="3201704"/>
    <x v="20"/>
    <n v="0.45"/>
    <n v="1134893.21"/>
    <n v="143562.45000000001"/>
    <n v="1278455.6599999999"/>
    <n v="36692.76"/>
    <n v="17810.66"/>
    <n v="0.45"/>
    <n v="32465.279999999999"/>
    <n v="0"/>
    <n v="0"/>
    <x v="0"/>
    <n v="12"/>
  </r>
  <r>
    <n v="32782"/>
    <n v="3201803"/>
    <x v="21"/>
    <n v="0.18"/>
    <n v="461904.03"/>
    <n v="58430.239999999998"/>
    <n v="520334.27"/>
    <n v="14934.03"/>
    <n v="5725.19"/>
    <n v="0.18"/>
    <n v="13213.44"/>
    <n v="0"/>
    <n v="0"/>
    <x v="0"/>
    <n v="12"/>
  </r>
  <r>
    <n v="32783"/>
    <n v="3201902"/>
    <x v="22"/>
    <n v="1.28"/>
    <n v="3183661.05"/>
    <n v="402728.79"/>
    <n v="3586389.84"/>
    <n v="102932.42"/>
    <n v="48819.26"/>
    <n v="1.28"/>
    <n v="91073.279999999999"/>
    <n v="0"/>
    <n v="0"/>
    <x v="0"/>
    <n v="12"/>
  </r>
  <r>
    <n v="32784"/>
    <n v="3202009"/>
    <x v="23"/>
    <n v="0.25"/>
    <n v="620838.75"/>
    <n v="78535.259999999995"/>
    <n v="699374.01"/>
    <n v="20072.62"/>
    <n v="7127.09"/>
    <n v="0.25"/>
    <n v="17760"/>
    <n v="0"/>
    <n v="0"/>
    <x v="0"/>
    <n v="12"/>
  </r>
  <r>
    <n v="32785"/>
    <n v="3202108"/>
    <x v="24"/>
    <n v="0.72"/>
    <n v="1790498.93"/>
    <n v="226495.66"/>
    <n v="2016994.59"/>
    <n v="57889.45"/>
    <n v="34665.360000000001"/>
    <n v="0.72"/>
    <n v="51219.839999999997"/>
    <n v="0"/>
    <n v="0"/>
    <x v="0"/>
    <n v="12"/>
  </r>
  <r>
    <n v="32786"/>
    <n v="3202207"/>
    <x v="25"/>
    <n v="0.35"/>
    <n v="879107.64"/>
    <n v="111205.93"/>
    <n v="990313.57"/>
    <n v="28422.84"/>
    <n v="22048.69"/>
    <n v="0.35"/>
    <n v="25148.16"/>
    <n v="0"/>
    <n v="0"/>
    <x v="0"/>
    <n v="12"/>
  </r>
  <r>
    <n v="32787"/>
    <n v="3202256"/>
    <x v="26"/>
    <n v="0.43"/>
    <n v="1067842.6399999999"/>
    <n v="135080.63"/>
    <n v="1202923.27"/>
    <n v="34524.910000000003"/>
    <n v="13334.39"/>
    <n v="0.43"/>
    <n v="30547.200000000001"/>
    <n v="0"/>
    <n v="0"/>
    <x v="0"/>
    <n v="12"/>
  </r>
  <r>
    <n v="32788"/>
    <n v="3202306"/>
    <x v="27"/>
    <n v="0.41"/>
    <n v="1033075.66"/>
    <n v="130682.66"/>
    <n v="1163758.32"/>
    <n v="33400.85"/>
    <n v="58163.76"/>
    <n v="0.41"/>
    <n v="29552.639999999999"/>
    <n v="0"/>
    <n v="0"/>
    <x v="0"/>
    <n v="12"/>
  </r>
  <r>
    <n v="32789"/>
    <n v="3202405"/>
    <x v="28"/>
    <n v="0.99"/>
    <n v="2470938.2000000002"/>
    <n v="312570.32"/>
    <n v="2783508.52"/>
    <n v="79889.039999999994"/>
    <n v="494467.89"/>
    <n v="0.99"/>
    <n v="70684.800000000003"/>
    <n v="0"/>
    <n v="0"/>
    <x v="0"/>
    <n v="12"/>
  </r>
  <r>
    <n v="32790"/>
    <n v="3202454"/>
    <x v="29"/>
    <n v="0.41"/>
    <n v="1035559.02"/>
    <n v="130996.81"/>
    <n v="1166555.83"/>
    <n v="33481.14"/>
    <n v="35557.269999999997"/>
    <n v="0.41"/>
    <n v="29623.68"/>
    <n v="0"/>
    <n v="0"/>
    <x v="0"/>
    <n v="12"/>
  </r>
  <r>
    <n v="32791"/>
    <n v="3202504"/>
    <x v="30"/>
    <n v="0.25"/>
    <n v="640705.56999999995"/>
    <n v="81048.41"/>
    <n v="721753.98"/>
    <n v="20714.95"/>
    <n v="21178.06"/>
    <n v="0.25"/>
    <n v="18328.32"/>
    <n v="0"/>
    <n v="0"/>
    <x v="0"/>
    <n v="12"/>
  </r>
  <r>
    <n v="32792"/>
    <n v="3202553"/>
    <x v="31"/>
    <n v="0.25"/>
    <n v="625805.43999999994"/>
    <n v="79163.509999999995"/>
    <n v="704968.95"/>
    <n v="20233.21"/>
    <n v="13494.44"/>
    <n v="0.25"/>
    <n v="17902.080000000002"/>
    <n v="0"/>
    <n v="0"/>
    <x v="0"/>
    <n v="12"/>
  </r>
  <r>
    <n v="32793"/>
    <n v="3202603"/>
    <x v="32"/>
    <n v="0.4"/>
    <n v="1015692.18"/>
    <n v="128483.69"/>
    <n v="1144175.8700000001"/>
    <n v="32838.81"/>
    <n v="27900.78"/>
    <n v="0.4"/>
    <n v="29055.360000000001"/>
    <n v="0"/>
    <n v="0"/>
    <x v="0"/>
    <n v="12"/>
  </r>
  <r>
    <n v="32794"/>
    <n v="3202652"/>
    <x v="33"/>
    <n v="0.28000000000000003"/>
    <n v="715206.23"/>
    <n v="90472.63"/>
    <n v="805678.86"/>
    <n v="23123.66"/>
    <n v="20055.5"/>
    <n v="0.28000000000000003"/>
    <n v="20459.52"/>
    <n v="0"/>
    <n v="0"/>
    <x v="0"/>
    <n v="12"/>
  </r>
  <r>
    <n v="32795"/>
    <n v="3202702"/>
    <x v="34"/>
    <n v="0.38"/>
    <n v="951124.94"/>
    <n v="120316.01"/>
    <n v="1071440.95"/>
    <n v="30751.26"/>
    <n v="13250.03"/>
    <n v="0.38"/>
    <n v="27208.32"/>
    <n v="0"/>
    <n v="0"/>
    <x v="0"/>
    <n v="12"/>
  </r>
  <r>
    <n v="32796"/>
    <n v="3202801"/>
    <x v="35"/>
    <n v="2.59"/>
    <n v="6451756.1799999997"/>
    <n v="816138.38"/>
    <n v="7267894.5599999996"/>
    <n v="208594.71"/>
    <n v="102335.75"/>
    <n v="2.59"/>
    <n v="184561.91"/>
    <n v="0"/>
    <n v="0"/>
    <x v="0"/>
    <n v="12"/>
  </r>
  <r>
    <n v="32797"/>
    <n v="3202900"/>
    <x v="36"/>
    <n v="0.34"/>
    <n v="859240.83"/>
    <n v="108692.8"/>
    <n v="967933.63"/>
    <n v="27780.51"/>
    <n v="22630.91"/>
    <n v="0.34"/>
    <n v="24579.84"/>
    <n v="0"/>
    <n v="0"/>
    <x v="0"/>
    <n v="12"/>
  </r>
  <r>
    <n v="32798"/>
    <n v="3203007"/>
    <x v="37"/>
    <n v="0.45"/>
    <n v="1127443.1299999999"/>
    <n v="142620.01"/>
    <n v="1270063.1399999999"/>
    <n v="36451.89"/>
    <n v="44000.55"/>
    <n v="0.45"/>
    <n v="32252.16"/>
    <n v="0"/>
    <n v="0"/>
    <x v="0"/>
    <n v="12"/>
  </r>
  <r>
    <n v="32799"/>
    <n v="3203056"/>
    <x v="38"/>
    <n v="0.84"/>
    <n v="2100918.31"/>
    <n v="265763.3"/>
    <n v="2366681.61"/>
    <n v="67925.759999999995"/>
    <n v="58175.51"/>
    <n v="0.84"/>
    <n v="60099.839999999997"/>
    <n v="0"/>
    <n v="0"/>
    <x v="0"/>
    <n v="12"/>
  </r>
  <r>
    <n v="32800"/>
    <n v="3203106"/>
    <x v="39"/>
    <n v="0.22"/>
    <n v="558754.88"/>
    <n v="70681.759999999995"/>
    <n v="629436.64"/>
    <n v="18065.36"/>
    <n v="14207.65"/>
    <n v="0.22"/>
    <n v="15984"/>
    <n v="0"/>
    <n v="0"/>
    <x v="0"/>
    <n v="12"/>
  </r>
  <r>
    <n v="32801"/>
    <n v="3203130"/>
    <x v="40"/>
    <n v="0.43"/>
    <n v="1080259.4099999999"/>
    <n v="136651.35"/>
    <n v="1216910.76"/>
    <n v="34926.370000000003"/>
    <n v="22106.720000000001"/>
    <n v="0.43"/>
    <n v="30902.400000000001"/>
    <n v="0"/>
    <n v="0"/>
    <x v="0"/>
    <n v="12"/>
  </r>
  <r>
    <n v="32802"/>
    <n v="3203163"/>
    <x v="41"/>
    <n v="0.38"/>
    <n v="966025.08"/>
    <n v="122200.87"/>
    <n v="1088225.95"/>
    <n v="31233"/>
    <n v="19274.650000000001"/>
    <n v="0.38"/>
    <n v="27634.560000000001"/>
    <n v="0"/>
    <n v="0"/>
    <x v="0"/>
    <n v="12"/>
  </r>
  <r>
    <n v="32803"/>
    <n v="3203205"/>
    <x v="42"/>
    <n v="6.16"/>
    <n v="15304916.630000001"/>
    <n v="1936051.1"/>
    <n v="17240967.73"/>
    <n v="494830.33"/>
    <n v="388317.45"/>
    <n v="6.16"/>
    <n v="437819.5"/>
    <n v="0"/>
    <n v="0"/>
    <x v="0"/>
    <n v="12"/>
  </r>
  <r>
    <n v="32804"/>
    <n v="3203304"/>
    <x v="43"/>
    <n v="0.25"/>
    <n v="635738.88"/>
    <n v="80420.100000000006"/>
    <n v="716158.98"/>
    <n v="20554.37"/>
    <n v="23963.87"/>
    <n v="0.25"/>
    <n v="18186.240000000002"/>
    <n v="0"/>
    <n v="0"/>
    <x v="0"/>
    <n v="12"/>
  </r>
  <r>
    <n v="32805"/>
    <n v="3203320"/>
    <x v="44"/>
    <n v="0.61"/>
    <n v="1524779.95"/>
    <n v="192882.59"/>
    <n v="1717662.54"/>
    <n v="49298.36"/>
    <n v="147162.14000000001"/>
    <n v="0.61"/>
    <n v="43618.559999999998"/>
    <n v="0"/>
    <n v="0"/>
    <x v="0"/>
    <n v="12"/>
  </r>
  <r>
    <n v="32806"/>
    <n v="3203346"/>
    <x v="45"/>
    <n v="0.71"/>
    <n v="1763182.03"/>
    <n v="223040.13"/>
    <n v="1986222.16"/>
    <n v="57006.25"/>
    <n v="32140.58"/>
    <n v="0.71"/>
    <n v="50438.400000000001"/>
    <n v="0"/>
    <n v="0"/>
    <x v="0"/>
    <n v="12"/>
  </r>
  <r>
    <n v="32807"/>
    <n v="3203353"/>
    <x v="46"/>
    <n v="0.42"/>
    <n v="1065359.28"/>
    <n v="134766.5"/>
    <n v="1200125.78"/>
    <n v="34444.620000000003"/>
    <n v="11039.43"/>
    <n v="0.42"/>
    <n v="30476.16"/>
    <n v="0"/>
    <n v="0"/>
    <x v="0"/>
    <n v="12"/>
  </r>
  <r>
    <n v="32808"/>
    <n v="3203403"/>
    <x v="47"/>
    <n v="0.51"/>
    <n v="1278927.8"/>
    <n v="161782.63"/>
    <n v="1440710.43"/>
    <n v="41349.61"/>
    <n v="53107.16"/>
    <n v="0.51"/>
    <n v="36585.599999999999"/>
    <n v="0"/>
    <n v="0"/>
    <x v="0"/>
    <n v="12"/>
  </r>
  <r>
    <n v="32809"/>
    <n v="3203502"/>
    <x v="48"/>
    <n v="0.53"/>
    <n v="1318661.49"/>
    <n v="166808.89000000001"/>
    <n v="1485470.38"/>
    <n v="42634.25"/>
    <n v="32405.54"/>
    <n v="0.53"/>
    <n v="37722.239999999998"/>
    <n v="0"/>
    <n v="0"/>
    <x v="0"/>
    <n v="12"/>
  </r>
  <r>
    <n v="32810"/>
    <n v="3203601"/>
    <x v="49"/>
    <n v="0.28999999999999998"/>
    <n v="732589.71"/>
    <n v="92671.6"/>
    <n v="825261.31"/>
    <n v="23685.7"/>
    <n v="9256.64"/>
    <n v="0.28999999999999998"/>
    <n v="20956.8"/>
    <n v="0"/>
    <n v="0"/>
    <x v="0"/>
    <n v="12"/>
  </r>
  <r>
    <n v="32811"/>
    <n v="3203700"/>
    <x v="50"/>
    <n v="0.51"/>
    <n v="1278927.8"/>
    <n v="161782.63"/>
    <n v="1440710.43"/>
    <n v="41349.61"/>
    <n v="20086.669999999998"/>
    <n v="0.51"/>
    <n v="36585.599999999999"/>
    <n v="0"/>
    <n v="0"/>
    <x v="0"/>
    <n v="12"/>
  </r>
  <r>
    <n v="32812"/>
    <n v="3203809"/>
    <x v="51"/>
    <n v="0.28999999999999998"/>
    <n v="730106.35"/>
    <n v="92357.47"/>
    <n v="822463.82"/>
    <n v="23605.41"/>
    <n v="15942.75"/>
    <n v="0.28999999999999998"/>
    <n v="20885.759999999998"/>
    <n v="0"/>
    <n v="0"/>
    <x v="0"/>
    <n v="12"/>
  </r>
  <r>
    <n v="32813"/>
    <n v="3203908"/>
    <x v="52"/>
    <n v="1.22"/>
    <n v="3032176.41"/>
    <n v="383566.18"/>
    <n v="3415742.59"/>
    <n v="98034.7"/>
    <n v="115093.91"/>
    <n v="1.22"/>
    <n v="86739.839999999997"/>
    <n v="0"/>
    <n v="0"/>
    <x v="0"/>
    <n v="12"/>
  </r>
  <r>
    <n v="32814"/>
    <n v="3204005"/>
    <x v="53"/>
    <n v="0.45"/>
    <n v="1119993.08"/>
    <n v="141677.59"/>
    <n v="1261670.67"/>
    <n v="36211.01"/>
    <n v="17233.04"/>
    <n v="0.45"/>
    <n v="32039.040000000001"/>
    <n v="0"/>
    <n v="0"/>
    <x v="0"/>
    <n v="12"/>
  </r>
  <r>
    <n v="32815"/>
    <n v="3204054"/>
    <x v="54"/>
    <n v="0.31"/>
    <n v="779773.45"/>
    <n v="98640.29"/>
    <n v="878413.74"/>
    <n v="25211.22"/>
    <n v="39493.64"/>
    <n v="0.31"/>
    <n v="22306.560000000001"/>
    <n v="0"/>
    <n v="0"/>
    <x v="0"/>
    <n v="12"/>
  </r>
  <r>
    <n v="32816"/>
    <n v="3204104"/>
    <x v="55"/>
    <n v="0.65"/>
    <n v="1626597.5"/>
    <n v="205762.37"/>
    <n v="1832359.87"/>
    <n v="52590.28"/>
    <n v="40119.82"/>
    <n v="0.65"/>
    <n v="46531.199999999997"/>
    <n v="0"/>
    <n v="0"/>
    <x v="0"/>
    <n v="12"/>
  </r>
  <r>
    <n v="32817"/>
    <n v="3204203"/>
    <x v="56"/>
    <n v="0.28999999999999998"/>
    <n v="732589.71"/>
    <n v="92671.6"/>
    <n v="825261.31"/>
    <n v="23685.7"/>
    <n v="63883.79"/>
    <n v="0.28999999999999998"/>
    <n v="20956.8"/>
    <n v="0"/>
    <n v="0"/>
    <x v="0"/>
    <n v="12"/>
  </r>
  <r>
    <n v="32818"/>
    <n v="3204252"/>
    <x v="57"/>
    <n v="0.22"/>
    <n v="556271.5"/>
    <n v="70367.600000000006"/>
    <n v="626639.1"/>
    <n v="17985.07"/>
    <n v="10063.57"/>
    <n v="0.22"/>
    <n v="15912.96"/>
    <n v="0"/>
    <n v="0"/>
    <x v="0"/>
    <n v="12"/>
  </r>
  <r>
    <n v="32819"/>
    <n v="1718402"/>
    <x v="58"/>
    <n v="0.33"/>
    <n v="829440.55"/>
    <n v="104923.11"/>
    <n v="934363.66"/>
    <n v="26817.03"/>
    <n v="41881.879999999997"/>
    <n v="0.33"/>
    <n v="23727.360000000001"/>
    <n v="0"/>
    <n v="0"/>
    <x v="0"/>
    <n v="12"/>
  </r>
  <r>
    <n v="32820"/>
    <n v="3204351"/>
    <x v="59"/>
    <n v="0.81"/>
    <n v="2023934.3"/>
    <n v="256024.93"/>
    <n v="2279959.23"/>
    <n v="65436.75"/>
    <n v="21245.200000000001"/>
    <n v="0.81"/>
    <n v="57897.599999999999"/>
    <n v="0"/>
    <n v="0"/>
    <x v="0"/>
    <n v="12"/>
  </r>
  <r>
    <n v="32821"/>
    <n v="3204401"/>
    <x v="60"/>
    <n v="0.26"/>
    <n v="653122.36"/>
    <n v="82619.070000000007"/>
    <n v="735741.43"/>
    <n v="21116.400000000001"/>
    <n v="23250.09"/>
    <n v="0.26"/>
    <n v="18683.52"/>
    <n v="0"/>
    <n v="0"/>
    <x v="0"/>
    <n v="12"/>
  </r>
  <r>
    <n v="32822"/>
    <n v="3204500"/>
    <x v="61"/>
    <n v="0.49"/>
    <n v="1229260.7"/>
    <n v="155499.79999999999"/>
    <n v="1384760.5"/>
    <n v="39743.800000000003"/>
    <n v="13089.05"/>
    <n v="0.49"/>
    <n v="35164.800000000003"/>
    <n v="0"/>
    <n v="0"/>
    <x v="0"/>
    <n v="12"/>
  </r>
  <r>
    <n v="32823"/>
    <n v="3204559"/>
    <x v="62"/>
    <n v="2.29"/>
    <n v="5699299.6500000004"/>
    <n v="720953.64"/>
    <n v="6420253.29"/>
    <n v="184266.69"/>
    <n v="110511.07"/>
    <n v="2.29"/>
    <n v="163036.79"/>
    <n v="0"/>
    <n v="0"/>
    <x v="0"/>
    <n v="12"/>
  </r>
  <r>
    <n v="32824"/>
    <n v="3204609"/>
    <x v="63"/>
    <n v="0.69"/>
    <n v="1718481.62"/>
    <n v="217385.59"/>
    <n v="1935867.21"/>
    <n v="55561.02"/>
    <n v="35065.96"/>
    <n v="0.69"/>
    <n v="49159.68"/>
    <n v="0"/>
    <n v="0"/>
    <x v="0"/>
    <n v="12"/>
  </r>
  <r>
    <n v="32825"/>
    <n v="3204658"/>
    <x v="64"/>
    <n v="0.48"/>
    <n v="1206910.52"/>
    <n v="152672.51999999999"/>
    <n v="1359583.04"/>
    <n v="39021.18"/>
    <n v="9503.7999999999993"/>
    <n v="0.48"/>
    <n v="34525.440000000002"/>
    <n v="0"/>
    <n v="0"/>
    <x v="0"/>
    <n v="12"/>
  </r>
  <r>
    <n v="32826"/>
    <n v="3204708"/>
    <x v="65"/>
    <n v="0.7"/>
    <n v="1745798.54"/>
    <n v="220841.14"/>
    <n v="1966639.68"/>
    <n v="56444.22"/>
    <n v="51174.01"/>
    <n v="0.7"/>
    <n v="49941.120000000003"/>
    <n v="0"/>
    <n v="0"/>
    <x v="0"/>
    <n v="12"/>
  </r>
  <r>
    <n v="32827"/>
    <n v="3204807"/>
    <x v="66"/>
    <n v="0.26"/>
    <n v="648155.64"/>
    <n v="81990.8"/>
    <n v="730146.44"/>
    <n v="20955.82"/>
    <n v="17353.46"/>
    <n v="0.26"/>
    <n v="18541.439999999999"/>
    <n v="0"/>
    <n v="0"/>
    <x v="0"/>
    <n v="12"/>
  </r>
  <r>
    <n v="32828"/>
    <n v="3204906"/>
    <x v="67"/>
    <n v="1.94"/>
    <n v="4820191.96"/>
    <n v="609747.73"/>
    <n v="5429939.6900000004"/>
    <n v="155843.85"/>
    <n v="340440.71"/>
    <n v="1.94"/>
    <n v="137888.63"/>
    <n v="0"/>
    <n v="0"/>
    <x v="0"/>
    <n v="12"/>
  </r>
  <r>
    <n v="32829"/>
    <n v="3204955"/>
    <x v="68"/>
    <n v="0.32"/>
    <n v="814540.43"/>
    <n v="103038.25"/>
    <n v="917578.68"/>
    <n v="26335.279999999999"/>
    <n v="12956.6"/>
    <n v="0.32"/>
    <n v="23301.119999999999"/>
    <n v="0"/>
    <n v="0"/>
    <x v="0"/>
    <n v="12"/>
  </r>
  <r>
    <n v="32830"/>
    <n v="3205002"/>
    <x v="69"/>
    <n v="14.13"/>
    <n v="35089805.579999998"/>
    <n v="4438812.6399999997"/>
    <n v="39528618.219999999"/>
    <n v="1134504.71"/>
    <n v="972813.42"/>
    <n v="14.13"/>
    <n v="1003795.16"/>
    <n v="0"/>
    <n v="0"/>
    <x v="0"/>
    <n v="12"/>
  </r>
  <r>
    <n v="32831"/>
    <n v="3205010"/>
    <x v="70"/>
    <n v="0.71"/>
    <n v="1768148.74"/>
    <n v="223668.38"/>
    <n v="1991817.12"/>
    <n v="57166.83"/>
    <n v="40608.97"/>
    <n v="0.71"/>
    <n v="50580.480000000003"/>
    <n v="0"/>
    <n v="0"/>
    <x v="0"/>
    <n v="12"/>
  </r>
  <r>
    <n v="32832"/>
    <n v="3205036"/>
    <x v="71"/>
    <n v="0.49"/>
    <n v="1231744.06"/>
    <n v="155813.96"/>
    <n v="1387558.02"/>
    <n v="39824.089999999997"/>
    <n v="43239.74"/>
    <n v="0.49"/>
    <n v="35235.839999999997"/>
    <n v="0"/>
    <n v="0"/>
    <x v="0"/>
    <n v="12"/>
  </r>
  <r>
    <n v="32833"/>
    <n v="3205069"/>
    <x v="72"/>
    <n v="0.72"/>
    <n v="1810365.76"/>
    <n v="229008.8"/>
    <n v="2039374.56"/>
    <n v="58531.77"/>
    <n v="38473.99"/>
    <n v="0.72"/>
    <n v="51788.160000000003"/>
    <n v="0"/>
    <n v="0"/>
    <x v="0"/>
    <n v="12"/>
  </r>
  <r>
    <n v="32834"/>
    <n v="2112803"/>
    <x v="73"/>
    <n v="2"/>
    <n v="4986576.7699999996"/>
    <n v="630795.16"/>
    <n v="5617371.9299999997"/>
    <n v="161223.32"/>
    <n v="100556.41"/>
    <n v="2"/>
    <n v="142648.31"/>
    <n v="0"/>
    <n v="0"/>
    <x v="0"/>
    <n v="12"/>
  </r>
  <r>
    <n v="32835"/>
    <n v="3205150"/>
    <x v="74"/>
    <n v="0.32"/>
    <n v="817023.78"/>
    <n v="103352.4"/>
    <n v="920376.18"/>
    <n v="26415.57"/>
    <n v="14889.81"/>
    <n v="0.32"/>
    <n v="23372.16"/>
    <n v="0"/>
    <n v="0"/>
    <x v="0"/>
    <n v="12"/>
  </r>
  <r>
    <n v="32836"/>
    <n v="3205176"/>
    <x v="75"/>
    <n v="0.57999999999999996"/>
    <n v="1462696.07"/>
    <n v="185029.07"/>
    <n v="1647725.14"/>
    <n v="47291.1"/>
    <n v="22513.98"/>
    <n v="0.57999999999999996"/>
    <n v="41842.559999999998"/>
    <n v="0"/>
    <n v="0"/>
    <x v="0"/>
    <n v="12"/>
  </r>
  <r>
    <n v="32837"/>
    <n v="3205200"/>
    <x v="76"/>
    <n v="6.05"/>
    <n v="15036714.26"/>
    <n v="1902123.87"/>
    <n v="16938838.129999999"/>
    <n v="486158.95"/>
    <n v="1174913.8799999999"/>
    <n v="6.05"/>
    <n v="430147.18"/>
    <n v="0"/>
    <n v="0"/>
    <x v="0"/>
    <n v="12"/>
  </r>
  <r>
    <n v="32838"/>
    <n v="3205309"/>
    <x v="77"/>
    <n v="15.31"/>
    <n v="38022647.719999999"/>
    <n v="4809813.09"/>
    <n v="42832460.810000002"/>
    <n v="1229327.79"/>
    <n v="1132527.53"/>
    <n v="15.31"/>
    <n v="1087693.3600000001"/>
    <n v="0"/>
    <n v="0"/>
    <x v="0"/>
    <n v="12"/>
  </r>
  <r>
    <n v="37753"/>
    <n v="3200102"/>
    <x v="0"/>
    <n v="0.82099999999999995"/>
    <n v="2094248.11"/>
    <n v="119619.32"/>
    <n v="2213867.4300000002"/>
    <n v="31831.63"/>
    <n v="50165.52"/>
    <n v="1.002"/>
    <n v="63067.19"/>
    <n v="11241.34"/>
    <n v="0"/>
    <x v="0"/>
    <n v="1"/>
  </r>
  <r>
    <n v="37754"/>
    <n v="3200169"/>
    <x v="1"/>
    <n v="0.31"/>
    <n v="790433.9"/>
    <n v="45166.19"/>
    <n v="835600.09"/>
    <n v="12019.25"/>
    <n v="22022.57"/>
    <n v="0.44800000000000001"/>
    <n v="23813.43"/>
    <n v="5027.8999999999996"/>
    <n v="0"/>
    <x v="0"/>
    <n v="1"/>
  </r>
  <r>
    <n v="37755"/>
    <n v="3200136"/>
    <x v="2"/>
    <n v="0.41799999999999998"/>
    <n v="1065673.22"/>
    <n v="60901.23"/>
    <n v="1126574.45"/>
    <n v="16206.6"/>
    <n v="12616.34"/>
    <n v="0.35299999999999998"/>
    <n v="32109.72"/>
    <n v="3953.85"/>
    <n v="0"/>
    <x v="0"/>
    <n v="1"/>
  </r>
  <r>
    <n v="37756"/>
    <n v="3200201"/>
    <x v="3"/>
    <n v="0.52600000000000002"/>
    <n v="1342575.91"/>
    <n v="76639.63"/>
    <n v="1419215.54"/>
    <n v="20393.96"/>
    <n v="65566"/>
    <n v="0.996"/>
    <n v="40406.019999999997"/>
    <n v="11220.06"/>
    <n v="0"/>
    <x v="0"/>
    <n v="1"/>
  </r>
  <r>
    <n v="37757"/>
    <n v="3200300"/>
    <x v="4"/>
    <n v="0.51"/>
    <n v="1301424.17"/>
    <n v="74307.75"/>
    <n v="1375731.92"/>
    <n v="19773.61"/>
    <n v="42698.89"/>
    <n v="0.56999999999999995"/>
    <n v="39176.94"/>
    <n v="6376.26"/>
    <n v="0"/>
    <x v="0"/>
    <n v="1"/>
  </r>
  <r>
    <n v="37758"/>
    <n v="3200359"/>
    <x v="5"/>
    <n v="0.22500000000000001"/>
    <n v="573780.42000000004"/>
    <n v="32782.050000000003"/>
    <n v="606562.47"/>
    <n v="8723.65"/>
    <n v="9994.0499999999993"/>
    <n v="0.33100000000000002"/>
    <n v="17283.939999999999"/>
    <n v="3693.8"/>
    <n v="0"/>
    <x v="0"/>
    <n v="1"/>
  </r>
  <r>
    <n v="37759"/>
    <n v="3200409"/>
    <x v="6"/>
    <n v="2.653"/>
    <n v="6766539.25"/>
    <n v="386539.11"/>
    <n v="7153078.3600000003"/>
    <n v="102861.53"/>
    <n v="116210.38"/>
    <n v="0.90800000000000003"/>
    <n v="203796.89"/>
    <n v="10096.34"/>
    <n v="0"/>
    <x v="0"/>
    <n v="1"/>
  </r>
  <r>
    <n v="37760"/>
    <n v="3200508"/>
    <x v="7"/>
    <n v="0.19400000000000001"/>
    <n v="494762.66"/>
    <n v="28265.51"/>
    <n v="523028.17"/>
    <n v="7521.72"/>
    <n v="45965.26"/>
    <n v="0.32700000000000001"/>
    <n v="14902.6"/>
    <n v="3663.18"/>
    <n v="0"/>
    <x v="0"/>
    <n v="1"/>
  </r>
  <r>
    <n v="37761"/>
    <n v="3200607"/>
    <x v="8"/>
    <n v="3.3479999999999999"/>
    <n v="8525125.4199999999"/>
    <n v="487771.26"/>
    <n v="9012896.6799999997"/>
    <n v="129807.91"/>
    <n v="252304.19"/>
    <n v="2.4249999999999998"/>
    <n v="257185.06"/>
    <n v="26923.77"/>
    <n v="0"/>
    <x v="0"/>
    <n v="1"/>
  </r>
  <r>
    <n v="37762"/>
    <n v="3200706"/>
    <x v="9"/>
    <n v="0.379"/>
    <n v="966255.47"/>
    <n v="55219.06"/>
    <n v="1021474.53"/>
    <n v="14694.5"/>
    <n v="20467.48"/>
    <n v="0.45900000000000002"/>
    <n v="29113.84"/>
    <n v="5116.78"/>
    <n v="0"/>
    <x v="0"/>
    <n v="1"/>
  </r>
  <r>
    <n v="37763"/>
    <n v="3200805"/>
    <x v="10"/>
    <n v="0.69299999999999995"/>
    <n v="1768808.63"/>
    <n v="100971.94"/>
    <n v="1869780.57"/>
    <n v="26868.84"/>
    <n v="88317.62"/>
    <n v="1.0069999999999999"/>
    <n v="53234.54"/>
    <n v="11261.27"/>
    <n v="0"/>
    <x v="0"/>
    <n v="1"/>
  </r>
  <r>
    <n v="37764"/>
    <n v="3200904"/>
    <x v="11"/>
    <n v="0.94499999999999995"/>
    <n v="2412558.5"/>
    <n v="137690.14000000001"/>
    <n v="2550248.64"/>
    <n v="36639.33"/>
    <n v="118669.01"/>
    <n v="1.3320000000000001"/>
    <n v="72592.56"/>
    <n v="14880.9"/>
    <n v="0"/>
    <x v="0"/>
    <n v="1"/>
  </r>
  <r>
    <n v="37765"/>
    <n v="3107109"/>
    <x v="12"/>
    <n v="0.40400000000000003"/>
    <n v="1029973.28"/>
    <n v="58861.43"/>
    <n v="1088834.71"/>
    <n v="15663.8"/>
    <n v="20555.37"/>
    <n v="0.57599999999999996"/>
    <n v="31034.28"/>
    <n v="6434.61"/>
    <n v="0"/>
    <x v="0"/>
    <n v="1"/>
  </r>
  <r>
    <n v="37766"/>
    <n v="3201100"/>
    <x v="13"/>
    <n v="0.18099999999999999"/>
    <n v="461484.78"/>
    <n v="26371.16"/>
    <n v="487855.94"/>
    <n v="7017.69"/>
    <n v="117043.57"/>
    <n v="0.434"/>
    <n v="13903.97"/>
    <n v="4856.7299999999996"/>
    <n v="0"/>
    <x v="0"/>
    <n v="1"/>
  </r>
  <r>
    <n v="37767"/>
    <n v="3201159"/>
    <x v="14"/>
    <n v="0.437"/>
    <n v="1113707.24"/>
    <n v="63668.61"/>
    <n v="1177375.8500000001"/>
    <n v="16943.27"/>
    <n v="14611.8"/>
    <n v="0.46500000000000002"/>
    <n v="33569.26"/>
    <n v="5203.09"/>
    <n v="0"/>
    <x v="0"/>
    <n v="1"/>
  </r>
  <r>
    <n v="37768"/>
    <n v="3201209"/>
    <x v="15"/>
    <n v="3.375"/>
    <n v="8617454.7300000004"/>
    <n v="491752.84"/>
    <n v="9109207.5700000003"/>
    <n v="130854.75"/>
    <n v="638437.17000000004"/>
    <n v="4.5140000000000002"/>
    <n v="259259.14"/>
    <n v="50409.54"/>
    <n v="0"/>
    <x v="0"/>
    <n v="1"/>
  </r>
  <r>
    <n v="37769"/>
    <n v="3201308"/>
    <x v="16"/>
    <n v="5.9909999999999997"/>
    <n v="15272082.59"/>
    <n v="872865.43"/>
    <n v="16144948.02"/>
    <n v="232281.72"/>
    <n v="758572.9"/>
    <n v="6.6580000000000004"/>
    <n v="460213.77"/>
    <n v="74419.429999999993"/>
    <n v="0"/>
    <x v="0"/>
    <n v="1"/>
  </r>
  <r>
    <n v="37770"/>
    <n v="3201407"/>
    <x v="17"/>
    <n v="0.93700000000000006"/>
    <n v="2390783.0299999998"/>
    <n v="136521.75"/>
    <n v="2527304.7799999998"/>
    <n v="36329.160000000003"/>
    <n v="155795.75"/>
    <n v="1.1659999999999999"/>
    <n v="71978.02"/>
    <n v="13033.05"/>
    <n v="0"/>
    <x v="0"/>
    <n v="1"/>
  </r>
  <r>
    <n v="37771"/>
    <n v="3201506"/>
    <x v="18"/>
    <n v="2.2549999999999999"/>
    <n v="5753465.3099999996"/>
    <n v="328555.08"/>
    <n v="6082020.3899999997"/>
    <n v="87430.36"/>
    <n v="366581.53"/>
    <n v="2.8450000000000002"/>
    <n v="173223.51"/>
    <n v="31780.05"/>
    <n v="0"/>
    <x v="0"/>
    <n v="1"/>
  </r>
  <r>
    <n v="37772"/>
    <n v="3201605"/>
    <x v="19"/>
    <n v="0.55300000000000005"/>
    <n v="1413345.02"/>
    <n v="80577.38"/>
    <n v="1493922.4"/>
    <n v="21440.79"/>
    <n v="53044.79"/>
    <n v="1.008"/>
    <n v="42480.09"/>
    <n v="11259.49"/>
    <n v="0"/>
    <x v="0"/>
    <n v="1"/>
  </r>
  <r>
    <n v="37773"/>
    <n v="3201704"/>
    <x v="20"/>
    <n v="0.45700000000000002"/>
    <n v="1165186.92"/>
    <n v="66583.56"/>
    <n v="1231770.48"/>
    <n v="17718.7"/>
    <n v="18112.18"/>
    <n v="0.46899999999999997"/>
    <n v="35105.61"/>
    <n v="5239.17"/>
    <n v="0"/>
    <x v="0"/>
    <n v="1"/>
  </r>
  <r>
    <n v="37774"/>
    <n v="3201803"/>
    <x v="21"/>
    <n v="0.186"/>
    <n v="473914.86"/>
    <n v="27099"/>
    <n v="501013.86"/>
    <n v="7211.55"/>
    <n v="14063.19"/>
    <n v="0.28699999999999998"/>
    <n v="14288.06"/>
    <n v="3208.79"/>
    <n v="0"/>
    <x v="0"/>
    <n v="1"/>
  </r>
  <r>
    <n v="37775"/>
    <n v="3201902"/>
    <x v="22"/>
    <n v="1.282"/>
    <n v="3271266.42"/>
    <n v="186788.96"/>
    <n v="3458055.38"/>
    <n v="49705.42"/>
    <n v="103407.73"/>
    <n v="1.0429999999999999"/>
    <n v="98480.06"/>
    <n v="11660.64"/>
    <n v="0"/>
    <x v="0"/>
    <n v="1"/>
  </r>
  <r>
    <n v="37776"/>
    <n v="3202009"/>
    <x v="23"/>
    <n v="0.25"/>
    <n v="638138.06000000006"/>
    <n v="36425.760000000002"/>
    <n v="674563.82"/>
    <n v="9692.94"/>
    <n v="20298.66"/>
    <n v="0.317"/>
    <n v="19204.38"/>
    <n v="3543.68"/>
    <n v="0"/>
    <x v="0"/>
    <n v="1"/>
  </r>
  <r>
    <n v="37777"/>
    <n v="3202108"/>
    <x v="24"/>
    <n v="0.72099999999999997"/>
    <n v="1840432.35"/>
    <n v="105051.93"/>
    <n v="1945484.28"/>
    <n v="27954.45"/>
    <n v="35848.17"/>
    <n v="0.82899999999999996"/>
    <n v="55385.43"/>
    <n v="9294.26"/>
    <n v="0"/>
    <x v="0"/>
    <n v="1"/>
  </r>
  <r>
    <n v="37778"/>
    <n v="3202207"/>
    <x v="25"/>
    <n v="0.35399999999999998"/>
    <n v="902377.66"/>
    <n v="51576.37"/>
    <n v="953954.03"/>
    <n v="13725.21"/>
    <n v="40264.69"/>
    <n v="0.73399999999999999"/>
    <n v="27193.4"/>
    <n v="8153.61"/>
    <n v="0"/>
    <x v="0"/>
    <n v="1"/>
  </r>
  <r>
    <n v="37779"/>
    <n v="3202256"/>
    <x v="26"/>
    <n v="0.43"/>
    <n v="1096241.1499999999"/>
    <n v="62649.53"/>
    <n v="1158890.68"/>
    <n v="16671.86"/>
    <n v="11625.52"/>
    <n v="0.46899999999999997"/>
    <n v="33031.53"/>
    <n v="5224.6899999999996"/>
    <n v="0"/>
    <x v="0"/>
    <n v="1"/>
  </r>
  <r>
    <n v="37780"/>
    <n v="3202306"/>
    <x v="27"/>
    <n v="0.41599999999999998"/>
    <n v="1061308.96"/>
    <n v="60611.3"/>
    <n v="1121920.26"/>
    <n v="16129.06"/>
    <n v="109037.44"/>
    <n v="1.006"/>
    <n v="31956.09"/>
    <n v="11225.52"/>
    <n v="0"/>
    <x v="0"/>
    <n v="1"/>
  </r>
  <r>
    <n v="37781"/>
    <n v="3202405"/>
    <x v="28"/>
    <n v="0.995"/>
    <n v="2539898.2200000002"/>
    <n v="144974.69"/>
    <n v="2684872.91"/>
    <n v="38577.919999999998"/>
    <n v="1121038.1000000001"/>
    <n v="2.8740000000000001"/>
    <n v="76433.429999999993"/>
    <n v="31976.5"/>
    <n v="0"/>
    <x v="0"/>
    <n v="1"/>
  </r>
  <r>
    <n v="37782"/>
    <n v="3202454"/>
    <x v="29"/>
    <n v="0.41699999999999998"/>
    <n v="1063890.93"/>
    <n v="60757.06"/>
    <n v="1124647.99"/>
    <n v="16167.83"/>
    <n v="54192.26"/>
    <n v="0.86799999999999999"/>
    <n v="32032.91"/>
    <n v="9675.25"/>
    <n v="0"/>
    <x v="0"/>
    <n v="1"/>
  </r>
  <r>
    <n v="37783"/>
    <n v="3202504"/>
    <x v="30"/>
    <n v="0.25800000000000001"/>
    <n v="658090.18000000005"/>
    <n v="37590.410000000003"/>
    <n v="695680.59"/>
    <n v="10003.120000000001"/>
    <n v="26466.04"/>
    <n v="0.46600000000000003"/>
    <n v="19818.919999999998"/>
    <n v="5200.8599999999997"/>
    <n v="0"/>
    <x v="0"/>
    <n v="1"/>
  </r>
  <r>
    <n v="37784"/>
    <n v="3202553"/>
    <x v="31"/>
    <n v="0.252"/>
    <n v="643461.94999999995"/>
    <n v="36717.61"/>
    <n v="680179.56"/>
    <n v="9770.49"/>
    <n v="12873.21"/>
    <n v="0.34399999999999997"/>
    <n v="19358.02"/>
    <n v="3850.95"/>
    <n v="0"/>
    <x v="0"/>
    <n v="1"/>
  </r>
  <r>
    <n v="37785"/>
    <n v="3202603"/>
    <x v="32"/>
    <n v="0.40899999999999997"/>
    <n v="1043235.08"/>
    <n v="59590.98"/>
    <n v="1102826.06"/>
    <n v="15857.66"/>
    <n v="59219.83"/>
    <n v="0.56100000000000005"/>
    <n v="31418.37"/>
    <n v="6261.21"/>
    <n v="0"/>
    <x v="0"/>
    <n v="1"/>
  </r>
  <r>
    <n v="37786"/>
    <n v="3202652"/>
    <x v="33"/>
    <n v="0.28799999999999998"/>
    <n v="739452.18"/>
    <n v="41971.24"/>
    <n v="781423.42"/>
    <n v="11166.27"/>
    <n v="17040.099999999999"/>
    <n v="0.47699999999999998"/>
    <n v="22123.45"/>
    <n v="5321.58"/>
    <n v="0"/>
    <x v="0"/>
    <n v="1"/>
  </r>
  <r>
    <n v="37787"/>
    <n v="3202702"/>
    <x v="34"/>
    <n v="0.38300000000000001"/>
    <n v="976807.3"/>
    <n v="55802.55"/>
    <n v="1032609.85"/>
    <n v="14849.59"/>
    <n v="26537.59"/>
    <n v="0.56399999999999995"/>
    <n v="29421.11"/>
    <n v="6312.22"/>
    <n v="0"/>
    <x v="0"/>
    <n v="1"/>
  </r>
  <r>
    <n v="37788"/>
    <n v="3202801"/>
    <x v="35"/>
    <n v="2.5979999999999999"/>
    <n v="6601210.71"/>
    <n v="378474.75"/>
    <n v="6979685.46"/>
    <n v="100729.08"/>
    <n v="135358.51999999999"/>
    <n v="1.0489999999999999"/>
    <n v="199571.92"/>
    <n v="11705.64"/>
    <n v="0"/>
    <x v="0"/>
    <n v="1"/>
  </r>
  <r>
    <n v="37789"/>
    <n v="3202900"/>
    <x v="36"/>
    <n v="0.34599999999999997"/>
    <n v="882809.45"/>
    <n v="50412.47"/>
    <n v="933221.92"/>
    <n v="13415.04"/>
    <n v="22456.26"/>
    <n v="0.442"/>
    <n v="26578.86"/>
    <n v="4956.07"/>
    <n v="0"/>
    <x v="0"/>
    <n v="1"/>
  </r>
  <r>
    <n v="37790"/>
    <n v="3203007"/>
    <x v="37"/>
    <n v="0.45400000000000001"/>
    <n v="1160287.94"/>
    <n v="66152.06"/>
    <n v="1226440"/>
    <n v="17602.39"/>
    <n v="60900.800000000003"/>
    <n v="0.90700000000000003"/>
    <n v="34875.15"/>
    <n v="10137.549999999999"/>
    <n v="0"/>
    <x v="0"/>
    <n v="1"/>
  </r>
  <r>
    <n v="37791"/>
    <n v="3203056"/>
    <x v="38"/>
    <n v="0.84599999999999997"/>
    <n v="2157326.17"/>
    <n v="123260.39"/>
    <n v="2280586.56"/>
    <n v="32800.92"/>
    <n v="50113.09"/>
    <n v="0.92300000000000004"/>
    <n v="64987.62"/>
    <n v="10260.06"/>
    <n v="0"/>
    <x v="0"/>
    <n v="1"/>
  </r>
  <r>
    <n v="37792"/>
    <n v="3203106"/>
    <x v="39"/>
    <n v="0.22500000000000001"/>
    <n v="573844.41"/>
    <n v="32782.18"/>
    <n v="606626.59"/>
    <n v="8723.65"/>
    <n v="17348.68"/>
    <n v="0.46200000000000002"/>
    <n v="17283.939999999999"/>
    <n v="5113.7700000000004"/>
    <n v="0"/>
    <x v="0"/>
    <n v="1"/>
  </r>
  <r>
    <n v="37793"/>
    <n v="3203130"/>
    <x v="40"/>
    <n v="0.435"/>
    <n v="1107519.6499999999"/>
    <n v="63375.02"/>
    <n v="1170894.67"/>
    <n v="16865.72"/>
    <n v="39980.15"/>
    <n v="0.67400000000000004"/>
    <n v="33415.620000000003"/>
    <n v="7530.27"/>
    <n v="0"/>
    <x v="0"/>
    <n v="1"/>
  </r>
  <r>
    <n v="37794"/>
    <n v="3203163"/>
    <x v="41"/>
    <n v="0.38900000000000001"/>
    <n v="992267.21"/>
    <n v="56677.09"/>
    <n v="1048944.3"/>
    <n v="15082.22"/>
    <n v="29800.32"/>
    <n v="0.44700000000000001"/>
    <n v="29882.02"/>
    <n v="5004.07"/>
    <n v="0"/>
    <x v="0"/>
    <n v="1"/>
  </r>
  <r>
    <n v="37795"/>
    <n v="3203205"/>
    <x v="42"/>
    <n v="6.1630000000000003"/>
    <n v="15736751.960000001"/>
    <n v="897978.44"/>
    <n v="16634730.4"/>
    <n v="238950.47"/>
    <n v="488754.96"/>
    <n v="4.0730000000000004"/>
    <n v="473426.39"/>
    <n v="45228.51"/>
    <n v="0"/>
    <x v="0"/>
    <n v="1"/>
  </r>
  <r>
    <n v="37796"/>
    <n v="3203304"/>
    <x v="43"/>
    <n v="0.25600000000000001"/>
    <n v="653470.01"/>
    <n v="37300.01"/>
    <n v="690770.02"/>
    <n v="9925.58"/>
    <n v="23830.34"/>
    <n v="0.57999999999999996"/>
    <n v="19665.29"/>
    <n v="6464.24"/>
    <n v="0"/>
    <x v="0"/>
    <n v="1"/>
  </r>
  <r>
    <n v="37797"/>
    <n v="3203320"/>
    <x v="44"/>
    <n v="0.61399999999999999"/>
    <n v="1560449.66"/>
    <n v="89447.78"/>
    <n v="1649897.44"/>
    <n v="23805.87"/>
    <n v="197062.96"/>
    <n v="1.1779999999999999"/>
    <n v="47165.96"/>
    <n v="13143.87"/>
    <n v="0"/>
    <x v="0"/>
    <n v="1"/>
  </r>
  <r>
    <n v="37798"/>
    <n v="3203346"/>
    <x v="45"/>
    <n v="0.71"/>
    <n v="1811358.82"/>
    <n v="103447.2"/>
    <n v="1914806.02"/>
    <n v="27527.96"/>
    <n v="60800.55"/>
    <n v="0.59599999999999997"/>
    <n v="54540.44"/>
    <n v="6642.32"/>
    <n v="0"/>
    <x v="0"/>
    <n v="1"/>
  </r>
  <r>
    <n v="37799"/>
    <n v="3203353"/>
    <x v="46"/>
    <n v="0.42899999999999999"/>
    <n v="1093563.2"/>
    <n v="62503.57"/>
    <n v="1156066.77"/>
    <n v="16633.09"/>
    <n v="32060.9"/>
    <n v="0.47"/>
    <n v="32954.720000000001"/>
    <n v="5247.86"/>
    <n v="0"/>
    <x v="0"/>
    <n v="1"/>
  </r>
  <r>
    <n v="37800"/>
    <n v="3203403"/>
    <x v="47"/>
    <n v="0.51500000000000001"/>
    <n v="1314206.1200000001"/>
    <n v="75036.31"/>
    <n v="1389242.43"/>
    <n v="19967.47"/>
    <n v="79395.100000000006"/>
    <n v="0.86899999999999999"/>
    <n v="39561.019999999997"/>
    <n v="9739.6200000000008"/>
    <n v="0"/>
    <x v="0"/>
    <n v="1"/>
  </r>
  <r>
    <n v="37801"/>
    <n v="3203502"/>
    <x v="48"/>
    <n v="0.53100000000000003"/>
    <n v="1354782.06"/>
    <n v="77367"/>
    <n v="1432149.06"/>
    <n v="20587.810000000001"/>
    <n v="42157.82"/>
    <n v="0.7"/>
    <n v="40790.1"/>
    <n v="7832.42"/>
    <n v="0"/>
    <x v="0"/>
    <n v="1"/>
  </r>
  <r>
    <n v="37802"/>
    <n v="3203601"/>
    <x v="49"/>
    <n v="0.29499999999999998"/>
    <n v="752855.77"/>
    <n v="42982.080000000002"/>
    <n v="795837.85"/>
    <n v="11437.67"/>
    <n v="9636.01"/>
    <n v="0.30199999999999999"/>
    <n v="22661.17"/>
    <n v="3378.96"/>
    <n v="0"/>
    <x v="0"/>
    <n v="1"/>
  </r>
  <r>
    <n v="37803"/>
    <n v="3203700"/>
    <x v="50"/>
    <n v="0.51500000000000001"/>
    <n v="1313406.42"/>
    <n v="75034.69"/>
    <n v="1388441.11"/>
    <n v="19967.47"/>
    <n v="38798.28"/>
    <n v="0.68400000000000005"/>
    <n v="39561.019999999997"/>
    <n v="7670.26"/>
    <n v="0"/>
    <x v="0"/>
    <n v="1"/>
  </r>
  <r>
    <n v="37804"/>
    <n v="3203809"/>
    <x v="51"/>
    <n v="0.29399999999999998"/>
    <n v="749474.07"/>
    <n v="42834.69"/>
    <n v="792308.76"/>
    <n v="11398.9"/>
    <n v="36203.64"/>
    <n v="0.58099999999999996"/>
    <n v="22584.35"/>
    <n v="6488.96"/>
    <n v="0"/>
    <x v="0"/>
    <n v="1"/>
  </r>
  <r>
    <n v="37805"/>
    <n v="3203908"/>
    <x v="52"/>
    <n v="1.2210000000000001"/>
    <n v="3115588.86"/>
    <n v="177901.15"/>
    <n v="3293490.01"/>
    <n v="47340.34"/>
    <n v="116676.15"/>
    <n v="1.478"/>
    <n v="93794.19"/>
    <n v="16513.810000000001"/>
    <n v="0"/>
    <x v="0"/>
    <n v="1"/>
  </r>
  <r>
    <n v="37806"/>
    <n v="3204005"/>
    <x v="53"/>
    <n v="0.45100000000000001"/>
    <n v="1150462.75"/>
    <n v="65710.55"/>
    <n v="1216173.3"/>
    <n v="17486.07"/>
    <n v="20700.400000000001"/>
    <n v="0.755"/>
    <n v="34644.699999999997"/>
    <n v="8433.7000000000007"/>
    <n v="0"/>
    <x v="0"/>
    <n v="1"/>
  </r>
  <r>
    <n v="37807"/>
    <n v="3204054"/>
    <x v="54"/>
    <n v="0.314"/>
    <n v="800953.76"/>
    <n v="45749.63"/>
    <n v="846703.39"/>
    <n v="12174.34"/>
    <n v="41842.42"/>
    <n v="0.87"/>
    <n v="24120.7"/>
    <n v="9710.33"/>
    <n v="0"/>
    <x v="0"/>
    <n v="1"/>
  </r>
  <r>
    <n v="37808"/>
    <n v="3204104"/>
    <x v="55"/>
    <n v="0.65500000000000003"/>
    <n v="1671045.21"/>
    <n v="95433.65"/>
    <n v="1766478.86"/>
    <n v="25395.51"/>
    <n v="34292.550000000003"/>
    <n v="0.88"/>
    <n v="50315.48"/>
    <n v="9819.81"/>
    <n v="0"/>
    <x v="0"/>
    <n v="1"/>
  </r>
  <r>
    <n v="37809"/>
    <n v="3204203"/>
    <x v="56"/>
    <n v="0.29499999999999998"/>
    <n v="762644.23"/>
    <n v="43001.98"/>
    <n v="805646.21"/>
    <n v="11437.67"/>
    <n v="99139.15"/>
    <n v="0.73599999999999999"/>
    <n v="22661.17"/>
    <n v="8195.93"/>
    <n v="0"/>
    <x v="0"/>
    <n v="1"/>
  </r>
  <r>
    <n v="37810"/>
    <n v="3204252"/>
    <x v="57"/>
    <n v="0.224"/>
    <n v="571038.52"/>
    <n v="32635.96"/>
    <n v="603674.48"/>
    <n v="8684.8799999999992"/>
    <n v="5372.65"/>
    <n v="0.33100000000000002"/>
    <n v="17207.12"/>
    <n v="3691.8"/>
    <n v="0"/>
    <x v="0"/>
    <n v="1"/>
  </r>
  <r>
    <n v="37811"/>
    <n v="1718402"/>
    <x v="58"/>
    <n v="0.33400000000000002"/>
    <n v="851249.84"/>
    <n v="48662.13"/>
    <n v="899911.97"/>
    <n v="12949.77"/>
    <n v="69598.899999999994"/>
    <n v="0.45500000000000002"/>
    <n v="25657.05"/>
    <n v="5077.91"/>
    <n v="0"/>
    <x v="0"/>
    <n v="1"/>
  </r>
  <r>
    <n v="37812"/>
    <n v="3204351"/>
    <x v="59"/>
    <n v="0.81499999999999995"/>
    <n v="2079012.11"/>
    <n v="118745.25"/>
    <n v="2197757.36"/>
    <n v="31599"/>
    <n v="34507.74"/>
    <n v="0.70399999999999996"/>
    <n v="62606.28"/>
    <n v="7865.94"/>
    <n v="0"/>
    <x v="0"/>
    <n v="1"/>
  </r>
  <r>
    <n v="37813"/>
    <n v="3204401"/>
    <x v="60"/>
    <n v="0.26300000000000001"/>
    <n v="671096.02"/>
    <n v="38319.43"/>
    <n v="709415.45"/>
    <n v="10196.98"/>
    <n v="31956.94"/>
    <n v="0.45500000000000002"/>
    <n v="20203.009999999998"/>
    <n v="5096.17"/>
    <n v="0"/>
    <x v="0"/>
    <n v="1"/>
  </r>
  <r>
    <n v="37814"/>
    <n v="3204500"/>
    <x v="61"/>
    <n v="0.495"/>
    <n v="1262214.6000000001"/>
    <n v="72120.320000000007"/>
    <n v="1334334.92"/>
    <n v="19192.03"/>
    <n v="21860.99"/>
    <n v="0.46300000000000002"/>
    <n v="38024.67"/>
    <n v="5191.7299999999996"/>
    <n v="0"/>
    <x v="0"/>
    <n v="1"/>
  </r>
  <r>
    <n v="37815"/>
    <n v="3204559"/>
    <x v="62"/>
    <n v="2.2949999999999999"/>
    <n v="5855369.0800000001"/>
    <n v="334382.78999999998"/>
    <n v="6189751.8700000001"/>
    <n v="88981.23"/>
    <n v="247353.28"/>
    <n v="1.202"/>
    <n v="176296.21"/>
    <n v="13387.99"/>
    <n v="0"/>
    <x v="0"/>
    <n v="1"/>
  </r>
  <r>
    <n v="37816"/>
    <n v="3204609"/>
    <x v="63"/>
    <n v="0.69199999999999995"/>
    <n v="1764595.25"/>
    <n v="100822.88"/>
    <n v="1865418.13"/>
    <n v="26830.07"/>
    <n v="81540.12"/>
    <n v="0.83699999999999997"/>
    <n v="53157.73"/>
    <n v="9347.27"/>
    <n v="0"/>
    <x v="0"/>
    <n v="1"/>
  </r>
  <r>
    <n v="37817"/>
    <n v="3204658"/>
    <x v="64"/>
    <n v="0.48599999999999999"/>
    <n v="1238976.81"/>
    <n v="70808.479999999996"/>
    <n v="1309785.29"/>
    <n v="18843.080000000002"/>
    <n v="14911.23"/>
    <n v="0.34100000000000003"/>
    <n v="37333.32"/>
    <n v="3804.62"/>
    <n v="0"/>
    <x v="0"/>
    <n v="1"/>
  </r>
  <r>
    <n v="37818"/>
    <n v="3204708"/>
    <x v="65"/>
    <n v="0.70299999999999996"/>
    <n v="1790981.75"/>
    <n v="102422.17"/>
    <n v="1893403.92"/>
    <n v="27256.560000000001"/>
    <n v="61886.28"/>
    <n v="1.171"/>
    <n v="54002.720000000001"/>
    <n v="13039.18"/>
    <n v="0"/>
    <x v="0"/>
    <n v="1"/>
  </r>
  <r>
    <n v="37819"/>
    <n v="3204807"/>
    <x v="66"/>
    <n v="0.26100000000000001"/>
    <n v="665996.03"/>
    <n v="38028.03"/>
    <n v="704024.06"/>
    <n v="10119.43"/>
    <n v="30500.92"/>
    <n v="0.442"/>
    <n v="20049.37"/>
    <n v="4948.72"/>
    <n v="0"/>
    <x v="0"/>
    <n v="1"/>
  </r>
  <r>
    <n v="37820"/>
    <n v="3204906"/>
    <x v="67"/>
    <n v="1.9410000000000001"/>
    <n v="4951839.8099999996"/>
    <n v="282804.09999999998"/>
    <n v="5234643.91"/>
    <n v="75256.02"/>
    <n v="316300.83"/>
    <n v="3.024"/>
    <n v="149102.81"/>
    <n v="32755.98"/>
    <n v="0"/>
    <x v="0"/>
    <n v="1"/>
  </r>
  <r>
    <n v="37821"/>
    <n v="3204955"/>
    <x v="68"/>
    <n v="0.32800000000000001"/>
    <n v="836717.65"/>
    <n v="47789.54"/>
    <n v="884507.19"/>
    <n v="12717.14"/>
    <n v="18147.330000000002"/>
    <n v="0.46500000000000002"/>
    <n v="25196.15"/>
    <n v="5194.29"/>
    <n v="0"/>
    <x v="0"/>
    <n v="1"/>
  </r>
  <r>
    <n v="37822"/>
    <n v="3205002"/>
    <x v="69"/>
    <n v="14.13"/>
    <n v="36044166.210000001"/>
    <n v="2058735.63"/>
    <n v="38102901.840000004"/>
    <n v="547845.22"/>
    <n v="1298333.5"/>
    <n v="8.3529999999999998"/>
    <n v="1085431.58"/>
    <n v="92501.99"/>
    <n v="0"/>
    <x v="0"/>
    <n v="1"/>
  </r>
  <r>
    <n v="37823"/>
    <n v="3205010"/>
    <x v="70"/>
    <n v="0.71199999999999997"/>
    <n v="1814987.32"/>
    <n v="103735.57"/>
    <n v="1918722.89"/>
    <n v="27605.51"/>
    <n v="34723.519999999997"/>
    <n v="0.91800000000000004"/>
    <n v="54694.080000000002"/>
    <n v="10196.35"/>
    <n v="0"/>
    <x v="0"/>
    <n v="1"/>
  </r>
  <r>
    <n v="37824"/>
    <n v="3205036"/>
    <x v="71"/>
    <n v="0.496"/>
    <n v="1265500.31"/>
    <n v="72267.509999999995"/>
    <n v="1337767.82"/>
    <n v="19230.8"/>
    <n v="53390.68"/>
    <n v="0.73199999999999998"/>
    <n v="38101.49"/>
    <n v="8174.1"/>
    <n v="0"/>
    <x v="0"/>
    <n v="1"/>
  </r>
  <r>
    <n v="37825"/>
    <n v="3205069"/>
    <x v="72"/>
    <n v="0.72899999999999998"/>
    <n v="1860384.46"/>
    <n v="106216.62"/>
    <n v="1966601.08"/>
    <n v="28264.63"/>
    <n v="90077.05"/>
    <n v="0.85799999999999998"/>
    <n v="55999.97"/>
    <n v="9544.6200000000008"/>
    <n v="0"/>
    <x v="0"/>
    <n v="1"/>
  </r>
  <r>
    <n v="37826"/>
    <n v="2112803"/>
    <x v="73"/>
    <n v="2.008"/>
    <n v="5115715.8600000003"/>
    <n v="292551.67999999999"/>
    <n v="5408267.54"/>
    <n v="77853.73"/>
    <n v="171779.31"/>
    <n v="1.9830000000000001"/>
    <n v="154249.57999999999"/>
    <n v="22056.79"/>
    <n v="0"/>
    <x v="0"/>
    <n v="1"/>
  </r>
  <r>
    <n v="37827"/>
    <n v="3205150"/>
    <x v="74"/>
    <n v="0.32900000000000001"/>
    <n v="838915.75"/>
    <n v="47934.49"/>
    <n v="886850.24"/>
    <n v="12755.91"/>
    <n v="14743.54"/>
    <n v="0.34799999999999998"/>
    <n v="25272.959999999999"/>
    <n v="3886.25"/>
    <n v="0"/>
    <x v="0"/>
    <n v="1"/>
  </r>
  <r>
    <n v="37828"/>
    <n v="3205176"/>
    <x v="75"/>
    <n v="0.58899999999999997"/>
    <n v="1500730.4"/>
    <n v="85813.54"/>
    <n v="1586543.94"/>
    <n v="22836.58"/>
    <n v="39389.08"/>
    <n v="0.56399999999999995"/>
    <n v="45245.54"/>
    <n v="6309.1"/>
    <n v="0"/>
    <x v="0"/>
    <n v="1"/>
  </r>
  <r>
    <n v="37829"/>
    <n v="3205200"/>
    <x v="76"/>
    <n v="6.0549999999999997"/>
    <n v="15454347.23"/>
    <n v="882228.83"/>
    <n v="16336576.060000001"/>
    <n v="234763.11"/>
    <n v="2060630.82"/>
    <n v="8.0579999999999998"/>
    <n v="465130.09"/>
    <n v="89503.47"/>
    <n v="0"/>
    <x v="0"/>
    <n v="1"/>
  </r>
  <r>
    <n v="37830"/>
    <n v="3205309"/>
    <x v="77"/>
    <n v="15.311"/>
    <n v="38981015.119999997"/>
    <n v="2230653.0299999998"/>
    <n v="41211668.149999999"/>
    <n v="593634.68999999994"/>
    <n v="2680873.88"/>
    <n v="9.5050000000000008"/>
    <n v="1176153.07"/>
    <n v="105905.53"/>
    <n v="0"/>
    <x v="0"/>
    <n v="1"/>
  </r>
  <r>
    <n v="32839"/>
    <n v="3200102"/>
    <x v="0"/>
    <n v="0.79"/>
    <n v="2342292.3199999998"/>
    <n v="150875.70000000001"/>
    <n v="2493168.02"/>
    <n v="47302.62"/>
    <n v="76151.039999999994"/>
    <n v="0.79"/>
    <n v="56548.2"/>
    <n v="0"/>
    <n v="0"/>
    <x v="1"/>
    <n v="1"/>
  </r>
  <r>
    <n v="32840"/>
    <n v="3200169"/>
    <x v="1"/>
    <n v="0.28999999999999998"/>
    <n v="874899.61"/>
    <n v="56342.33"/>
    <n v="931241.94"/>
    <n v="17664.39"/>
    <n v="22797.25"/>
    <n v="0.28999999999999998"/>
    <n v="21117"/>
    <n v="0"/>
    <n v="0"/>
    <x v="1"/>
    <n v="1"/>
  </r>
  <r>
    <n v="32841"/>
    <n v="3200136"/>
    <x v="2"/>
    <n v="0.42"/>
    <n v="1246282.05"/>
    <n v="80352.03"/>
    <n v="1326634.08"/>
    <n v="25192.5"/>
    <n v="19533.41"/>
    <n v="0.42"/>
    <n v="30116.52"/>
    <n v="0"/>
    <n v="0"/>
    <x v="1"/>
    <n v="1"/>
  </r>
  <r>
    <n v="32842"/>
    <n v="3200201"/>
    <x v="3"/>
    <n v="0.48"/>
    <n v="1422357.06"/>
    <n v="91510.88"/>
    <n v="1513867.94"/>
    <n v="28689.81"/>
    <n v="84479.21"/>
    <n v="0.48"/>
    <n v="34297.410000000003"/>
    <n v="0"/>
    <n v="0"/>
    <x v="1"/>
    <n v="1"/>
  </r>
  <r>
    <n v="32843"/>
    <n v="3200300"/>
    <x v="4"/>
    <n v="0.48"/>
    <n v="1409888.06"/>
    <n v="90753.63"/>
    <n v="1500641.69"/>
    <n v="28452.7"/>
    <n v="37725.339999999997"/>
    <n v="0.48"/>
    <n v="34013.96"/>
    <n v="0"/>
    <n v="0"/>
    <x v="1"/>
    <n v="1"/>
  </r>
  <r>
    <n v="32844"/>
    <n v="3200359"/>
    <x v="5"/>
    <n v="0.22"/>
    <n v="671512.09"/>
    <n v="43295.519999999997"/>
    <n v="714807.61"/>
    <n v="13574.31"/>
    <n v="13628.15"/>
    <n v="0.22"/>
    <n v="16227.49"/>
    <n v="0"/>
    <n v="0"/>
    <x v="1"/>
    <n v="1"/>
  </r>
  <r>
    <n v="32845"/>
    <n v="3200409"/>
    <x v="6"/>
    <n v="2.59"/>
    <n v="7624440.4699999997"/>
    <n v="491195.2"/>
    <n v="8115635.6699999999"/>
    <n v="154000.26"/>
    <n v="120878.43"/>
    <n v="2.59"/>
    <n v="184100.55"/>
    <n v="0"/>
    <n v="0"/>
    <x v="1"/>
    <n v="1"/>
  </r>
  <r>
    <n v="32846"/>
    <n v="3200508"/>
    <x v="7"/>
    <n v="0.19"/>
    <n v="571959.04000000004"/>
    <n v="36867.589999999997"/>
    <n v="608826.63"/>
    <n v="11558.91"/>
    <n v="56365.67"/>
    <n v="0.19"/>
    <n v="13818.17"/>
    <n v="0"/>
    <n v="0"/>
    <x v="1"/>
    <n v="1"/>
  </r>
  <r>
    <n v="32847"/>
    <n v="3200607"/>
    <x v="8"/>
    <n v="5.18"/>
    <n v="15082961.09"/>
    <n v="979205.87"/>
    <n v="16062166.960000001"/>
    <n v="307052.09000000003"/>
    <n v="244108.39"/>
    <n v="5.18"/>
    <n v="367067.29"/>
    <n v="0"/>
    <n v="0"/>
    <x v="1"/>
    <n v="1"/>
  </r>
  <r>
    <n v="32848"/>
    <n v="3200706"/>
    <x v="9"/>
    <n v="0.36"/>
    <n v="1083051.1499999999"/>
    <n v="69765.789999999994"/>
    <n v="1152816.94"/>
    <n v="21873.02"/>
    <n v="27778.67"/>
    <n v="0.36"/>
    <n v="26148.23"/>
    <n v="0"/>
    <n v="0"/>
    <x v="1"/>
    <n v="1"/>
  </r>
  <r>
    <n v="32849"/>
    <n v="3200805"/>
    <x v="10"/>
    <n v="0.65"/>
    <n v="1935218.46"/>
    <n v="124596.58"/>
    <n v="2059815.04"/>
    <n v="39063.19"/>
    <n v="126967.92"/>
    <n v="0.65"/>
    <n v="46698.33"/>
    <n v="0"/>
    <n v="0"/>
    <x v="1"/>
    <n v="1"/>
  </r>
  <r>
    <n v="32850"/>
    <n v="3200904"/>
    <x v="11"/>
    <n v="0.9"/>
    <n v="2660083.89"/>
    <n v="171296.03"/>
    <n v="2831379.92"/>
    <n v="53704.480000000003"/>
    <n v="171078.12"/>
    <n v="0.9"/>
    <n v="64201.34"/>
    <n v="0"/>
    <n v="0"/>
    <x v="1"/>
    <n v="1"/>
  </r>
  <r>
    <n v="32851"/>
    <n v="3107109"/>
    <x v="12"/>
    <n v="0.41"/>
    <n v="1213830.43"/>
    <n v="78272.039999999994"/>
    <n v="1292102.47"/>
    <n v="24540.46"/>
    <n v="30152.87"/>
    <n v="0.41"/>
    <n v="29337.040000000001"/>
    <n v="0"/>
    <n v="0"/>
    <x v="1"/>
    <n v="1"/>
  </r>
  <r>
    <n v="32852"/>
    <n v="3201100"/>
    <x v="13"/>
    <n v="0.17"/>
    <n v="499358.34"/>
    <n v="32141.93"/>
    <n v="531500.27"/>
    <n v="10077"/>
    <n v="146942.87"/>
    <n v="0.17"/>
    <n v="12046.61"/>
    <n v="0"/>
    <n v="0"/>
    <x v="1"/>
    <n v="1"/>
  </r>
  <r>
    <n v="32853"/>
    <n v="3201159"/>
    <x v="14"/>
    <n v="0.43"/>
    <n v="1284784.3500000001"/>
    <n v="82810.38"/>
    <n v="1367594.73"/>
    <n v="25963.09"/>
    <n v="20068.22"/>
    <n v="0.43"/>
    <n v="31037.74"/>
    <n v="0"/>
    <n v="0"/>
    <x v="1"/>
    <n v="1"/>
  </r>
  <r>
    <n v="32854"/>
    <n v="3201209"/>
    <x v="15"/>
    <n v="3.11"/>
    <n v="9144971.3499999996"/>
    <n v="588391.67000000004"/>
    <n v="9733363.0199999996"/>
    <n v="184468.36"/>
    <n v="758408.13"/>
    <n v="3.11"/>
    <n v="220523.82"/>
    <n v="0"/>
    <n v="0"/>
    <x v="1"/>
    <n v="1"/>
  </r>
  <r>
    <n v="32855"/>
    <n v="3201308"/>
    <x v="16"/>
    <n v="6.51"/>
    <n v="19076368.18"/>
    <n v="1231526.01"/>
    <n v="20307894.190000001"/>
    <n v="386126.89"/>
    <n v="843391.81"/>
    <n v="6.51"/>
    <n v="461597.75"/>
    <n v="0"/>
    <n v="0"/>
    <x v="1"/>
    <n v="1"/>
  </r>
  <r>
    <n v="32856"/>
    <n v="3201407"/>
    <x v="17"/>
    <n v="0.93"/>
    <n v="2745758.78"/>
    <n v="176964.86"/>
    <n v="2922723.64"/>
    <n v="55482.77"/>
    <n v="170737.3"/>
    <n v="0.93"/>
    <n v="66327.22"/>
    <n v="0"/>
    <n v="0"/>
    <x v="1"/>
    <n v="1"/>
  </r>
  <r>
    <n v="32857"/>
    <n v="3201506"/>
    <x v="18"/>
    <n v="2.2000000000000002"/>
    <n v="6459804.5099999998"/>
    <n v="416136.34"/>
    <n v="6875940.8499999996"/>
    <n v="130467.5"/>
    <n v="368595.19"/>
    <n v="2.2000000000000002"/>
    <n v="155968.17000000001"/>
    <n v="0"/>
    <n v="0"/>
    <x v="1"/>
    <n v="1"/>
  </r>
  <r>
    <n v="32858"/>
    <n v="3201605"/>
    <x v="19"/>
    <n v="0.57999999999999996"/>
    <n v="1714100.33"/>
    <n v="110600.35"/>
    <n v="1824700.68"/>
    <n v="34676.730000000003"/>
    <n v="55938.55"/>
    <n v="0.57999999999999996"/>
    <n v="41454.51"/>
    <n v="0"/>
    <n v="0"/>
    <x v="1"/>
    <n v="1"/>
  </r>
  <r>
    <n v="32859"/>
    <n v="3201704"/>
    <x v="20"/>
    <n v="0.45"/>
    <n v="1337708.79"/>
    <n v="86213.68"/>
    <n v="1423922.47"/>
    <n v="27030.07"/>
    <n v="25207.06"/>
    <n v="0.45"/>
    <n v="32313.26"/>
    <n v="0"/>
    <n v="0"/>
    <x v="1"/>
    <n v="1"/>
  </r>
  <r>
    <n v="32860"/>
    <n v="3201803"/>
    <x v="21"/>
    <n v="0.19"/>
    <n v="557108.04"/>
    <n v="35922"/>
    <n v="593030.04"/>
    <n v="11262.53"/>
    <n v="14155.69"/>
    <n v="0.19"/>
    <n v="13463.86"/>
    <n v="0"/>
    <n v="0"/>
    <x v="1"/>
    <n v="1"/>
  </r>
  <r>
    <n v="32861"/>
    <n v="3201902"/>
    <x v="22"/>
    <n v="1.22"/>
    <n v="3594081.13"/>
    <n v="231420.24"/>
    <n v="3825501.37"/>
    <n v="72554.39"/>
    <n v="94762.28"/>
    <n v="1.22"/>
    <n v="86735.59"/>
    <n v="0"/>
    <n v="0"/>
    <x v="1"/>
    <n v="1"/>
  </r>
  <r>
    <n v="32862"/>
    <n v="3202009"/>
    <x v="23"/>
    <n v="0.24"/>
    <n v="716126.37"/>
    <n v="46132.31"/>
    <n v="762258.68"/>
    <n v="14463.46"/>
    <n v="32828.870000000003"/>
    <n v="0.24"/>
    <n v="17290.43"/>
    <n v="0"/>
    <n v="0"/>
    <x v="1"/>
    <n v="1"/>
  </r>
  <r>
    <n v="32863"/>
    <n v="3202108"/>
    <x v="24"/>
    <n v="0.69"/>
    <n v="2051820.76"/>
    <n v="132158.20000000001"/>
    <n v="2183978.96"/>
    <n v="41434.25"/>
    <n v="40816.46"/>
    <n v="0.69"/>
    <n v="49532.83"/>
    <n v="0"/>
    <n v="0"/>
    <x v="1"/>
    <n v="1"/>
  </r>
  <r>
    <n v="32864"/>
    <n v="3202207"/>
    <x v="25"/>
    <n v="0.33"/>
    <n v="972377.01"/>
    <n v="62582.37"/>
    <n v="1034959.38"/>
    <n v="19620.509999999998"/>
    <n v="44795.26"/>
    <n v="0.33"/>
    <n v="23455.46"/>
    <n v="0"/>
    <n v="0"/>
    <x v="1"/>
    <n v="1"/>
  </r>
  <r>
    <n v="32865"/>
    <n v="3202256"/>
    <x v="26"/>
    <n v="0.44"/>
    <n v="1298716.3400000001"/>
    <n v="83754.7"/>
    <n v="1382471.04"/>
    <n v="26259.47"/>
    <n v="22439.59"/>
    <n v="0.44"/>
    <n v="31392.05"/>
    <n v="0"/>
    <n v="0"/>
    <x v="1"/>
    <n v="1"/>
  </r>
  <r>
    <n v="32866"/>
    <n v="3202306"/>
    <x v="27"/>
    <n v="0.39"/>
    <n v="1148505.79"/>
    <n v="73926.460000000006"/>
    <n v="1222432.25"/>
    <n v="23177.1"/>
    <n v="149498.88"/>
    <n v="0.39"/>
    <n v="27707.200000000001"/>
    <n v="0"/>
    <n v="0"/>
    <x v="1"/>
    <n v="1"/>
  </r>
  <r>
    <n v="32867"/>
    <n v="3202405"/>
    <x v="28"/>
    <n v="0.91"/>
    <n v="2680380.35"/>
    <n v="172434.06"/>
    <n v="2852814.41"/>
    <n v="54060.14"/>
    <n v="1086928.75"/>
    <n v="0.91"/>
    <n v="64626.52"/>
    <n v="0"/>
    <n v="0"/>
    <x v="1"/>
    <n v="1"/>
  </r>
  <r>
    <n v="32868"/>
    <n v="3202454"/>
    <x v="29"/>
    <n v="0.36"/>
    <n v="1059529.8600000001"/>
    <n v="68068.070000000007"/>
    <n v="1127597.93"/>
    <n v="21339.53"/>
    <n v="85262.57"/>
    <n v="0.36"/>
    <n v="25510.47"/>
    <n v="0"/>
    <n v="0"/>
    <x v="1"/>
    <n v="1"/>
  </r>
  <r>
    <n v="32869"/>
    <n v="3202504"/>
    <x v="30"/>
    <n v="0.27"/>
    <n v="799909.39"/>
    <n v="51613.49"/>
    <n v="851522.88"/>
    <n v="16182.47"/>
    <n v="26464.32"/>
    <n v="0.27"/>
    <n v="19345.439999999999"/>
    <n v="0"/>
    <n v="0"/>
    <x v="1"/>
    <n v="1"/>
  </r>
  <r>
    <n v="32870"/>
    <n v="3202553"/>
    <x v="31"/>
    <n v="0.24"/>
    <n v="719121.08"/>
    <n v="46321.49"/>
    <n v="765442.57"/>
    <n v="14522.73"/>
    <n v="28040.77"/>
    <n v="0.24"/>
    <n v="17361.29"/>
    <n v="0"/>
    <n v="0"/>
    <x v="1"/>
    <n v="1"/>
  </r>
  <r>
    <n v="32871"/>
    <n v="3202603"/>
    <x v="32"/>
    <n v="0.37"/>
    <n v="1093505.71"/>
    <n v="70335.210000000006"/>
    <n v="1163840.92"/>
    <n v="22050.84"/>
    <n v="91940.85"/>
    <n v="0.37"/>
    <n v="26360.82"/>
    <n v="0"/>
    <n v="0"/>
    <x v="1"/>
    <n v="1"/>
  </r>
  <r>
    <n v="32872"/>
    <n v="3202652"/>
    <x v="33"/>
    <n v="0.3"/>
    <n v="905145.54"/>
    <n v="58419.32"/>
    <n v="963564.86"/>
    <n v="18316.43"/>
    <n v="48261.9"/>
    <n v="0.3"/>
    <n v="21896.49"/>
    <n v="0"/>
    <n v="0"/>
    <x v="1"/>
    <n v="1"/>
  </r>
  <r>
    <n v="32873"/>
    <n v="3202702"/>
    <x v="34"/>
    <n v="0.38"/>
    <n v="1123506.57"/>
    <n v="72411.86"/>
    <n v="1195918.43"/>
    <n v="22702.89"/>
    <n v="28284.04"/>
    <n v="0.38"/>
    <n v="27140.3"/>
    <n v="0"/>
    <n v="0"/>
    <x v="1"/>
    <n v="1"/>
  </r>
  <r>
    <n v="32874"/>
    <n v="3202801"/>
    <x v="35"/>
    <n v="2.66"/>
    <n v="7813505.9400000004"/>
    <n v="503852.53"/>
    <n v="8317358.4699999997"/>
    <n v="157971.78"/>
    <n v="174618.8"/>
    <n v="2.66"/>
    <n v="188848.33"/>
    <n v="0"/>
    <n v="0"/>
    <x v="1"/>
    <n v="1"/>
  </r>
  <r>
    <n v="32875"/>
    <n v="3202900"/>
    <x v="36"/>
    <n v="0.34"/>
    <n v="1003480.7"/>
    <n v="64660.55"/>
    <n v="1068141.25"/>
    <n v="20272.55"/>
    <n v="43690.239999999998"/>
    <n v="0.34"/>
    <n v="24234.94"/>
    <n v="0"/>
    <n v="0"/>
    <x v="1"/>
    <n v="1"/>
  </r>
  <r>
    <n v="32876"/>
    <n v="3203007"/>
    <x v="37"/>
    <n v="0.47"/>
    <n v="1383479.65"/>
    <n v="89237.16"/>
    <n v="1472716.81"/>
    <n v="27978.49"/>
    <n v="98761.05"/>
    <n v="0.47"/>
    <n v="33447.06"/>
    <n v="0"/>
    <n v="0"/>
    <x v="1"/>
    <n v="1"/>
  </r>
  <r>
    <n v="32877"/>
    <n v="3203056"/>
    <x v="38"/>
    <n v="0.86"/>
    <n v="2536259.34"/>
    <n v="163539.60999999999"/>
    <n v="2699798.95"/>
    <n v="51274.14"/>
    <n v="47892.800000000003"/>
    <n v="0.86"/>
    <n v="61295.99"/>
    <n v="0"/>
    <n v="0"/>
    <x v="1"/>
    <n v="1"/>
  </r>
  <r>
    <n v="32878"/>
    <n v="3203106"/>
    <x v="39"/>
    <n v="0.21"/>
    <n v="628429.56999999995"/>
    <n v="40460.78"/>
    <n v="668890.35"/>
    <n v="12685.16"/>
    <n v="26542.86"/>
    <n v="0.21"/>
    <n v="15164.56"/>
    <n v="0"/>
    <n v="0"/>
    <x v="1"/>
    <n v="1"/>
  </r>
  <r>
    <n v="32879"/>
    <n v="3203130"/>
    <x v="40"/>
    <n v="0.42"/>
    <n v="1253067.98"/>
    <n v="80731.360000000001"/>
    <n v="1333799.3400000001"/>
    <n v="25311.05"/>
    <n v="36050.339999999997"/>
    <n v="0.42"/>
    <n v="30258.25"/>
    <n v="0"/>
    <n v="0"/>
    <x v="1"/>
    <n v="1"/>
  </r>
  <r>
    <n v="32880"/>
    <n v="3203163"/>
    <x v="41"/>
    <n v="0.38"/>
    <n v="1115257.6599999999"/>
    <n v="71845.399999999994"/>
    <n v="1187103.06"/>
    <n v="22525.06"/>
    <n v="39621.800000000003"/>
    <n v="0.38"/>
    <n v="26927.72"/>
    <n v="0"/>
    <n v="0"/>
    <x v="1"/>
    <n v="1"/>
  </r>
  <r>
    <n v="32881"/>
    <n v="3203205"/>
    <x v="42"/>
    <n v="5.75"/>
    <n v="16901186.420000002"/>
    <n v="1087724.23"/>
    <n v="17988910.649999999"/>
    <n v="341017.5"/>
    <n v="473530.67"/>
    <n v="5.75"/>
    <n v="407671.45"/>
    <n v="0"/>
    <n v="0"/>
    <x v="1"/>
    <n v="1"/>
  </r>
  <r>
    <n v="32882"/>
    <n v="3203304"/>
    <x v="43"/>
    <n v="0.25"/>
    <n v="748087.86"/>
    <n v="48211.66"/>
    <n v="796299.52"/>
    <n v="15115.5"/>
    <n v="35013.99"/>
    <n v="0.25"/>
    <n v="18069.91"/>
    <n v="0"/>
    <n v="0"/>
    <x v="1"/>
    <n v="1"/>
  </r>
  <r>
    <n v="32883"/>
    <n v="3203320"/>
    <x v="44"/>
    <n v="0.61"/>
    <n v="1809747.12"/>
    <n v="116652.8"/>
    <n v="1926399.92"/>
    <n v="36573.58"/>
    <n v="202551"/>
    <n v="0.61"/>
    <n v="43722.11"/>
    <n v="0"/>
    <n v="0"/>
    <x v="1"/>
    <n v="1"/>
  </r>
  <r>
    <n v="32884"/>
    <n v="3203346"/>
    <x v="45"/>
    <n v="0.65"/>
    <n v="1930515.73"/>
    <n v="124220.03"/>
    <n v="2054735.76"/>
    <n v="38944.639999999999"/>
    <n v="44637.11"/>
    <n v="0.65"/>
    <n v="46556.6"/>
    <n v="0"/>
    <n v="0"/>
    <x v="1"/>
    <n v="1"/>
  </r>
  <r>
    <n v="32885"/>
    <n v="3203353"/>
    <x v="46"/>
    <n v="0.43"/>
    <n v="1284294.2"/>
    <n v="82809.73"/>
    <n v="1367103.93"/>
    <n v="25963.09"/>
    <n v="36077.360000000001"/>
    <n v="0.43"/>
    <n v="31037.74"/>
    <n v="0"/>
    <n v="0"/>
    <x v="1"/>
    <n v="1"/>
  </r>
  <r>
    <n v="32886"/>
    <n v="3203403"/>
    <x v="47"/>
    <n v="0.5"/>
    <n v="1467637.81"/>
    <n v="94533.72"/>
    <n v="1562171.53"/>
    <n v="29638.23"/>
    <n v="86795.97"/>
    <n v="0.5"/>
    <n v="35431.21"/>
    <n v="0"/>
    <n v="0"/>
    <x v="1"/>
    <n v="1"/>
  </r>
  <r>
    <n v="32887"/>
    <n v="3203502"/>
    <x v="48"/>
    <n v="0.52"/>
    <n v="1540422.31"/>
    <n v="99259.58"/>
    <n v="1639681.89"/>
    <n v="31120.14"/>
    <n v="51366.06"/>
    <n v="0.52"/>
    <n v="37202.769999999997"/>
    <n v="0"/>
    <n v="0"/>
    <x v="1"/>
    <n v="1"/>
  </r>
  <r>
    <n v="32888"/>
    <n v="3203601"/>
    <x v="49"/>
    <n v="0.28000000000000003"/>
    <n v="848131.05"/>
    <n v="54640.27"/>
    <n v="902771.32"/>
    <n v="17130.900000000001"/>
    <n v="15010.79"/>
    <n v="0.28000000000000003"/>
    <n v="20479.240000000002"/>
    <n v="0"/>
    <n v="0"/>
    <x v="1"/>
    <n v="1"/>
  </r>
  <r>
    <n v="32889"/>
    <n v="3203700"/>
    <x v="50"/>
    <n v="0.5"/>
    <n v="1493487.32"/>
    <n v="96234.53"/>
    <n v="1589721.85"/>
    <n v="30171.72"/>
    <n v="37687.599999999999"/>
    <n v="0.5"/>
    <n v="36068.97"/>
    <n v="0"/>
    <n v="0"/>
    <x v="1"/>
    <n v="1"/>
  </r>
  <r>
    <n v="32890"/>
    <n v="3203809"/>
    <x v="51"/>
    <n v="0.28999999999999998"/>
    <n v="856686.28"/>
    <n v="55207.14"/>
    <n v="911893.42"/>
    <n v="17308.73"/>
    <n v="41429.449999999997"/>
    <n v="0.28999999999999998"/>
    <n v="20691.82"/>
    <n v="0"/>
    <n v="0"/>
    <x v="1"/>
    <n v="1"/>
  </r>
  <r>
    <n v="32891"/>
    <n v="3203908"/>
    <x v="52"/>
    <n v="1.22"/>
    <n v="3604704.55"/>
    <n v="232360.14"/>
    <n v="3837064.69"/>
    <n v="72850.78"/>
    <n v="144318.94"/>
    <n v="1.22"/>
    <n v="87089.9"/>
    <n v="0"/>
    <n v="0"/>
    <x v="1"/>
    <n v="1"/>
  </r>
  <r>
    <n v="32892"/>
    <n v="3204005"/>
    <x v="53"/>
    <n v="0.47"/>
    <n v="1400528.86"/>
    <n v="90370.81"/>
    <n v="1490899.67"/>
    <n v="28334.15"/>
    <n v="25220.66"/>
    <n v="0.47"/>
    <n v="33872.230000000003"/>
    <n v="0"/>
    <n v="0"/>
    <x v="1"/>
    <n v="1"/>
  </r>
  <r>
    <n v="32893"/>
    <n v="3204054"/>
    <x v="54"/>
    <n v="0.32"/>
    <n v="949821.06"/>
    <n v="61256.2"/>
    <n v="1011077.26"/>
    <n v="19205.57"/>
    <n v="56804.63"/>
    <n v="0.32"/>
    <n v="22959.42"/>
    <n v="0"/>
    <n v="0"/>
    <x v="1"/>
    <n v="1"/>
  </r>
  <r>
    <n v="32894"/>
    <n v="3204104"/>
    <x v="55"/>
    <n v="0.66"/>
    <n v="1950123.27"/>
    <n v="125727.33"/>
    <n v="2075850.6"/>
    <n v="39418.85"/>
    <n v="45091.77"/>
    <n v="0.66"/>
    <n v="47123.5"/>
    <n v="0"/>
    <n v="0"/>
    <x v="1"/>
    <n v="1"/>
  </r>
  <r>
    <n v="32895"/>
    <n v="3204203"/>
    <x v="56"/>
    <n v="0.15"/>
    <n v="457516.17"/>
    <n v="28938.58"/>
    <n v="486454.75"/>
    <n v="9069.2999999999993"/>
    <n v="144791.85"/>
    <n v="0.15"/>
    <n v="10841.95"/>
    <n v="0"/>
    <n v="0"/>
    <x v="1"/>
    <n v="1"/>
  </r>
  <r>
    <n v="32896"/>
    <n v="3204252"/>
    <x v="57"/>
    <n v="0.23"/>
    <n v="674323.03"/>
    <n v="43484.45"/>
    <n v="717807.48"/>
    <n v="13633.59"/>
    <n v="9361.1299999999992"/>
    <n v="0.23"/>
    <n v="16298.35"/>
    <n v="0"/>
    <n v="0"/>
    <x v="1"/>
    <n v="1"/>
  </r>
  <r>
    <n v="32897"/>
    <n v="1718402"/>
    <x v="58"/>
    <n v="0.33"/>
    <n v="979768.13"/>
    <n v="63147.68"/>
    <n v="1042915.81"/>
    <n v="19798.34"/>
    <n v="72732.63"/>
    <n v="0.33"/>
    <n v="23668.05"/>
    <n v="0"/>
    <n v="0"/>
    <x v="1"/>
    <n v="1"/>
  </r>
  <r>
    <n v="32898"/>
    <n v="3204351"/>
    <x v="59"/>
    <n v="0.76"/>
    <n v="2258631.83"/>
    <n v="145394.71"/>
    <n v="2404026.54"/>
    <n v="45583.6"/>
    <n v="54866.79"/>
    <n v="0.76"/>
    <n v="54493.19"/>
    <n v="0"/>
    <n v="0"/>
    <x v="1"/>
    <n v="1"/>
  </r>
  <r>
    <n v="32899"/>
    <n v="3204401"/>
    <x v="60"/>
    <n v="0.26"/>
    <n v="777238.42"/>
    <n v="50102.05"/>
    <n v="827340.47"/>
    <n v="15708.26"/>
    <n v="23070.44"/>
    <n v="0.26"/>
    <n v="18778.54"/>
    <n v="0"/>
    <n v="0"/>
    <x v="1"/>
    <n v="1"/>
  </r>
  <r>
    <n v="32900"/>
    <n v="3204500"/>
    <x v="61"/>
    <n v="0.49"/>
    <n v="1454923.74"/>
    <n v="93776.12"/>
    <n v="1548699.86"/>
    <n v="29401.13"/>
    <n v="15801.12"/>
    <n v="0.49"/>
    <n v="35147.760000000002"/>
    <n v="0"/>
    <n v="0"/>
    <x v="1"/>
    <n v="1"/>
  </r>
  <r>
    <n v="32901"/>
    <n v="3204559"/>
    <x v="62"/>
    <n v="2.2400000000000002"/>
    <n v="6591502.8399999999"/>
    <n v="424643.86"/>
    <n v="7016146.7000000002"/>
    <n v="133134.94"/>
    <n v="258943.57"/>
    <n v="2.2400000000000002"/>
    <n v="159156.98000000001"/>
    <n v="0"/>
    <n v="0"/>
    <x v="1"/>
    <n v="1"/>
  </r>
  <r>
    <n v="32902"/>
    <n v="3204609"/>
    <x v="63"/>
    <n v="0.69"/>
    <n v="2027066.59"/>
    <n v="130643.94"/>
    <n v="2157710.5299999998"/>
    <n v="40960.04"/>
    <n v="83364.44"/>
    <n v="0.69"/>
    <n v="48965.93"/>
    <n v="0"/>
    <n v="0"/>
    <x v="1"/>
    <n v="1"/>
  </r>
  <r>
    <n v="32903"/>
    <n v="3204658"/>
    <x v="64"/>
    <n v="0.45"/>
    <n v="1330869.08"/>
    <n v="85649.13"/>
    <n v="1416518.21"/>
    <n v="26852.240000000002"/>
    <n v="17621.93"/>
    <n v="0.45"/>
    <n v="32100.67"/>
    <n v="0"/>
    <n v="0"/>
    <x v="1"/>
    <n v="1"/>
  </r>
  <r>
    <n v="32904"/>
    <n v="3204708"/>
    <x v="65"/>
    <n v="0.72"/>
    <n v="2136882.94"/>
    <n v="137826.21"/>
    <n v="2274709.15"/>
    <n v="43212.54"/>
    <n v="70099.320000000007"/>
    <n v="0.72"/>
    <n v="51658.7"/>
    <n v="0"/>
    <n v="0"/>
    <x v="1"/>
    <n v="1"/>
  </r>
  <r>
    <n v="32905"/>
    <n v="3204807"/>
    <x v="66"/>
    <n v="0.22"/>
    <n v="650740.44999999995"/>
    <n v="41786.65"/>
    <n v="692527.1"/>
    <n v="13100.1"/>
    <n v="36924.800000000003"/>
    <n v="0.22"/>
    <n v="15660.59"/>
    <n v="0"/>
    <n v="0"/>
    <x v="1"/>
    <n v="1"/>
  </r>
  <r>
    <n v="32906"/>
    <n v="3204906"/>
    <x v="67"/>
    <n v="1.8"/>
    <n v="5291698.6500000004"/>
    <n v="340517.44"/>
    <n v="5632216.0899999999"/>
    <n v="106756.91"/>
    <n v="399218.67"/>
    <n v="1.8"/>
    <n v="127623.2"/>
    <n v="0"/>
    <n v="0"/>
    <x v="1"/>
    <n v="1"/>
  </r>
  <r>
    <n v="32907"/>
    <n v="3204955"/>
    <x v="68"/>
    <n v="0.32"/>
    <n v="962167.49"/>
    <n v="62013.31"/>
    <n v="1024180.8"/>
    <n v="19442.68"/>
    <n v="28816.99"/>
    <n v="0.32"/>
    <n v="23242.87"/>
    <n v="0"/>
    <n v="0"/>
    <x v="1"/>
    <n v="1"/>
  </r>
  <r>
    <n v="32908"/>
    <n v="3205002"/>
    <x v="69"/>
    <n v="13.06"/>
    <n v="38396357.219999999"/>
    <n v="2470598.79"/>
    <n v="40866956.009999998"/>
    <n v="774565.57"/>
    <n v="1415817.78"/>
    <n v="13.06"/>
    <n v="925959.13"/>
    <n v="0"/>
    <n v="0"/>
    <x v="1"/>
    <n v="1"/>
  </r>
  <r>
    <n v="32909"/>
    <n v="3205010"/>
    <x v="70"/>
    <n v="0.7"/>
    <n v="2068502.34"/>
    <n v="133291.35"/>
    <n v="2201793.69"/>
    <n v="41789.910000000003"/>
    <n v="45741.04"/>
    <n v="0.7"/>
    <n v="49958"/>
    <n v="0"/>
    <n v="0"/>
    <x v="1"/>
    <n v="1"/>
  </r>
  <r>
    <n v="32910"/>
    <n v="3205036"/>
    <x v="71"/>
    <n v="0.47"/>
    <n v="1397541.62"/>
    <n v="89996.55"/>
    <n v="1487538.17"/>
    <n v="28215.599999999999"/>
    <n v="77468.14"/>
    <n v="0.47"/>
    <n v="33730.51"/>
    <n v="0"/>
    <n v="0"/>
    <x v="1"/>
    <n v="1"/>
  </r>
  <r>
    <n v="32911"/>
    <n v="3205069"/>
    <x v="72"/>
    <n v="0.72"/>
    <n v="2115498.62"/>
    <n v="136316.47"/>
    <n v="2251815.09"/>
    <n v="42738.33"/>
    <n v="94698.8"/>
    <n v="0.72"/>
    <n v="51091.8"/>
    <n v="0"/>
    <n v="0"/>
    <x v="1"/>
    <n v="1"/>
  </r>
  <r>
    <n v="32912"/>
    <n v="2112803"/>
    <x v="73"/>
    <n v="2.25"/>
    <n v="6594023.75"/>
    <n v="425943.17"/>
    <n v="7019966.9199999999"/>
    <n v="133549.88"/>
    <n v="201572.27"/>
    <n v="2.25"/>
    <n v="159653.01"/>
    <n v="0"/>
    <n v="0"/>
    <x v="1"/>
    <n v="1"/>
  </r>
  <r>
    <n v="32913"/>
    <n v="3205150"/>
    <x v="74"/>
    <n v="0.32"/>
    <n v="959356.61"/>
    <n v="61824.38"/>
    <n v="1021180.99"/>
    <n v="19383.400000000001"/>
    <n v="15359.48"/>
    <n v="0.32"/>
    <n v="23172.01"/>
    <n v="0"/>
    <n v="0"/>
    <x v="1"/>
    <n v="1"/>
  </r>
  <r>
    <n v="32914"/>
    <n v="3205176"/>
    <x v="75"/>
    <n v="0.61"/>
    <n v="1805343.24"/>
    <n v="116461.8"/>
    <n v="1921805.04"/>
    <n v="36514.300000000003"/>
    <n v="32191.69"/>
    <n v="0.61"/>
    <n v="43651.25"/>
    <n v="0"/>
    <n v="0"/>
    <x v="1"/>
    <n v="1"/>
  </r>
  <r>
    <n v="32915"/>
    <n v="3205200"/>
    <x v="76"/>
    <n v="5.55"/>
    <n v="16331624.34"/>
    <n v="1050674.72"/>
    <n v="17382299.059999999"/>
    <n v="329399.32"/>
    <n v="1998993.51"/>
    <n v="5.55"/>
    <n v="393782.42"/>
    <n v="0"/>
    <n v="0"/>
    <x v="1"/>
    <n v="1"/>
  </r>
  <r>
    <n v="32916"/>
    <n v="3205309"/>
    <x v="77"/>
    <n v="15.84"/>
    <n v="46441855.369999997"/>
    <n v="2995312.11"/>
    <n v="49437167.479999997"/>
    <n v="939117.03"/>
    <n v="2410635.54"/>
    <n v="15.84"/>
    <n v="1122673.1599999999"/>
    <n v="0"/>
    <n v="0"/>
    <x v="1"/>
    <n v="1"/>
  </r>
  <r>
    <n v="32917"/>
    <n v="3200102"/>
    <x v="0"/>
    <n v="0.79"/>
    <n v="2076373.81"/>
    <n v="23916.99"/>
    <n v="2100290.7999999998"/>
    <n v="45580.01"/>
    <n v="85544.35"/>
    <n v="0.79"/>
    <n v="49592.91"/>
    <n v="0"/>
    <n v="0"/>
    <x v="1"/>
    <n v="2"/>
  </r>
  <r>
    <n v="32918"/>
    <n v="3200169"/>
    <x v="1"/>
    <n v="0.28999999999999998"/>
    <n v="775391.19"/>
    <n v="8931.41"/>
    <n v="784322.6"/>
    <n v="17021.11"/>
    <n v="15477.22"/>
    <n v="0.28999999999999998"/>
    <n v="18519.66"/>
    <n v="0"/>
    <n v="0"/>
    <x v="1"/>
    <n v="2"/>
  </r>
  <r>
    <n v="32919"/>
    <n v="3200136"/>
    <x v="2"/>
    <n v="0.42"/>
    <n v="1105818.5900000001"/>
    <n v="12737.73"/>
    <n v="1118556.32"/>
    <n v="24275.07"/>
    <n v="15948.79"/>
    <n v="0.42"/>
    <n v="26412.26"/>
    <n v="0"/>
    <n v="0"/>
    <x v="1"/>
    <n v="2"/>
  </r>
  <r>
    <n v="32920"/>
    <n v="3200201"/>
    <x v="3"/>
    <n v="0.48"/>
    <n v="1259383.0900000001"/>
    <n v="14506.03"/>
    <n v="1273889.1200000001"/>
    <n v="27645.02"/>
    <n v="71031.13"/>
    <n v="0.48"/>
    <n v="30078.91"/>
    <n v="0"/>
    <n v="0"/>
    <x v="1"/>
    <n v="2"/>
  </r>
  <r>
    <n v="32921"/>
    <n v="3200300"/>
    <x v="4"/>
    <n v="0.48"/>
    <n v="1248963.1200000001"/>
    <n v="14386.13"/>
    <n v="1263349.25"/>
    <n v="27416.55"/>
    <n v="71918.69"/>
    <n v="0.48"/>
    <n v="29830.32"/>
    <n v="0"/>
    <n v="0"/>
    <x v="1"/>
    <n v="2"/>
  </r>
  <r>
    <n v="32922"/>
    <n v="3200359"/>
    <x v="5"/>
    <n v="0.22"/>
    <n v="595840.84"/>
    <n v="6863.42"/>
    <n v="602704.26"/>
    <n v="13079.98"/>
    <n v="8890.91"/>
    <n v="0.22"/>
    <n v="14231.55"/>
    <n v="0"/>
    <n v="0"/>
    <x v="1"/>
    <n v="2"/>
  </r>
  <r>
    <n v="32923"/>
    <n v="3200409"/>
    <x v="6"/>
    <n v="2.59"/>
    <n v="6759903.5300000003"/>
    <n v="77865.009999999995"/>
    <n v="6837768.54"/>
    <n v="148392.04999999999"/>
    <n v="104235.46"/>
    <n v="2.59"/>
    <n v="161456.62"/>
    <n v="0"/>
    <n v="0"/>
    <x v="1"/>
    <n v="2"/>
  </r>
  <r>
    <n v="32924"/>
    <n v="3200508"/>
    <x v="7"/>
    <n v="0.19"/>
    <n v="507377.85"/>
    <n v="5844.37"/>
    <n v="513222.22"/>
    <n v="11137.97"/>
    <n v="44325.5"/>
    <n v="0.19"/>
    <n v="12118.57"/>
    <n v="0"/>
    <n v="0"/>
    <x v="1"/>
    <n v="2"/>
  </r>
  <r>
    <n v="32925"/>
    <n v="3200607"/>
    <x v="8"/>
    <n v="5.18"/>
    <n v="13476199.5"/>
    <n v="155250.48000000001"/>
    <n v="13631449.98"/>
    <n v="295870.21999999997"/>
    <n v="271019"/>
    <n v="5.18"/>
    <n v="321918.89"/>
    <n v="0"/>
    <n v="0"/>
    <x v="1"/>
    <n v="2"/>
  </r>
  <r>
    <n v="32926"/>
    <n v="3200706"/>
    <x v="9"/>
    <n v="0.36"/>
    <n v="960127.1"/>
    <n v="11059.34"/>
    <n v="971186.44"/>
    <n v="21076.47"/>
    <n v="22620.94"/>
    <n v="0.36"/>
    <n v="22932.06"/>
    <n v="0"/>
    <n v="0"/>
    <x v="1"/>
    <n v="2"/>
  </r>
  <r>
    <n v="32927"/>
    <n v="3200805"/>
    <x v="10"/>
    <n v="0.65"/>
    <n v="1714714.94"/>
    <n v="19750.990000000002"/>
    <n v="1734465.93"/>
    <n v="37640.629999999997"/>
    <n v="117347.08"/>
    <n v="0.65"/>
    <n v="40954.550000000003"/>
    <n v="0"/>
    <n v="0"/>
    <x v="1"/>
    <n v="2"/>
  </r>
  <r>
    <n v="32928"/>
    <n v="3200904"/>
    <x v="11"/>
    <n v="0.9"/>
    <n v="2357399.92"/>
    <n v="27153.87"/>
    <n v="2384553.79"/>
    <n v="51748.73"/>
    <n v="107447.13"/>
    <n v="0.9"/>
    <n v="56304.73"/>
    <n v="0"/>
    <n v="0"/>
    <x v="1"/>
    <n v="2"/>
  </r>
  <r>
    <n v="32929"/>
    <n v="3107109"/>
    <x v="12"/>
    <n v="0.41"/>
    <n v="1077194.17"/>
    <n v="12408.04"/>
    <n v="1089602.21"/>
    <n v="23646.77"/>
    <n v="26727.33"/>
    <n v="0.41"/>
    <n v="25728.65"/>
    <n v="0"/>
    <n v="0"/>
    <x v="1"/>
    <n v="2"/>
  </r>
  <r>
    <n v="32930"/>
    <n v="3201100"/>
    <x v="13"/>
    <n v="0.17"/>
    <n v="442341.49"/>
    <n v="5095.1000000000004"/>
    <n v="447436.59"/>
    <n v="9710.0300000000007"/>
    <n v="135643.37"/>
    <n v="0.17"/>
    <n v="10564.91"/>
    <n v="0"/>
    <n v="0"/>
    <x v="1"/>
    <n v="2"/>
  </r>
  <r>
    <n v="32931"/>
    <n v="3201159"/>
    <x v="14"/>
    <n v="0.43"/>
    <n v="1139649.97"/>
    <n v="13127.35"/>
    <n v="1152777.32"/>
    <n v="25017.599999999999"/>
    <n v="29712.32"/>
    <n v="0.43"/>
    <n v="27220.17"/>
    <n v="0"/>
    <n v="0"/>
    <x v="1"/>
    <n v="2"/>
  </r>
  <r>
    <n v="32932"/>
    <n v="3201209"/>
    <x v="15"/>
    <n v="3.11"/>
    <n v="8097513.8899999997"/>
    <n v="93270.18"/>
    <n v="8190784.0700000003"/>
    <n v="177750.6"/>
    <n v="705421.23"/>
    <n v="3.11"/>
    <n v="193399.92"/>
    <n v="0"/>
    <n v="0"/>
    <x v="1"/>
    <n v="2"/>
  </r>
  <r>
    <n v="32933"/>
    <n v="3201308"/>
    <x v="16"/>
    <n v="6.51"/>
    <n v="16948523.539999999"/>
    <n v="195231.96"/>
    <n v="17143755.5"/>
    <n v="372065.37"/>
    <n v="1798570.37"/>
    <n v="6.51"/>
    <n v="404822.33"/>
    <n v="0"/>
    <n v="0"/>
    <x v="1"/>
    <n v="2"/>
  </r>
  <r>
    <n v="32934"/>
    <n v="3201407"/>
    <x v="17"/>
    <n v="0.93"/>
    <n v="2435419.5299999998"/>
    <n v="28052.97"/>
    <n v="2463472.5"/>
    <n v="53462.26"/>
    <n v="181303.99"/>
    <n v="0.93"/>
    <n v="58169.13"/>
    <n v="0"/>
    <n v="0"/>
    <x v="1"/>
    <n v="2"/>
  </r>
  <r>
    <n v="32935"/>
    <n v="3201506"/>
    <x v="18"/>
    <n v="2.2000000000000002"/>
    <n v="5726931.2000000002"/>
    <n v="65966.460000000006"/>
    <n v="5792897.6600000001"/>
    <n v="125716.28"/>
    <n v="420068.95"/>
    <n v="2.2000000000000002"/>
    <n v="136784.45000000001"/>
    <n v="0"/>
    <n v="0"/>
    <x v="1"/>
    <n v="2"/>
  </r>
  <r>
    <n v="32936"/>
    <n v="3201605"/>
    <x v="19"/>
    <n v="0.57999999999999996"/>
    <n v="1522104"/>
    <n v="17533.11"/>
    <n v="1539637.11"/>
    <n v="33413.910000000003"/>
    <n v="35733.21"/>
    <n v="0.57999999999999996"/>
    <n v="36355.699999999997"/>
    <n v="0"/>
    <n v="0"/>
    <x v="1"/>
    <n v="2"/>
  </r>
  <r>
    <n v="32937"/>
    <n v="3201704"/>
    <x v="20"/>
    <n v="0.45"/>
    <n v="1186486.95"/>
    <n v="13666.84"/>
    <n v="1200153.79"/>
    <n v="26045.72"/>
    <n v="30723.88"/>
    <n v="0.45"/>
    <n v="28338.81"/>
    <n v="0"/>
    <n v="0"/>
    <x v="1"/>
    <n v="2"/>
  </r>
  <r>
    <n v="32938"/>
    <n v="3201803"/>
    <x v="21"/>
    <n v="0.19"/>
    <n v="494365.09"/>
    <n v="5694.52"/>
    <n v="500059.61"/>
    <n v="10852.38"/>
    <n v="13538.68"/>
    <n v="0.19"/>
    <n v="11807.84"/>
    <n v="0"/>
    <n v="0"/>
    <x v="1"/>
    <n v="2"/>
  </r>
  <r>
    <n v="32939"/>
    <n v="3201902"/>
    <x v="22"/>
    <n v="1.22"/>
    <n v="3184837.12"/>
    <n v="36684.67"/>
    <n v="3221521.79"/>
    <n v="69912.19"/>
    <n v="114330.53"/>
    <n v="1.22"/>
    <n v="76067.320000000007"/>
    <n v="0"/>
    <n v="0"/>
    <x v="1"/>
    <n v="2"/>
  </r>
  <r>
    <n v="32940"/>
    <n v="3202009"/>
    <x v="23"/>
    <n v="0.24"/>
    <n v="634880.17000000004"/>
    <n v="7312.96"/>
    <n v="642193.13"/>
    <n v="13936.74"/>
    <n v="30969.06"/>
    <n v="0.24"/>
    <n v="15163.75"/>
    <n v="0"/>
    <n v="0"/>
    <x v="1"/>
    <n v="2"/>
  </r>
  <r>
    <n v="32941"/>
    <n v="3202108"/>
    <x v="24"/>
    <n v="0.69"/>
    <n v="1818780.48"/>
    <n v="20949.82"/>
    <n v="1839730.3"/>
    <n v="39925.339999999997"/>
    <n v="37272.69"/>
    <n v="0.69"/>
    <n v="43440.41"/>
    <n v="0"/>
    <n v="0"/>
    <x v="1"/>
    <n v="2"/>
  </r>
  <r>
    <n v="32942"/>
    <n v="3202207"/>
    <x v="25"/>
    <n v="0.33"/>
    <n v="861266.48"/>
    <n v="9920.44"/>
    <n v="871186.92"/>
    <n v="18905.990000000002"/>
    <n v="44092.12"/>
    <n v="0.33"/>
    <n v="20570.490000000002"/>
    <n v="0"/>
    <n v="0"/>
    <x v="1"/>
    <n v="2"/>
  </r>
  <r>
    <n v="32943"/>
    <n v="3202256"/>
    <x v="26"/>
    <n v="0.44"/>
    <n v="1152647.44"/>
    <n v="13277.19"/>
    <n v="1165924.6299999999"/>
    <n v="25303.19"/>
    <n v="25600.13"/>
    <n v="0.44"/>
    <n v="27530.9"/>
    <n v="0"/>
    <n v="0"/>
    <x v="1"/>
    <n v="2"/>
  </r>
  <r>
    <n v="32944"/>
    <n v="3202306"/>
    <x v="27"/>
    <n v="0.39"/>
    <n v="1017385.12"/>
    <n v="11718.73"/>
    <n v="1029103.85"/>
    <n v="22333.06"/>
    <n v="128470.89"/>
    <n v="0.39"/>
    <n v="24299.279999999999"/>
    <n v="0"/>
    <n v="0"/>
    <x v="1"/>
    <n v="2"/>
  </r>
  <r>
    <n v="32945"/>
    <n v="3202405"/>
    <x v="28"/>
    <n v="0.91"/>
    <n v="2373056.36"/>
    <n v="27333.68"/>
    <n v="2400390.04"/>
    <n v="52091.44"/>
    <n v="866943.21"/>
    <n v="0.91"/>
    <n v="56677.61"/>
    <n v="0"/>
    <n v="0"/>
    <x v="1"/>
    <n v="2"/>
  </r>
  <r>
    <n v="32946"/>
    <n v="3202454"/>
    <x v="29"/>
    <n v="0.36"/>
    <n v="936757.45"/>
    <n v="10789.61"/>
    <n v="947547.06"/>
    <n v="20562.41"/>
    <n v="60967.26"/>
    <n v="0.36"/>
    <n v="22372.74"/>
    <n v="0"/>
    <n v="0"/>
    <x v="1"/>
    <n v="2"/>
  </r>
  <r>
    <n v="32947"/>
    <n v="3202504"/>
    <x v="30"/>
    <n v="0.27"/>
    <n v="710315.12"/>
    <n v="8182.12"/>
    <n v="718497.24"/>
    <n v="15593.16"/>
    <n v="33174.559999999998"/>
    <n v="0.27"/>
    <n v="16966"/>
    <n v="0"/>
    <n v="0"/>
    <x v="1"/>
    <n v="2"/>
  </r>
  <r>
    <n v="32948"/>
    <n v="3202553"/>
    <x v="31"/>
    <n v="0.24"/>
    <n v="637483.14"/>
    <n v="7342.93"/>
    <n v="644826.06999999995"/>
    <n v="13993.86"/>
    <n v="19180.16"/>
    <n v="0.24"/>
    <n v="15225.89"/>
    <n v="0"/>
    <n v="0"/>
    <x v="1"/>
    <n v="2"/>
  </r>
  <r>
    <n v="32949"/>
    <n v="3202603"/>
    <x v="32"/>
    <n v="0.37"/>
    <n v="967960.4"/>
    <n v="11149.25"/>
    <n v="979109.65"/>
    <n v="21247.82"/>
    <n v="203461.61"/>
    <n v="0.37"/>
    <n v="23118.5"/>
    <n v="0"/>
    <n v="0"/>
    <x v="1"/>
    <n v="2"/>
  </r>
  <r>
    <n v="32950"/>
    <n v="3202652"/>
    <x v="33"/>
    <n v="0.3"/>
    <n v="803978.97"/>
    <n v="9261.08"/>
    <n v="813240.05"/>
    <n v="17649.400000000001"/>
    <n v="34814.75"/>
    <n v="0.3"/>
    <n v="19203.27"/>
    <n v="0"/>
    <n v="0"/>
    <x v="1"/>
    <n v="2"/>
  </r>
  <r>
    <n v="32951"/>
    <n v="3202702"/>
    <x v="34"/>
    <n v="0.38"/>
    <n v="996544.11"/>
    <n v="11478.96"/>
    <n v="1008023.07"/>
    <n v="21876.12"/>
    <n v="23856.93"/>
    <n v="0.38"/>
    <n v="23802.11"/>
    <n v="0"/>
    <n v="0"/>
    <x v="1"/>
    <n v="2"/>
  </r>
  <r>
    <n v="32952"/>
    <n v="3202801"/>
    <x v="35"/>
    <n v="2.66"/>
    <n v="6934109.5300000003"/>
    <n v="79873.070000000007"/>
    <n v="7013982.5999999996"/>
    <n v="152218.94"/>
    <n v="116116.63"/>
    <n v="2.66"/>
    <n v="165620.43"/>
    <n v="0"/>
    <n v="0"/>
    <x v="1"/>
    <n v="2"/>
  </r>
  <r>
    <n v="32953"/>
    <n v="3202900"/>
    <x v="36"/>
    <n v="0.34"/>
    <n v="889868.53"/>
    <n v="10250.14"/>
    <n v="900118.67"/>
    <n v="19534.29"/>
    <n v="34142.68"/>
    <n v="0.34"/>
    <n v="21254.1"/>
    <n v="0"/>
    <n v="0"/>
    <x v="1"/>
    <n v="2"/>
  </r>
  <r>
    <n v="32954"/>
    <n v="3203007"/>
    <x v="37"/>
    <n v="0.47"/>
    <n v="1228098.72"/>
    <n v="14146.37"/>
    <n v="1242245.0900000001"/>
    <n v="26959.599999999999"/>
    <n v="72610.94"/>
    <n v="0.47"/>
    <n v="29333.15"/>
    <n v="0"/>
    <n v="0"/>
    <x v="1"/>
    <n v="2"/>
  </r>
  <r>
    <n v="32955"/>
    <n v="3203056"/>
    <x v="38"/>
    <n v="0.86"/>
    <n v="2250661.2200000002"/>
    <n v="25925.02"/>
    <n v="2276586.2400000002"/>
    <n v="49406.9"/>
    <n v="61000.34"/>
    <n v="0.86"/>
    <n v="53756.73"/>
    <n v="0"/>
    <n v="0"/>
    <x v="1"/>
    <n v="2"/>
  </r>
  <r>
    <n v="32956"/>
    <n v="3203106"/>
    <x v="39"/>
    <n v="0.21"/>
    <n v="556826.97"/>
    <n v="6413.83"/>
    <n v="563240.80000000005"/>
    <n v="12223.21"/>
    <n v="23004.41"/>
    <n v="0.21"/>
    <n v="13299.35"/>
    <n v="0"/>
    <n v="0"/>
    <x v="1"/>
    <n v="2"/>
  </r>
  <r>
    <n v="32957"/>
    <n v="3203130"/>
    <x v="40"/>
    <n v="0.42"/>
    <n v="1111037.74"/>
    <n v="12797.69"/>
    <n v="1123835.43"/>
    <n v="24389.3"/>
    <n v="42930.42"/>
    <n v="0.42"/>
    <n v="26536.560000000001"/>
    <n v="0"/>
    <n v="0"/>
    <x v="1"/>
    <n v="2"/>
  </r>
  <r>
    <n v="32958"/>
    <n v="3203163"/>
    <x v="41"/>
    <n v="0.38"/>
    <n v="988747.44"/>
    <n v="11389.04"/>
    <n v="1000136.48"/>
    <n v="21704.76"/>
    <n v="47531.65"/>
    <n v="0.38"/>
    <n v="23615.67"/>
    <n v="0"/>
    <n v="0"/>
    <x v="1"/>
    <n v="2"/>
  </r>
  <r>
    <n v="32959"/>
    <n v="3203205"/>
    <x v="42"/>
    <n v="5.75"/>
    <n v="14969394.609999999"/>
    <n v="172423.93"/>
    <n v="15141818.539999999"/>
    <n v="328598.71999999997"/>
    <n v="517907.37"/>
    <n v="5.75"/>
    <n v="357528.84"/>
    <n v="0"/>
    <n v="0"/>
    <x v="1"/>
    <n v="2"/>
  </r>
  <r>
    <n v="32960"/>
    <n v="3203304"/>
    <x v="43"/>
    <n v="0.25"/>
    <n v="663496.48"/>
    <n v="7642.63"/>
    <n v="671139.11"/>
    <n v="14565.04"/>
    <n v="32466.81"/>
    <n v="0.25"/>
    <n v="15847.36"/>
    <n v="0"/>
    <n v="0"/>
    <x v="1"/>
    <n v="2"/>
  </r>
  <r>
    <n v="32961"/>
    <n v="3203320"/>
    <x v="44"/>
    <n v="0.61"/>
    <n v="1605395.68"/>
    <n v="18492.18"/>
    <n v="1623887.86"/>
    <n v="35241.68"/>
    <n v="187705.44"/>
    <n v="0.61"/>
    <n v="38344.39"/>
    <n v="0"/>
    <n v="0"/>
    <x v="1"/>
    <n v="2"/>
  </r>
  <r>
    <n v="32962"/>
    <n v="3203346"/>
    <x v="45"/>
    <n v="0.65"/>
    <n v="1709530.39"/>
    <n v="19691.05"/>
    <n v="1729221.44"/>
    <n v="37526.400000000001"/>
    <n v="52425.760000000002"/>
    <n v="0.65"/>
    <n v="40830.25"/>
    <n v="0"/>
    <n v="0"/>
    <x v="1"/>
    <n v="2"/>
  </r>
  <r>
    <n v="32963"/>
    <n v="3203353"/>
    <x v="46"/>
    <n v="0.43"/>
    <n v="1139641.83"/>
    <n v="13127.35"/>
    <n v="1152769.18"/>
    <n v="25017.599999999999"/>
    <n v="58059.77"/>
    <n v="0.43"/>
    <n v="27220.17"/>
    <n v="0"/>
    <n v="0"/>
    <x v="1"/>
    <n v="2"/>
  </r>
  <r>
    <n v="32964"/>
    <n v="3203403"/>
    <x v="47"/>
    <n v="0.5"/>
    <n v="1300986.72"/>
    <n v="14985.58"/>
    <n v="1315972.3"/>
    <n v="28558.9"/>
    <n v="77050.5"/>
    <n v="0.5"/>
    <n v="31073.25"/>
    <n v="0"/>
    <n v="0"/>
    <x v="1"/>
    <n v="2"/>
  </r>
  <r>
    <n v="32965"/>
    <n v="3203502"/>
    <x v="48"/>
    <n v="0.52"/>
    <n v="1366026.11"/>
    <n v="15734.85"/>
    <n v="1381760.96"/>
    <n v="29986.85"/>
    <n v="43027.72"/>
    <n v="0.52"/>
    <n v="32626.91"/>
    <n v="0"/>
    <n v="0"/>
    <x v="1"/>
    <n v="2"/>
  </r>
  <r>
    <n v="32966"/>
    <n v="3203601"/>
    <x v="49"/>
    <n v="0.28000000000000003"/>
    <n v="751967.58"/>
    <n v="8661.65"/>
    <n v="760629.23"/>
    <n v="16507.04"/>
    <n v="13560.95"/>
    <n v="0.28000000000000003"/>
    <n v="17960.34"/>
    <n v="0"/>
    <n v="0"/>
    <x v="1"/>
    <n v="2"/>
  </r>
  <r>
    <n v="32967"/>
    <n v="3203700"/>
    <x v="50"/>
    <n v="0.5"/>
    <n v="1324395.01"/>
    <n v="15255.3"/>
    <n v="1339650.31"/>
    <n v="29072.959999999999"/>
    <n v="36417.4"/>
    <n v="0.5"/>
    <n v="31632.57"/>
    <n v="0"/>
    <n v="0"/>
    <x v="1"/>
    <n v="2"/>
  </r>
  <r>
    <n v="32968"/>
    <n v="3203809"/>
    <x v="51"/>
    <n v="0.28999999999999998"/>
    <n v="759769.34"/>
    <n v="8751.59"/>
    <n v="768520.93"/>
    <n v="16678.400000000001"/>
    <n v="30413.98"/>
    <n v="0.28999999999999998"/>
    <n v="18146.78"/>
    <n v="0"/>
    <n v="0"/>
    <x v="1"/>
    <n v="2"/>
  </r>
  <r>
    <n v="32969"/>
    <n v="3203908"/>
    <x v="52"/>
    <n v="1.22"/>
    <n v="3197779.65"/>
    <n v="36834.5"/>
    <n v="3234614.15"/>
    <n v="70197.78"/>
    <n v="124402.31"/>
    <n v="1.22"/>
    <n v="76378.05"/>
    <n v="0"/>
    <n v="0"/>
    <x v="1"/>
    <n v="2"/>
  </r>
  <r>
    <n v="32970"/>
    <n v="3204005"/>
    <x v="53"/>
    <n v="0.47"/>
    <n v="1243701.21"/>
    <n v="14326.21"/>
    <n v="1258027.42"/>
    <n v="27302.31"/>
    <n v="33363.72"/>
    <n v="0.47"/>
    <n v="29706.03"/>
    <n v="0"/>
    <n v="0"/>
    <x v="1"/>
    <n v="2"/>
  </r>
  <r>
    <n v="32971"/>
    <n v="3204054"/>
    <x v="54"/>
    <n v="0.32"/>
    <n v="843019.3"/>
    <n v="9710.64"/>
    <n v="852729.94"/>
    <n v="18506.169999999998"/>
    <n v="58549.01"/>
    <n v="0.32"/>
    <n v="20135.47"/>
    <n v="0"/>
    <n v="0"/>
    <x v="1"/>
    <n v="2"/>
  </r>
  <r>
    <n v="32972"/>
    <n v="3204104"/>
    <x v="55"/>
    <n v="0.66"/>
    <n v="1730281.84"/>
    <n v="19930.8"/>
    <n v="1750212.64"/>
    <n v="37983.339999999997"/>
    <n v="39002.86"/>
    <n v="0.66"/>
    <n v="41327.42"/>
    <n v="0"/>
    <n v="0"/>
    <x v="1"/>
    <n v="2"/>
  </r>
  <r>
    <n v="32973"/>
    <n v="3204203"/>
    <x v="56"/>
    <n v="0.15"/>
    <n v="398241.78"/>
    <n v="4585.6000000000004"/>
    <n v="402827.38"/>
    <n v="8739.02"/>
    <n v="103987.69"/>
    <n v="0.15"/>
    <n v="9508.42"/>
    <n v="0"/>
    <n v="0"/>
    <x v="1"/>
    <n v="2"/>
  </r>
  <r>
    <n v="32974"/>
    <n v="3204252"/>
    <x v="57"/>
    <n v="0.23"/>
    <n v="598440.76"/>
    <n v="6893.35"/>
    <n v="605334.11"/>
    <n v="13137.09"/>
    <n v="9678.08"/>
    <n v="0.23"/>
    <n v="14293.7"/>
    <n v="0"/>
    <n v="0"/>
    <x v="1"/>
    <n v="2"/>
  </r>
  <r>
    <n v="32975"/>
    <n v="1718402"/>
    <x v="58"/>
    <n v="0.33"/>
    <n v="869048.9"/>
    <n v="10010.35"/>
    <n v="879059.25"/>
    <n v="19077.349999999999"/>
    <n v="83714.289999999994"/>
    <n v="0.33"/>
    <n v="20756.93"/>
    <n v="0"/>
    <n v="0"/>
    <x v="1"/>
    <n v="2"/>
  </r>
  <r>
    <n v="32976"/>
    <n v="3204351"/>
    <x v="59"/>
    <n v="0.76"/>
    <n v="2000940.86"/>
    <n v="23047.79"/>
    <n v="2023988.65"/>
    <n v="43923.59"/>
    <n v="51169.63"/>
    <n v="0.76"/>
    <n v="47790.66"/>
    <n v="0"/>
    <n v="0"/>
    <x v="1"/>
    <n v="2"/>
  </r>
  <r>
    <n v="32977"/>
    <n v="3204401"/>
    <x v="60"/>
    <n v="0.26"/>
    <n v="689512.84"/>
    <n v="7942.36"/>
    <n v="697455.2"/>
    <n v="15136.22"/>
    <n v="26756.14"/>
    <n v="0.26"/>
    <n v="16468.82"/>
    <n v="0"/>
    <n v="0"/>
    <x v="1"/>
    <n v="2"/>
  </r>
  <r>
    <n v="32978"/>
    <n v="3204500"/>
    <x v="61"/>
    <n v="0.49"/>
    <n v="1290562.6299999999"/>
    <n v="14865.69"/>
    <n v="1305428.32"/>
    <n v="28330.43"/>
    <n v="26409.51"/>
    <n v="0.49"/>
    <n v="30824.67"/>
    <n v="0"/>
    <n v="0"/>
    <x v="1"/>
    <n v="2"/>
  </r>
  <r>
    <n v="32979"/>
    <n v="3204559"/>
    <x v="62"/>
    <n v="2.2400000000000002"/>
    <n v="5844013.5599999996"/>
    <n v="67315.179999999993"/>
    <n v="5911328.7400000002"/>
    <n v="128286.58"/>
    <n v="207736.1"/>
    <n v="2.2400000000000002"/>
    <n v="139581.04999999999"/>
    <n v="0"/>
    <n v="0"/>
    <x v="1"/>
    <n v="2"/>
  </r>
  <r>
    <n v="32980"/>
    <n v="3204609"/>
    <x v="63"/>
    <n v="0.69"/>
    <n v="1797943.53"/>
    <n v="20710.05"/>
    <n v="1818653.58"/>
    <n v="39468.400000000001"/>
    <n v="77297.3"/>
    <n v="0.69"/>
    <n v="42943.23"/>
    <n v="0"/>
    <n v="0"/>
    <x v="1"/>
    <n v="2"/>
  </r>
  <r>
    <n v="32981"/>
    <n v="3204658"/>
    <x v="64"/>
    <n v="0.45"/>
    <n v="1178713.71"/>
    <n v="13576.92"/>
    <n v="1192290.6299999999"/>
    <n v="25874.36"/>
    <n v="16523.43"/>
    <n v="0.45"/>
    <n v="28152.37"/>
    <n v="0"/>
    <n v="0"/>
    <x v="1"/>
    <n v="2"/>
  </r>
  <r>
    <n v="32982"/>
    <n v="3204708"/>
    <x v="65"/>
    <n v="0.72"/>
    <n v="1896789.9"/>
    <n v="21848.959999999999"/>
    <n v="1918638.86"/>
    <n v="41638.879999999997"/>
    <n v="72364.69"/>
    <n v="0.72"/>
    <n v="45304.800000000003"/>
    <n v="0"/>
    <n v="0"/>
    <x v="1"/>
    <n v="2"/>
  </r>
  <r>
    <n v="32983"/>
    <n v="3204807"/>
    <x v="66"/>
    <n v="0.22"/>
    <n v="575070.06999999995"/>
    <n v="6623.62"/>
    <n v="581693.68999999994"/>
    <n v="12623.03"/>
    <n v="35828.79"/>
    <n v="0.22"/>
    <n v="13734.38"/>
    <n v="0"/>
    <n v="0"/>
    <x v="1"/>
    <n v="2"/>
  </r>
  <r>
    <n v="32984"/>
    <n v="3204906"/>
    <x v="67"/>
    <n v="1.8"/>
    <n v="4686241.59"/>
    <n v="53978.01"/>
    <n v="4740219.5999999996"/>
    <n v="102869.16"/>
    <n v="357162.09"/>
    <n v="1.8"/>
    <n v="111925.85"/>
    <n v="0"/>
    <n v="0"/>
    <x v="1"/>
    <n v="2"/>
  </r>
  <r>
    <n v="32985"/>
    <n v="3204955"/>
    <x v="68"/>
    <n v="0.32"/>
    <n v="853437.23"/>
    <n v="9830.51"/>
    <n v="863267.74"/>
    <n v="18734.64"/>
    <n v="23846.86"/>
    <n v="0.32"/>
    <n v="20384.05"/>
    <n v="0"/>
    <n v="0"/>
    <x v="1"/>
    <n v="2"/>
  </r>
  <r>
    <n v="32986"/>
    <n v="3205002"/>
    <x v="69"/>
    <n v="13.06"/>
    <n v="34000669.289999999"/>
    <n v="391632.8"/>
    <n v="34392302.090000004"/>
    <n v="746358.33"/>
    <n v="1415794.5"/>
    <n v="13.06"/>
    <n v="812068.36"/>
    <n v="0"/>
    <n v="0"/>
    <x v="1"/>
    <n v="2"/>
  </r>
  <r>
    <n v="32987"/>
    <n v="3205010"/>
    <x v="70"/>
    <n v="0.7"/>
    <n v="1834376.83"/>
    <n v="21129.64"/>
    <n v="1855506.47"/>
    <n v="40268.050000000003"/>
    <n v="31012.06"/>
    <n v="0.7"/>
    <n v="43813.29"/>
    <n v="0"/>
    <n v="0"/>
    <x v="1"/>
    <n v="2"/>
  </r>
  <r>
    <n v="32988"/>
    <n v="3205036"/>
    <x v="71"/>
    <n v="0.47"/>
    <n v="1238545.1299999999"/>
    <n v="14266.26"/>
    <n v="1252811.3899999999"/>
    <n v="27188.07"/>
    <n v="51647.15"/>
    <n v="0.47"/>
    <n v="29581.74"/>
    <n v="0"/>
    <n v="0"/>
    <x v="1"/>
    <n v="2"/>
  </r>
  <r>
    <n v="32989"/>
    <n v="3205069"/>
    <x v="72"/>
    <n v="0.72"/>
    <n v="1876008.94"/>
    <n v="21609.18"/>
    <n v="1897618.12"/>
    <n v="41181.94"/>
    <n v="141792.75"/>
    <n v="0.72"/>
    <n v="44807.63"/>
    <n v="0"/>
    <n v="0"/>
    <x v="1"/>
    <n v="2"/>
  </r>
  <r>
    <n v="32990"/>
    <n v="2112803"/>
    <x v="73"/>
    <n v="2.25"/>
    <n v="5861927.9199999999"/>
    <n v="67524.960000000006"/>
    <n v="5929452.8799999999"/>
    <n v="128686.41"/>
    <n v="528848.23"/>
    <n v="2.25"/>
    <n v="140016.07"/>
    <n v="0"/>
    <n v="0"/>
    <x v="1"/>
    <n v="2"/>
  </r>
  <r>
    <n v="32991"/>
    <n v="3205150"/>
    <x v="74"/>
    <n v="0.32"/>
    <n v="850837.33"/>
    <n v="9800.56"/>
    <n v="860637.89"/>
    <n v="18677.52"/>
    <n v="16210.73"/>
    <n v="0.32"/>
    <n v="20321.91"/>
    <n v="0"/>
    <n v="0"/>
    <x v="1"/>
    <n v="2"/>
  </r>
  <r>
    <n v="32992"/>
    <n v="3205176"/>
    <x v="75"/>
    <n v="0.61"/>
    <n v="1602769.32"/>
    <n v="18462.23"/>
    <n v="1621231.55"/>
    <n v="35184.57"/>
    <n v="39008.589999999997"/>
    <n v="0.61"/>
    <n v="38282.25"/>
    <n v="0"/>
    <n v="0"/>
    <x v="1"/>
    <n v="2"/>
  </r>
  <r>
    <n v="32993"/>
    <n v="3205200"/>
    <x v="76"/>
    <n v="5.55"/>
    <n v="14459503.34"/>
    <n v="166549.57999999999"/>
    <n v="14626052.92"/>
    <n v="317403.63"/>
    <n v="2021827.64"/>
    <n v="5.55"/>
    <n v="345348.12"/>
    <n v="0"/>
    <n v="0"/>
    <x v="1"/>
    <n v="2"/>
  </r>
  <r>
    <n v="32994"/>
    <n v="3205309"/>
    <x v="77"/>
    <n v="15.84"/>
    <n v="41222039.5"/>
    <n v="474832.55"/>
    <n v="41696872.049999997"/>
    <n v="904917.35"/>
    <n v="3130938.13"/>
    <n v="15.84"/>
    <n v="984587.04"/>
    <n v="0"/>
    <n v="0"/>
    <x v="1"/>
    <n v="2"/>
  </r>
  <r>
    <n v="32995"/>
    <n v="3200102"/>
    <x v="0"/>
    <n v="0.79"/>
    <n v="2001683.34"/>
    <n v="224759.14"/>
    <n v="2226442.48"/>
    <n v="48175.17"/>
    <n v="133264.45000000001"/>
    <n v="0.79"/>
    <n v="59721.54"/>
    <n v="0"/>
    <n v="0"/>
    <x v="1"/>
    <n v="3"/>
  </r>
  <r>
    <n v="32996"/>
    <n v="3200169"/>
    <x v="1"/>
    <n v="0.28999999999999998"/>
    <n v="747495.78"/>
    <n v="83932.61"/>
    <n v="831428.39"/>
    <n v="17990.23"/>
    <n v="34053.74"/>
    <n v="0.28999999999999998"/>
    <n v="22302.03"/>
    <n v="0"/>
    <n v="0"/>
    <x v="1"/>
    <n v="3"/>
  </r>
  <r>
    <n v="32997"/>
    <n v="3200136"/>
    <x v="2"/>
    <n v="0.42"/>
    <n v="1066059.44"/>
    <n v="119702.55"/>
    <n v="1185761.99"/>
    <n v="25657.200000000001"/>
    <n v="28262.22"/>
    <n v="0.42"/>
    <n v="31806.58"/>
    <n v="0"/>
    <n v="0"/>
    <x v="1"/>
    <n v="3"/>
  </r>
  <r>
    <n v="32998"/>
    <n v="3200201"/>
    <x v="3"/>
    <n v="0.48"/>
    <n v="1214053.56"/>
    <n v="136320.07"/>
    <n v="1350373.63"/>
    <n v="29219.02"/>
    <n v="121461.1"/>
    <n v="0.48"/>
    <n v="36222.080000000002"/>
    <n v="0"/>
    <n v="0"/>
    <x v="1"/>
    <n v="3"/>
  </r>
  <r>
    <n v="32999"/>
    <n v="3200300"/>
    <x v="4"/>
    <n v="0.48"/>
    <n v="1204020.06"/>
    <n v="135193.46"/>
    <n v="1339213.52"/>
    <n v="28977.55"/>
    <n v="161311.4"/>
    <n v="0.48"/>
    <n v="35922.720000000001"/>
    <n v="0"/>
    <n v="0"/>
    <x v="1"/>
    <n v="3"/>
  </r>
  <r>
    <n v="33000"/>
    <n v="3200359"/>
    <x v="5"/>
    <n v="0.22"/>
    <n v="574417.9"/>
    <n v="64498.52"/>
    <n v="638916.42000000004"/>
    <n v="13824.7"/>
    <n v="15081.67"/>
    <n v="0.22"/>
    <n v="17138.13"/>
    <n v="0"/>
    <n v="0"/>
    <x v="1"/>
    <n v="3"/>
  </r>
  <r>
    <n v="33001"/>
    <n v="3200409"/>
    <x v="6"/>
    <n v="2.59"/>
    <n v="6516758.54"/>
    <n v="731734.65"/>
    <n v="7248493.1900000004"/>
    <n v="156840.95999999999"/>
    <n v="176968.01"/>
    <n v="2.59"/>
    <n v="194431.75"/>
    <n v="0"/>
    <n v="0"/>
    <x v="1"/>
    <n v="3"/>
  </r>
  <r>
    <n v="33002"/>
    <n v="3200508"/>
    <x v="7"/>
    <n v="0.19"/>
    <n v="489133.16"/>
    <n v="54922.34"/>
    <n v="544055.5"/>
    <n v="11772.13"/>
    <n v="90212.93"/>
    <n v="0.19"/>
    <n v="14593.61"/>
    <n v="0"/>
    <n v="0"/>
    <x v="1"/>
    <n v="3"/>
  </r>
  <r>
    <n v="33003"/>
    <n v="3200607"/>
    <x v="8"/>
    <n v="5.18"/>
    <n v="12993383.119999999"/>
    <n v="1458962.85"/>
    <n v="14452345.970000001"/>
    <n v="312716.01"/>
    <n v="623639.35"/>
    <n v="5.18"/>
    <n v="387666.08"/>
    <n v="0"/>
    <n v="0"/>
    <x v="1"/>
    <n v="3"/>
  </r>
  <r>
    <n v="33004"/>
    <n v="3200706"/>
    <x v="9"/>
    <n v="0.36"/>
    <n v="925590.43"/>
    <n v="103929.95"/>
    <n v="1029520.38"/>
    <n v="22276.49"/>
    <n v="52821.21"/>
    <n v="0.36"/>
    <n v="27615.59"/>
    <n v="0"/>
    <n v="0"/>
    <x v="1"/>
    <n v="3"/>
  </r>
  <r>
    <n v="33005"/>
    <n v="3200805"/>
    <x v="10"/>
    <n v="0.65"/>
    <n v="1653019.18"/>
    <n v="185609.36"/>
    <n v="1838628.54"/>
    <n v="39783.75"/>
    <n v="231558.58"/>
    <n v="0.65"/>
    <n v="49318.91"/>
    <n v="0"/>
    <n v="0"/>
    <x v="1"/>
    <n v="3"/>
  </r>
  <r>
    <n v="33006"/>
    <n v="3200904"/>
    <x v="11"/>
    <n v="0.9"/>
    <n v="2272587.86"/>
    <n v="255177.66"/>
    <n v="2527765.52"/>
    <n v="54695.12"/>
    <n v="223916.77"/>
    <n v="0.9"/>
    <n v="67804.14"/>
    <n v="0"/>
    <n v="0"/>
    <x v="1"/>
    <n v="3"/>
  </r>
  <r>
    <n v="33007"/>
    <n v="3107109"/>
    <x v="12"/>
    <n v="0.41"/>
    <n v="1038467.29"/>
    <n v="116604.35"/>
    <n v="1155071.6399999999"/>
    <n v="24993.13"/>
    <n v="36034.93"/>
    <n v="0.41"/>
    <n v="30983.35"/>
    <n v="0"/>
    <n v="0"/>
    <x v="1"/>
    <n v="3"/>
  </r>
  <r>
    <n v="33008"/>
    <n v="3201100"/>
    <x v="13"/>
    <n v="0.17"/>
    <n v="426423.75"/>
    <n v="47881.02"/>
    <n v="474304.77"/>
    <n v="10262.879999999999"/>
    <n v="192708.18"/>
    <n v="0.17"/>
    <n v="12722.64"/>
    <n v="0"/>
    <n v="0"/>
    <x v="1"/>
    <n v="3"/>
  </r>
  <r>
    <n v="33009"/>
    <n v="3201159"/>
    <x v="14"/>
    <n v="0.43"/>
    <n v="1098668.29"/>
    <n v="123364.06"/>
    <n v="1222032.3500000001"/>
    <n v="26442.01"/>
    <n v="36878.050000000003"/>
    <n v="0.43"/>
    <n v="32779.49"/>
    <n v="0"/>
    <n v="0"/>
    <x v="1"/>
    <n v="3"/>
  </r>
  <r>
    <n v="33010"/>
    <n v="3201209"/>
    <x v="15"/>
    <n v="3.11"/>
    <n v="7806063.3499999996"/>
    <n v="876504.31"/>
    <n v="8682567.6600000001"/>
    <n v="187871.08"/>
    <n v="1179146.69"/>
    <n v="3.11"/>
    <n v="232899"/>
    <n v="0"/>
    <n v="0"/>
    <x v="1"/>
    <n v="3"/>
  </r>
  <r>
    <n v="33011"/>
    <n v="3201308"/>
    <x v="16"/>
    <n v="6.51"/>
    <n v="16339555.49"/>
    <n v="1834688.02"/>
    <n v="18174243.510000002"/>
    <n v="393249.43"/>
    <n v="1912622.72"/>
    <n v="6.51"/>
    <n v="487501.32"/>
    <n v="0"/>
    <n v="0"/>
    <x v="1"/>
    <n v="3"/>
  </r>
  <r>
    <n v="33012"/>
    <n v="3201407"/>
    <x v="17"/>
    <n v="0.93"/>
    <n v="2347839.09"/>
    <n v="263627.26"/>
    <n v="2611466.35"/>
    <n v="56506.21"/>
    <n v="413289.96"/>
    <n v="0.93"/>
    <n v="70049.31"/>
    <n v="0"/>
    <n v="0"/>
    <x v="1"/>
    <n v="3"/>
  </r>
  <r>
    <n v="33013"/>
    <n v="3201506"/>
    <x v="18"/>
    <n v="2.2000000000000002"/>
    <n v="5520933.6200000001"/>
    <n v="619918.4"/>
    <n v="6140852.0199999996"/>
    <n v="132874.12"/>
    <n v="908567.39"/>
    <n v="2.2000000000000002"/>
    <n v="164720.66"/>
    <n v="0"/>
    <n v="0"/>
    <x v="1"/>
    <n v="3"/>
  </r>
  <r>
    <n v="33014"/>
    <n v="3201605"/>
    <x v="19"/>
    <n v="0.57999999999999996"/>
    <n v="1467399.46"/>
    <n v="164767.01999999999"/>
    <n v="1632166.48"/>
    <n v="35316.379999999997"/>
    <n v="58477.94"/>
    <n v="0.57999999999999996"/>
    <n v="43780.82"/>
    <n v="0"/>
    <n v="0"/>
    <x v="1"/>
    <n v="3"/>
  </r>
  <r>
    <n v="33015"/>
    <n v="3201704"/>
    <x v="20"/>
    <n v="0.45"/>
    <n v="1143819.07"/>
    <n v="128433.78"/>
    <n v="1272252.8500000001"/>
    <n v="27528.67"/>
    <n v="66272.28"/>
    <n v="0.45"/>
    <n v="34126.589999999997"/>
    <n v="0"/>
    <n v="0"/>
    <x v="1"/>
    <n v="3"/>
  </r>
  <r>
    <n v="33016"/>
    <n v="3201803"/>
    <x v="21"/>
    <n v="0.19"/>
    <n v="476591.26"/>
    <n v="53514.080000000002"/>
    <n v="530105.34"/>
    <n v="11470.28"/>
    <n v="12537.77"/>
    <n v="0.19"/>
    <n v="14219.41"/>
    <n v="0"/>
    <n v="0"/>
    <x v="1"/>
    <n v="3"/>
  </r>
  <r>
    <n v="33017"/>
    <n v="3201902"/>
    <x v="22"/>
    <n v="1.22"/>
    <n v="3070251.12"/>
    <n v="344743.31"/>
    <n v="3414994.43"/>
    <n v="73892.740000000005"/>
    <n v="236778.49"/>
    <n v="1.22"/>
    <n v="91602.95"/>
    <n v="0"/>
    <n v="0"/>
    <x v="1"/>
    <n v="3"/>
  </r>
  <r>
    <n v="33018"/>
    <n v="3202009"/>
    <x v="23"/>
    <n v="0.24"/>
    <n v="612043.54"/>
    <n v="68723.360000000001"/>
    <n v="680766.9"/>
    <n v="14730.25"/>
    <n v="68035.09"/>
    <n v="0.24"/>
    <n v="18260.72"/>
    <n v="0"/>
    <n v="0"/>
    <x v="1"/>
    <n v="3"/>
  </r>
  <r>
    <n v="33019"/>
    <n v="3202108"/>
    <x v="24"/>
    <n v="0.69"/>
    <n v="1753354.18"/>
    <n v="196875.5"/>
    <n v="1950229.68"/>
    <n v="42198.55"/>
    <n v="59204.87"/>
    <n v="0.69"/>
    <n v="52312.47"/>
    <n v="0"/>
    <n v="0"/>
    <x v="1"/>
    <n v="3"/>
  </r>
  <r>
    <n v="33020"/>
    <n v="3202207"/>
    <x v="25"/>
    <n v="0.33"/>
    <n v="830272.18"/>
    <n v="93227.17"/>
    <n v="923499.35"/>
    <n v="19982.43"/>
    <n v="70729.679999999993"/>
    <n v="0.33"/>
    <n v="24771.72"/>
    <n v="0"/>
    <n v="0"/>
    <x v="1"/>
    <n v="3"/>
  </r>
  <r>
    <n v="33021"/>
    <n v="3202256"/>
    <x v="26"/>
    <n v="0.44"/>
    <n v="1111210.1599999999"/>
    <n v="124772.32"/>
    <n v="1235982.48"/>
    <n v="26743.86"/>
    <n v="46941.96"/>
    <n v="0.44"/>
    <n v="33153.68"/>
    <n v="0"/>
    <n v="0"/>
    <x v="1"/>
    <n v="3"/>
  </r>
  <r>
    <n v="33022"/>
    <n v="3202306"/>
    <x v="27"/>
    <n v="0.39"/>
    <n v="980774.65"/>
    <n v="110126.33"/>
    <n v="1090900.98"/>
    <n v="23604.63"/>
    <n v="226154.08"/>
    <n v="0.39"/>
    <n v="29262.05"/>
    <n v="0"/>
    <n v="0"/>
    <x v="1"/>
    <n v="3"/>
  </r>
  <r>
    <n v="33023"/>
    <n v="3202405"/>
    <x v="28"/>
    <n v="0.91"/>
    <n v="2287638.08"/>
    <n v="256867.57"/>
    <n v="2544505.65"/>
    <n v="55057.34"/>
    <n v="1264731.04"/>
    <n v="0.91"/>
    <n v="68253.179999999993"/>
    <n v="0"/>
    <n v="0"/>
    <x v="1"/>
    <n v="3"/>
  </r>
  <r>
    <n v="33024"/>
    <n v="3202454"/>
    <x v="29"/>
    <n v="0.36"/>
    <n v="903015.03"/>
    <n v="101395.1"/>
    <n v="1004410.13"/>
    <n v="21733.16"/>
    <n v="113088.37"/>
    <n v="0.36"/>
    <n v="26942.05"/>
    <n v="0"/>
    <n v="0"/>
    <x v="1"/>
    <n v="3"/>
  </r>
  <r>
    <n v="33025"/>
    <n v="3202504"/>
    <x v="30"/>
    <n v="0.27"/>
    <n v="684786.4"/>
    <n v="76891.28"/>
    <n v="761677.68"/>
    <n v="16480.98"/>
    <n v="60649.09"/>
    <n v="0.27"/>
    <n v="20431.05"/>
    <n v="0"/>
    <n v="0"/>
    <x v="1"/>
    <n v="3"/>
  </r>
  <r>
    <n v="33026"/>
    <n v="3202553"/>
    <x v="31"/>
    <n v="0.24"/>
    <n v="614551.91"/>
    <n v="69005"/>
    <n v="683556.91"/>
    <n v="14790.62"/>
    <n v="33471.629999999997"/>
    <n v="0.24"/>
    <n v="18335.560000000001"/>
    <n v="0"/>
    <n v="0"/>
    <x v="1"/>
    <n v="3"/>
  </r>
  <r>
    <n v="33027"/>
    <n v="3202603"/>
    <x v="32"/>
    <n v="0.37"/>
    <n v="933115.53"/>
    <n v="104774.93"/>
    <n v="1037890.46"/>
    <n v="22457.599999999999"/>
    <n v="206933.38"/>
    <n v="0.37"/>
    <n v="27840.11"/>
    <n v="0"/>
    <n v="0"/>
    <x v="1"/>
    <n v="3"/>
  </r>
  <r>
    <n v="33028"/>
    <n v="3202652"/>
    <x v="33"/>
    <n v="0.3"/>
    <n v="775087.89"/>
    <n v="87030.8"/>
    <n v="862118.69"/>
    <n v="18654.29"/>
    <n v="59800.27"/>
    <n v="0.3"/>
    <n v="23125.26"/>
    <n v="0"/>
    <n v="0"/>
    <x v="1"/>
    <n v="3"/>
  </r>
  <r>
    <n v="33029"/>
    <n v="3202702"/>
    <x v="34"/>
    <n v="0.38"/>
    <n v="960707.69"/>
    <n v="107873.11"/>
    <n v="1068580.8"/>
    <n v="23121.67"/>
    <n v="31656.71"/>
    <n v="0.38"/>
    <n v="28663.34"/>
    <n v="0"/>
    <n v="0"/>
    <x v="1"/>
    <n v="3"/>
  </r>
  <r>
    <n v="33030"/>
    <n v="3202801"/>
    <x v="35"/>
    <n v="2.66"/>
    <n v="6684819.6900000004"/>
    <n v="750605.41"/>
    <n v="7435425.0999999996"/>
    <n v="160885.75"/>
    <n v="165032.12"/>
    <n v="2.66"/>
    <n v="199445.96"/>
    <n v="0"/>
    <n v="0"/>
    <x v="1"/>
    <n v="3"/>
  </r>
  <r>
    <n v="33031"/>
    <n v="3202900"/>
    <x v="36"/>
    <n v="0.34"/>
    <n v="857864.28"/>
    <n v="96325.34"/>
    <n v="954189.62"/>
    <n v="20646.5"/>
    <n v="69127.38"/>
    <n v="0.34"/>
    <n v="25594.95"/>
    <n v="0"/>
    <n v="0"/>
    <x v="1"/>
    <n v="3"/>
  </r>
  <r>
    <n v="33032"/>
    <n v="3203007"/>
    <x v="37"/>
    <n v="0.47"/>
    <n v="1183953.04"/>
    <n v="132940.26"/>
    <n v="1316893.3"/>
    <n v="28494.59"/>
    <n v="112937.3"/>
    <n v="0.47"/>
    <n v="35324.01"/>
    <n v="0"/>
    <n v="0"/>
    <x v="1"/>
    <n v="3"/>
  </r>
  <r>
    <n v="33033"/>
    <n v="3203056"/>
    <x v="38"/>
    <n v="0.86"/>
    <n v="2169744.4700000002"/>
    <n v="243629.89"/>
    <n v="2413374.36"/>
    <n v="52219.95"/>
    <n v="132589.19"/>
    <n v="0.86"/>
    <n v="64735.75"/>
    <n v="0"/>
    <n v="0"/>
    <x v="1"/>
    <n v="3"/>
  </r>
  <r>
    <n v="33034"/>
    <n v="3203106"/>
    <x v="39"/>
    <n v="0.21"/>
    <n v="536792.27"/>
    <n v="60273.760000000002"/>
    <n v="597066.03"/>
    <n v="12919.16"/>
    <n v="32843.15"/>
    <n v="0.21"/>
    <n v="16015.54"/>
    <n v="0"/>
    <n v="0"/>
    <x v="1"/>
    <n v="3"/>
  </r>
  <r>
    <n v="33035"/>
    <n v="3203130"/>
    <x v="40"/>
    <n v="0.42"/>
    <n v="1071076.1599999999"/>
    <n v="120265.87"/>
    <n v="1191342.03"/>
    <n v="25777.94"/>
    <n v="74822.47"/>
    <n v="0.42"/>
    <n v="31956.26"/>
    <n v="0"/>
    <n v="0"/>
    <x v="1"/>
    <n v="3"/>
  </r>
  <r>
    <n v="33036"/>
    <n v="3203163"/>
    <x v="41"/>
    <n v="0.38"/>
    <n v="953182.53"/>
    <n v="107028.17"/>
    <n v="1060210.7"/>
    <n v="22940.560000000001"/>
    <n v="61772.75"/>
    <n v="0.38"/>
    <n v="28438.82"/>
    <n v="0"/>
    <n v="0"/>
    <x v="1"/>
    <n v="3"/>
  </r>
  <r>
    <n v="33037"/>
    <n v="3203205"/>
    <x v="42"/>
    <n v="5.75"/>
    <n v="14430682.029999999"/>
    <n v="1620350.06"/>
    <n v="16051032.09"/>
    <n v="347307.95"/>
    <n v="985291.95"/>
    <n v="5.75"/>
    <n v="430548.83"/>
    <n v="0"/>
    <n v="0"/>
    <x v="1"/>
    <n v="3"/>
  </r>
  <r>
    <n v="33038"/>
    <n v="3203304"/>
    <x v="43"/>
    <n v="0.25"/>
    <n v="639635.64"/>
    <n v="71821.53"/>
    <n v="711457.17"/>
    <n v="15394.32"/>
    <n v="43285.11"/>
    <n v="0.25"/>
    <n v="19083.95"/>
    <n v="0"/>
    <n v="0"/>
    <x v="1"/>
    <n v="3"/>
  </r>
  <r>
    <n v="33039"/>
    <n v="3203320"/>
    <x v="44"/>
    <n v="0.61"/>
    <n v="1547667.46"/>
    <n v="173779.95"/>
    <n v="1721447.41"/>
    <n v="37248.22"/>
    <n v="229375.05"/>
    <n v="0.61"/>
    <n v="46175.67"/>
    <n v="0"/>
    <n v="0"/>
    <x v="1"/>
    <n v="3"/>
  </r>
  <r>
    <n v="33040"/>
    <n v="3203346"/>
    <x v="45"/>
    <n v="0.65"/>
    <n v="1648002.47"/>
    <n v="185046.07"/>
    <n v="1833048.54"/>
    <n v="39663.01"/>
    <n v="161210.34"/>
    <n v="0.65"/>
    <n v="49169.23"/>
    <n v="0"/>
    <n v="0"/>
    <x v="1"/>
    <n v="3"/>
  </r>
  <r>
    <n v="33041"/>
    <n v="3203353"/>
    <x v="46"/>
    <n v="0.43"/>
    <n v="1098668.29"/>
    <n v="123364.06"/>
    <n v="1222032.3500000001"/>
    <n v="26442.01"/>
    <n v="109442.29"/>
    <n v="0.43"/>
    <n v="32779.49"/>
    <n v="0"/>
    <n v="0"/>
    <x v="1"/>
    <n v="3"/>
  </r>
  <r>
    <n v="33042"/>
    <n v="3203403"/>
    <x v="47"/>
    <n v="0.5"/>
    <n v="1254187.55"/>
    <n v="140826.53"/>
    <n v="1395014.08"/>
    <n v="30184.94"/>
    <n v="115128.54"/>
    <n v="0.5"/>
    <n v="37419.51"/>
    <n v="0"/>
    <n v="0"/>
    <x v="1"/>
    <n v="3"/>
  </r>
  <r>
    <n v="33043"/>
    <n v="3203502"/>
    <x v="48"/>
    <n v="0.52"/>
    <n v="1316896.94"/>
    <n v="147867.85999999999"/>
    <n v="1464764.8"/>
    <n v="31694.19"/>
    <n v="84954.46"/>
    <n v="0.52"/>
    <n v="39290.480000000003"/>
    <n v="0"/>
    <n v="0"/>
    <x v="1"/>
    <n v="3"/>
  </r>
  <r>
    <n v="33044"/>
    <n v="3203601"/>
    <x v="49"/>
    <n v="0.28000000000000003"/>
    <n v="724920.42"/>
    <n v="81397.75"/>
    <n v="806318.17"/>
    <n v="17446.900000000001"/>
    <n v="14466.57"/>
    <n v="0.28000000000000003"/>
    <n v="21628.47"/>
    <n v="0"/>
    <n v="0"/>
    <x v="1"/>
    <n v="3"/>
  </r>
  <r>
    <n v="33045"/>
    <n v="3203700"/>
    <x v="50"/>
    <n v="0.5"/>
    <n v="1276762.8999999999"/>
    <n v="143361.42000000001"/>
    <n v="1420124.32"/>
    <n v="30728.27"/>
    <n v="48536.47"/>
    <n v="0.5"/>
    <n v="38093.06"/>
    <n v="0"/>
    <n v="0"/>
    <x v="1"/>
    <n v="3"/>
  </r>
  <r>
    <n v="33046"/>
    <n v="3203809"/>
    <x v="51"/>
    <n v="0.28999999999999998"/>
    <n v="732445.54"/>
    <n v="82242.679999999993"/>
    <n v="814688.22"/>
    <n v="17628.009999999998"/>
    <n v="47772.42"/>
    <n v="0.28999999999999998"/>
    <n v="21853"/>
    <n v="0"/>
    <n v="0"/>
    <x v="1"/>
    <n v="3"/>
  </r>
  <r>
    <n v="33047"/>
    <n v="3203908"/>
    <x v="52"/>
    <n v="1.22"/>
    <n v="3082793.02"/>
    <n v="346151.59"/>
    <n v="3428944.61"/>
    <n v="74194.59"/>
    <n v="202417.3"/>
    <n v="1.22"/>
    <n v="91977.14"/>
    <n v="0"/>
    <n v="0"/>
    <x v="1"/>
    <n v="3"/>
  </r>
  <r>
    <n v="33048"/>
    <n v="3204005"/>
    <x v="53"/>
    <n v="0.47"/>
    <n v="1199003.3"/>
    <n v="134630.16"/>
    <n v="1333633.46"/>
    <n v="28856.81"/>
    <n v="49750.22"/>
    <n v="0.47"/>
    <n v="35773.050000000003"/>
    <n v="0"/>
    <n v="0"/>
    <x v="1"/>
    <n v="3"/>
  </r>
  <r>
    <n v="33049"/>
    <n v="3204054"/>
    <x v="54"/>
    <n v="0.32"/>
    <n v="812713.55"/>
    <n v="91255.59"/>
    <n v="903969.14"/>
    <n v="19559.84"/>
    <n v="97548.76"/>
    <n v="0.32"/>
    <n v="24247.84"/>
    <n v="0"/>
    <n v="0"/>
    <x v="1"/>
    <n v="3"/>
  </r>
  <r>
    <n v="33050"/>
    <n v="3204104"/>
    <x v="55"/>
    <n v="0.66"/>
    <n v="1668069.46"/>
    <n v="187299.29"/>
    <n v="1855368.75"/>
    <n v="40145.97"/>
    <n v="60552.54"/>
    <n v="0.66"/>
    <n v="49767.95"/>
    <n v="0"/>
    <n v="0"/>
    <x v="1"/>
    <n v="3"/>
  </r>
  <r>
    <n v="33051"/>
    <n v="3204203"/>
    <x v="56"/>
    <n v="0.15"/>
    <n v="383781.39"/>
    <n v="43092.91"/>
    <n v="426874.3"/>
    <n v="9236.59"/>
    <n v="169774.04"/>
    <n v="0.15"/>
    <n v="11450.37"/>
    <n v="0"/>
    <n v="0"/>
    <x v="1"/>
    <n v="3"/>
  </r>
  <r>
    <n v="33052"/>
    <n v="3204252"/>
    <x v="57"/>
    <n v="0.23"/>
    <n v="576926.26"/>
    <n v="64780.24"/>
    <n v="641706.5"/>
    <n v="13885.07"/>
    <n v="12481.48"/>
    <n v="0.23"/>
    <n v="17212.97"/>
    <n v="0"/>
    <n v="0"/>
    <x v="1"/>
    <n v="3"/>
  </r>
  <r>
    <n v="33053"/>
    <n v="1718402"/>
    <x v="58"/>
    <n v="0.33"/>
    <n v="837797.3"/>
    <n v="94072.12"/>
    <n v="931869.42"/>
    <n v="20163.54"/>
    <n v="102619.33"/>
    <n v="0.33"/>
    <n v="24996.23"/>
    <n v="0"/>
    <n v="0"/>
    <x v="1"/>
    <n v="3"/>
  </r>
  <r>
    <n v="33054"/>
    <n v="3204351"/>
    <x v="59"/>
    <n v="0.76"/>
    <n v="1928940.43"/>
    <n v="216591.21"/>
    <n v="2145531.64"/>
    <n v="46424.44"/>
    <n v="128415.47"/>
    <n v="0.76"/>
    <n v="57551.199999999997"/>
    <n v="0"/>
    <n v="0"/>
    <x v="1"/>
    <n v="3"/>
  </r>
  <r>
    <n v="33055"/>
    <n v="3204401"/>
    <x v="60"/>
    <n v="0.26"/>
    <n v="664719.42000000004"/>
    <n v="74638.06"/>
    <n v="739357.48"/>
    <n v="15998.02"/>
    <n v="50623.21"/>
    <n v="0.26"/>
    <n v="19832.34"/>
    <n v="0"/>
    <n v="0"/>
    <x v="1"/>
    <n v="3"/>
  </r>
  <r>
    <n v="33056"/>
    <n v="3204500"/>
    <x v="61"/>
    <n v="0.49"/>
    <n v="1244154.08"/>
    <n v="139699.93"/>
    <n v="1383854.01"/>
    <n v="29943.46"/>
    <n v="55633.120000000003"/>
    <n v="0.49"/>
    <n v="37120.15"/>
    <n v="0"/>
    <n v="0"/>
    <x v="1"/>
    <n v="3"/>
  </r>
  <r>
    <n v="33057"/>
    <n v="3204559"/>
    <x v="62"/>
    <n v="2.2400000000000002"/>
    <n v="5633810.5300000003"/>
    <n v="632592.77"/>
    <n v="6266403.2999999998"/>
    <n v="135590.76"/>
    <n v="433742.07"/>
    <n v="2.2400000000000002"/>
    <n v="168088.42"/>
    <n v="0"/>
    <n v="0"/>
    <x v="1"/>
    <n v="3"/>
  </r>
  <r>
    <n v="33058"/>
    <n v="3204609"/>
    <x v="63"/>
    <n v="0.69"/>
    <n v="1733287.21"/>
    <n v="194622.26"/>
    <n v="1927909.47"/>
    <n v="41715.589999999997"/>
    <n v="126080.19"/>
    <n v="0.69"/>
    <n v="51713.75"/>
    <n v="0"/>
    <n v="0"/>
    <x v="1"/>
    <n v="3"/>
  </r>
  <r>
    <n v="33059"/>
    <n v="3204658"/>
    <x v="64"/>
    <n v="0.45"/>
    <n v="1136293.95"/>
    <n v="127588.81"/>
    <n v="1263882.76"/>
    <n v="27347.56"/>
    <n v="30581.33"/>
    <n v="0.45"/>
    <n v="33902.07"/>
    <n v="0"/>
    <n v="0"/>
    <x v="1"/>
    <n v="3"/>
  </r>
  <r>
    <n v="33060"/>
    <n v="3204708"/>
    <x v="65"/>
    <n v="0.72"/>
    <n v="1828605.47"/>
    <n v="205325.07"/>
    <n v="2033930.54"/>
    <n v="44009.65"/>
    <n v="130824.84"/>
    <n v="0.72"/>
    <n v="54557.64"/>
    <n v="0"/>
    <n v="0"/>
    <x v="1"/>
    <n v="3"/>
  </r>
  <r>
    <n v="33061"/>
    <n v="3204807"/>
    <x v="66"/>
    <n v="0.22"/>
    <n v="554350.92000000004"/>
    <n v="62245.34"/>
    <n v="616596.26"/>
    <n v="13341.74"/>
    <n v="62164.24"/>
    <n v="0.22"/>
    <n v="16539.419999999998"/>
    <n v="0"/>
    <n v="0"/>
    <x v="1"/>
    <n v="3"/>
  </r>
  <r>
    <n v="33062"/>
    <n v="3204906"/>
    <x v="67"/>
    <n v="1.8"/>
    <n v="4517583.5599999996"/>
    <n v="507257.16"/>
    <n v="5024840.72"/>
    <n v="108726.16"/>
    <n v="496484.73"/>
    <n v="1.8"/>
    <n v="134785.06"/>
    <n v="0"/>
    <n v="0"/>
    <x v="1"/>
    <n v="3"/>
  </r>
  <r>
    <n v="33063"/>
    <n v="3204955"/>
    <x v="68"/>
    <n v="0.32"/>
    <n v="822747.04"/>
    <n v="92382.2"/>
    <n v="915129.24"/>
    <n v="19801.32"/>
    <n v="56666.57"/>
    <n v="0.32"/>
    <n v="24547.200000000001"/>
    <n v="0"/>
    <n v="0"/>
    <x v="1"/>
    <n v="3"/>
  </r>
  <r>
    <n v="33064"/>
    <n v="3205002"/>
    <x v="69"/>
    <n v="13.06"/>
    <n v="32776937.629999999"/>
    <n v="3680360.51"/>
    <n v="36457298.140000001"/>
    <n v="788853.3"/>
    <n v="2707439.2"/>
    <n v="13.06"/>
    <n v="977921.36"/>
    <n v="0"/>
    <n v="0"/>
    <x v="1"/>
    <n v="3"/>
  </r>
  <r>
    <n v="33065"/>
    <n v="3205010"/>
    <x v="70"/>
    <n v="0.7"/>
    <n v="1768404.45"/>
    <n v="198565.4"/>
    <n v="1966969.85"/>
    <n v="42560.77"/>
    <n v="78335.09"/>
    <n v="0.7"/>
    <n v="52761.5"/>
    <n v="0"/>
    <n v="0"/>
    <x v="1"/>
    <n v="3"/>
  </r>
  <r>
    <n v="33066"/>
    <n v="3205036"/>
    <x v="71"/>
    <n v="0.47"/>
    <n v="1193986.57"/>
    <n v="134066.85"/>
    <n v="1328053.42"/>
    <n v="28736.07"/>
    <n v="129667.97"/>
    <n v="0.47"/>
    <n v="35623.370000000003"/>
    <n v="0"/>
    <n v="0"/>
    <x v="1"/>
    <n v="3"/>
  </r>
  <r>
    <n v="33067"/>
    <n v="3205069"/>
    <x v="72"/>
    <n v="0.72"/>
    <n v="1808538.45"/>
    <n v="203071.85"/>
    <n v="2011610.3"/>
    <n v="43526.69"/>
    <n v="218591.72"/>
    <n v="0.72"/>
    <n v="53958.93"/>
    <n v="0"/>
    <n v="0"/>
    <x v="1"/>
    <n v="3"/>
  </r>
  <r>
    <n v="33068"/>
    <n v="2112803"/>
    <x v="73"/>
    <n v="2.25"/>
    <n v="5651369.1299999999"/>
    <n v="634564.32999999996"/>
    <n v="6285933.46"/>
    <n v="136013.35"/>
    <n v="585190.9"/>
    <n v="2.25"/>
    <n v="168612.29"/>
    <n v="0"/>
    <n v="0"/>
    <x v="1"/>
    <n v="3"/>
  </r>
  <r>
    <n v="33069"/>
    <n v="3205150"/>
    <x v="74"/>
    <n v="0.32"/>
    <n v="820238.67"/>
    <n v="92100.55"/>
    <n v="912339.22"/>
    <n v="19740.95"/>
    <n v="28218.66"/>
    <n v="0.32"/>
    <n v="24472.36"/>
    <n v="0"/>
    <n v="0"/>
    <x v="1"/>
    <n v="3"/>
  </r>
  <r>
    <n v="33070"/>
    <n v="3205176"/>
    <x v="75"/>
    <n v="0.61"/>
    <n v="1545159.08"/>
    <n v="173498.31"/>
    <n v="1718657.39"/>
    <n v="37187.85"/>
    <n v="66286.92"/>
    <n v="0.61"/>
    <n v="46100.83"/>
    <n v="0"/>
    <n v="0"/>
    <x v="1"/>
    <n v="3"/>
  </r>
  <r>
    <n v="33071"/>
    <n v="3205200"/>
    <x v="76"/>
    <n v="5.55"/>
    <n v="13939040.49"/>
    <n v="1565146.06"/>
    <n v="15504186.550000001"/>
    <n v="335475.45"/>
    <n v="2930473.8"/>
    <n v="5.55"/>
    <n v="415880.39"/>
    <n v="0"/>
    <n v="0"/>
    <x v="1"/>
    <n v="3"/>
  </r>
  <r>
    <n v="33072"/>
    <n v="3205309"/>
    <x v="77"/>
    <n v="15.84"/>
    <n v="39740187.159999996"/>
    <n v="4462229.51"/>
    <n v="44202416.670000002"/>
    <n v="956440.1"/>
    <n v="4498704.49"/>
    <n v="15.84"/>
    <n v="1185674.3899999999"/>
    <n v="0"/>
    <n v="0"/>
    <x v="1"/>
    <n v="3"/>
  </r>
  <r>
    <n v="33073"/>
    <n v="3200102"/>
    <x v="0"/>
    <n v="0.79"/>
    <n v="2193908.21"/>
    <n v="164820.01999999999"/>
    <n v="2358728.23"/>
    <n v="54592.11"/>
    <n v="158899.51"/>
    <n v="0.79"/>
    <n v="68177.66"/>
    <n v="0"/>
    <n v="0"/>
    <x v="1"/>
    <n v="4"/>
  </r>
  <r>
    <n v="33074"/>
    <n v="3200169"/>
    <x v="1"/>
    <n v="0.28999999999999998"/>
    <n v="819279"/>
    <n v="61549.32"/>
    <n v="880828.32"/>
    <n v="20386.53"/>
    <n v="41992.160000000003"/>
    <n v="0.28999999999999998"/>
    <n v="25459.83"/>
    <n v="0"/>
    <n v="0"/>
    <x v="1"/>
    <n v="4"/>
  </r>
  <r>
    <n v="33075"/>
    <n v="3200136"/>
    <x v="2"/>
    <n v="0.42"/>
    <n v="1168434.83"/>
    <n v="87780.08"/>
    <n v="1256214.9099999999"/>
    <n v="29074.75"/>
    <n v="29803.39"/>
    <n v="0.42"/>
    <n v="36310.160000000003"/>
    <n v="0"/>
    <n v="0"/>
    <x v="1"/>
    <n v="4"/>
  </r>
  <r>
    <n v="33076"/>
    <n v="3200201"/>
    <x v="3"/>
    <n v="0.48"/>
    <n v="1330641.06"/>
    <n v="99966.02"/>
    <n v="1430607.08"/>
    <n v="33111"/>
    <n v="149902.51999999999"/>
    <n v="0.48"/>
    <n v="41350.86"/>
    <n v="0"/>
    <n v="0"/>
    <x v="1"/>
    <n v="4"/>
  </r>
  <r>
    <n v="33077"/>
    <n v="3200300"/>
    <x v="4"/>
    <n v="0.48"/>
    <n v="1319644.02"/>
    <n v="99139.87"/>
    <n v="1418783.89"/>
    <n v="32837.360000000001"/>
    <n v="183837.47"/>
    <n v="0.48"/>
    <n v="41009.120000000003"/>
    <n v="0"/>
    <n v="0"/>
    <x v="1"/>
    <n v="4"/>
  </r>
  <r>
    <n v="33078"/>
    <n v="3200359"/>
    <x v="5"/>
    <n v="0.22"/>
    <n v="629580.16"/>
    <n v="47297.98"/>
    <n v="676878.14"/>
    <n v="15666.16"/>
    <n v="29849.66"/>
    <n v="0.22"/>
    <n v="19564.77"/>
    <n v="0"/>
    <n v="0"/>
    <x v="1"/>
    <n v="4"/>
  </r>
  <r>
    <n v="33079"/>
    <n v="3200409"/>
    <x v="6"/>
    <n v="2.59"/>
    <n v="7142573.3600000003"/>
    <n v="536594.46"/>
    <n v="7679167.8200000003"/>
    <n v="177732.21"/>
    <n v="198453.76000000001"/>
    <n v="2.59"/>
    <n v="221961.86"/>
    <n v="0"/>
    <n v="0"/>
    <x v="1"/>
    <n v="4"/>
  </r>
  <r>
    <n v="33080"/>
    <n v="3200508"/>
    <x v="7"/>
    <n v="0.19"/>
    <n v="536105.4"/>
    <n v="40275.56"/>
    <n v="576380.96"/>
    <n v="13340.18"/>
    <n v="85198.52"/>
    <n v="0.19"/>
    <n v="16659.96"/>
    <n v="0"/>
    <n v="0"/>
    <x v="1"/>
    <n v="4"/>
  </r>
  <r>
    <n v="33081"/>
    <n v="3200607"/>
    <x v="8"/>
    <n v="5.18"/>
    <n v="14241158.560000001"/>
    <n v="1069884.23"/>
    <n v="15311042.789999999"/>
    <n v="354369.85"/>
    <n v="691593.61"/>
    <n v="5.18"/>
    <n v="442556.76"/>
    <n v="0"/>
    <n v="0"/>
    <x v="1"/>
    <n v="4"/>
  </r>
  <r>
    <n v="33082"/>
    <n v="3200706"/>
    <x v="9"/>
    <n v="0.36"/>
    <n v="1014476.35"/>
    <n v="76213.759999999995"/>
    <n v="1090690.1100000001"/>
    <n v="25243.72"/>
    <n v="60608.3"/>
    <n v="0.36"/>
    <n v="31525.75"/>
    <n v="0"/>
    <n v="0"/>
    <x v="1"/>
    <n v="4"/>
  </r>
  <r>
    <n v="33083"/>
    <n v="3200805"/>
    <x v="10"/>
    <n v="0.65"/>
    <n v="1811761.3"/>
    <n v="136110.75"/>
    <n v="1947872.05"/>
    <n v="45082.96"/>
    <n v="272843.49"/>
    <n v="0.65"/>
    <n v="56302.1"/>
    <n v="0"/>
    <n v="0"/>
    <x v="1"/>
    <n v="4"/>
  </r>
  <r>
    <n v="33084"/>
    <n v="3200904"/>
    <x v="11"/>
    <n v="0.9"/>
    <n v="2490828.14"/>
    <n v="187126.48"/>
    <n v="2677954.62"/>
    <n v="61980.52"/>
    <n v="285518.39"/>
    <n v="0.9"/>
    <n v="77404.710000000006"/>
    <n v="0"/>
    <n v="0"/>
    <x v="1"/>
    <n v="4"/>
  </r>
  <r>
    <n v="33085"/>
    <n v="3107109"/>
    <x v="12"/>
    <n v="0.41"/>
    <n v="1138192.97"/>
    <n v="85508.12"/>
    <n v="1223701.0900000001"/>
    <n v="28322.22"/>
    <n v="58623.73"/>
    <n v="0.41"/>
    <n v="35370.370000000003"/>
    <n v="0"/>
    <n v="0"/>
    <x v="1"/>
    <n v="4"/>
  </r>
  <r>
    <n v="33086"/>
    <n v="3201100"/>
    <x v="13"/>
    <n v="0.17"/>
    <n v="467373.93"/>
    <n v="35112.03"/>
    <n v="502485.96"/>
    <n v="11629.9"/>
    <n v="266580.21000000002"/>
    <n v="0.17"/>
    <n v="14524.06"/>
    <n v="0"/>
    <n v="0"/>
    <x v="1"/>
    <n v="4"/>
  </r>
  <r>
    <n v="33087"/>
    <n v="3201159"/>
    <x v="14"/>
    <n v="0.43"/>
    <n v="1204175.2"/>
    <n v="90465.11"/>
    <n v="1294640.31"/>
    <n v="29964.09"/>
    <n v="54742.61"/>
    <n v="0.43"/>
    <n v="37420.82"/>
    <n v="0"/>
    <n v="0"/>
    <x v="1"/>
    <n v="4"/>
  </r>
  <r>
    <n v="33088"/>
    <n v="3201209"/>
    <x v="15"/>
    <n v="3.11"/>
    <n v="8555692.1699999999"/>
    <n v="642756.69999999995"/>
    <n v="9198448.8699999992"/>
    <n v="212895.55"/>
    <n v="1579459.78"/>
    <n v="3.11"/>
    <n v="265875.8"/>
    <n v="0"/>
    <n v="0"/>
    <x v="1"/>
    <n v="4"/>
  </r>
  <r>
    <n v="33089"/>
    <n v="3201308"/>
    <x v="16"/>
    <n v="6.51"/>
    <n v="17908669.25"/>
    <n v="1345410.41"/>
    <n v="19254079.66"/>
    <n v="445630.34"/>
    <n v="1517826.28"/>
    <n v="6.51"/>
    <n v="556527.93999999994"/>
    <n v="0"/>
    <n v="0"/>
    <x v="1"/>
    <n v="4"/>
  </r>
  <r>
    <n v="33090"/>
    <n v="3201407"/>
    <x v="17"/>
    <n v="0.93"/>
    <n v="2573305.87"/>
    <n v="193322.7"/>
    <n v="2766628.57"/>
    <n v="64032.85"/>
    <n v="375262.16"/>
    <n v="0.93"/>
    <n v="79967.78"/>
    <n v="0"/>
    <n v="0"/>
    <x v="1"/>
    <n v="4"/>
  </r>
  <r>
    <n v="33091"/>
    <n v="3201506"/>
    <x v="18"/>
    <n v="2.2000000000000002"/>
    <n v="6051117.75"/>
    <n v="454597.53"/>
    <n v="6505715.2800000003"/>
    <n v="150572.98000000001"/>
    <n v="1095774.03"/>
    <n v="2.2000000000000002"/>
    <n v="188043.9"/>
    <n v="0"/>
    <n v="0"/>
    <x v="1"/>
    <n v="4"/>
  </r>
  <r>
    <n v="33092"/>
    <n v="3201605"/>
    <x v="19"/>
    <n v="0.57999999999999996"/>
    <n v="1608316.17"/>
    <n v="120826.69"/>
    <n v="1729142.86"/>
    <n v="40020.53"/>
    <n v="94430.35"/>
    <n v="0.57999999999999996"/>
    <n v="49979.87"/>
    <n v="0"/>
    <n v="0"/>
    <x v="1"/>
    <n v="4"/>
  </r>
  <r>
    <n v="33093"/>
    <n v="3201704"/>
    <x v="20"/>
    <n v="0.45"/>
    <n v="1253661.8400000001"/>
    <n v="94182.85"/>
    <n v="1347844.69"/>
    <n v="31195.49"/>
    <n v="62741.440000000002"/>
    <n v="0.45"/>
    <n v="38958.660000000003"/>
    <n v="0"/>
    <n v="0"/>
    <x v="1"/>
    <n v="4"/>
  </r>
  <r>
    <n v="33094"/>
    <n v="3201803"/>
    <x v="21"/>
    <n v="0.19"/>
    <n v="522359.09"/>
    <n v="39242.85"/>
    <n v="561601.93999999994"/>
    <n v="12998.12"/>
    <n v="20734.14"/>
    <n v="0.19"/>
    <n v="16232.78"/>
    <n v="0"/>
    <n v="0"/>
    <x v="1"/>
    <n v="4"/>
  </r>
  <r>
    <n v="33095"/>
    <n v="3201902"/>
    <x v="22"/>
    <n v="1.22"/>
    <n v="3365092.3"/>
    <n v="252806.62"/>
    <n v="3617898.92"/>
    <n v="83735.27"/>
    <n v="329720.93"/>
    <n v="1.22"/>
    <n v="104573.26"/>
    <n v="0"/>
    <n v="0"/>
    <x v="1"/>
    <n v="4"/>
  </r>
  <r>
    <n v="33096"/>
    <n v="3202009"/>
    <x v="23"/>
    <n v="0.24"/>
    <n v="670819.05000000005"/>
    <n v="50396.1"/>
    <n v="721215.15"/>
    <n v="16692.32"/>
    <n v="75473.119999999995"/>
    <n v="0.24"/>
    <n v="20846.3"/>
    <n v="0"/>
    <n v="0"/>
    <x v="1"/>
    <n v="4"/>
  </r>
  <r>
    <n v="33097"/>
    <n v="3202108"/>
    <x v="24"/>
    <n v="0.69"/>
    <n v="1921731.63"/>
    <n v="144372.42000000001"/>
    <n v="2066104.05"/>
    <n v="47819.41"/>
    <n v="71703.81"/>
    <n v="0.69"/>
    <n v="59719.53"/>
    <n v="0"/>
    <n v="0"/>
    <x v="1"/>
    <n v="4"/>
  </r>
  <r>
    <n v="33098"/>
    <n v="3202207"/>
    <x v="25"/>
    <n v="0.33"/>
    <n v="910004.53"/>
    <n v="68365.19"/>
    <n v="978369.72"/>
    <n v="22644.1"/>
    <n v="94554.62"/>
    <n v="0.33"/>
    <n v="28279.21"/>
    <n v="0"/>
    <n v="0"/>
    <x v="1"/>
    <n v="4"/>
  </r>
  <r>
    <n v="33099"/>
    <n v="3202256"/>
    <x v="26"/>
    <n v="0.44"/>
    <n v="1217921.5"/>
    <n v="91497.83"/>
    <n v="1309419.33"/>
    <n v="30306.15"/>
    <n v="74523.070000000007"/>
    <n v="0.44"/>
    <n v="37848"/>
    <n v="0"/>
    <n v="0"/>
    <x v="1"/>
    <n v="4"/>
  </r>
  <r>
    <n v="33100"/>
    <n v="3202306"/>
    <x v="27"/>
    <n v="0.39"/>
    <n v="1074960.03"/>
    <n v="80757.679999999993"/>
    <n v="1155717.71"/>
    <n v="26748.77"/>
    <n v="252663.82"/>
    <n v="0.39"/>
    <n v="33405.35"/>
    <n v="0"/>
    <n v="0"/>
    <x v="1"/>
    <n v="4"/>
  </r>
  <r>
    <n v="33101"/>
    <n v="3202405"/>
    <x v="28"/>
    <n v="0.91"/>
    <n v="2507323.66"/>
    <n v="188365.73"/>
    <n v="2695689.39"/>
    <n v="62390.98"/>
    <n v="1949438.23"/>
    <n v="0.91"/>
    <n v="77917.33"/>
    <n v="0"/>
    <n v="0"/>
    <x v="1"/>
    <n v="4"/>
  </r>
  <r>
    <n v="33102"/>
    <n v="3202454"/>
    <x v="29"/>
    <n v="0.36"/>
    <n v="989733.02"/>
    <n v="74354.880000000005"/>
    <n v="1064087.8999999999"/>
    <n v="24628.02"/>
    <n v="155952.51"/>
    <n v="0.36"/>
    <n v="30756.84"/>
    <n v="0"/>
    <n v="0"/>
    <x v="1"/>
    <n v="4"/>
  </r>
  <r>
    <n v="33103"/>
    <n v="3202504"/>
    <x v="30"/>
    <n v="0.27"/>
    <n v="750547.54"/>
    <n v="56385.78"/>
    <n v="806933.32"/>
    <n v="18676.25"/>
    <n v="85259.28"/>
    <n v="0.27"/>
    <n v="23323.94"/>
    <n v="0"/>
    <n v="0"/>
    <x v="1"/>
    <n v="4"/>
  </r>
  <r>
    <n v="33104"/>
    <n v="3202553"/>
    <x v="31"/>
    <n v="0.24"/>
    <n v="673568.3"/>
    <n v="50602.64"/>
    <n v="724170.94"/>
    <n v="16760.740000000002"/>
    <n v="33199.93"/>
    <n v="0.24"/>
    <n v="20931.740000000002"/>
    <n v="0"/>
    <n v="0"/>
    <x v="1"/>
    <n v="4"/>
  </r>
  <r>
    <n v="33105"/>
    <n v="3202603"/>
    <x v="32"/>
    <n v="0.37"/>
    <n v="1022724.12"/>
    <n v="76833.37"/>
    <n v="1099557.49"/>
    <n v="25448.95"/>
    <n v="142292.16"/>
    <n v="0.37"/>
    <n v="31782.07"/>
    <n v="0"/>
    <n v="0"/>
    <x v="1"/>
    <n v="4"/>
  </r>
  <r>
    <n v="33106"/>
    <n v="3202652"/>
    <x v="33"/>
    <n v="0.3"/>
    <n v="849520.84"/>
    <n v="63821.279999999999"/>
    <n v="913342.12"/>
    <n v="21139.05"/>
    <n v="62569.14"/>
    <n v="0.3"/>
    <n v="26399.62"/>
    <n v="0"/>
    <n v="0"/>
    <x v="1"/>
    <n v="4"/>
  </r>
  <r>
    <n v="33107"/>
    <n v="3202702"/>
    <x v="34"/>
    <n v="0.38"/>
    <n v="1052965.97"/>
    <n v="79105.36"/>
    <n v="1132071.33"/>
    <n v="26201.48"/>
    <n v="56702.79"/>
    <n v="0.38"/>
    <n v="32721.86"/>
    <n v="0"/>
    <n v="0"/>
    <x v="1"/>
    <n v="4"/>
  </r>
  <r>
    <n v="33108"/>
    <n v="3202801"/>
    <x v="35"/>
    <n v="2.66"/>
    <n v="7326773.6600000001"/>
    <n v="550432.72"/>
    <n v="7877206.3799999999"/>
    <n v="182315.76"/>
    <n v="180963.66"/>
    <n v="2.66"/>
    <n v="227686.05"/>
    <n v="0"/>
    <n v="0"/>
    <x v="1"/>
    <n v="4"/>
  </r>
  <r>
    <n v="33109"/>
    <n v="3202900"/>
    <x v="36"/>
    <n v="0.34"/>
    <n v="940246.36"/>
    <n v="70637.16"/>
    <n v="1010883.52"/>
    <n v="23396.62"/>
    <n v="118090.87"/>
    <n v="0.34"/>
    <n v="29219"/>
    <n v="0"/>
    <n v="0"/>
    <x v="1"/>
    <n v="4"/>
  </r>
  <r>
    <n v="33110"/>
    <n v="3203007"/>
    <x v="37"/>
    <n v="0.47"/>
    <n v="1297649.96"/>
    <n v="97487.5"/>
    <n v="1395137.46"/>
    <n v="32290.07"/>
    <n v="145740.51"/>
    <n v="0.47"/>
    <n v="40325.629999999997"/>
    <n v="0"/>
    <n v="0"/>
    <x v="1"/>
    <n v="4"/>
  </r>
  <r>
    <n v="33111"/>
    <n v="3203056"/>
    <x v="38"/>
    <n v="0.86"/>
    <n v="2378108.54"/>
    <n v="178658.26"/>
    <n v="2556766.7999999998"/>
    <n v="59175.66"/>
    <n v="170635.91"/>
    <n v="0.86"/>
    <n v="73901.850000000006"/>
    <n v="0"/>
    <n v="0"/>
    <x v="1"/>
    <n v="4"/>
  </r>
  <r>
    <n v="33112"/>
    <n v="3203106"/>
    <x v="39"/>
    <n v="0.21"/>
    <n v="588341.30000000005"/>
    <n v="44199.85"/>
    <n v="632541.15"/>
    <n v="14639.99"/>
    <n v="52651.14"/>
    <n v="0.21"/>
    <n v="18283.23"/>
    <n v="0"/>
    <n v="0"/>
    <x v="1"/>
    <n v="4"/>
  </r>
  <r>
    <n v="33113"/>
    <n v="3203130"/>
    <x v="40"/>
    <n v="0.42"/>
    <n v="1173933.3400000001"/>
    <n v="88193.15"/>
    <n v="1262126.49"/>
    <n v="29211.57"/>
    <n v="119373.31"/>
    <n v="0.42"/>
    <n v="36481.03"/>
    <n v="0"/>
    <n v="0"/>
    <x v="1"/>
    <n v="4"/>
  </r>
  <r>
    <n v="33114"/>
    <n v="3203163"/>
    <x v="41"/>
    <n v="0.38"/>
    <n v="1044718.19"/>
    <n v="78485.72"/>
    <n v="1123203.9099999999"/>
    <n v="25996.240000000002"/>
    <n v="69908.740000000005"/>
    <n v="0.38"/>
    <n v="32465.55"/>
    <n v="0"/>
    <n v="0"/>
    <x v="1"/>
    <n v="4"/>
  </r>
  <r>
    <n v="33115"/>
    <n v="3203205"/>
    <x v="42"/>
    <n v="5.75"/>
    <n v="15816483.6"/>
    <n v="1188232.44"/>
    <n v="17004716.039999999"/>
    <n v="393569.44"/>
    <n v="1246377.51"/>
    <n v="5.75"/>
    <n v="491511.39"/>
    <n v="0"/>
    <n v="0"/>
    <x v="1"/>
    <n v="4"/>
  </r>
  <r>
    <n v="33116"/>
    <n v="3203304"/>
    <x v="43"/>
    <n v="0.25"/>
    <n v="701060.9"/>
    <n v="52668.03"/>
    <n v="753728.93"/>
    <n v="17444.849999999999"/>
    <n v="75552.399999999994"/>
    <n v="0.25"/>
    <n v="21786.1"/>
    <n v="0"/>
    <n v="0"/>
    <x v="1"/>
    <n v="4"/>
  </r>
  <r>
    <n v="33117"/>
    <n v="3203320"/>
    <x v="44"/>
    <n v="0.61"/>
    <n v="1696292.44"/>
    <n v="127436.02"/>
    <n v="1823728.46"/>
    <n v="42209.69"/>
    <n v="283395.40999999997"/>
    <n v="0.61"/>
    <n v="52713.81"/>
    <n v="0"/>
    <n v="0"/>
    <x v="1"/>
    <n v="4"/>
  </r>
  <r>
    <n v="33118"/>
    <n v="3203346"/>
    <x v="45"/>
    <n v="0.65"/>
    <n v="1806262.78"/>
    <n v="135697.67000000001"/>
    <n v="1941960.45"/>
    <n v="44946.14"/>
    <n v="205000.08"/>
    <n v="0.65"/>
    <n v="56131.23"/>
    <n v="0"/>
    <n v="0"/>
    <x v="1"/>
    <n v="4"/>
  </r>
  <r>
    <n v="33119"/>
    <n v="3203353"/>
    <x v="46"/>
    <n v="0.43"/>
    <n v="1204175.2"/>
    <n v="90465.11"/>
    <n v="1294640.31"/>
    <n v="29964.09"/>
    <n v="120710.1"/>
    <n v="0.43"/>
    <n v="37420.82"/>
    <n v="0"/>
    <n v="0"/>
    <x v="1"/>
    <n v="4"/>
  </r>
  <r>
    <n v="33120"/>
    <n v="3203403"/>
    <x v="47"/>
    <n v="0.5"/>
    <n v="1374629.2"/>
    <n v="103270.67"/>
    <n v="1477899.87"/>
    <n v="34205.58"/>
    <n v="150566.67000000001"/>
    <n v="0.5"/>
    <n v="42717.83"/>
    <n v="0"/>
    <n v="0"/>
    <x v="1"/>
    <n v="4"/>
  </r>
  <r>
    <n v="33121"/>
    <n v="3203502"/>
    <x v="48"/>
    <n v="0.52"/>
    <n v="1443360.66"/>
    <n v="108434.21"/>
    <n v="1551794.87"/>
    <n v="35915.86"/>
    <n v="97608.22"/>
    <n v="0.52"/>
    <n v="44853.73"/>
    <n v="0"/>
    <n v="0"/>
    <x v="1"/>
    <n v="4"/>
  </r>
  <r>
    <n v="33122"/>
    <n v="3203601"/>
    <x v="49"/>
    <n v="0.28000000000000003"/>
    <n v="794535.67"/>
    <n v="59690.47"/>
    <n v="854226.14"/>
    <n v="19770.830000000002"/>
    <n v="20868.919999999998"/>
    <n v="0.28000000000000003"/>
    <n v="24690.91"/>
    <n v="0"/>
    <n v="0"/>
    <x v="1"/>
    <n v="4"/>
  </r>
  <r>
    <n v="33123"/>
    <n v="3203700"/>
    <x v="50"/>
    <n v="0.5"/>
    <n v="1399372.51"/>
    <n v="105129.55"/>
    <n v="1504502.06"/>
    <n v="34821.279999999999"/>
    <n v="72416.44"/>
    <n v="0.5"/>
    <n v="43486.75"/>
    <n v="0"/>
    <n v="0"/>
    <x v="1"/>
    <n v="4"/>
  </r>
  <r>
    <n v="33124"/>
    <n v="3203809"/>
    <x v="51"/>
    <n v="0.28999999999999998"/>
    <n v="802783.44"/>
    <n v="60310.080000000002"/>
    <n v="863093.52"/>
    <n v="19976.060000000001"/>
    <n v="60626.22"/>
    <n v="0.28999999999999998"/>
    <n v="24947.21"/>
    <n v="0"/>
    <n v="0"/>
    <x v="1"/>
    <n v="4"/>
  </r>
  <r>
    <n v="33125"/>
    <n v="3203908"/>
    <x v="52"/>
    <n v="1.22"/>
    <n v="3378838.57"/>
    <n v="253839.33"/>
    <n v="3632677.9"/>
    <n v="84077.32"/>
    <n v="302014.21000000002"/>
    <n v="1.22"/>
    <n v="105000.43"/>
    <n v="0"/>
    <n v="0"/>
    <x v="1"/>
    <n v="4"/>
  </r>
  <r>
    <n v="33126"/>
    <n v="3204005"/>
    <x v="53"/>
    <n v="0.47"/>
    <n v="1314145.51"/>
    <n v="98726.74"/>
    <n v="1412872.25"/>
    <n v="32700.54"/>
    <n v="58233.599999999999"/>
    <n v="0.47"/>
    <n v="40838.25"/>
    <n v="0"/>
    <n v="0"/>
    <x v="1"/>
    <n v="4"/>
  </r>
  <r>
    <n v="33127"/>
    <n v="3204054"/>
    <x v="54"/>
    <n v="0.32"/>
    <n v="890759.73"/>
    <n v="66919.41"/>
    <n v="957679.14"/>
    <n v="22165.22"/>
    <n v="120312.05"/>
    <n v="0.32"/>
    <n v="27681.16"/>
    <n v="0"/>
    <n v="0"/>
    <x v="1"/>
    <n v="4"/>
  </r>
  <r>
    <n v="33128"/>
    <n v="3204104"/>
    <x v="55"/>
    <n v="0.66"/>
    <n v="1828256.83"/>
    <n v="137350.01999999999"/>
    <n v="1965606.85"/>
    <n v="45493.43"/>
    <n v="109642.8"/>
    <n v="0.66"/>
    <n v="56814.720000000001"/>
    <n v="0"/>
    <n v="0"/>
    <x v="1"/>
    <n v="4"/>
  </r>
  <r>
    <n v="33129"/>
    <n v="3204203"/>
    <x v="56"/>
    <n v="0.15"/>
    <n v="420636.53"/>
    <n v="31600.83"/>
    <n v="452237.36"/>
    <n v="10466.91"/>
    <n v="223262.32"/>
    <n v="0.15"/>
    <n v="13071.66"/>
    <n v="0"/>
    <n v="0"/>
    <x v="1"/>
    <n v="4"/>
  </r>
  <r>
    <n v="33130"/>
    <n v="3204252"/>
    <x v="57"/>
    <n v="0.23"/>
    <n v="632329.43999999994"/>
    <n v="47504.5"/>
    <n v="679833.94"/>
    <n v="15734.57"/>
    <n v="20222.27"/>
    <n v="0.23"/>
    <n v="19650.2"/>
    <n v="0"/>
    <n v="0"/>
    <x v="1"/>
    <n v="4"/>
  </r>
  <r>
    <n v="33131"/>
    <n v="1718402"/>
    <x v="58"/>
    <n v="0.33"/>
    <n v="918252.3"/>
    <n v="68984.820000000007"/>
    <n v="987237.12"/>
    <n v="22849.33"/>
    <n v="128598.98"/>
    <n v="0.33"/>
    <n v="28535.51"/>
    <n v="0"/>
    <n v="0"/>
    <x v="1"/>
    <n v="4"/>
  </r>
  <r>
    <n v="33132"/>
    <n v="3204351"/>
    <x v="59"/>
    <n v="0.76"/>
    <n v="2114179.71"/>
    <n v="158830.32"/>
    <n v="2273010.0299999998"/>
    <n v="52608.19"/>
    <n v="166527.88"/>
    <n v="0.76"/>
    <n v="65700.03"/>
    <n v="0"/>
    <n v="0"/>
    <x v="1"/>
    <n v="4"/>
  </r>
  <r>
    <n v="33133"/>
    <n v="3204401"/>
    <x v="60"/>
    <n v="0.26"/>
    <n v="728553.49"/>
    <n v="54733.47"/>
    <n v="783286.96"/>
    <n v="18128.96"/>
    <n v="71864.97"/>
    <n v="0.26"/>
    <n v="22640.45"/>
    <n v="0"/>
    <n v="0"/>
    <x v="1"/>
    <n v="4"/>
  </r>
  <r>
    <n v="33134"/>
    <n v="3204500"/>
    <x v="61"/>
    <n v="0.49"/>
    <n v="1363632.16"/>
    <n v="102444.52"/>
    <n v="1466076.68"/>
    <n v="33931.94"/>
    <n v="53167.41"/>
    <n v="0.49"/>
    <n v="42376.09"/>
    <n v="0"/>
    <n v="0"/>
    <x v="1"/>
    <n v="4"/>
  </r>
  <r>
    <n v="33135"/>
    <n v="3204559"/>
    <x v="62"/>
    <n v="2.2400000000000002"/>
    <n v="6174834.3899999997"/>
    <n v="463891.9"/>
    <n v="6638726.29"/>
    <n v="153651.48000000001"/>
    <n v="451023.91"/>
    <n v="2.2400000000000002"/>
    <n v="191888.51"/>
    <n v="0"/>
    <n v="0"/>
    <x v="1"/>
    <n v="4"/>
  </r>
  <r>
    <n v="33136"/>
    <n v="3204609"/>
    <x v="63"/>
    <n v="0.69"/>
    <n v="1899737.54"/>
    <n v="142720.06"/>
    <n v="2042457.6"/>
    <n v="47272.12"/>
    <n v="208748.63"/>
    <n v="0.69"/>
    <n v="59036.05"/>
    <n v="0"/>
    <n v="0"/>
    <x v="1"/>
    <n v="4"/>
  </r>
  <r>
    <n v="33137"/>
    <n v="3204658"/>
    <x v="64"/>
    <n v="0.45"/>
    <n v="1245414.06"/>
    <n v="93563.24"/>
    <n v="1338977.3"/>
    <n v="30990.26"/>
    <n v="80730.880000000005"/>
    <n v="0.45"/>
    <n v="38702.36"/>
    <n v="0"/>
    <n v="0"/>
    <x v="1"/>
    <n v="4"/>
  </r>
  <r>
    <n v="33138"/>
    <n v="3204708"/>
    <x v="65"/>
    <n v="0.72"/>
    <n v="2004209.37"/>
    <n v="150568.64000000001"/>
    <n v="2154778.0099999998"/>
    <n v="49871.74"/>
    <n v="184387.39"/>
    <n v="0.72"/>
    <n v="62282.6"/>
    <n v="0"/>
    <n v="0"/>
    <x v="1"/>
    <n v="4"/>
  </r>
  <r>
    <n v="33139"/>
    <n v="3204807"/>
    <x v="66"/>
    <n v="0.22"/>
    <n v="607586.11"/>
    <n v="45645.62"/>
    <n v="653231.73"/>
    <n v="15118.87"/>
    <n v="88191.44"/>
    <n v="0.22"/>
    <n v="18881.28"/>
    <n v="0"/>
    <n v="0"/>
    <x v="1"/>
    <n v="4"/>
  </r>
  <r>
    <n v="33140"/>
    <n v="3204906"/>
    <x v="67"/>
    <n v="1.8"/>
    <n v="4951414.3899999997"/>
    <n v="371980.99"/>
    <n v="5323395.38"/>
    <n v="123208.51"/>
    <n v="739130.16"/>
    <n v="1.8"/>
    <n v="153869.64000000001"/>
    <n v="0"/>
    <n v="0"/>
    <x v="1"/>
    <n v="4"/>
  </r>
  <r>
    <n v="33141"/>
    <n v="3204955"/>
    <x v="68"/>
    <n v="0.32"/>
    <n v="901756.77"/>
    <n v="67745.58"/>
    <n v="969502.35"/>
    <n v="22438.86"/>
    <n v="68036.899999999994"/>
    <n v="0.32"/>
    <n v="28022.9"/>
    <n v="0"/>
    <n v="0"/>
    <x v="1"/>
    <n v="4"/>
  </r>
  <r>
    <n v="33142"/>
    <n v="3205002"/>
    <x v="69"/>
    <n v="13.06"/>
    <n v="35924559.619999997"/>
    <n v="2698875.97"/>
    <n v="38623435.590000004"/>
    <n v="893928.72"/>
    <n v="3031493.35"/>
    <n v="13.06"/>
    <n v="1116387.8600000001"/>
    <n v="0"/>
    <n v="0"/>
    <x v="1"/>
    <n v="4"/>
  </r>
  <r>
    <n v="33143"/>
    <n v="3205010"/>
    <x v="70"/>
    <n v="0.7"/>
    <n v="1938227.18"/>
    <n v="145611.65"/>
    <n v="2083838.83"/>
    <n v="48229.87"/>
    <n v="93270.46"/>
    <n v="0.7"/>
    <n v="60232.15"/>
    <n v="0"/>
    <n v="0"/>
    <x v="1"/>
    <n v="4"/>
  </r>
  <r>
    <n v="33144"/>
    <n v="3205036"/>
    <x v="71"/>
    <n v="0.47"/>
    <n v="1308646.98"/>
    <n v="98313.68"/>
    <n v="1406960.66"/>
    <n v="32563.72"/>
    <n v="175039.03"/>
    <n v="0.47"/>
    <n v="40667.379999999997"/>
    <n v="0"/>
    <n v="0"/>
    <x v="1"/>
    <n v="4"/>
  </r>
  <r>
    <n v="33145"/>
    <n v="3205069"/>
    <x v="72"/>
    <n v="0.72"/>
    <n v="1982215.32"/>
    <n v="148916.31"/>
    <n v="2131131.63"/>
    <n v="49324.45"/>
    <n v="311231.59999999998"/>
    <n v="0.72"/>
    <n v="61599.12"/>
    <n v="0"/>
    <n v="0"/>
    <x v="1"/>
    <n v="4"/>
  </r>
  <r>
    <n v="33146"/>
    <n v="2112803"/>
    <x v="73"/>
    <n v="2.25"/>
    <n v="6194079.1799999997"/>
    <n v="465337.68"/>
    <n v="6659416.8600000003"/>
    <n v="154130.35999999999"/>
    <n v="473467.15"/>
    <n v="2.25"/>
    <n v="192486.56"/>
    <n v="0"/>
    <n v="0"/>
    <x v="1"/>
    <n v="4"/>
  </r>
  <r>
    <n v="33147"/>
    <n v="3205150"/>
    <x v="74"/>
    <n v="0.32"/>
    <n v="899007.48"/>
    <n v="67539.03"/>
    <n v="966546.51"/>
    <n v="22370.45"/>
    <n v="40087.82"/>
    <n v="0.32"/>
    <n v="27937.47"/>
    <n v="0"/>
    <n v="0"/>
    <x v="1"/>
    <n v="4"/>
  </r>
  <r>
    <n v="33148"/>
    <n v="3205176"/>
    <x v="75"/>
    <n v="0.61"/>
    <n v="1693543.18"/>
    <n v="127229.5"/>
    <n v="1820772.68"/>
    <n v="42141.279999999999"/>
    <n v="82103.05"/>
    <n v="0.61"/>
    <n v="52628.37"/>
    <n v="0"/>
    <n v="0"/>
    <x v="1"/>
    <n v="4"/>
  </r>
  <r>
    <n v="33149"/>
    <n v="3205200"/>
    <x v="76"/>
    <n v="5.55"/>
    <n v="15277628.970000001"/>
    <n v="1147750.3500000001"/>
    <n v="16425379.32"/>
    <n v="380160.86"/>
    <n v="3844881.49"/>
    <n v="5.55"/>
    <n v="474766"/>
    <n v="0"/>
    <n v="0"/>
    <x v="1"/>
    <n v="4"/>
  </r>
  <r>
    <n v="33150"/>
    <n v="3205309"/>
    <x v="77"/>
    <n v="15.84"/>
    <n v="43556501.090000004"/>
    <n v="3272234.89"/>
    <n v="46828735.979999997"/>
    <n v="1083838.1200000001"/>
    <n v="5157627.08"/>
    <n v="15.84"/>
    <n v="1353557.28"/>
    <n v="0"/>
    <n v="0"/>
    <x v="1"/>
    <n v="4"/>
  </r>
  <r>
    <n v="33151"/>
    <n v="3200102"/>
    <x v="0"/>
    <n v="0.79"/>
    <n v="1960418.61"/>
    <n v="152645.76999999999"/>
    <n v="2113064.38"/>
    <n v="47374.33"/>
    <n v="118677.66"/>
    <n v="0.79"/>
    <n v="79100.77"/>
    <n v="0"/>
    <n v="0"/>
    <x v="1"/>
    <n v="5"/>
  </r>
  <r>
    <n v="33152"/>
    <n v="3200169"/>
    <x v="1"/>
    <n v="0.28999999999999998"/>
    <n v="732086.14"/>
    <n v="57003.08"/>
    <n v="789089.22"/>
    <n v="17691.169999999998"/>
    <n v="35131.980000000003"/>
    <n v="0.28999999999999998"/>
    <n v="29538.880000000001"/>
    <n v="0"/>
    <n v="0"/>
    <x v="1"/>
    <n v="5"/>
  </r>
  <r>
    <n v="33153"/>
    <n v="3200136"/>
    <x v="2"/>
    <n v="0.42"/>
    <n v="1044082.61"/>
    <n v="81296.3"/>
    <n v="1125378.9099999999"/>
    <n v="25230.69"/>
    <n v="31659.67"/>
    <n v="0.42"/>
    <n v="42127.6"/>
    <n v="0"/>
    <n v="0"/>
    <x v="1"/>
    <n v="5"/>
  </r>
  <r>
    <n v="33154"/>
    <n v="3200201"/>
    <x v="3"/>
    <n v="0.48"/>
    <n v="1189025.81"/>
    <n v="92582.14"/>
    <n v="1281607.95"/>
    <n v="28733.3"/>
    <n v="79471.53"/>
    <n v="0.48"/>
    <n v="47975.9"/>
    <n v="0"/>
    <n v="0"/>
    <x v="1"/>
    <n v="5"/>
  </r>
  <r>
    <n v="33155"/>
    <n v="3200300"/>
    <x v="4"/>
    <n v="0.48"/>
    <n v="1179199.17"/>
    <n v="91816.97"/>
    <n v="1271016.1399999999"/>
    <n v="28495.84"/>
    <n v="91835.28"/>
    <n v="0.48"/>
    <n v="47579.41"/>
    <n v="0"/>
    <n v="0"/>
    <x v="1"/>
    <n v="5"/>
  </r>
  <r>
    <n v="33156"/>
    <n v="3200359"/>
    <x v="5"/>
    <n v="0.22"/>
    <n v="562576.27"/>
    <n v="43804.33"/>
    <n v="606380.6"/>
    <n v="13594.89"/>
    <n v="22382.76"/>
    <n v="0.22"/>
    <n v="22699.34"/>
    <n v="0"/>
    <n v="0"/>
    <x v="1"/>
    <n v="5"/>
  </r>
  <r>
    <n v="33157"/>
    <n v="3200409"/>
    <x v="6"/>
    <n v="2.59"/>
    <n v="6382415.4500000002"/>
    <n v="496959.54"/>
    <n v="6879374.9900000002"/>
    <n v="154233.72"/>
    <n v="136180.65"/>
    <n v="2.59"/>
    <n v="257523.55"/>
    <n v="0"/>
    <n v="0"/>
    <x v="1"/>
    <n v="5"/>
  </r>
  <r>
    <n v="33158"/>
    <n v="3200508"/>
    <x v="7"/>
    <n v="0.19"/>
    <n v="479049.65"/>
    <n v="37300.65"/>
    <n v="516350.3"/>
    <n v="11576.43"/>
    <n v="62592.98"/>
    <n v="0.19"/>
    <n v="19329.13"/>
    <n v="0"/>
    <n v="0"/>
    <x v="1"/>
    <n v="5"/>
  </r>
  <r>
    <n v="33159"/>
    <n v="3200607"/>
    <x v="8"/>
    <n v="5.18"/>
    <n v="12725524.25"/>
    <n v="990858.53"/>
    <n v="13716382.779999999"/>
    <n v="307517.58"/>
    <n v="383706.45"/>
    <n v="5.18"/>
    <n v="513461.12"/>
    <n v="0"/>
    <n v="0"/>
    <x v="1"/>
    <n v="5"/>
  </r>
  <r>
    <n v="33160"/>
    <n v="3200706"/>
    <x v="9"/>
    <n v="0.36"/>
    <n v="906509.36"/>
    <n v="70584.33"/>
    <n v="977093.69"/>
    <n v="21906.17"/>
    <n v="30057.279999999999"/>
    <n v="0.36"/>
    <n v="36576.67"/>
    <n v="0"/>
    <n v="0"/>
    <x v="1"/>
    <n v="5"/>
  </r>
  <r>
    <n v="33161"/>
    <n v="3200805"/>
    <x v="10"/>
    <n v="0.65"/>
    <n v="1618942.19"/>
    <n v="126057.09"/>
    <n v="1744999.28"/>
    <n v="39122.410000000003"/>
    <n v="172250.01"/>
    <n v="0.65"/>
    <n v="65322.559999999998"/>
    <n v="0"/>
    <n v="0"/>
    <x v="1"/>
    <n v="5"/>
  </r>
  <r>
    <n v="33162"/>
    <n v="3200904"/>
    <x v="11"/>
    <n v="0.9"/>
    <n v="2225738.4"/>
    <n v="173304.59"/>
    <n v="2399042.9900000002"/>
    <n v="53785.89"/>
    <n v="196439.19"/>
    <n v="0.9"/>
    <n v="89806.13"/>
    <n v="0"/>
    <n v="0"/>
    <x v="1"/>
    <n v="5"/>
  </r>
  <r>
    <n v="33163"/>
    <n v="3107109"/>
    <x v="12"/>
    <n v="0.41"/>
    <n v="1017059.27"/>
    <n v="79192.17"/>
    <n v="1096251.44"/>
    <n v="24577.66"/>
    <n v="40878.61"/>
    <n v="0.41"/>
    <n v="41037.24"/>
    <n v="0"/>
    <n v="0"/>
    <x v="1"/>
    <n v="5"/>
  </r>
  <r>
    <n v="33164"/>
    <n v="3201100"/>
    <x v="13"/>
    <n v="0.17"/>
    <n v="417633.03"/>
    <n v="32518.51"/>
    <n v="450151.54"/>
    <n v="10092.280000000001"/>
    <n v="130273.72"/>
    <n v="0.17"/>
    <n v="16851.04"/>
    <n v="0"/>
    <n v="0"/>
    <x v="1"/>
    <n v="5"/>
  </r>
  <r>
    <n v="33165"/>
    <n v="3201159"/>
    <x v="14"/>
    <n v="0.43"/>
    <n v="1076019.23"/>
    <n v="83783.009999999995"/>
    <n v="1159802.24"/>
    <n v="26002.45"/>
    <n v="34332.29"/>
    <n v="0.43"/>
    <n v="43416.21"/>
    <n v="0"/>
    <n v="0"/>
    <x v="1"/>
    <n v="5"/>
  </r>
  <r>
    <n v="33166"/>
    <n v="3201209"/>
    <x v="15"/>
    <n v="3.11"/>
    <n v="7645141.2199999997"/>
    <n v="595280.25"/>
    <n v="8240421.4699999997"/>
    <n v="184748.01"/>
    <n v="832860.5"/>
    <n v="3.11"/>
    <n v="308473.17"/>
    <n v="0"/>
    <n v="0"/>
    <x v="1"/>
    <n v="5"/>
  </r>
  <r>
    <n v="33167"/>
    <n v="3201308"/>
    <x v="16"/>
    <n v="6.51"/>
    <n v="16002715.25"/>
    <n v="1246033.28"/>
    <n v="17248748.530000001"/>
    <n v="386712.26"/>
    <n v="1106349.1599999999"/>
    <n v="6.51"/>
    <n v="645692.23"/>
    <n v="0"/>
    <n v="0"/>
    <x v="1"/>
    <n v="5"/>
  </r>
  <r>
    <n v="33168"/>
    <n v="3201407"/>
    <x v="17"/>
    <n v="0.93"/>
    <n v="2299438.38"/>
    <n v="179043.14"/>
    <n v="2478481.52"/>
    <n v="55566.879999999997"/>
    <n v="198433.81"/>
    <n v="0.93"/>
    <n v="92779.85"/>
    <n v="0"/>
    <n v="0"/>
    <x v="1"/>
    <n v="5"/>
  </r>
  <r>
    <n v="33169"/>
    <n v="3201506"/>
    <x v="18"/>
    <n v="2.2000000000000002"/>
    <n v="5407119.4800000004"/>
    <n v="421019.22"/>
    <n v="5828138.7000000002"/>
    <n v="130665.29"/>
    <n v="513772.15"/>
    <n v="2.2000000000000002"/>
    <n v="218171.41"/>
    <n v="0"/>
    <n v="0"/>
    <x v="1"/>
    <n v="5"/>
  </r>
  <r>
    <n v="33170"/>
    <n v="3201605"/>
    <x v="19"/>
    <n v="0.57999999999999996"/>
    <n v="1437148.99"/>
    <n v="111901.98"/>
    <n v="1549050.97"/>
    <n v="34729.300000000003"/>
    <n v="52695.32"/>
    <n v="0.57999999999999996"/>
    <n v="57987.4"/>
    <n v="0"/>
    <n v="0"/>
    <x v="1"/>
    <n v="5"/>
  </r>
  <r>
    <n v="33171"/>
    <n v="3201704"/>
    <x v="20"/>
    <n v="0.45"/>
    <n v="1120239.19"/>
    <n v="87226.18"/>
    <n v="1207465.3700000001"/>
    <n v="27071.05"/>
    <n v="56490.23"/>
    <n v="0.45"/>
    <n v="45200.44"/>
    <n v="0"/>
    <n v="0"/>
    <x v="1"/>
    <n v="5"/>
  </r>
  <r>
    <n v="33172"/>
    <n v="3201803"/>
    <x v="21"/>
    <n v="0.19"/>
    <n v="466766.34"/>
    <n v="36344.239999999998"/>
    <n v="503110.58"/>
    <n v="11279.6"/>
    <n v="13656.99"/>
    <n v="0.19"/>
    <n v="18833.52"/>
    <n v="0"/>
    <n v="0"/>
    <x v="1"/>
    <n v="5"/>
  </r>
  <r>
    <n v="33173"/>
    <n v="3201902"/>
    <x v="22"/>
    <n v="1.22"/>
    <n v="3006957.85"/>
    <n v="234133.37"/>
    <n v="3241091.22"/>
    <n v="72664.38"/>
    <n v="212931.5"/>
    <n v="1.22"/>
    <n v="121327.49"/>
    <n v="0"/>
    <n v="0"/>
    <x v="1"/>
    <n v="5"/>
  </r>
  <r>
    <n v="33174"/>
    <n v="3202009"/>
    <x v="23"/>
    <n v="0.24"/>
    <n v="599426.24"/>
    <n v="46673.63"/>
    <n v="646099.87"/>
    <n v="14485.38"/>
    <n v="45059.33"/>
    <n v="0.24"/>
    <n v="24186.2"/>
    <n v="0"/>
    <n v="0"/>
    <x v="1"/>
    <n v="5"/>
  </r>
  <r>
    <n v="33175"/>
    <n v="3202108"/>
    <x v="24"/>
    <n v="0.69"/>
    <n v="1717208.76"/>
    <n v="133708.51"/>
    <n v="1850917.27"/>
    <n v="41497.06"/>
    <n v="50092.31"/>
    <n v="0.69"/>
    <n v="69287.509999999995"/>
    <n v="0"/>
    <n v="0"/>
    <x v="1"/>
    <n v="5"/>
  </r>
  <r>
    <n v="33176"/>
    <n v="3202207"/>
    <x v="25"/>
    <n v="0.33"/>
    <n v="813156.09"/>
    <n v="63315.48"/>
    <n v="876471.57"/>
    <n v="19650.25"/>
    <n v="52448.93"/>
    <n v="0.33"/>
    <n v="32809.97"/>
    <n v="0"/>
    <n v="0"/>
    <x v="1"/>
    <n v="5"/>
  </r>
  <r>
    <n v="33177"/>
    <n v="3202256"/>
    <x v="26"/>
    <n v="0.44"/>
    <n v="1088302.57"/>
    <n v="84739.45"/>
    <n v="1173042.02"/>
    <n v="26299.279999999999"/>
    <n v="46868"/>
    <n v="0.44"/>
    <n v="43911.83"/>
    <n v="0"/>
    <n v="0"/>
    <x v="1"/>
    <n v="5"/>
  </r>
  <r>
    <n v="33178"/>
    <n v="3202306"/>
    <x v="27"/>
    <n v="0.39"/>
    <n v="960555.99"/>
    <n v="74792.61"/>
    <n v="1035348.6"/>
    <n v="23212.23"/>
    <n v="167691.98000000001"/>
    <n v="0.39"/>
    <n v="38757.39"/>
    <n v="0"/>
    <n v="0"/>
    <x v="1"/>
    <n v="5"/>
  </r>
  <r>
    <n v="33179"/>
    <n v="3202405"/>
    <x v="28"/>
    <n v="0.91"/>
    <n v="2240478.39"/>
    <n v="174452.28"/>
    <n v="2414930.67"/>
    <n v="54142.09"/>
    <n v="934932.15"/>
    <n v="0.91"/>
    <n v="90400.88"/>
    <n v="0"/>
    <n v="0"/>
    <x v="1"/>
    <n v="5"/>
  </r>
  <r>
    <n v="33180"/>
    <n v="3202454"/>
    <x v="29"/>
    <n v="0.36"/>
    <n v="884399.37"/>
    <n v="68862.77"/>
    <n v="953262.14"/>
    <n v="21371.88"/>
    <n v="101324.55"/>
    <n v="0.36"/>
    <n v="35684.559999999998"/>
    <n v="0"/>
    <n v="0"/>
    <x v="1"/>
    <n v="5"/>
  </r>
  <r>
    <n v="33181"/>
    <n v="3202504"/>
    <x v="30"/>
    <n v="0.27"/>
    <n v="670669.52"/>
    <n v="52220.9"/>
    <n v="722890.42"/>
    <n v="16207.01"/>
    <n v="47690.17"/>
    <n v="0.27"/>
    <n v="27060.79"/>
    <n v="0"/>
    <n v="0"/>
    <x v="1"/>
    <n v="5"/>
  </r>
  <r>
    <n v="33182"/>
    <n v="3202553"/>
    <x v="31"/>
    <n v="0.24"/>
    <n v="601882.9"/>
    <n v="46864.92"/>
    <n v="648747.81999999995"/>
    <n v="14544.75"/>
    <n v="23998.31"/>
    <n v="0.24"/>
    <n v="24285.32"/>
    <n v="0"/>
    <n v="0"/>
    <x v="1"/>
    <n v="5"/>
  </r>
  <r>
    <n v="33183"/>
    <n v="3202603"/>
    <x v="32"/>
    <n v="0.37"/>
    <n v="913879.37"/>
    <n v="71158.179999999993"/>
    <n v="985037.55"/>
    <n v="22084.27"/>
    <n v="124443.01"/>
    <n v="0.37"/>
    <n v="36874.04"/>
    <n v="0"/>
    <n v="0"/>
    <x v="1"/>
    <n v="5"/>
  </r>
  <r>
    <n v="33184"/>
    <n v="3202652"/>
    <x v="33"/>
    <n v="0.3"/>
    <n v="759109.46"/>
    <n v="59107.22"/>
    <n v="818216.68"/>
    <n v="18344.2"/>
    <n v="57354.32"/>
    <n v="0.3"/>
    <n v="30629.24"/>
    <n v="0"/>
    <n v="0"/>
    <x v="1"/>
    <n v="5"/>
  </r>
  <r>
    <n v="33185"/>
    <n v="3202702"/>
    <x v="34"/>
    <n v="0.38"/>
    <n v="940902.66"/>
    <n v="73262.320000000007"/>
    <n v="1014164.98"/>
    <n v="22737.3"/>
    <n v="36158.58"/>
    <n v="0.38"/>
    <n v="37964.400000000001"/>
    <n v="0"/>
    <n v="0"/>
    <x v="1"/>
    <n v="5"/>
  </r>
  <r>
    <n v="33186"/>
    <n v="3202801"/>
    <x v="35"/>
    <n v="2.66"/>
    <n v="6547011.9900000002"/>
    <n v="509775.69"/>
    <n v="7056787.6799999997"/>
    <n v="158211.26"/>
    <n v="117942.45"/>
    <n v="2.66"/>
    <n v="264164.84000000003"/>
    <n v="0"/>
    <n v="0"/>
    <x v="1"/>
    <n v="5"/>
  </r>
  <r>
    <n v="33187"/>
    <n v="3202900"/>
    <x v="36"/>
    <n v="0.34"/>
    <n v="840179.4"/>
    <n v="65419.62"/>
    <n v="905599.02"/>
    <n v="20303.28"/>
    <n v="58892.11"/>
    <n v="0.34"/>
    <n v="33900.33"/>
    <n v="0"/>
    <n v="0"/>
    <x v="1"/>
    <n v="5"/>
  </r>
  <r>
    <n v="33188"/>
    <n v="3203007"/>
    <x v="37"/>
    <n v="0.47"/>
    <n v="1159545.83"/>
    <n v="90286.73"/>
    <n v="1249832.56"/>
    <n v="28020.91"/>
    <n v="87963.43"/>
    <n v="0.47"/>
    <n v="46786.42"/>
    <n v="0"/>
    <n v="0"/>
    <x v="1"/>
    <n v="5"/>
  </r>
  <r>
    <n v="33189"/>
    <n v="3203056"/>
    <x v="38"/>
    <n v="0.86"/>
    <n v="2125015.13"/>
    <n v="165461.91"/>
    <n v="2290477.04"/>
    <n v="51351.87"/>
    <n v="98724.86"/>
    <n v="0.86"/>
    <n v="85742.06"/>
    <n v="0"/>
    <n v="0"/>
    <x v="1"/>
    <n v="5"/>
  </r>
  <r>
    <n v="33190"/>
    <n v="3203106"/>
    <x v="39"/>
    <n v="0.21"/>
    <n v="525726.31000000006"/>
    <n v="40935.08"/>
    <n v="566661.39"/>
    <n v="12704.39"/>
    <n v="27544.46"/>
    <n v="0.21"/>
    <n v="21212.49"/>
    <n v="0"/>
    <n v="0"/>
    <x v="1"/>
    <n v="5"/>
  </r>
  <r>
    <n v="33191"/>
    <n v="3203130"/>
    <x v="40"/>
    <n v="0.42"/>
    <n v="1048995.94"/>
    <n v="81678.86"/>
    <n v="1130674.8"/>
    <n v="25349.42"/>
    <n v="83204.31"/>
    <n v="0.42"/>
    <n v="42325.85"/>
    <n v="0"/>
    <n v="0"/>
    <x v="1"/>
    <n v="5"/>
  </r>
  <r>
    <n v="33192"/>
    <n v="3203163"/>
    <x v="41"/>
    <n v="0.38"/>
    <n v="933532.69"/>
    <n v="72688.460000000006"/>
    <n v="1006221.15"/>
    <n v="22559.200000000001"/>
    <n v="50358.19"/>
    <n v="0.38"/>
    <n v="37667.03"/>
    <n v="0"/>
    <n v="0"/>
    <x v="1"/>
    <n v="5"/>
  </r>
  <r>
    <n v="33193"/>
    <n v="3203205"/>
    <x v="42"/>
    <n v="5.75"/>
    <n v="14133193.23"/>
    <n v="1100465.06"/>
    <n v="15233658.289999999"/>
    <n v="341534.48"/>
    <n v="673294.03"/>
    <n v="5.75"/>
    <n v="570259.04"/>
    <n v="0"/>
    <n v="0"/>
    <x v="1"/>
    <n v="5"/>
  </r>
  <r>
    <n v="33194"/>
    <n v="3203304"/>
    <x v="43"/>
    <n v="0.25"/>
    <n v="626449.57999999996"/>
    <n v="48777.79"/>
    <n v="675227.37"/>
    <n v="15138.41"/>
    <n v="41037.480000000003"/>
    <n v="0.25"/>
    <n v="25276.560000000001"/>
    <n v="0"/>
    <n v="0"/>
    <x v="1"/>
    <n v="5"/>
  </r>
  <r>
    <n v="33195"/>
    <n v="3203320"/>
    <x v="44"/>
    <n v="0.61"/>
    <n v="1515762.27"/>
    <n v="118023.13"/>
    <n v="1633785.4"/>
    <n v="36629.019999999997"/>
    <n v="182516.85"/>
    <n v="0.61"/>
    <n v="61159.37"/>
    <n v="0"/>
    <n v="0"/>
    <x v="1"/>
    <n v="5"/>
  </r>
  <r>
    <n v="33196"/>
    <n v="3203346"/>
    <x v="45"/>
    <n v="0.65"/>
    <n v="1614028.82"/>
    <n v="125674.55"/>
    <n v="1739703.37"/>
    <n v="39003.68"/>
    <n v="138328.42000000001"/>
    <n v="0.65"/>
    <n v="65124.32"/>
    <n v="0"/>
    <n v="0"/>
    <x v="1"/>
    <n v="5"/>
  </r>
  <r>
    <n v="33197"/>
    <n v="3203353"/>
    <x v="46"/>
    <n v="0.43"/>
    <n v="1076019.23"/>
    <n v="83783.009999999995"/>
    <n v="1159802.24"/>
    <n v="26002.45"/>
    <n v="62288.45"/>
    <n v="0.43"/>
    <n v="43416.21"/>
    <n v="0"/>
    <n v="0"/>
    <x v="1"/>
    <n v="5"/>
  </r>
  <r>
    <n v="33198"/>
    <n v="3203403"/>
    <x v="47"/>
    <n v="0.5"/>
    <n v="1228332.49"/>
    <n v="95642.72"/>
    <n v="1323975.21"/>
    <n v="29683.16"/>
    <n v="104332.02"/>
    <n v="0.5"/>
    <n v="49561.88"/>
    <n v="0"/>
    <n v="0"/>
    <x v="1"/>
    <n v="5"/>
  </r>
  <r>
    <n v="33199"/>
    <n v="3203502"/>
    <x v="48"/>
    <n v="0.52"/>
    <n v="1289749.08"/>
    <n v="100424.86"/>
    <n v="1390173.94"/>
    <n v="31167.32"/>
    <n v="66476.59"/>
    <n v="0.52"/>
    <n v="52039.98"/>
    <n v="0"/>
    <n v="0"/>
    <x v="1"/>
    <n v="5"/>
  </r>
  <r>
    <n v="33200"/>
    <n v="3203601"/>
    <x v="49"/>
    <n v="0.28000000000000003"/>
    <n v="709976.14"/>
    <n v="55281.51"/>
    <n v="765257.65"/>
    <n v="17156.87"/>
    <n v="15716.7"/>
    <n v="0.28000000000000003"/>
    <n v="28646.77"/>
    <n v="0"/>
    <n v="0"/>
    <x v="1"/>
    <n v="5"/>
  </r>
  <r>
    <n v="33201"/>
    <n v="3203700"/>
    <x v="50"/>
    <n v="0.5"/>
    <n v="1250442.45"/>
    <n v="97364.28"/>
    <n v="1347806.73"/>
    <n v="30217.46"/>
    <n v="42129.24"/>
    <n v="0.5"/>
    <n v="50454"/>
    <n v="0"/>
    <n v="0"/>
    <x v="1"/>
    <n v="5"/>
  </r>
  <r>
    <n v="33202"/>
    <n v="3203809"/>
    <x v="51"/>
    <n v="0.28999999999999998"/>
    <n v="717346.14"/>
    <n v="55855.360000000001"/>
    <n v="773201.5"/>
    <n v="17334.97"/>
    <n v="42131.4"/>
    <n v="0.28999999999999998"/>
    <n v="28944.14"/>
    <n v="0"/>
    <n v="0"/>
    <x v="1"/>
    <n v="5"/>
  </r>
  <r>
    <n v="33203"/>
    <n v="3203908"/>
    <x v="52"/>
    <n v="1.22"/>
    <n v="3019241.19"/>
    <n v="235089.79"/>
    <n v="3254330.98"/>
    <n v="72961.22"/>
    <n v="185095.22"/>
    <n v="1.22"/>
    <n v="121823.11"/>
    <n v="0"/>
    <n v="0"/>
    <x v="1"/>
    <n v="5"/>
  </r>
  <r>
    <n v="33204"/>
    <n v="3204005"/>
    <x v="53"/>
    <n v="0.47"/>
    <n v="1174285.8500000001"/>
    <n v="91434.44"/>
    <n v="1265720.29"/>
    <n v="28377.1"/>
    <n v="45972.68"/>
    <n v="0.47"/>
    <n v="47381.16"/>
    <n v="0"/>
    <n v="0"/>
    <x v="1"/>
    <n v="5"/>
  </r>
  <r>
    <n v="33205"/>
    <n v="3204054"/>
    <x v="54"/>
    <n v="0.32"/>
    <n v="795959.42"/>
    <n v="61976.5"/>
    <n v="857935.92"/>
    <n v="19234.689999999999"/>
    <n v="66200.28"/>
    <n v="0.32"/>
    <n v="32116.1"/>
    <n v="0"/>
    <n v="0"/>
    <x v="1"/>
    <n v="5"/>
  </r>
  <r>
    <n v="33206"/>
    <n v="3204104"/>
    <x v="55"/>
    <n v="0.66"/>
    <n v="1633682.17"/>
    <n v="127204.8"/>
    <n v="1760886.97"/>
    <n v="39478.61"/>
    <n v="73195.3"/>
    <n v="0.66"/>
    <n v="65917.31"/>
    <n v="0"/>
    <n v="0"/>
    <x v="1"/>
    <n v="5"/>
  </r>
  <r>
    <n v="33207"/>
    <n v="3204203"/>
    <x v="56"/>
    <n v="0.15"/>
    <n v="375869.74"/>
    <n v="29266.66"/>
    <n v="405136.4"/>
    <n v="9083.0499999999993"/>
    <n v="105375.03"/>
    <n v="0.15"/>
    <n v="15165.94"/>
    <n v="0"/>
    <n v="0"/>
    <x v="1"/>
    <n v="5"/>
  </r>
  <r>
    <n v="33208"/>
    <n v="3204252"/>
    <x v="57"/>
    <n v="0.23"/>
    <n v="565032.92000000004"/>
    <n v="43995.63"/>
    <n v="609028.55000000005"/>
    <n v="13654.26"/>
    <n v="14926.26"/>
    <n v="0.23"/>
    <n v="22798.47"/>
    <n v="0"/>
    <n v="0"/>
    <x v="1"/>
    <n v="5"/>
  </r>
  <r>
    <n v="33209"/>
    <n v="1718402"/>
    <x v="58"/>
    <n v="0.33"/>
    <n v="820526.06"/>
    <n v="63889.34"/>
    <n v="884415.4"/>
    <n v="19828.349999999999"/>
    <n v="80220.399999999994"/>
    <n v="0.33"/>
    <n v="33107.339999999997"/>
    <n v="0"/>
    <n v="0"/>
    <x v="1"/>
    <n v="5"/>
  </r>
  <r>
    <n v="33210"/>
    <n v="3204351"/>
    <x v="59"/>
    <n v="0.76"/>
    <n v="1889175.31"/>
    <n v="147098.5"/>
    <n v="2036273.81"/>
    <n v="45652.71"/>
    <n v="85685.83"/>
    <n v="0.76"/>
    <n v="76226.179999999993"/>
    <n v="0"/>
    <n v="0"/>
    <x v="1"/>
    <n v="5"/>
  </r>
  <r>
    <n v="33211"/>
    <n v="3204401"/>
    <x v="60"/>
    <n v="0.26"/>
    <n v="651016.22"/>
    <n v="50690.63"/>
    <n v="701706.85"/>
    <n v="15732.08"/>
    <n v="46273.14"/>
    <n v="0.26"/>
    <n v="26267.8"/>
    <n v="0"/>
    <n v="0"/>
    <x v="1"/>
    <n v="5"/>
  </r>
  <r>
    <n v="33212"/>
    <n v="3204500"/>
    <x v="61"/>
    <n v="0.49"/>
    <n v="1218505.78"/>
    <n v="94877.57"/>
    <n v="1313383.3500000001"/>
    <n v="29445.7"/>
    <n v="55812.29"/>
    <n v="0.49"/>
    <n v="49165.39"/>
    <n v="0"/>
    <n v="0"/>
    <x v="1"/>
    <n v="5"/>
  </r>
  <r>
    <n v="33213"/>
    <n v="3204559"/>
    <x v="62"/>
    <n v="2.2400000000000002"/>
    <n v="5517669.4199999999"/>
    <n v="429627.08"/>
    <n v="5947296.5"/>
    <n v="133336.76999999999"/>
    <n v="362608.27"/>
    <n v="2.2400000000000002"/>
    <n v="222631.98"/>
    <n v="0"/>
    <n v="0"/>
    <x v="1"/>
    <n v="5"/>
  </r>
  <r>
    <n v="33214"/>
    <n v="3204609"/>
    <x v="63"/>
    <n v="0.69"/>
    <n v="1697555.45"/>
    <n v="132178.21"/>
    <n v="1829733.66"/>
    <n v="41022.129999999997"/>
    <n v="131531.19"/>
    <n v="0.69"/>
    <n v="68494.52"/>
    <n v="0"/>
    <n v="0"/>
    <x v="1"/>
    <n v="5"/>
  </r>
  <r>
    <n v="33215"/>
    <n v="3204658"/>
    <x v="64"/>
    <n v="0.45"/>
    <n v="1112869.23"/>
    <n v="86652.29"/>
    <n v="1199521.52"/>
    <n v="26892.95"/>
    <n v="32381"/>
    <n v="0.45"/>
    <n v="44903.07"/>
    <n v="0"/>
    <n v="0"/>
    <x v="1"/>
    <n v="5"/>
  </r>
  <r>
    <n v="33216"/>
    <n v="3204708"/>
    <x v="65"/>
    <n v="0.72"/>
    <n v="1790908.71"/>
    <n v="139447.09"/>
    <n v="1930355.8"/>
    <n v="43278.05"/>
    <n v="108227.49"/>
    <n v="0.72"/>
    <n v="72261.23"/>
    <n v="0"/>
    <n v="0"/>
    <x v="1"/>
    <n v="5"/>
  </r>
  <r>
    <n v="33217"/>
    <n v="3204807"/>
    <x v="66"/>
    <n v="0.22"/>
    <n v="542922.92000000004"/>
    <n v="42274.09"/>
    <n v="585197.01"/>
    <n v="13119.96"/>
    <n v="51017.24"/>
    <n v="0.22"/>
    <n v="21906.35"/>
    <n v="0"/>
    <n v="0"/>
    <x v="1"/>
    <n v="5"/>
  </r>
  <r>
    <n v="33218"/>
    <n v="3204906"/>
    <x v="67"/>
    <n v="1.8"/>
    <n v="4424453.5199999996"/>
    <n v="344505.09"/>
    <n v="4768958.6100000003"/>
    <n v="106918.76"/>
    <n v="416140.16"/>
    <n v="1.8"/>
    <n v="178521.91"/>
    <n v="0"/>
    <n v="0"/>
    <x v="1"/>
    <n v="5"/>
  </r>
  <r>
    <n v="33219"/>
    <n v="3204955"/>
    <x v="68"/>
    <n v="0.32"/>
    <n v="805786.08"/>
    <n v="62741.61"/>
    <n v="868527.69"/>
    <n v="19472.16"/>
    <n v="41862.21"/>
    <n v="0.32"/>
    <n v="32512.6"/>
    <n v="0"/>
    <n v="0"/>
    <x v="1"/>
    <n v="5"/>
  </r>
  <r>
    <n v="33220"/>
    <n v="3205002"/>
    <x v="69"/>
    <n v="13.06"/>
    <n v="32101240.420000002"/>
    <n v="2499526.69"/>
    <n v="34600767.109999999"/>
    <n v="775739.8"/>
    <n v="1809018.33"/>
    <n v="13.06"/>
    <n v="1295250.28"/>
    <n v="0"/>
    <n v="0"/>
    <x v="1"/>
    <n v="5"/>
  </r>
  <r>
    <n v="33221"/>
    <n v="3205010"/>
    <x v="70"/>
    <n v="0.7"/>
    <n v="1731948.76"/>
    <n v="134856.23000000001"/>
    <n v="1866804.99"/>
    <n v="41853.26"/>
    <n v="59853.440000000002"/>
    <n v="0.7"/>
    <n v="69882.259999999995"/>
    <n v="0"/>
    <n v="0"/>
    <x v="1"/>
    <n v="5"/>
  </r>
  <r>
    <n v="33222"/>
    <n v="3205036"/>
    <x v="71"/>
    <n v="0.47"/>
    <n v="1169372.52"/>
    <n v="91051.87"/>
    <n v="1260424.3899999999"/>
    <n v="28258.37"/>
    <n v="82840.59"/>
    <n v="0.47"/>
    <n v="47182.91"/>
    <n v="0"/>
    <n v="0"/>
    <x v="1"/>
    <n v="5"/>
  </r>
  <r>
    <n v="33223"/>
    <n v="3205069"/>
    <x v="72"/>
    <n v="0.72"/>
    <n v="1771255.4"/>
    <n v="137916.81"/>
    <n v="1909172.21"/>
    <n v="42803.12"/>
    <n v="178668.74"/>
    <n v="0.72"/>
    <n v="71468.240000000005"/>
    <n v="0"/>
    <n v="0"/>
    <x v="1"/>
    <n v="5"/>
  </r>
  <r>
    <n v="33224"/>
    <n v="2112803"/>
    <x v="73"/>
    <n v="2.25"/>
    <n v="5534866.0499999998"/>
    <n v="430966.1"/>
    <n v="5965832.1500000004"/>
    <n v="133752.34"/>
    <n v="296180.53000000003"/>
    <n v="2.25"/>
    <n v="223325.85"/>
    <n v="0"/>
    <n v="0"/>
    <x v="1"/>
    <n v="5"/>
  </r>
  <r>
    <n v="33225"/>
    <n v="3205150"/>
    <x v="74"/>
    <n v="0.32"/>
    <n v="803329.42"/>
    <n v="62550.34"/>
    <n v="865879.76"/>
    <n v="19412.79"/>
    <n v="31916.92"/>
    <n v="0.32"/>
    <n v="32413.47"/>
    <n v="0"/>
    <n v="0"/>
    <x v="1"/>
    <n v="5"/>
  </r>
  <r>
    <n v="33226"/>
    <n v="3205176"/>
    <x v="75"/>
    <n v="0.61"/>
    <n v="1513305.59"/>
    <n v="117831.84"/>
    <n v="1631137.43"/>
    <n v="36569.660000000003"/>
    <n v="64237.95"/>
    <n v="0.61"/>
    <n v="61060.24"/>
    <n v="0"/>
    <n v="0"/>
    <x v="1"/>
    <n v="5"/>
  </r>
  <r>
    <n v="33227"/>
    <n v="3205200"/>
    <x v="76"/>
    <n v="5.55"/>
    <n v="13651686.939999999"/>
    <n v="1062973.1200000001"/>
    <n v="14714660.060000001"/>
    <n v="329898.68"/>
    <n v="2079442.12"/>
    <n v="5.55"/>
    <n v="550830.78"/>
    <n v="0"/>
    <n v="0"/>
    <x v="1"/>
    <n v="5"/>
  </r>
  <r>
    <n v="33228"/>
    <n v="3205309"/>
    <x v="77"/>
    <n v="15.84"/>
    <n v="38920942.109999999"/>
    <n v="3030534.78"/>
    <n v="41951476.890000001"/>
    <n v="940540.73"/>
    <n v="2398038.79"/>
    <n v="15.84"/>
    <n v="1570417.87"/>
    <n v="0"/>
    <n v="0"/>
    <x v="1"/>
    <n v="5"/>
  </r>
  <r>
    <n v="33229"/>
    <n v="3200102"/>
    <x v="0"/>
    <n v="0.79"/>
    <n v="1960418.61"/>
    <n v="152645.76999999999"/>
    <n v="2113064.38"/>
    <n v="49420.59"/>
    <n v="169954.06"/>
    <n v="0.79"/>
    <n v="82361.06"/>
    <n v="0"/>
    <n v="0"/>
    <x v="1"/>
    <n v="6"/>
  </r>
  <r>
    <n v="33230"/>
    <n v="3200169"/>
    <x v="1"/>
    <n v="0.28999999999999998"/>
    <n v="732086.14"/>
    <n v="57003.08"/>
    <n v="789089.22"/>
    <n v="18455.310000000001"/>
    <n v="53029.89"/>
    <n v="0.28999999999999998"/>
    <n v="30756.39"/>
    <n v="0"/>
    <n v="0"/>
    <x v="1"/>
    <n v="6"/>
  </r>
  <r>
    <n v="33231"/>
    <n v="3200136"/>
    <x v="2"/>
    <n v="0.42"/>
    <n v="1044082.61"/>
    <n v="81296.3"/>
    <n v="1125378.9099999999"/>
    <n v="26320.49"/>
    <n v="49786.63"/>
    <n v="0.42"/>
    <n v="43863.97"/>
    <n v="0"/>
    <n v="0"/>
    <x v="1"/>
    <n v="6"/>
  </r>
  <r>
    <n v="33232"/>
    <n v="3200201"/>
    <x v="3"/>
    <n v="0.48"/>
    <n v="1189025.81"/>
    <n v="92582.14"/>
    <n v="1281607.95"/>
    <n v="29974.39"/>
    <n v="142666.73000000001"/>
    <n v="0.48"/>
    <n v="49953.33"/>
    <n v="0"/>
    <n v="0"/>
    <x v="1"/>
    <n v="6"/>
  </r>
  <r>
    <n v="33233"/>
    <n v="3200300"/>
    <x v="4"/>
    <n v="0.48"/>
    <n v="1179199.17"/>
    <n v="91816.97"/>
    <n v="1271016.1399999999"/>
    <n v="29726.67"/>
    <n v="151420.25"/>
    <n v="0.48"/>
    <n v="49540.480000000003"/>
    <n v="0"/>
    <n v="0"/>
    <x v="1"/>
    <n v="6"/>
  </r>
  <r>
    <n v="33234"/>
    <n v="3200359"/>
    <x v="5"/>
    <n v="0.22"/>
    <n v="562576.27"/>
    <n v="43804.33"/>
    <n v="606380.6"/>
    <n v="14182.1"/>
    <n v="29716.46"/>
    <n v="0.22"/>
    <n v="23634.94"/>
    <n v="0"/>
    <n v="0"/>
    <x v="1"/>
    <n v="6"/>
  </r>
  <r>
    <n v="33235"/>
    <n v="3200409"/>
    <x v="6"/>
    <n v="2.59"/>
    <n v="6382415.4500000002"/>
    <n v="496959.54"/>
    <n v="6879374.9900000002"/>
    <n v="160895.60999999999"/>
    <n v="153748.54999999999"/>
    <n v="2.59"/>
    <n v="268137.86"/>
    <n v="0"/>
    <n v="0"/>
    <x v="1"/>
    <n v="6"/>
  </r>
  <r>
    <n v="33236"/>
    <n v="3200508"/>
    <x v="7"/>
    <n v="0.19"/>
    <n v="479049.65"/>
    <n v="37300.65"/>
    <n v="516350.3"/>
    <n v="12076.46"/>
    <n v="65945.23"/>
    <n v="0.19"/>
    <n v="20125.82"/>
    <n v="0"/>
    <n v="0"/>
    <x v="1"/>
    <n v="6"/>
  </r>
  <r>
    <n v="33237"/>
    <n v="3200607"/>
    <x v="8"/>
    <n v="5.18"/>
    <n v="12725524.25"/>
    <n v="990858.53"/>
    <n v="13716382.779999999"/>
    <n v="320800.34000000003"/>
    <n v="484851.88"/>
    <n v="5.18"/>
    <n v="534624.39"/>
    <n v="0"/>
    <n v="0"/>
    <x v="1"/>
    <n v="6"/>
  </r>
  <r>
    <n v="33238"/>
    <n v="3200706"/>
    <x v="9"/>
    <n v="0.36"/>
    <n v="906509.36"/>
    <n v="70584.33"/>
    <n v="977093.69"/>
    <n v="22852.38"/>
    <n v="40668.06"/>
    <n v="0.36"/>
    <n v="38084.25"/>
    <n v="0"/>
    <n v="0"/>
    <x v="1"/>
    <n v="6"/>
  </r>
  <r>
    <n v="33239"/>
    <n v="3200805"/>
    <x v="10"/>
    <n v="0.65"/>
    <n v="1618942.19"/>
    <n v="126057.09"/>
    <n v="1744999.28"/>
    <n v="40812.239999999998"/>
    <n v="263814.02"/>
    <n v="0.65"/>
    <n v="68014.95"/>
    <n v="0"/>
    <n v="0"/>
    <x v="1"/>
    <n v="6"/>
  </r>
  <r>
    <n v="33240"/>
    <n v="3200904"/>
    <x v="11"/>
    <n v="0.9"/>
    <n v="2225738.4"/>
    <n v="173304.59"/>
    <n v="2399042.9900000002"/>
    <n v="56109.09"/>
    <n v="300087.7"/>
    <n v="0.9"/>
    <n v="93507.66"/>
    <n v="0"/>
    <n v="0"/>
    <x v="1"/>
    <n v="6"/>
  </r>
  <r>
    <n v="33241"/>
    <n v="3107109"/>
    <x v="12"/>
    <n v="0.41"/>
    <n v="1017059.27"/>
    <n v="79192.17"/>
    <n v="1096251.44"/>
    <n v="25639.25"/>
    <n v="66109.78"/>
    <n v="0.41"/>
    <n v="42728.67"/>
    <n v="0"/>
    <n v="0"/>
    <x v="1"/>
    <n v="6"/>
  </r>
  <r>
    <n v="33242"/>
    <n v="3201100"/>
    <x v="13"/>
    <n v="0.17"/>
    <n v="417633.03"/>
    <n v="32518.51"/>
    <n v="450151.54"/>
    <n v="10528.2"/>
    <n v="152916.60999999999"/>
    <n v="0.17"/>
    <n v="17545.59"/>
    <n v="0"/>
    <n v="0"/>
    <x v="1"/>
    <n v="6"/>
  </r>
  <r>
    <n v="33243"/>
    <n v="3201159"/>
    <x v="14"/>
    <n v="0.43"/>
    <n v="1076019.23"/>
    <n v="83783.009999999995"/>
    <n v="1159802.24"/>
    <n v="27125.59"/>
    <n v="59057.73"/>
    <n v="0.43"/>
    <n v="45205.7"/>
    <n v="0"/>
    <n v="0"/>
    <x v="1"/>
    <n v="6"/>
  </r>
  <r>
    <n v="33244"/>
    <n v="3201209"/>
    <x v="15"/>
    <n v="3.11"/>
    <n v="7645141.2199999997"/>
    <n v="595280.25"/>
    <n v="8240421.4699999997"/>
    <n v="192727.92"/>
    <n v="1237433.8899999999"/>
    <n v="3.11"/>
    <n v="321187.46999999997"/>
    <n v="0"/>
    <n v="0"/>
    <x v="1"/>
    <n v="6"/>
  </r>
  <r>
    <n v="33245"/>
    <n v="3201308"/>
    <x v="16"/>
    <n v="6.51"/>
    <n v="16002715.25"/>
    <n v="1246033.28"/>
    <n v="17248748.530000001"/>
    <n v="403415.71"/>
    <n v="1442239.64"/>
    <n v="6.51"/>
    <n v="672305.64"/>
    <n v="0"/>
    <n v="0"/>
    <x v="1"/>
    <n v="6"/>
  </r>
  <r>
    <n v="33246"/>
    <n v="3201407"/>
    <x v="17"/>
    <n v="0.93"/>
    <n v="2299438.38"/>
    <n v="179043.14"/>
    <n v="2478481.52"/>
    <n v="57967.01"/>
    <n v="338065.84"/>
    <n v="0.93"/>
    <n v="96603.95"/>
    <n v="0"/>
    <n v="0"/>
    <x v="1"/>
    <n v="6"/>
  </r>
  <r>
    <n v="33247"/>
    <n v="3201506"/>
    <x v="18"/>
    <n v="2.2000000000000002"/>
    <n v="5407119.4800000004"/>
    <n v="421019.22"/>
    <n v="5828138.7000000002"/>
    <n v="136309.18"/>
    <n v="742557.48"/>
    <n v="2.2000000000000002"/>
    <n v="227163.76"/>
    <n v="0"/>
    <n v="0"/>
    <x v="1"/>
    <n v="6"/>
  </r>
  <r>
    <n v="33248"/>
    <n v="3201605"/>
    <x v="19"/>
    <n v="0.57999999999999996"/>
    <n v="1437148.99"/>
    <n v="111901.98"/>
    <n v="1549050.97"/>
    <n v="36229.379999999997"/>
    <n v="75536.22"/>
    <n v="0.57999999999999996"/>
    <n v="60377.46"/>
    <n v="0"/>
    <n v="0"/>
    <x v="1"/>
    <n v="6"/>
  </r>
  <r>
    <n v="33249"/>
    <n v="3201704"/>
    <x v="20"/>
    <n v="0.45"/>
    <n v="1120239.19"/>
    <n v="87226.18"/>
    <n v="1207465.3700000001"/>
    <n v="28240.34"/>
    <n v="84449.48"/>
    <n v="0.45"/>
    <n v="47063.46"/>
    <n v="0"/>
    <n v="0"/>
    <x v="1"/>
    <n v="6"/>
  </r>
  <r>
    <n v="33250"/>
    <n v="3201803"/>
    <x v="21"/>
    <n v="0.19"/>
    <n v="466766.34"/>
    <n v="36344.239999999998"/>
    <n v="503110.58"/>
    <n v="11766.81"/>
    <n v="21528.17"/>
    <n v="0.19"/>
    <n v="19609.77"/>
    <n v="0"/>
    <n v="0"/>
    <x v="1"/>
    <n v="6"/>
  </r>
  <r>
    <n v="33251"/>
    <n v="3201902"/>
    <x v="22"/>
    <n v="1.22"/>
    <n v="3006957.85"/>
    <n v="234133.37"/>
    <n v="3241091.22"/>
    <n v="75803.009999999995"/>
    <n v="280002.63"/>
    <n v="1.22"/>
    <n v="126328.23"/>
    <n v="0"/>
    <n v="0"/>
    <x v="1"/>
    <n v="6"/>
  </r>
  <r>
    <n v="33252"/>
    <n v="3202009"/>
    <x v="23"/>
    <n v="0.24"/>
    <n v="599426.24"/>
    <n v="46673.63"/>
    <n v="646099.87"/>
    <n v="15111.06"/>
    <n v="56058.95"/>
    <n v="0.24"/>
    <n v="25183.08"/>
    <n v="0"/>
    <n v="0"/>
    <x v="1"/>
    <n v="6"/>
  </r>
  <r>
    <n v="33253"/>
    <n v="3202108"/>
    <x v="24"/>
    <n v="0.69"/>
    <n v="1717208.76"/>
    <n v="133708.51"/>
    <n v="1850917.27"/>
    <n v="43289.47"/>
    <n v="77233.33"/>
    <n v="0.69"/>
    <n v="72143.33"/>
    <n v="0"/>
    <n v="0"/>
    <x v="1"/>
    <n v="6"/>
  </r>
  <r>
    <n v="33254"/>
    <n v="3202207"/>
    <x v="25"/>
    <n v="0.33"/>
    <n v="813156.09"/>
    <n v="63315.48"/>
    <n v="876471.57"/>
    <n v="20499.02"/>
    <n v="89864.95"/>
    <n v="0.33"/>
    <n v="34162.300000000003"/>
    <n v="0"/>
    <n v="0"/>
    <x v="1"/>
    <n v="6"/>
  </r>
  <r>
    <n v="33255"/>
    <n v="3202256"/>
    <x v="26"/>
    <n v="0.44"/>
    <n v="1088302.57"/>
    <n v="84739.45"/>
    <n v="1173042.02"/>
    <n v="27435.24"/>
    <n v="74736.25"/>
    <n v="0.44"/>
    <n v="45721.73"/>
    <n v="0"/>
    <n v="0"/>
    <x v="1"/>
    <n v="6"/>
  </r>
  <r>
    <n v="33256"/>
    <n v="3202306"/>
    <x v="27"/>
    <n v="0.39"/>
    <n v="960555.99"/>
    <n v="74792.61"/>
    <n v="1035348.6"/>
    <n v="24214.85"/>
    <n v="202270.47"/>
    <n v="0.39"/>
    <n v="40354.85"/>
    <n v="0"/>
    <n v="0"/>
    <x v="1"/>
    <n v="6"/>
  </r>
  <r>
    <n v="33257"/>
    <n v="3202405"/>
    <x v="28"/>
    <n v="0.91"/>
    <n v="2240478.39"/>
    <n v="174452.28"/>
    <n v="2414930.67"/>
    <n v="56480.68"/>
    <n v="1132347.47"/>
    <n v="0.91"/>
    <n v="94126.92"/>
    <n v="0"/>
    <n v="0"/>
    <x v="1"/>
    <n v="6"/>
  </r>
  <r>
    <n v="33258"/>
    <n v="3202454"/>
    <x v="29"/>
    <n v="0.36"/>
    <n v="884399.37"/>
    <n v="68862.77"/>
    <n v="953262.14"/>
    <n v="22295"/>
    <n v="164545.95000000001"/>
    <n v="0.36"/>
    <n v="37155.360000000001"/>
    <n v="0"/>
    <n v="0"/>
    <x v="1"/>
    <n v="6"/>
  </r>
  <r>
    <n v="33259"/>
    <n v="3202504"/>
    <x v="30"/>
    <n v="0.27"/>
    <n v="670669.52"/>
    <n v="52220.9"/>
    <n v="722890.42"/>
    <n v="16907.04"/>
    <n v="60833.98"/>
    <n v="0.27"/>
    <n v="28176.15"/>
    <n v="0"/>
    <n v="0"/>
    <x v="1"/>
    <n v="6"/>
  </r>
  <r>
    <n v="33260"/>
    <n v="3202553"/>
    <x v="31"/>
    <n v="0.24"/>
    <n v="601882.9"/>
    <n v="46864.92"/>
    <n v="648747.81999999995"/>
    <n v="15172.99"/>
    <n v="34101.1"/>
    <n v="0.24"/>
    <n v="25286.29"/>
    <n v="0"/>
    <n v="0"/>
    <x v="1"/>
    <n v="6"/>
  </r>
  <r>
    <n v="33261"/>
    <n v="3202603"/>
    <x v="32"/>
    <n v="0.37"/>
    <n v="913879.37"/>
    <n v="71158.179999999993"/>
    <n v="985037.55"/>
    <n v="23038.17"/>
    <n v="198708.43"/>
    <n v="0.37"/>
    <n v="38393.879999999997"/>
    <n v="0"/>
    <n v="0"/>
    <x v="1"/>
    <n v="6"/>
  </r>
  <r>
    <n v="33262"/>
    <n v="3202652"/>
    <x v="33"/>
    <n v="0.3"/>
    <n v="759109.46"/>
    <n v="59107.22"/>
    <n v="818216.68"/>
    <n v="19136.55"/>
    <n v="79273.350000000006"/>
    <n v="0.3"/>
    <n v="31891.69"/>
    <n v="0"/>
    <n v="0"/>
    <x v="1"/>
    <n v="6"/>
  </r>
  <r>
    <n v="33263"/>
    <n v="3202702"/>
    <x v="34"/>
    <n v="0.38"/>
    <n v="940902.66"/>
    <n v="73262.320000000007"/>
    <n v="1014164.98"/>
    <n v="23719.41"/>
    <n v="64014.64"/>
    <n v="0.38"/>
    <n v="39529.18"/>
    <n v="0"/>
    <n v="0"/>
    <x v="1"/>
    <n v="6"/>
  </r>
  <r>
    <n v="33264"/>
    <n v="3202801"/>
    <x v="35"/>
    <n v="2.66"/>
    <n v="6547011.9900000002"/>
    <n v="509775.69"/>
    <n v="7056787.6799999997"/>
    <n v="165044.96"/>
    <n v="166847.67000000001"/>
    <n v="2.66"/>
    <n v="275052.90000000002"/>
    <n v="0"/>
    <n v="0"/>
    <x v="1"/>
    <n v="6"/>
  </r>
  <r>
    <n v="33265"/>
    <n v="3202900"/>
    <x v="36"/>
    <n v="0.34"/>
    <n v="840179.4"/>
    <n v="65419.62"/>
    <n v="905599.02"/>
    <n v="21180.25"/>
    <n v="77701.84"/>
    <n v="0.34"/>
    <n v="35297.599999999999"/>
    <n v="0"/>
    <n v="0"/>
    <x v="1"/>
    <n v="6"/>
  </r>
  <r>
    <n v="33266"/>
    <n v="3203007"/>
    <x v="37"/>
    <n v="0.47"/>
    <n v="1159545.83"/>
    <n v="90286.73"/>
    <n v="1249832.56"/>
    <n v="29231.23"/>
    <n v="140273.32"/>
    <n v="0.47"/>
    <n v="48714.81"/>
    <n v="0"/>
    <n v="0"/>
    <x v="1"/>
    <n v="6"/>
  </r>
  <r>
    <n v="33267"/>
    <n v="3203056"/>
    <x v="38"/>
    <n v="0.86"/>
    <n v="2125015.13"/>
    <n v="165461.91"/>
    <n v="2290477.04"/>
    <n v="53569.94"/>
    <n v="165662.85999999999"/>
    <n v="0.86"/>
    <n v="89276.08"/>
    <n v="0"/>
    <n v="0"/>
    <x v="1"/>
    <n v="6"/>
  </r>
  <r>
    <n v="33268"/>
    <n v="3203106"/>
    <x v="39"/>
    <n v="0.21"/>
    <n v="525726.31000000006"/>
    <n v="40935.08"/>
    <n v="566661.39"/>
    <n v="13253.14"/>
    <n v="58695.67"/>
    <n v="0.21"/>
    <n v="22086.799999999999"/>
    <n v="0"/>
    <n v="0"/>
    <x v="1"/>
    <n v="6"/>
  </r>
  <r>
    <n v="33269"/>
    <n v="3203130"/>
    <x v="40"/>
    <n v="0.42"/>
    <n v="1048995.94"/>
    <n v="81678.86"/>
    <n v="1130674.8"/>
    <n v="26444.35"/>
    <n v="106738.91"/>
    <n v="0.42"/>
    <n v="44070.39"/>
    <n v="0"/>
    <n v="0"/>
    <x v="1"/>
    <n v="6"/>
  </r>
  <r>
    <n v="33270"/>
    <n v="3203163"/>
    <x v="41"/>
    <n v="0.38"/>
    <n v="933532.69"/>
    <n v="72688.460000000006"/>
    <n v="1006221.15"/>
    <n v="23533.62"/>
    <n v="79123.05"/>
    <n v="0.38"/>
    <n v="39219.550000000003"/>
    <n v="0"/>
    <n v="0"/>
    <x v="1"/>
    <n v="6"/>
  </r>
  <r>
    <n v="33271"/>
    <n v="3203205"/>
    <x v="42"/>
    <n v="5.75"/>
    <n v="14133193.23"/>
    <n v="1100465.06"/>
    <n v="15233658.289999999"/>
    <n v="356286.55"/>
    <n v="914052.65"/>
    <n v="5.75"/>
    <n v="593763.34"/>
    <n v="0"/>
    <n v="0"/>
    <x v="1"/>
    <n v="6"/>
  </r>
  <r>
    <n v="33272"/>
    <n v="3203304"/>
    <x v="43"/>
    <n v="0.25"/>
    <n v="626449.57999999996"/>
    <n v="48777.79"/>
    <n v="675227.37"/>
    <n v="15792.29"/>
    <n v="75144.62"/>
    <n v="0.25"/>
    <n v="26318.38"/>
    <n v="0"/>
    <n v="0"/>
    <x v="1"/>
    <n v="6"/>
  </r>
  <r>
    <n v="33273"/>
    <n v="3203320"/>
    <x v="44"/>
    <n v="0.61"/>
    <n v="1515762.27"/>
    <n v="118023.13"/>
    <n v="1633785.4"/>
    <n v="38211.160000000003"/>
    <n v="264156.58"/>
    <n v="0.61"/>
    <n v="63680.17"/>
    <n v="0"/>
    <n v="0"/>
    <x v="1"/>
    <n v="6"/>
  </r>
  <r>
    <n v="33274"/>
    <n v="3203346"/>
    <x v="45"/>
    <n v="0.65"/>
    <n v="1614028.82"/>
    <n v="125674.55"/>
    <n v="1739703.37"/>
    <n v="40688.379999999997"/>
    <n v="164861.16"/>
    <n v="0.65"/>
    <n v="67808.53"/>
    <n v="0"/>
    <n v="0"/>
    <x v="1"/>
    <n v="6"/>
  </r>
  <r>
    <n v="33275"/>
    <n v="3203353"/>
    <x v="46"/>
    <n v="0.43"/>
    <n v="1076019.23"/>
    <n v="83783.009999999995"/>
    <n v="1159802.24"/>
    <n v="27125.59"/>
    <n v="118440.28"/>
    <n v="0.43"/>
    <n v="45205.7"/>
    <n v="0"/>
    <n v="0"/>
    <x v="1"/>
    <n v="6"/>
  </r>
  <r>
    <n v="33276"/>
    <n v="3203403"/>
    <x v="47"/>
    <n v="0.5"/>
    <n v="1228332.49"/>
    <n v="95642.72"/>
    <n v="1323975.21"/>
    <n v="30965.279999999999"/>
    <n v="154514.51"/>
    <n v="0.5"/>
    <n v="51604.67"/>
    <n v="0"/>
    <n v="0"/>
    <x v="1"/>
    <n v="6"/>
  </r>
  <r>
    <n v="33277"/>
    <n v="3203502"/>
    <x v="48"/>
    <n v="0.52"/>
    <n v="1289749.08"/>
    <n v="100424.86"/>
    <n v="1390173.94"/>
    <n v="32513.55"/>
    <n v="81078.84"/>
    <n v="0.52"/>
    <n v="54184.91"/>
    <n v="0"/>
    <n v="0"/>
    <x v="1"/>
    <n v="6"/>
  </r>
  <r>
    <n v="33278"/>
    <n v="3203601"/>
    <x v="49"/>
    <n v="0.28000000000000003"/>
    <n v="709976.14"/>
    <n v="55281.51"/>
    <n v="765257.65"/>
    <n v="17897.93"/>
    <n v="16642.12"/>
    <n v="0.28000000000000003"/>
    <n v="29827.5"/>
    <n v="0"/>
    <n v="0"/>
    <x v="1"/>
    <n v="6"/>
  </r>
  <r>
    <n v="33279"/>
    <n v="3203700"/>
    <x v="50"/>
    <n v="0.5"/>
    <n v="1250442.45"/>
    <n v="97364.28"/>
    <n v="1347806.73"/>
    <n v="31522.66"/>
    <n v="70073.55"/>
    <n v="0.5"/>
    <n v="52533.55"/>
    <n v="0"/>
    <n v="0"/>
    <x v="1"/>
    <n v="6"/>
  </r>
  <r>
    <n v="33280"/>
    <n v="3203809"/>
    <x v="51"/>
    <n v="0.28999999999999998"/>
    <n v="717346.14"/>
    <n v="55855.360000000001"/>
    <n v="773201.5"/>
    <n v="18083.73"/>
    <n v="59800.34"/>
    <n v="0.28999999999999998"/>
    <n v="30137.119999999999"/>
    <n v="0"/>
    <n v="0"/>
    <x v="1"/>
    <n v="6"/>
  </r>
  <r>
    <n v="33281"/>
    <n v="3203908"/>
    <x v="52"/>
    <n v="1.22"/>
    <n v="3019241.19"/>
    <n v="235089.79"/>
    <n v="3254330.98"/>
    <n v="76112.67"/>
    <n v="293572.78999999998"/>
    <n v="1.22"/>
    <n v="126844.28"/>
    <n v="0"/>
    <n v="0"/>
    <x v="1"/>
    <n v="6"/>
  </r>
  <r>
    <n v="33282"/>
    <n v="3204005"/>
    <x v="53"/>
    <n v="0.47"/>
    <n v="1174285.8500000001"/>
    <n v="91434.44"/>
    <n v="1265720.29"/>
    <n v="29602.81"/>
    <n v="78346.679999999993"/>
    <n v="0.47"/>
    <n v="49334.06"/>
    <n v="0"/>
    <n v="0"/>
    <x v="1"/>
    <n v="6"/>
  </r>
  <r>
    <n v="33283"/>
    <n v="3204054"/>
    <x v="54"/>
    <n v="0.32"/>
    <n v="795959.42"/>
    <n v="61976.5"/>
    <n v="857935.92"/>
    <n v="20065.5"/>
    <n v="103789.48"/>
    <n v="0.32"/>
    <n v="33439.83"/>
    <n v="0"/>
    <n v="0"/>
    <x v="1"/>
    <n v="6"/>
  </r>
  <r>
    <n v="33284"/>
    <n v="3204104"/>
    <x v="55"/>
    <n v="0.66"/>
    <n v="1633682.17"/>
    <n v="127204.8"/>
    <n v="1760886.97"/>
    <n v="41183.83"/>
    <n v="66745.179999999993"/>
    <n v="0.66"/>
    <n v="68634.210000000006"/>
    <n v="0"/>
    <n v="0"/>
    <x v="1"/>
    <n v="6"/>
  </r>
  <r>
    <n v="33285"/>
    <n v="3204203"/>
    <x v="56"/>
    <n v="0.15"/>
    <n v="375869.74"/>
    <n v="29266.66"/>
    <n v="405136.4"/>
    <n v="9475.3799999999992"/>
    <n v="156882.72"/>
    <n v="0.15"/>
    <n v="15791.03"/>
    <n v="0"/>
    <n v="0"/>
    <x v="1"/>
    <n v="6"/>
  </r>
  <r>
    <n v="33286"/>
    <n v="3204252"/>
    <x v="57"/>
    <n v="0.23"/>
    <n v="565032.92000000004"/>
    <n v="43995.63"/>
    <n v="609028.55000000005"/>
    <n v="14244.03"/>
    <n v="18227.45"/>
    <n v="0.23"/>
    <n v="23738.15"/>
    <n v="0"/>
    <n v="0"/>
    <x v="1"/>
    <n v="6"/>
  </r>
  <r>
    <n v="33287"/>
    <n v="1718402"/>
    <x v="58"/>
    <n v="0.33"/>
    <n v="820526.06"/>
    <n v="63889.34"/>
    <n v="884415.4"/>
    <n v="20684.810000000001"/>
    <n v="101230.01"/>
    <n v="0.33"/>
    <n v="34471.919999999998"/>
    <n v="0"/>
    <n v="0"/>
    <x v="1"/>
    <n v="6"/>
  </r>
  <r>
    <n v="33288"/>
    <n v="3204351"/>
    <x v="59"/>
    <n v="0.76"/>
    <n v="1889175.31"/>
    <n v="147098.5"/>
    <n v="2036273.81"/>
    <n v="47624.61"/>
    <n v="163921.41"/>
    <n v="0.76"/>
    <n v="79367.98"/>
    <n v="0"/>
    <n v="0"/>
    <x v="1"/>
    <n v="6"/>
  </r>
  <r>
    <n v="33289"/>
    <n v="3204401"/>
    <x v="60"/>
    <n v="0.26"/>
    <n v="651016.22"/>
    <n v="50690.63"/>
    <n v="701706.85"/>
    <n v="16411.599999999999"/>
    <n v="65772.47"/>
    <n v="0.26"/>
    <n v="27350.48"/>
    <n v="0"/>
    <n v="0"/>
    <x v="1"/>
    <n v="6"/>
  </r>
  <r>
    <n v="33290"/>
    <n v="3204500"/>
    <x v="61"/>
    <n v="0.49"/>
    <n v="1218505.78"/>
    <n v="94877.57"/>
    <n v="1313383.3500000001"/>
    <n v="30717.56"/>
    <n v="78956.19"/>
    <n v="0.49"/>
    <n v="51191.83"/>
    <n v="0"/>
    <n v="0"/>
    <x v="1"/>
    <n v="6"/>
  </r>
  <r>
    <n v="33291"/>
    <n v="3204559"/>
    <x v="62"/>
    <n v="2.2400000000000002"/>
    <n v="5517669.4199999999"/>
    <n v="429627.08"/>
    <n v="5947296.5"/>
    <n v="139096.04999999999"/>
    <n v="405293.84"/>
    <n v="2.2400000000000002"/>
    <n v="231808.18"/>
    <n v="0"/>
    <n v="0"/>
    <x v="1"/>
    <n v="6"/>
  </r>
  <r>
    <n v="33292"/>
    <n v="3204609"/>
    <x v="63"/>
    <n v="0.69"/>
    <n v="1697555.45"/>
    <n v="132178.21"/>
    <n v="1829733.66"/>
    <n v="42794.02"/>
    <n v="165714.62"/>
    <n v="0.69"/>
    <n v="71317.66"/>
    <n v="0"/>
    <n v="0"/>
    <x v="1"/>
    <n v="6"/>
  </r>
  <r>
    <n v="33293"/>
    <n v="3204658"/>
    <x v="64"/>
    <n v="0.45"/>
    <n v="1112869.23"/>
    <n v="86652.29"/>
    <n v="1199521.52"/>
    <n v="28054.55"/>
    <n v="51098.85"/>
    <n v="0.45"/>
    <n v="46753.83"/>
    <n v="0"/>
    <n v="0"/>
    <x v="1"/>
    <n v="6"/>
  </r>
  <r>
    <n v="33294"/>
    <n v="3204708"/>
    <x v="65"/>
    <n v="0.72"/>
    <n v="1790908.71"/>
    <n v="139447.09"/>
    <n v="1930355.8"/>
    <n v="45147.38"/>
    <n v="163988.43"/>
    <n v="0.72"/>
    <n v="75239.600000000006"/>
    <n v="0"/>
    <n v="0"/>
    <x v="1"/>
    <n v="6"/>
  </r>
  <r>
    <n v="33295"/>
    <n v="3204807"/>
    <x v="66"/>
    <n v="0.22"/>
    <n v="542922.92000000004"/>
    <n v="42274.09"/>
    <n v="585197.01"/>
    <n v="13686.66"/>
    <n v="54039.99"/>
    <n v="0.22"/>
    <n v="22809.27"/>
    <n v="0"/>
    <n v="0"/>
    <x v="1"/>
    <n v="6"/>
  </r>
  <r>
    <n v="33296"/>
    <n v="3204906"/>
    <x v="67"/>
    <n v="1.8"/>
    <n v="4424453.5199999996"/>
    <n v="344505.09"/>
    <n v="4768958.6100000003"/>
    <n v="111536.95"/>
    <n v="584829.37"/>
    <n v="1.8"/>
    <n v="185880.02"/>
    <n v="0"/>
    <n v="0"/>
    <x v="1"/>
    <n v="6"/>
  </r>
  <r>
    <n v="33297"/>
    <n v="3204955"/>
    <x v="68"/>
    <n v="0.32"/>
    <n v="805786.08"/>
    <n v="62741.61"/>
    <n v="868527.69"/>
    <n v="20313.23"/>
    <n v="62839.13"/>
    <n v="0.32"/>
    <n v="33852.660000000003"/>
    <n v="0"/>
    <n v="0"/>
    <x v="1"/>
    <n v="6"/>
  </r>
  <r>
    <n v="33298"/>
    <n v="3205002"/>
    <x v="69"/>
    <n v="13.06"/>
    <n v="32101240.420000002"/>
    <n v="2499526.69"/>
    <n v="34600767.109999999"/>
    <n v="809246.71999999997"/>
    <n v="2226274.27"/>
    <n v="13.06"/>
    <n v="1348636.45"/>
    <n v="0"/>
    <n v="0"/>
    <x v="1"/>
    <n v="6"/>
  </r>
  <r>
    <n v="33299"/>
    <n v="3205010"/>
    <x v="70"/>
    <n v="0.7"/>
    <n v="1731948.76"/>
    <n v="134856.23000000001"/>
    <n v="1866804.99"/>
    <n v="43661.05"/>
    <n v="96918.63"/>
    <n v="0.7"/>
    <n v="72762.58"/>
    <n v="0"/>
    <n v="0"/>
    <x v="1"/>
    <n v="6"/>
  </r>
  <r>
    <n v="33300"/>
    <n v="3205036"/>
    <x v="71"/>
    <n v="0.47"/>
    <n v="1169372.52"/>
    <n v="91051.87"/>
    <n v="1260424.3899999999"/>
    <n v="29478.95"/>
    <n v="132752.9"/>
    <n v="0.47"/>
    <n v="49127.64"/>
    <n v="0"/>
    <n v="0"/>
    <x v="1"/>
    <n v="6"/>
  </r>
  <r>
    <n v="33301"/>
    <n v="3205069"/>
    <x v="72"/>
    <n v="0.72"/>
    <n v="1771255.4"/>
    <n v="137916.81"/>
    <n v="1909172.21"/>
    <n v="44651.94"/>
    <n v="238772.32"/>
    <n v="0.72"/>
    <n v="74413.929999999993"/>
    <n v="0"/>
    <n v="0"/>
    <x v="1"/>
    <n v="6"/>
  </r>
  <r>
    <n v="33302"/>
    <n v="2112803"/>
    <x v="73"/>
    <n v="2.25"/>
    <n v="5534866.0499999998"/>
    <n v="430966.1"/>
    <n v="5965832.1500000004"/>
    <n v="139529.57"/>
    <n v="420191.1"/>
    <n v="2.25"/>
    <n v="232530.64"/>
    <n v="0"/>
    <n v="0"/>
    <x v="1"/>
    <n v="6"/>
  </r>
  <r>
    <n v="33303"/>
    <n v="3205150"/>
    <x v="74"/>
    <n v="0.32"/>
    <n v="803329.42"/>
    <n v="62550.34"/>
    <n v="865879.76"/>
    <n v="20251.3"/>
    <n v="55651.43"/>
    <n v="0.32"/>
    <n v="33749.449999999997"/>
    <n v="0"/>
    <n v="0"/>
    <x v="1"/>
    <n v="6"/>
  </r>
  <r>
    <n v="33304"/>
    <n v="3205176"/>
    <x v="75"/>
    <n v="0.61"/>
    <n v="1513305.59"/>
    <n v="117831.84"/>
    <n v="1631137.43"/>
    <n v="38149.230000000003"/>
    <n v="118490.76"/>
    <n v="0.61"/>
    <n v="63576.95"/>
    <n v="0"/>
    <n v="0"/>
    <x v="1"/>
    <n v="6"/>
  </r>
  <r>
    <n v="33305"/>
    <n v="3205200"/>
    <x v="76"/>
    <n v="5.55"/>
    <n v="13651686.939999999"/>
    <n v="1062973.1200000001"/>
    <n v="14714660.060000001"/>
    <n v="344148.16"/>
    <n v="2810474.04"/>
    <n v="5.55"/>
    <n v="573534.30000000005"/>
    <n v="0"/>
    <n v="0"/>
    <x v="1"/>
    <n v="6"/>
  </r>
  <r>
    <n v="33306"/>
    <n v="3205309"/>
    <x v="77"/>
    <n v="15.84"/>
    <n v="38920942.109999999"/>
    <n v="3030534.78"/>
    <n v="41951476.890000001"/>
    <n v="981165.97"/>
    <n v="2894422.65"/>
    <n v="15.84"/>
    <n v="1635145.56"/>
    <n v="0"/>
    <n v="0"/>
    <x v="1"/>
    <n v="6"/>
  </r>
  <r>
    <n v="33307"/>
    <n v="3200102"/>
    <x v="0"/>
    <n v="0.79"/>
    <n v="2371039.88"/>
    <n v="190591.64"/>
    <n v="2561631.52"/>
    <n v="53520.23"/>
    <n v="517444.87"/>
    <n v="0.79"/>
    <n v="77625.210000000006"/>
    <n v="0"/>
    <n v="0"/>
    <x v="1"/>
    <n v="7"/>
  </r>
  <r>
    <n v="33308"/>
    <n v="3200169"/>
    <x v="1"/>
    <n v="0.28999999999999998"/>
    <n v="885425.91"/>
    <n v="71173.33"/>
    <n v="956599.24"/>
    <n v="19986.25"/>
    <n v="152272.51999999999"/>
    <n v="0.28999999999999998"/>
    <n v="28987.85"/>
    <n v="0"/>
    <n v="0"/>
    <x v="1"/>
    <n v="7"/>
  </r>
  <r>
    <n v="33309"/>
    <n v="3200136"/>
    <x v="2"/>
    <n v="0.42"/>
    <n v="1262771.8600000001"/>
    <n v="101505.56"/>
    <n v="1364277.42"/>
    <n v="28503.88"/>
    <n v="167498"/>
    <n v="0.42"/>
    <n v="41341.74"/>
    <n v="0"/>
    <n v="0"/>
    <x v="1"/>
    <n v="7"/>
  </r>
  <r>
    <n v="33310"/>
    <n v="3200201"/>
    <x v="3"/>
    <n v="0.48"/>
    <n v="1438074.3"/>
    <n v="115596.9"/>
    <n v="1553671.2"/>
    <n v="32460.89"/>
    <n v="504801.35"/>
    <n v="0.48"/>
    <n v="47080.95"/>
    <n v="0"/>
    <n v="0"/>
    <x v="1"/>
    <n v="7"/>
  </r>
  <r>
    <n v="33311"/>
    <n v="3200300"/>
    <x v="4"/>
    <n v="0.48"/>
    <n v="1426189.38"/>
    <n v="114641.61"/>
    <n v="1540830.99"/>
    <n v="32192.62"/>
    <n v="356411.91"/>
    <n v="0.48"/>
    <n v="46691.85"/>
    <n v="0"/>
    <n v="0"/>
    <x v="1"/>
    <n v="7"/>
  </r>
  <r>
    <n v="33312"/>
    <n v="3200359"/>
    <x v="5"/>
    <n v="0.22"/>
    <n v="680411.22"/>
    <n v="54693.58"/>
    <n v="735104.8"/>
    <n v="15358.56"/>
    <n v="85898.05"/>
    <n v="0.22"/>
    <n v="22275.9"/>
    <n v="0"/>
    <n v="0"/>
    <x v="1"/>
    <n v="7"/>
  </r>
  <r>
    <n v="33313"/>
    <n v="3200409"/>
    <x v="6"/>
    <n v="2.59"/>
    <n v="7719250.0499999998"/>
    <n v="620497.57999999996"/>
    <n v="8339747.6299999999"/>
    <n v="174242.54"/>
    <n v="505353.8"/>
    <n v="2.59"/>
    <n v="252719.65"/>
    <n v="0"/>
    <n v="0"/>
    <x v="1"/>
    <n v="7"/>
  </r>
  <r>
    <n v="33314"/>
    <n v="3200508"/>
    <x v="7"/>
    <n v="0.19"/>
    <n v="579389.44999999995"/>
    <n v="46573.14"/>
    <n v="625962.59"/>
    <n v="13078.25"/>
    <n v="175531.05"/>
    <n v="0.19"/>
    <n v="18968.57"/>
    <n v="0"/>
    <n v="0"/>
    <x v="1"/>
    <n v="7"/>
  </r>
  <r>
    <n v="33315"/>
    <n v="3200607"/>
    <x v="8"/>
    <n v="5.18"/>
    <n v="15390960.470000001"/>
    <n v="1237173.8"/>
    <n v="16628134.27"/>
    <n v="347411.99"/>
    <n v="1659207.91"/>
    <n v="5.18"/>
    <n v="503882.91"/>
    <n v="0"/>
    <n v="0"/>
    <x v="1"/>
    <n v="7"/>
  </r>
  <r>
    <n v="33316"/>
    <n v="3200706"/>
    <x v="9"/>
    <n v="0.36"/>
    <n v="1096383.08"/>
    <n v="88130.72"/>
    <n v="1184513.8"/>
    <n v="24748.07"/>
    <n v="173651.86"/>
    <n v="0.36"/>
    <n v="35894.36"/>
    <n v="0"/>
    <n v="0"/>
    <x v="1"/>
    <n v="7"/>
  </r>
  <r>
    <n v="33317"/>
    <n v="3200805"/>
    <x v="10"/>
    <n v="0.65"/>
    <n v="1958039.18"/>
    <n v="157393.35999999999"/>
    <n v="2115432.54"/>
    <n v="44197.78"/>
    <n v="638993.4"/>
    <n v="0.65"/>
    <n v="64104.03"/>
    <n v="0"/>
    <n v="0"/>
    <x v="1"/>
    <n v="7"/>
  </r>
  <r>
    <n v="33318"/>
    <n v="3200904"/>
    <x v="11"/>
    <n v="0.9"/>
    <n v="2691932.47"/>
    <n v="216385.99"/>
    <n v="2908318.46"/>
    <n v="60763.57"/>
    <n v="820632.3"/>
    <n v="0.9"/>
    <n v="88130.87"/>
    <n v="0"/>
    <n v="0"/>
    <x v="1"/>
    <n v="7"/>
  </r>
  <r>
    <n v="33319"/>
    <n v="3107109"/>
    <x v="12"/>
    <n v="0.41"/>
    <n v="1230088.33"/>
    <n v="98878.34"/>
    <n v="1328966.67"/>
    <n v="27766.13"/>
    <n v="195541.85"/>
    <n v="0.41"/>
    <n v="40271.72"/>
    <n v="0"/>
    <n v="0"/>
    <x v="1"/>
    <n v="7"/>
  </r>
  <r>
    <n v="33320"/>
    <n v="3201100"/>
    <x v="13"/>
    <n v="0.17"/>
    <n v="505108.74"/>
    <n v="40602.239999999998"/>
    <n v="545710.98"/>
    <n v="11401.55"/>
    <n v="426523.7"/>
    <n v="0.17"/>
    <n v="16536.7"/>
    <n v="0"/>
    <n v="0"/>
    <x v="1"/>
    <n v="7"/>
  </r>
  <r>
    <n v="33321"/>
    <n v="3201159"/>
    <x v="14"/>
    <n v="0.43"/>
    <n v="1301397.81"/>
    <n v="104610.43"/>
    <n v="1406008.24"/>
    <n v="29375.759999999998"/>
    <n v="167538.85999999999"/>
    <n v="0.43"/>
    <n v="42606.32"/>
    <n v="0"/>
    <n v="0"/>
    <x v="1"/>
    <n v="7"/>
  </r>
  <r>
    <n v="33322"/>
    <n v="3201209"/>
    <x v="15"/>
    <n v="3.11"/>
    <n v="9246461.1699999999"/>
    <n v="743259.63"/>
    <n v="9989720.8000000007"/>
    <n v="208715.47"/>
    <n v="4201844.33"/>
    <n v="3.11"/>
    <n v="302718.84999999998"/>
    <n v="0"/>
    <n v="0"/>
    <x v="1"/>
    <n v="7"/>
  </r>
  <r>
    <n v="33323"/>
    <n v="3201308"/>
    <x v="16"/>
    <n v="6.51"/>
    <n v="19354578.43"/>
    <n v="1555781.88"/>
    <n v="20910360.309999999"/>
    <n v="436880.64000000001"/>
    <n v="5305464.38"/>
    <n v="6.51"/>
    <n v="633647.35999999999"/>
    <n v="0"/>
    <n v="0"/>
    <x v="1"/>
    <n v="7"/>
  </r>
  <r>
    <n v="33324"/>
    <n v="3201407"/>
    <x v="17"/>
    <n v="0.93"/>
    <n v="2781069.29"/>
    <n v="223551.08"/>
    <n v="3004620.37"/>
    <n v="62775.6"/>
    <n v="1106561.83"/>
    <n v="0.93"/>
    <n v="91049.11"/>
    <n v="0"/>
    <n v="0"/>
    <x v="1"/>
    <n v="7"/>
  </r>
  <r>
    <n v="33325"/>
    <n v="3201506"/>
    <x v="18"/>
    <n v="2.2000000000000002"/>
    <n v="6539672.5800000001"/>
    <n v="525679.44999999995"/>
    <n v="7065352.0300000003"/>
    <n v="147616.56"/>
    <n v="2619868.19"/>
    <n v="2.2000000000000002"/>
    <n v="214101.6"/>
    <n v="0"/>
    <n v="0"/>
    <x v="1"/>
    <n v="7"/>
  </r>
  <r>
    <n v="33326"/>
    <n v="3201605"/>
    <x v="19"/>
    <n v="0.57999999999999996"/>
    <n v="1738168.29"/>
    <n v="139719.42000000001"/>
    <n v="1877887.71"/>
    <n v="39234.75"/>
    <n v="237481.58"/>
    <n v="0.57999999999999996"/>
    <n v="56905.7"/>
    <n v="0"/>
    <n v="0"/>
    <x v="1"/>
    <n v="7"/>
  </r>
  <r>
    <n v="33327"/>
    <n v="3201704"/>
    <x v="20"/>
    <n v="0.45"/>
    <n v="1354879.9"/>
    <n v="108909.51"/>
    <n v="1463789.41"/>
    <n v="30582.99"/>
    <n v="228038.26"/>
    <n v="0.45"/>
    <n v="44357.27"/>
    <n v="0"/>
    <n v="0"/>
    <x v="1"/>
    <n v="7"/>
  </r>
  <r>
    <n v="33328"/>
    <n v="3201803"/>
    <x v="21"/>
    <n v="0.19"/>
    <n v="564533.29"/>
    <n v="45378.96"/>
    <n v="609912.25"/>
    <n v="12742.91"/>
    <n v="57560.91"/>
    <n v="0.19"/>
    <n v="18482.2"/>
    <n v="0"/>
    <n v="0"/>
    <x v="1"/>
    <n v="7"/>
  </r>
  <r>
    <n v="33329"/>
    <n v="3201902"/>
    <x v="22"/>
    <n v="1.22"/>
    <n v="3636782.9"/>
    <n v="292336.07"/>
    <n v="3929118.97"/>
    <n v="82091.17"/>
    <n v="817768.09"/>
    <n v="1.22"/>
    <n v="119064.22"/>
    <n v="0"/>
    <n v="0"/>
    <x v="1"/>
    <n v="7"/>
  </r>
  <r>
    <n v="33330"/>
    <n v="3202009"/>
    <x v="23"/>
    <n v="0.24"/>
    <n v="724979.6"/>
    <n v="58276.160000000003"/>
    <n v="783255.76"/>
    <n v="16364.58"/>
    <n v="159407.03"/>
    <n v="0.24"/>
    <n v="23735.03"/>
    <n v="0"/>
    <n v="0"/>
    <x v="1"/>
    <n v="7"/>
  </r>
  <r>
    <n v="33331"/>
    <n v="3202108"/>
    <x v="24"/>
    <n v="0.69"/>
    <n v="2076888.31"/>
    <n v="166946.82"/>
    <n v="2243835.13"/>
    <n v="46880.5"/>
    <n v="251120.63"/>
    <n v="0.69"/>
    <n v="67995.009999999995"/>
    <n v="0"/>
    <n v="0"/>
    <x v="1"/>
    <n v="7"/>
  </r>
  <r>
    <n v="33332"/>
    <n v="3202207"/>
    <x v="25"/>
    <n v="0.33"/>
    <n v="983476.42"/>
    <n v="79054.91"/>
    <n v="1062531.33"/>
    <n v="22199.49"/>
    <n v="282602.46999999997"/>
    <n v="0.33"/>
    <n v="32197.919999999998"/>
    <n v="0"/>
    <n v="0"/>
    <x v="1"/>
    <n v="7"/>
  </r>
  <r>
    <n v="33333"/>
    <n v="3202256"/>
    <x v="26"/>
    <n v="0.44"/>
    <n v="1316253.94"/>
    <n v="105804.64"/>
    <n v="1422058.58"/>
    <n v="29711.1"/>
    <n v="222261.23"/>
    <n v="0.44"/>
    <n v="43092.69"/>
    <n v="0"/>
    <n v="0"/>
    <x v="1"/>
    <n v="7"/>
  </r>
  <r>
    <n v="33334"/>
    <n v="3202306"/>
    <x v="27"/>
    <n v="0.39"/>
    <n v="1161750.1200000001"/>
    <n v="93385.13"/>
    <n v="1255135.25"/>
    <n v="26223.57"/>
    <n v="636126.74"/>
    <n v="0.39"/>
    <n v="38034.400000000001"/>
    <n v="0"/>
    <n v="0"/>
    <x v="1"/>
    <n v="7"/>
  </r>
  <r>
    <n v="33335"/>
    <n v="3202405"/>
    <x v="28"/>
    <n v="0.91"/>
    <n v="2709759.82"/>
    <n v="217819.02"/>
    <n v="2927578.84"/>
    <n v="61165.97"/>
    <n v="3815756.77"/>
    <n v="0.91"/>
    <n v="88714.52"/>
    <n v="0"/>
    <n v="0"/>
    <x v="1"/>
    <n v="7"/>
  </r>
  <r>
    <n v="33336"/>
    <n v="3202454"/>
    <x v="29"/>
    <n v="0.36"/>
    <n v="1069642.02"/>
    <n v="85981.18"/>
    <n v="1155623.2"/>
    <n v="24144.46"/>
    <n v="482057.03"/>
    <n v="0.36"/>
    <n v="35018.89"/>
    <n v="0"/>
    <n v="0"/>
    <x v="1"/>
    <n v="7"/>
  </r>
  <r>
    <n v="33337"/>
    <n v="3202504"/>
    <x v="30"/>
    <n v="0.27"/>
    <n v="811145.21"/>
    <n v="65202.42"/>
    <n v="876347.63"/>
    <n v="18309.55"/>
    <n v="258300.49"/>
    <n v="0.27"/>
    <n v="26555.99"/>
    <n v="0"/>
    <n v="0"/>
    <x v="1"/>
    <n v="7"/>
  </r>
  <r>
    <n v="33338"/>
    <n v="3202553"/>
    <x v="31"/>
    <n v="0.24"/>
    <n v="727950.83"/>
    <n v="58514.95"/>
    <n v="786465.78"/>
    <n v="16431.650000000001"/>
    <n v="110852.22"/>
    <n v="0.24"/>
    <n v="23832.3"/>
    <n v="0"/>
    <n v="0"/>
    <x v="1"/>
    <n v="7"/>
  </r>
  <r>
    <n v="33339"/>
    <n v="3202603"/>
    <x v="32"/>
    <n v="0.37"/>
    <n v="1105296.77"/>
    <n v="88847.23"/>
    <n v="1194144"/>
    <n v="24949.279999999999"/>
    <n v="516406.41"/>
    <n v="0.37"/>
    <n v="36186.19"/>
    <n v="0"/>
    <n v="0"/>
    <x v="1"/>
    <n v="7"/>
  </r>
  <r>
    <n v="33340"/>
    <n v="3202652"/>
    <x v="33"/>
    <n v="0.3"/>
    <n v="918109.41"/>
    <n v="73800.509999999995"/>
    <n v="991909.92"/>
    <n v="20724"/>
    <n v="192744.44"/>
    <n v="0.3"/>
    <n v="30057.88"/>
    <n v="0"/>
    <n v="0"/>
    <x v="1"/>
    <n v="7"/>
  </r>
  <r>
    <n v="33341"/>
    <n v="3202702"/>
    <x v="34"/>
    <n v="0.38"/>
    <n v="1137980.28"/>
    <n v="91474.44"/>
    <n v="1229454.72"/>
    <n v="25687.03"/>
    <n v="209324.24"/>
    <n v="0.38"/>
    <n v="37256.21"/>
    <n v="0"/>
    <n v="0"/>
    <x v="1"/>
    <n v="7"/>
  </r>
  <r>
    <n v="33342"/>
    <n v="3202801"/>
    <x v="35"/>
    <n v="2.66"/>
    <n v="7918322.29"/>
    <n v="636499.64"/>
    <n v="8554821.9299999997"/>
    <n v="178736.09"/>
    <n v="445622.14"/>
    <n v="2.66"/>
    <n v="259237.06"/>
    <n v="0"/>
    <n v="0"/>
    <x v="1"/>
    <n v="7"/>
  </r>
  <r>
    <n v="33343"/>
    <n v="3202900"/>
    <x v="36"/>
    <n v="0.34"/>
    <n v="1016159.94"/>
    <n v="81682.149999999994"/>
    <n v="1097842.0900000001"/>
    <n v="22937.24"/>
    <n v="212884.26"/>
    <n v="0.34"/>
    <n v="33267.94"/>
    <n v="0"/>
    <n v="0"/>
    <x v="1"/>
    <n v="7"/>
  </r>
  <r>
    <n v="33344"/>
    <n v="3203007"/>
    <x v="37"/>
    <n v="0.47"/>
    <n v="1402419.54"/>
    <n v="112730.89"/>
    <n v="1515150.43"/>
    <n v="31656.07"/>
    <n v="411585.27"/>
    <n v="0.47"/>
    <n v="45913.66"/>
    <n v="0"/>
    <n v="0"/>
    <x v="1"/>
    <n v="7"/>
  </r>
  <r>
    <n v="33345"/>
    <n v="3203056"/>
    <x v="38"/>
    <n v="0.86"/>
    <n v="2570112.15"/>
    <n v="206593.7"/>
    <n v="2776705.85"/>
    <n v="58013.78"/>
    <n v="543708.93999999994"/>
    <n v="0.86"/>
    <n v="84142.61"/>
    <n v="0"/>
    <n v="0"/>
    <x v="1"/>
    <n v="7"/>
  </r>
  <r>
    <n v="33346"/>
    <n v="3203106"/>
    <x v="39"/>
    <n v="0.21"/>
    <n v="635842.77"/>
    <n v="51111.05"/>
    <n v="686953.82"/>
    <n v="14352.54"/>
    <n v="140926.62"/>
    <n v="0.21"/>
    <n v="20816.78"/>
    <n v="0"/>
    <n v="0"/>
    <x v="1"/>
    <n v="7"/>
  </r>
  <r>
    <n v="33347"/>
    <n v="3203130"/>
    <x v="40"/>
    <n v="0.42"/>
    <n v="1268714.3"/>
    <n v="101983.26"/>
    <n v="1370697.56"/>
    <n v="28638.02"/>
    <n v="356972.41"/>
    <n v="0.42"/>
    <n v="41536.300000000003"/>
    <n v="0"/>
    <n v="0"/>
    <x v="1"/>
    <n v="7"/>
  </r>
  <r>
    <n v="33348"/>
    <n v="3203163"/>
    <x v="41"/>
    <n v="0.38"/>
    <n v="1129066.6000000001"/>
    <n v="90757.9"/>
    <n v="1219824.5"/>
    <n v="25485.82"/>
    <n v="169133.12"/>
    <n v="0.38"/>
    <n v="36964.379999999997"/>
    <n v="0"/>
    <n v="0"/>
    <x v="1"/>
    <n v="7"/>
  </r>
  <r>
    <n v="33349"/>
    <n v="3203205"/>
    <x v="42"/>
    <n v="5.75"/>
    <n v="17093474.02"/>
    <n v="1374027.21"/>
    <n v="18467501.23"/>
    <n v="385841.93"/>
    <n v="3274427.14"/>
    <n v="5.75"/>
    <n v="559621.31999999995"/>
    <n v="0"/>
    <n v="0"/>
    <x v="1"/>
    <n v="7"/>
  </r>
  <r>
    <n v="33350"/>
    <n v="3203304"/>
    <x v="43"/>
    <n v="0.25"/>
    <n v="757663.14"/>
    <n v="60903.34"/>
    <n v="818566.48"/>
    <n v="17102.330000000002"/>
    <n v="239669.65"/>
    <n v="0.25"/>
    <n v="24805.05"/>
    <n v="0"/>
    <n v="0"/>
    <x v="1"/>
    <n v="7"/>
  </r>
  <r>
    <n v="33351"/>
    <n v="3203320"/>
    <x v="44"/>
    <n v="0.61"/>
    <n v="1833247.61"/>
    <n v="147362.19"/>
    <n v="1980609.8"/>
    <n v="41380.93"/>
    <n v="694008.13"/>
    <n v="0.61"/>
    <n v="60018.48"/>
    <n v="0"/>
    <n v="0"/>
    <x v="1"/>
    <n v="7"/>
  </r>
  <r>
    <n v="33352"/>
    <n v="3203346"/>
    <x v="45"/>
    <n v="0.65"/>
    <n v="1952096.73"/>
    <n v="156915.66"/>
    <n v="2109012.39"/>
    <n v="44063.64"/>
    <n v="400951.17"/>
    <n v="0.65"/>
    <n v="63909.47"/>
    <n v="0"/>
    <n v="0"/>
    <x v="1"/>
    <n v="7"/>
  </r>
  <r>
    <n v="33353"/>
    <n v="3203353"/>
    <x v="46"/>
    <n v="0.43"/>
    <n v="1301397.81"/>
    <n v="104610.43"/>
    <n v="1406008.24"/>
    <n v="29375.759999999998"/>
    <n v="291955.56"/>
    <n v="0.43"/>
    <n v="42606.32"/>
    <n v="0"/>
    <n v="0"/>
    <x v="1"/>
    <n v="7"/>
  </r>
  <r>
    <n v="33354"/>
    <n v="3203403"/>
    <x v="47"/>
    <n v="0.5"/>
    <n v="1485613.95"/>
    <n v="119418.33"/>
    <n v="1605032.28"/>
    <n v="33533.980000000003"/>
    <n v="431883.22"/>
    <n v="0.5"/>
    <n v="48637.34"/>
    <n v="0"/>
    <n v="0"/>
    <x v="1"/>
    <n v="7"/>
  </r>
  <r>
    <n v="33355"/>
    <n v="3203502"/>
    <x v="48"/>
    <n v="0.52"/>
    <n v="1559894.65"/>
    <n v="125389.24"/>
    <n v="1685283.89"/>
    <n v="35210.68"/>
    <n v="272114.34999999998"/>
    <n v="0.52"/>
    <n v="51069.22"/>
    <n v="0"/>
    <n v="0"/>
    <x v="1"/>
    <n v="7"/>
  </r>
  <r>
    <n v="33356"/>
    <n v="3203601"/>
    <x v="49"/>
    <n v="0.28000000000000003"/>
    <n v="858684.87"/>
    <n v="69023.78"/>
    <n v="927708.65"/>
    <n v="19382.64"/>
    <n v="58721.51"/>
    <n v="0.28000000000000003"/>
    <n v="28112.39"/>
    <n v="0"/>
    <n v="0"/>
    <x v="1"/>
    <n v="7"/>
  </r>
  <r>
    <n v="33357"/>
    <n v="3203700"/>
    <x v="50"/>
    <n v="0.5"/>
    <n v="1512355"/>
    <n v="121567.84"/>
    <n v="1633922.84"/>
    <n v="34137.589999999997"/>
    <n v="220167.27"/>
    <n v="0.5"/>
    <n v="49512.82"/>
    <n v="0"/>
    <n v="0"/>
    <x v="1"/>
    <n v="7"/>
  </r>
  <r>
    <n v="33358"/>
    <n v="3203809"/>
    <x v="51"/>
    <n v="0.28999999999999998"/>
    <n v="867598.54"/>
    <n v="69740.289999999994"/>
    <n v="937338.83"/>
    <n v="19583.84"/>
    <n v="202625.62"/>
    <n v="0.28999999999999998"/>
    <n v="28404.21"/>
    <n v="0"/>
    <n v="0"/>
    <x v="1"/>
    <n v="7"/>
  </r>
  <r>
    <n v="33359"/>
    <n v="3203908"/>
    <x v="52"/>
    <n v="1.22"/>
    <n v="3651639.07"/>
    <n v="293530.25"/>
    <n v="3945169.32"/>
    <n v="82426.509999999995"/>
    <n v="940705.19"/>
    <n v="1.22"/>
    <n v="119550.59"/>
    <n v="0"/>
    <n v="0"/>
    <x v="1"/>
    <n v="7"/>
  </r>
  <r>
    <n v="33360"/>
    <n v="3204005"/>
    <x v="53"/>
    <n v="0.47"/>
    <n v="1420246.92"/>
    <n v="114163.91"/>
    <n v="1534410.83"/>
    <n v="32058.48"/>
    <n v="219274.02"/>
    <n v="0.47"/>
    <n v="46497.3"/>
    <n v="0"/>
    <n v="0"/>
    <x v="1"/>
    <n v="7"/>
  </r>
  <r>
    <n v="33361"/>
    <n v="3204054"/>
    <x v="54"/>
    <n v="0.32"/>
    <n v="962677.85"/>
    <n v="77383.06"/>
    <n v="1040060.91"/>
    <n v="21730.02"/>
    <n v="287770.84999999998"/>
    <n v="0.32"/>
    <n v="31517"/>
    <n v="0"/>
    <n v="0"/>
    <x v="1"/>
    <n v="7"/>
  </r>
  <r>
    <n v="33362"/>
    <n v="3204104"/>
    <x v="55"/>
    <n v="0.66"/>
    <n v="1975866.55"/>
    <n v="158826.4"/>
    <n v="2134692.9500000002"/>
    <n v="44600.19"/>
    <n v="267507.84000000003"/>
    <n v="0.66"/>
    <n v="64687.67"/>
    <n v="0"/>
    <n v="0"/>
    <x v="1"/>
    <n v="7"/>
  </r>
  <r>
    <n v="33363"/>
    <n v="3204203"/>
    <x v="56"/>
    <n v="0.15"/>
    <n v="454597.88"/>
    <n v="36542.03"/>
    <n v="491139.91"/>
    <n v="10261.4"/>
    <n v="450229.8"/>
    <n v="0.15"/>
    <n v="14883.03"/>
    <n v="0"/>
    <n v="0"/>
    <x v="1"/>
    <n v="7"/>
  </r>
  <r>
    <n v="33364"/>
    <n v="3204252"/>
    <x v="57"/>
    <n v="0.23"/>
    <n v="683382.42"/>
    <n v="54932.42"/>
    <n v="738314.84"/>
    <n v="15425.63"/>
    <n v="73071.990000000005"/>
    <n v="0.23"/>
    <n v="22373.18"/>
    <n v="0"/>
    <n v="0"/>
    <x v="1"/>
    <n v="7"/>
  </r>
  <r>
    <n v="33365"/>
    <n v="1718402"/>
    <x v="58"/>
    <n v="0.33"/>
    <n v="992390.12"/>
    <n v="79771.460000000006"/>
    <n v="1072161.58"/>
    <n v="22400.7"/>
    <n v="274821.81"/>
    <n v="0.33"/>
    <n v="32489.75"/>
    <n v="0"/>
    <n v="0"/>
    <x v="1"/>
    <n v="7"/>
  </r>
  <r>
    <n v="33366"/>
    <n v="3204351"/>
    <x v="59"/>
    <n v="0.76"/>
    <n v="2284874.2200000002"/>
    <n v="183665.38"/>
    <n v="2468539.6"/>
    <n v="51575.26"/>
    <n v="502470.75"/>
    <n v="0.76"/>
    <n v="74804.240000000005"/>
    <n v="0"/>
    <n v="0"/>
    <x v="1"/>
    <n v="7"/>
  </r>
  <r>
    <n v="33367"/>
    <n v="3204401"/>
    <x v="60"/>
    <n v="0.26"/>
    <n v="787375.39"/>
    <n v="63291.71"/>
    <n v="850667.1"/>
    <n v="17773.009999999998"/>
    <n v="204099.6"/>
    <n v="0.26"/>
    <n v="25777.8"/>
    <n v="0"/>
    <n v="0"/>
    <x v="1"/>
    <n v="7"/>
  </r>
  <r>
    <n v="33368"/>
    <n v="3204500"/>
    <x v="61"/>
    <n v="0.49"/>
    <n v="1473729.01"/>
    <n v="118462.97"/>
    <n v="1592191.98"/>
    <n v="33265.699999999997"/>
    <n v="175142.75"/>
    <n v="0.49"/>
    <n v="48248.25"/>
    <n v="0"/>
    <n v="0"/>
    <x v="1"/>
    <n v="7"/>
  </r>
  <r>
    <n v="33369"/>
    <n v="3204559"/>
    <x v="62"/>
    <n v="2.2400000000000002"/>
    <n v="6673377.8300000001"/>
    <n v="536427.1"/>
    <n v="7209804.9299999997"/>
    <n v="150634.62"/>
    <n v="903454.55"/>
    <n v="2.2400000000000002"/>
    <n v="218478.96"/>
    <n v="0"/>
    <n v="0"/>
    <x v="1"/>
    <n v="7"/>
  </r>
  <r>
    <n v="33370"/>
    <n v="3204609"/>
    <x v="63"/>
    <n v="0.69"/>
    <n v="2053118.46"/>
    <n v="165036.1"/>
    <n v="2218154.56"/>
    <n v="46343.96"/>
    <n v="603158.68000000005"/>
    <n v="0.69"/>
    <n v="67216.81"/>
    <n v="0"/>
    <n v="0"/>
    <x v="1"/>
    <n v="7"/>
  </r>
  <r>
    <n v="33371"/>
    <n v="3204658"/>
    <x v="64"/>
    <n v="0.45"/>
    <n v="1345966.21"/>
    <n v="108193.01"/>
    <n v="1454159.22"/>
    <n v="30381.78"/>
    <n v="155409.54999999999"/>
    <n v="0.45"/>
    <n v="44065.440000000002"/>
    <n v="0"/>
    <n v="0"/>
    <x v="1"/>
    <n v="7"/>
  </r>
  <r>
    <n v="33372"/>
    <n v="3204708"/>
    <x v="65"/>
    <n v="0.72"/>
    <n v="2166025.13"/>
    <n v="174111.92"/>
    <n v="2340137.0499999998"/>
    <n v="48892.54"/>
    <n v="662161.38"/>
    <n v="0.72"/>
    <n v="70913.25"/>
    <n v="0"/>
    <n v="0"/>
    <x v="1"/>
    <n v="7"/>
  </r>
  <r>
    <n v="33373"/>
    <n v="3204807"/>
    <x v="66"/>
    <n v="0.22"/>
    <n v="656641.36"/>
    <n v="52782.9"/>
    <n v="709424.26"/>
    <n v="14822.02"/>
    <n v="156571.46"/>
    <n v="0.22"/>
    <n v="21497.71"/>
    <n v="0"/>
    <n v="0"/>
    <x v="1"/>
    <n v="7"/>
  </r>
  <r>
    <n v="33374"/>
    <n v="3204906"/>
    <x v="67"/>
    <n v="1.8"/>
    <n v="5351181.4000000004"/>
    <n v="430144.79"/>
    <n v="5781326.1900000004"/>
    <n v="120789.38"/>
    <n v="1847823.18"/>
    <n v="1.8"/>
    <n v="175191.73"/>
    <n v="0"/>
    <n v="0"/>
    <x v="1"/>
    <n v="7"/>
  </r>
  <r>
    <n v="33375"/>
    <n v="3204955"/>
    <x v="68"/>
    <n v="0.32"/>
    <n v="974562.73"/>
    <n v="78338.44"/>
    <n v="1052901.17"/>
    <n v="21998.29"/>
    <n v="208384.55"/>
    <n v="0.32"/>
    <n v="31906.1"/>
    <n v="0"/>
    <n v="0"/>
    <x v="1"/>
    <n v="7"/>
  </r>
  <r>
    <n v="33376"/>
    <n v="3205002"/>
    <x v="69"/>
    <n v="13.06"/>
    <n v="38825034.770000003"/>
    <n v="3120878.38"/>
    <n v="41945913.149999999"/>
    <n v="876376.94"/>
    <n v="7868594.25"/>
    <n v="13.06"/>
    <n v="1271088.43"/>
    <n v="0"/>
    <n v="0"/>
    <x v="1"/>
    <n v="7"/>
  </r>
  <r>
    <n v="33377"/>
    <n v="3205010"/>
    <x v="70"/>
    <n v="0.7"/>
    <n v="2094715.66"/>
    <n v="168379.83"/>
    <n v="2263095.4900000002"/>
    <n v="47282.91"/>
    <n v="300818.58"/>
    <n v="0.7"/>
    <n v="68578.66"/>
    <n v="0"/>
    <n v="0"/>
    <x v="1"/>
    <n v="7"/>
  </r>
  <r>
    <n v="33378"/>
    <n v="3205036"/>
    <x v="71"/>
    <n v="0.47"/>
    <n v="1414304.48"/>
    <n v="113686.23"/>
    <n v="1527990.71"/>
    <n v="31924.35"/>
    <n v="378091.57"/>
    <n v="0.47"/>
    <n v="46302.76"/>
    <n v="0"/>
    <n v="0"/>
    <x v="1"/>
    <n v="7"/>
  </r>
  <r>
    <n v="33379"/>
    <n v="3205069"/>
    <x v="72"/>
    <n v="0.72"/>
    <n v="2142255.2999999998"/>
    <n v="172201.23"/>
    <n v="2314456.5299999998"/>
    <n v="48355.99"/>
    <n v="780065.42"/>
    <n v="0.72"/>
    <n v="70135.05"/>
    <n v="0"/>
    <n v="0"/>
    <x v="1"/>
    <n v="7"/>
  </r>
  <r>
    <n v="33380"/>
    <n v="2112803"/>
    <x v="73"/>
    <n v="2.25"/>
    <n v="6694176.4199999999"/>
    <n v="538098.93999999994"/>
    <n v="7232275.3600000003"/>
    <n v="151104.1"/>
    <n v="1016663.68"/>
    <n v="2.25"/>
    <n v="219159.88"/>
    <n v="0"/>
    <n v="0"/>
    <x v="1"/>
    <n v="7"/>
  </r>
  <r>
    <n v="33381"/>
    <n v="3205150"/>
    <x v="74"/>
    <n v="0.32"/>
    <n v="971591.51"/>
    <n v="78099.58"/>
    <n v="1049691.0900000001"/>
    <n v="21931.22"/>
    <n v="158320.04999999999"/>
    <n v="0.32"/>
    <n v="31808.82"/>
    <n v="0"/>
    <n v="0"/>
    <x v="1"/>
    <n v="7"/>
  </r>
  <r>
    <n v="33382"/>
    <n v="3205176"/>
    <x v="75"/>
    <n v="0.61"/>
    <n v="1830276.37"/>
    <n v="147123.35"/>
    <n v="1977399.72"/>
    <n v="41313.86"/>
    <n v="357050.2"/>
    <n v="0.61"/>
    <n v="59921.21"/>
    <n v="0"/>
    <n v="0"/>
    <x v="1"/>
    <n v="7"/>
  </r>
  <r>
    <n v="33383"/>
    <n v="3205200"/>
    <x v="76"/>
    <n v="5.55"/>
    <n v="16511113.359999999"/>
    <n v="1327215.2"/>
    <n v="17838328.559999999"/>
    <n v="372696.61"/>
    <n v="11456913.869999999"/>
    <n v="5.55"/>
    <n v="540555.48"/>
    <n v="0"/>
    <n v="0"/>
    <x v="1"/>
    <n v="7"/>
  </r>
  <r>
    <n v="33384"/>
    <n v="3205309"/>
    <x v="77"/>
    <n v="15.84"/>
    <n v="47073163.310000002"/>
    <n v="3783889"/>
    <n v="50857052.310000002"/>
    <n v="1062557.57"/>
    <n v="12447044.439999999"/>
    <n v="15.84"/>
    <n v="1541123"/>
    <n v="0"/>
    <n v="0"/>
    <x v="1"/>
    <n v="7"/>
  </r>
  <r>
    <n v="33385"/>
    <n v="3200102"/>
    <x v="0"/>
    <n v="0.79"/>
    <n v="2613674.5299999998"/>
    <n v="193780.55"/>
    <n v="2807455.08"/>
    <n v="42707.040000000001"/>
    <n v="198129.26"/>
    <n v="0.79"/>
    <n v="62504.82"/>
    <n v="0"/>
    <n v="0"/>
    <x v="1"/>
    <n v="8"/>
  </r>
  <r>
    <n v="33386"/>
    <n v="3200169"/>
    <x v="1"/>
    <n v="0.28999999999999998"/>
    <n v="976033.86"/>
    <n v="72364.149999999994"/>
    <n v="1048398.01"/>
    <n v="15948.24"/>
    <n v="78899.649999999994"/>
    <n v="0.28999999999999998"/>
    <n v="23341.4"/>
    <n v="0"/>
    <n v="0"/>
    <x v="1"/>
    <n v="8"/>
  </r>
  <r>
    <n v="33387"/>
    <n v="3200136"/>
    <x v="2"/>
    <n v="0.42"/>
    <n v="1391994.58"/>
    <n v="103203.93"/>
    <n v="1495198.51"/>
    <n v="22744.98"/>
    <n v="81652.09"/>
    <n v="0.42"/>
    <n v="33288.910000000003"/>
    <n v="0"/>
    <n v="0"/>
    <x v="1"/>
    <n v="8"/>
  </r>
  <r>
    <n v="33388"/>
    <n v="3200201"/>
    <x v="3"/>
    <n v="0.48"/>
    <n v="1585236.2"/>
    <n v="117531.04"/>
    <n v="1702767.24"/>
    <n v="25902.52"/>
    <n v="178917.08"/>
    <n v="0.48"/>
    <n v="37910.199999999997"/>
    <n v="0"/>
    <n v="0"/>
    <x v="1"/>
    <n v="8"/>
  </r>
  <r>
    <n v="33389"/>
    <n v="3200300"/>
    <x v="4"/>
    <n v="0.48"/>
    <n v="1572135.07"/>
    <n v="116559.75"/>
    <n v="1688694.82"/>
    <n v="25688.45"/>
    <n v="174128.95"/>
    <n v="0.48"/>
    <n v="37596.89"/>
    <n v="0"/>
    <n v="0"/>
    <x v="1"/>
    <n v="8"/>
  </r>
  <r>
    <n v="33390"/>
    <n v="3200359"/>
    <x v="5"/>
    <n v="0.22"/>
    <n v="750039.41"/>
    <n v="55608.71"/>
    <n v="805648.12"/>
    <n v="12255.53"/>
    <n v="44068.89"/>
    <n v="0.22"/>
    <n v="17936.849999999999"/>
    <n v="0"/>
    <n v="0"/>
    <x v="1"/>
    <n v="8"/>
  </r>
  <r>
    <n v="33391"/>
    <n v="3200409"/>
    <x v="6"/>
    <n v="2.59"/>
    <n v="8509180.9800000004"/>
    <n v="630879.6"/>
    <n v="9140060.5800000001"/>
    <n v="139038.72"/>
    <n v="220919.19"/>
    <n v="2.59"/>
    <n v="203493.16"/>
    <n v="0"/>
    <n v="0"/>
    <x v="1"/>
    <n v="8"/>
  </r>
  <r>
    <n v="33392"/>
    <n v="3200508"/>
    <x v="7"/>
    <n v="0.19"/>
    <n v="638679.89"/>
    <n v="47352.4"/>
    <n v="686032.29"/>
    <n v="10435.93"/>
    <n v="82364.77"/>
    <n v="0.19"/>
    <n v="15273.73"/>
    <n v="0"/>
    <n v="0"/>
    <x v="1"/>
    <n v="8"/>
  </r>
  <r>
    <n v="33393"/>
    <n v="3200607"/>
    <x v="8"/>
    <n v="5.18"/>
    <n v="16965957.43"/>
    <n v="1257873.8600000001"/>
    <n v="18223831.289999999"/>
    <n v="277221.17"/>
    <n v="773334.98"/>
    <n v="5.18"/>
    <n v="405733.09"/>
    <n v="0"/>
    <n v="0"/>
    <x v="1"/>
    <n v="8"/>
  </r>
  <r>
    <n v="33394"/>
    <n v="3200706"/>
    <x v="9"/>
    <n v="0.36"/>
    <n v="1208578.82"/>
    <n v="89605.31"/>
    <n v="1298184.1299999999"/>
    <n v="19747.990000000002"/>
    <n v="68377.61"/>
    <n v="0.36"/>
    <n v="28902.6"/>
    <n v="0"/>
    <n v="0"/>
    <x v="1"/>
    <n v="8"/>
  </r>
  <r>
    <n v="33395"/>
    <n v="3200805"/>
    <x v="10"/>
    <n v="0.65"/>
    <n v="2158410.4300000002"/>
    <n v="160026.79999999999"/>
    <n v="2318437.23"/>
    <n v="35268.1"/>
    <n v="309280.36"/>
    <n v="0.65"/>
    <n v="51617.4"/>
    <n v="0"/>
    <n v="0"/>
    <x v="1"/>
    <n v="8"/>
  </r>
  <r>
    <n v="33396"/>
    <n v="3200904"/>
    <x v="11"/>
    <n v="0.9"/>
    <n v="2967404.9"/>
    <n v="220006.54"/>
    <n v="3187411.44"/>
    <n v="48486.95"/>
    <n v="342750.58"/>
    <n v="0.9"/>
    <n v="70964.12"/>
    <n v="0"/>
    <n v="0"/>
    <x v="1"/>
    <n v="8"/>
  </r>
  <r>
    <n v="33397"/>
    <n v="3107109"/>
    <x v="12"/>
    <n v="0.41"/>
    <n v="1355966.47"/>
    <n v="100532.77"/>
    <n v="1456499.24"/>
    <n v="22156.29"/>
    <n v="94396.99"/>
    <n v="0.41"/>
    <n v="32427.32"/>
    <n v="0"/>
    <n v="0"/>
    <x v="1"/>
    <n v="8"/>
  </r>
  <r>
    <n v="33398"/>
    <n v="3201100"/>
    <x v="13"/>
    <n v="0.17"/>
    <n v="556797.81999999995"/>
    <n v="41281.56"/>
    <n v="598079.38"/>
    <n v="9097.99"/>
    <n v="175249.87"/>
    <n v="0.17"/>
    <n v="13315.56"/>
    <n v="0"/>
    <n v="0"/>
    <x v="1"/>
    <n v="8"/>
  </r>
  <r>
    <n v="33399"/>
    <n v="3201159"/>
    <x v="14"/>
    <n v="0.43"/>
    <n v="1434573.26"/>
    <n v="106360.76"/>
    <n v="1540934.02"/>
    <n v="23440.71"/>
    <n v="87605.39"/>
    <n v="0.43"/>
    <n v="34307.160000000003"/>
    <n v="0"/>
    <n v="0"/>
    <x v="1"/>
    <n v="8"/>
  </r>
  <r>
    <n v="33400"/>
    <n v="3201209"/>
    <x v="15"/>
    <n v="3.11"/>
    <n v="10192675.59"/>
    <n v="755695.65"/>
    <n v="10948371.24"/>
    <n v="166546.76999999999"/>
    <n v="1884862.34"/>
    <n v="3.11"/>
    <n v="243753.16"/>
    <n v="0"/>
    <n v="0"/>
    <x v="1"/>
    <n v="8"/>
  </r>
  <r>
    <n v="33401"/>
    <n v="3201308"/>
    <x v="16"/>
    <n v="6.51"/>
    <n v="21335182.780000001"/>
    <n v="1581812.84"/>
    <n v="22916995.620000001"/>
    <n v="348613.64"/>
    <n v="2535385.75"/>
    <n v="6.51"/>
    <n v="510221.11"/>
    <n v="0"/>
    <n v="0"/>
    <x v="1"/>
    <n v="8"/>
  </r>
  <r>
    <n v="33402"/>
    <n v="3201407"/>
    <x v="17"/>
    <n v="0.93"/>
    <n v="3065663.35"/>
    <n v="227291.49"/>
    <n v="3292954.84"/>
    <n v="50092.47"/>
    <n v="424479.47"/>
    <n v="0.93"/>
    <n v="73313.94"/>
    <n v="0"/>
    <n v="0"/>
    <x v="1"/>
    <n v="8"/>
  </r>
  <r>
    <n v="33403"/>
    <n v="3201506"/>
    <x v="18"/>
    <n v="2.2000000000000002"/>
    <n v="7208894.2599999998"/>
    <n v="534474.99"/>
    <n v="7743369.25"/>
    <n v="117792.24"/>
    <n v="1223719.07"/>
    <n v="2.2000000000000002"/>
    <n v="172397.4"/>
    <n v="0"/>
    <n v="0"/>
    <x v="1"/>
    <n v="8"/>
  </r>
  <r>
    <n v="33404"/>
    <n v="3201605"/>
    <x v="19"/>
    <n v="0.57999999999999996"/>
    <n v="1916039.59"/>
    <n v="142057.18"/>
    <n v="2058096.77"/>
    <n v="31307.8"/>
    <n v="144623.74"/>
    <n v="0.57999999999999996"/>
    <n v="45821.21"/>
    <n v="0"/>
    <n v="0"/>
    <x v="1"/>
    <n v="8"/>
  </r>
  <r>
    <n v="33405"/>
    <n v="3201704"/>
    <x v="20"/>
    <n v="0.45"/>
    <n v="1493528.31"/>
    <n v="110731.78"/>
    <n v="1604260.09"/>
    <n v="24404.03"/>
    <n v="107212.07"/>
    <n v="0.45"/>
    <n v="35717.050000000003"/>
    <n v="0"/>
    <n v="0"/>
    <x v="1"/>
    <n v="8"/>
  </r>
  <r>
    <n v="33406"/>
    <n v="3201803"/>
    <x v="21"/>
    <n v="0.19"/>
    <n v="622303.46"/>
    <n v="46138.25"/>
    <n v="668441.71"/>
    <n v="10168.34"/>
    <n v="25342.29"/>
    <n v="0.19"/>
    <n v="14882.1"/>
    <n v="0"/>
    <n v="0"/>
    <x v="1"/>
    <n v="8"/>
  </r>
  <r>
    <n v="33407"/>
    <n v="3201902"/>
    <x v="22"/>
    <n v="1.22"/>
    <n v="4008944.4"/>
    <n v="297227.33"/>
    <n v="4306171.7300000004"/>
    <n v="65505.54"/>
    <n v="364425.79"/>
    <n v="1.22"/>
    <n v="95872.07"/>
    <n v="0"/>
    <n v="0"/>
    <x v="1"/>
    <n v="8"/>
  </r>
  <r>
    <n v="33408"/>
    <n v="3202009"/>
    <x v="23"/>
    <n v="0.24"/>
    <n v="799168.66"/>
    <n v="59251.199999999997"/>
    <n v="858419.86"/>
    <n v="13058.29"/>
    <n v="61371.92"/>
    <n v="0.24"/>
    <n v="19111.75"/>
    <n v="0"/>
    <n v="0"/>
    <x v="1"/>
    <n v="8"/>
  </r>
  <r>
    <n v="33409"/>
    <n v="3202108"/>
    <x v="24"/>
    <n v="0.69"/>
    <n v="2289421.6800000002"/>
    <n v="169740.13"/>
    <n v="2459161.81"/>
    <n v="37408.800000000003"/>
    <n v="130160.3"/>
    <n v="0.69"/>
    <n v="54750.46"/>
    <n v="0"/>
    <n v="0"/>
    <x v="1"/>
    <n v="8"/>
  </r>
  <r>
    <n v="33410"/>
    <n v="3202207"/>
    <x v="25"/>
    <n v="0.33"/>
    <n v="1084118.1599999999"/>
    <n v="80377.679999999993"/>
    <n v="1164495.8400000001"/>
    <n v="17714.330000000002"/>
    <n v="139068.53"/>
    <n v="0.33"/>
    <n v="25926.19"/>
    <n v="0"/>
    <n v="0"/>
    <x v="1"/>
    <n v="8"/>
  </r>
  <r>
    <n v="33411"/>
    <n v="3202256"/>
    <x v="26"/>
    <n v="0.44"/>
    <n v="1450949.65"/>
    <n v="107574.93"/>
    <n v="1558524.58"/>
    <n v="23708.3"/>
    <n v="115836.89"/>
    <n v="0.44"/>
    <n v="34698.79"/>
    <n v="0"/>
    <n v="0"/>
    <x v="1"/>
    <n v="8"/>
  </r>
  <r>
    <n v="33412"/>
    <n v="3202306"/>
    <x v="27"/>
    <n v="0.39"/>
    <n v="1280635.01"/>
    <n v="94947.63"/>
    <n v="1375582.64"/>
    <n v="20925.38"/>
    <n v="261540.7"/>
    <n v="0.39"/>
    <n v="30625.8"/>
    <n v="0"/>
    <n v="0"/>
    <x v="1"/>
    <n v="8"/>
  </r>
  <r>
    <n v="33413"/>
    <n v="3202405"/>
    <x v="28"/>
    <n v="0.91"/>
    <n v="2987056.59"/>
    <n v="221463.51"/>
    <n v="3208520.1"/>
    <n v="48808.05"/>
    <n v="1497076.83"/>
    <n v="0.91"/>
    <n v="71434.09"/>
    <n v="0"/>
    <n v="0"/>
    <x v="1"/>
    <n v="8"/>
  </r>
  <r>
    <n v="33414"/>
    <n v="3202454"/>
    <x v="29"/>
    <n v="0.36"/>
    <n v="1179101.31"/>
    <n v="87419.8"/>
    <n v="1266521.1100000001"/>
    <n v="19266.34"/>
    <n v="214475.55"/>
    <n v="0.36"/>
    <n v="28197.66"/>
    <n v="0"/>
    <n v="0"/>
    <x v="1"/>
    <n v="8"/>
  </r>
  <r>
    <n v="33415"/>
    <n v="3202504"/>
    <x v="30"/>
    <n v="0.27"/>
    <n v="894151.83"/>
    <n v="66293.36"/>
    <n v="960445.19"/>
    <n v="14610.3"/>
    <n v="116143.63"/>
    <n v="0.27"/>
    <n v="21383.23"/>
    <n v="0"/>
    <n v="0"/>
    <x v="1"/>
    <n v="8"/>
  </r>
  <r>
    <n v="33416"/>
    <n v="3202553"/>
    <x v="31"/>
    <n v="0.24"/>
    <n v="802443.92"/>
    <n v="59494.05"/>
    <n v="861937.97"/>
    <n v="13111.81"/>
    <n v="53579.15"/>
    <n v="0.24"/>
    <n v="19190.080000000002"/>
    <n v="0"/>
    <n v="0"/>
    <x v="1"/>
    <n v="8"/>
  </r>
  <r>
    <n v="33417"/>
    <n v="3202603"/>
    <x v="32"/>
    <n v="0.37"/>
    <n v="1218404.67"/>
    <n v="90333.79"/>
    <n v="1308738.46"/>
    <n v="19908.55"/>
    <n v="209002.44"/>
    <n v="0.37"/>
    <n v="29137.59"/>
    <n v="0"/>
    <n v="0"/>
    <x v="1"/>
    <n v="8"/>
  </r>
  <r>
    <n v="33418"/>
    <n v="3202652"/>
    <x v="33"/>
    <n v="0.3"/>
    <n v="1012061.96"/>
    <n v="75035.33"/>
    <n v="1087097.29"/>
    <n v="16536.939999999999"/>
    <n v="114915.73"/>
    <n v="0.3"/>
    <n v="24203"/>
    <n v="0"/>
    <n v="0"/>
    <x v="1"/>
    <n v="8"/>
  </r>
  <r>
    <n v="33419"/>
    <n v="3202702"/>
    <x v="34"/>
    <n v="0.38"/>
    <n v="1254432.76"/>
    <n v="93004.95"/>
    <n v="1347437.71"/>
    <n v="20497.240000000002"/>
    <n v="84291.51"/>
    <n v="0.38"/>
    <n v="29999.18"/>
    <n v="0"/>
    <n v="0"/>
    <x v="1"/>
    <n v="8"/>
  </r>
  <r>
    <n v="33420"/>
    <n v="3202801"/>
    <x v="35"/>
    <n v="2.66"/>
    <n v="8728624.8100000005"/>
    <n v="647149.42000000004"/>
    <n v="9375774.2300000004"/>
    <n v="142624.4"/>
    <n v="263350.83"/>
    <n v="2.66"/>
    <n v="208741.06"/>
    <n v="0"/>
    <n v="0"/>
    <x v="1"/>
    <n v="8"/>
  </r>
  <r>
    <n v="33421"/>
    <n v="3202900"/>
    <x v="36"/>
    <n v="0.34"/>
    <n v="1120146.2"/>
    <n v="83048.820000000007"/>
    <n v="1203195.02"/>
    <n v="18303.02"/>
    <n v="94387.01"/>
    <n v="0.34"/>
    <n v="26787.79"/>
    <n v="0"/>
    <n v="0"/>
    <x v="1"/>
    <n v="8"/>
  </r>
  <r>
    <n v="33422"/>
    <n v="3203007"/>
    <x v="37"/>
    <n v="0.47"/>
    <n v="1545932.77"/>
    <n v="114617.07"/>
    <n v="1660549.84"/>
    <n v="25260.31"/>
    <n v="212369.84"/>
    <n v="0.47"/>
    <n v="36970.269999999997"/>
    <n v="0"/>
    <n v="0"/>
    <x v="1"/>
    <n v="8"/>
  </r>
  <r>
    <n v="33423"/>
    <n v="3203056"/>
    <x v="38"/>
    <n v="0.86"/>
    <n v="2833118.39"/>
    <n v="210050.37"/>
    <n v="3043168.76"/>
    <n v="46292.72"/>
    <n v="240342.14"/>
    <n v="0.86"/>
    <n v="67752.73"/>
    <n v="0"/>
    <n v="0"/>
    <x v="1"/>
    <n v="8"/>
  </r>
  <r>
    <n v="33424"/>
    <n v="3203106"/>
    <x v="39"/>
    <n v="0.21"/>
    <n v="700910.22"/>
    <n v="51966.21"/>
    <n v="752876.43"/>
    <n v="11452.77"/>
    <n v="73659.710000000006"/>
    <n v="0.21"/>
    <n v="16761.939999999999"/>
    <n v="0"/>
    <n v="0"/>
    <x v="1"/>
    <n v="8"/>
  </r>
  <r>
    <n v="33425"/>
    <n v="3203130"/>
    <x v="40"/>
    <n v="0.42"/>
    <n v="1398545.12"/>
    <n v="103689.60000000001"/>
    <n v="1502234.72"/>
    <n v="22852.01"/>
    <n v="146579.03"/>
    <n v="0.42"/>
    <n v="33445.57"/>
    <n v="0"/>
    <n v="0"/>
    <x v="1"/>
    <n v="8"/>
  </r>
  <r>
    <n v="33426"/>
    <n v="3203163"/>
    <x v="41"/>
    <n v="0.38"/>
    <n v="1244606.92"/>
    <n v="92276.46"/>
    <n v="1336883.3799999999"/>
    <n v="20336.689999999999"/>
    <n v="51102.13"/>
    <n v="0.38"/>
    <n v="29764.21"/>
    <n v="0"/>
    <n v="0"/>
    <x v="1"/>
    <n v="8"/>
  </r>
  <r>
    <n v="33427"/>
    <n v="3203205"/>
    <x v="42"/>
    <n v="5.75"/>
    <n v="18842693.68"/>
    <n v="1397017.04"/>
    <n v="20239710.719999999"/>
    <n v="307886.75"/>
    <n v="1660166.22"/>
    <n v="5.75"/>
    <n v="450614.38"/>
    <n v="0"/>
    <n v="0"/>
    <x v="1"/>
    <n v="8"/>
  </r>
  <r>
    <n v="33428"/>
    <n v="3203304"/>
    <x v="43"/>
    <n v="0.25"/>
    <n v="835196.73"/>
    <n v="61922.34"/>
    <n v="897119.07"/>
    <n v="13646.99"/>
    <n v="107173.27"/>
    <n v="0.25"/>
    <n v="19973.349999999999"/>
    <n v="0"/>
    <n v="0"/>
    <x v="1"/>
    <n v="8"/>
  </r>
  <r>
    <n v="33429"/>
    <n v="3203320"/>
    <x v="44"/>
    <n v="0.61"/>
    <n v="2020848.61"/>
    <n v="149827.81"/>
    <n v="2170676.42"/>
    <n v="33020.36"/>
    <n v="348383.75"/>
    <n v="0.61"/>
    <n v="48327.67"/>
    <n v="0"/>
    <n v="0"/>
    <x v="1"/>
    <n v="8"/>
  </r>
  <r>
    <n v="33430"/>
    <n v="3203346"/>
    <x v="45"/>
    <n v="0.65"/>
    <n v="2151859.84"/>
    <n v="159541.17000000001"/>
    <n v="2311401.0099999998"/>
    <n v="35161.06"/>
    <n v="171106.96"/>
    <n v="0.65"/>
    <n v="51460.75"/>
    <n v="0"/>
    <n v="0"/>
    <x v="1"/>
    <n v="8"/>
  </r>
  <r>
    <n v="33431"/>
    <n v="3203353"/>
    <x v="46"/>
    <n v="0.43"/>
    <n v="1434573.26"/>
    <n v="106360.76"/>
    <n v="1540934.02"/>
    <n v="23440.71"/>
    <n v="98740.64"/>
    <n v="0.43"/>
    <n v="34307.160000000003"/>
    <n v="0"/>
    <n v="0"/>
    <x v="1"/>
    <n v="8"/>
  </r>
  <r>
    <n v="33432"/>
    <n v="3203403"/>
    <x v="47"/>
    <n v="0.5"/>
    <n v="1637640.7"/>
    <n v="121416.39"/>
    <n v="1759057.09"/>
    <n v="26758.799999999999"/>
    <n v="150176.72"/>
    <n v="0.5"/>
    <n v="39163.42"/>
    <n v="0"/>
    <n v="0"/>
    <x v="1"/>
    <n v="8"/>
  </r>
  <r>
    <n v="33433"/>
    <n v="3203502"/>
    <x v="48"/>
    <n v="0.52"/>
    <n v="1719522.69"/>
    <n v="127487.21"/>
    <n v="1847009.9"/>
    <n v="28096.74"/>
    <n v="142495.95000000001"/>
    <n v="0.52"/>
    <n v="41121.589999999997"/>
    <n v="0"/>
    <n v="0"/>
    <x v="1"/>
    <n v="8"/>
  </r>
  <r>
    <n v="33434"/>
    <n v="3203601"/>
    <x v="49"/>
    <n v="0.28000000000000003"/>
    <n v="946556.31"/>
    <n v="70178.64"/>
    <n v="1016734.95"/>
    <n v="15466.59"/>
    <n v="28103.15"/>
    <n v="0.28000000000000003"/>
    <n v="22636.46"/>
    <n v="0"/>
    <n v="0"/>
    <x v="1"/>
    <n v="8"/>
  </r>
  <r>
    <n v="33435"/>
    <n v="3203700"/>
    <x v="50"/>
    <n v="0.5"/>
    <n v="1667118.22"/>
    <n v="123601.91"/>
    <n v="1790720.13"/>
    <n v="27240.46"/>
    <n v="108950.14"/>
    <n v="0.5"/>
    <n v="39868.370000000003"/>
    <n v="0"/>
    <n v="0"/>
    <x v="1"/>
    <n v="8"/>
  </r>
  <r>
    <n v="33436"/>
    <n v="3203809"/>
    <x v="51"/>
    <n v="0.28999999999999998"/>
    <n v="956382.17"/>
    <n v="70907.179999999993"/>
    <n v="1027289.35"/>
    <n v="15627.14"/>
    <n v="80426.429999999993"/>
    <n v="0.28999999999999998"/>
    <n v="22871.439999999999"/>
    <n v="0"/>
    <n v="0"/>
    <x v="1"/>
    <n v="8"/>
  </r>
  <r>
    <n v="33437"/>
    <n v="3203908"/>
    <x v="52"/>
    <n v="1.22"/>
    <n v="4025320.79"/>
    <n v="298441.52"/>
    <n v="4323762.3099999996"/>
    <n v="65773.13"/>
    <n v="416488.15"/>
    <n v="1.22"/>
    <n v="96263.7"/>
    <n v="0"/>
    <n v="0"/>
    <x v="1"/>
    <n v="8"/>
  </r>
  <r>
    <n v="33438"/>
    <n v="3204005"/>
    <x v="53"/>
    <n v="0.47"/>
    <n v="1565584.51"/>
    <n v="116074.07"/>
    <n v="1681658.58"/>
    <n v="25581.41"/>
    <n v="117612.27"/>
    <n v="0.47"/>
    <n v="37440.239999999998"/>
    <n v="0"/>
    <n v="0"/>
    <x v="1"/>
    <n v="8"/>
  </r>
  <r>
    <n v="33439"/>
    <n v="3204054"/>
    <x v="54"/>
    <n v="0.32"/>
    <n v="1061191.1399999999"/>
    <n v="78677.84"/>
    <n v="1139868.98"/>
    <n v="17339.7"/>
    <n v="176486.19"/>
    <n v="0.32"/>
    <n v="25377.9"/>
    <n v="0"/>
    <n v="0"/>
    <x v="1"/>
    <n v="8"/>
  </r>
  <r>
    <n v="33440"/>
    <n v="3204104"/>
    <x v="55"/>
    <n v="0.66"/>
    <n v="2178062.1"/>
    <n v="161483.79999999999"/>
    <n v="2339545.9"/>
    <n v="35589.199999999997"/>
    <n v="148537.06"/>
    <n v="0.66"/>
    <n v="52087.35"/>
    <n v="0"/>
    <n v="0"/>
    <x v="1"/>
    <n v="8"/>
  </r>
  <r>
    <n v="33441"/>
    <n v="3204203"/>
    <x v="56"/>
    <n v="0.15"/>
    <n v="501118.01"/>
    <n v="37153.42"/>
    <n v="538271.43000000005"/>
    <n v="8188.19"/>
    <n v="195648.2"/>
    <n v="0.15"/>
    <n v="11984"/>
    <n v="0"/>
    <n v="0"/>
    <x v="1"/>
    <n v="8"/>
  </r>
  <r>
    <n v="33442"/>
    <n v="3204252"/>
    <x v="57"/>
    <n v="0.23"/>
    <n v="753314.71"/>
    <n v="55851.54"/>
    <n v="809166.25"/>
    <n v="12309.05"/>
    <n v="59554.35"/>
    <n v="0.23"/>
    <n v="18015.18"/>
    <n v="0"/>
    <n v="0"/>
    <x v="1"/>
    <n v="8"/>
  </r>
  <r>
    <n v="33443"/>
    <n v="1718402"/>
    <x v="58"/>
    <n v="0.33"/>
    <n v="1093943.99"/>
    <n v="81106.14"/>
    <n v="1175050.1299999999"/>
    <n v="17874.88"/>
    <n v="149301.26"/>
    <n v="0.33"/>
    <n v="26161.17"/>
    <n v="0"/>
    <n v="0"/>
    <x v="1"/>
    <n v="8"/>
  </r>
  <r>
    <n v="33444"/>
    <n v="3204351"/>
    <x v="59"/>
    <n v="0.76"/>
    <n v="2518691.35"/>
    <n v="186738.4"/>
    <n v="2705429.75"/>
    <n v="41155.03"/>
    <n v="282830.84000000003"/>
    <n v="0.76"/>
    <n v="60233.35"/>
    <n v="0"/>
    <n v="0"/>
    <x v="1"/>
    <n v="8"/>
  </r>
  <r>
    <n v="33445"/>
    <n v="3204401"/>
    <x v="60"/>
    <n v="0.26"/>
    <n v="867949.55"/>
    <n v="64350.68"/>
    <n v="932300.23"/>
    <n v="14182.16"/>
    <n v="87047.4"/>
    <n v="0.26"/>
    <n v="20756.61"/>
    <n v="0"/>
    <n v="0"/>
    <x v="1"/>
    <n v="8"/>
  </r>
  <r>
    <n v="33446"/>
    <n v="3204500"/>
    <x v="61"/>
    <n v="0.49"/>
    <n v="1624539.55"/>
    <n v="120445.06"/>
    <n v="1744984.61"/>
    <n v="26544.73"/>
    <n v="76423.08"/>
    <n v="0.49"/>
    <n v="38850.120000000003"/>
    <n v="0"/>
    <n v="0"/>
    <x v="1"/>
    <n v="8"/>
  </r>
  <r>
    <n v="33447"/>
    <n v="3204559"/>
    <x v="62"/>
    <n v="2.2400000000000002"/>
    <n v="7356281.9400000004"/>
    <n v="545402.44999999995"/>
    <n v="7901684.3899999997"/>
    <n v="120200.53"/>
    <n v="488610.11"/>
    <n v="2.2400000000000002"/>
    <n v="175922.11"/>
    <n v="0"/>
    <n v="0"/>
    <x v="1"/>
    <n v="8"/>
  </r>
  <r>
    <n v="33448"/>
    <n v="3204609"/>
    <x v="63"/>
    <n v="0.69"/>
    <n v="2263219.41"/>
    <n v="167797.48"/>
    <n v="2431016.89"/>
    <n v="36980.660000000003"/>
    <n v="247412.77"/>
    <n v="0.69"/>
    <n v="54123.86"/>
    <n v="0"/>
    <n v="0"/>
    <x v="1"/>
    <n v="8"/>
  </r>
  <r>
    <n v="33449"/>
    <n v="3204658"/>
    <x v="64"/>
    <n v="0.45"/>
    <n v="1483702.47"/>
    <n v="110003.25"/>
    <n v="1593705.72"/>
    <n v="24243.47"/>
    <n v="77961.73"/>
    <n v="0.45"/>
    <n v="35482.06"/>
    <n v="0"/>
    <n v="0"/>
    <x v="1"/>
    <n v="8"/>
  </r>
  <r>
    <n v="33450"/>
    <n v="3204708"/>
    <x v="65"/>
    <n v="0.72"/>
    <n v="2387680.13"/>
    <n v="177025.09"/>
    <n v="2564705.2200000002"/>
    <n v="39014.33"/>
    <n v="310350.23"/>
    <n v="0.72"/>
    <n v="57100.28"/>
    <n v="0"/>
    <n v="0"/>
    <x v="1"/>
    <n v="8"/>
  </r>
  <r>
    <n v="33451"/>
    <n v="3204807"/>
    <x v="66"/>
    <n v="0.22"/>
    <n v="723837.17"/>
    <n v="53666.05"/>
    <n v="777503.22"/>
    <n v="11827.39"/>
    <n v="69915.509999999995"/>
    <n v="0.22"/>
    <n v="17310.23"/>
    <n v="0"/>
    <n v="0"/>
    <x v="1"/>
    <n v="8"/>
  </r>
  <r>
    <n v="33452"/>
    <n v="3204906"/>
    <x v="67"/>
    <n v="1.8"/>
    <n v="5898781.7300000004"/>
    <n v="437341.87"/>
    <n v="6336123.5999999996"/>
    <n v="96385.2"/>
    <n v="1028955.93"/>
    <n v="1.8"/>
    <n v="141066.66"/>
    <n v="0"/>
    <n v="0"/>
    <x v="1"/>
    <n v="8"/>
  </r>
  <r>
    <n v="33453"/>
    <n v="3204955"/>
    <x v="68"/>
    <n v="0.32"/>
    <n v="1074292.3"/>
    <n v="79649.17"/>
    <n v="1153941.47"/>
    <n v="17553.77"/>
    <n v="86489.19"/>
    <n v="0.32"/>
    <n v="25691.21"/>
    <n v="0"/>
    <n v="0"/>
    <x v="1"/>
    <n v="8"/>
  </r>
  <r>
    <n v="33454"/>
    <n v="3205002"/>
    <x v="69"/>
    <n v="13.06"/>
    <n v="42798101.539999999"/>
    <n v="3173096.15"/>
    <n v="45971197.689999998"/>
    <n v="699314.47"/>
    <n v="4214561.3899999997"/>
    <n v="13.06"/>
    <n v="1023496.97"/>
    <n v="0"/>
    <n v="0"/>
    <x v="1"/>
    <n v="8"/>
  </r>
  <r>
    <n v="33455"/>
    <n v="3205010"/>
    <x v="70"/>
    <n v="0.7"/>
    <n v="2309073.37"/>
    <n v="171197.14"/>
    <n v="2480270.5099999998"/>
    <n v="37729.910000000003"/>
    <n v="138137.01999999999"/>
    <n v="0.7"/>
    <n v="55220.43"/>
    <n v="0"/>
    <n v="0"/>
    <x v="1"/>
    <n v="8"/>
  </r>
  <r>
    <n v="33456"/>
    <n v="3205036"/>
    <x v="71"/>
    <n v="0.47"/>
    <n v="1559033.89"/>
    <n v="115588.4"/>
    <n v="1674622.29"/>
    <n v="25474.38"/>
    <n v="173992.17"/>
    <n v="0.47"/>
    <n v="37283.58"/>
    <n v="0"/>
    <n v="0"/>
    <x v="1"/>
    <n v="8"/>
  </r>
  <r>
    <n v="33457"/>
    <n v="3205069"/>
    <x v="72"/>
    <n v="0.72"/>
    <n v="2361477.86"/>
    <n v="175082.46"/>
    <n v="2536560.3199999998"/>
    <n v="38586.19"/>
    <n v="264453.45"/>
    <n v="0.72"/>
    <n v="56473.66"/>
    <n v="0"/>
    <n v="0"/>
    <x v="1"/>
    <n v="8"/>
  </r>
  <r>
    <n v="33458"/>
    <n v="2112803"/>
    <x v="73"/>
    <n v="2.25"/>
    <n v="7379208.9000000004"/>
    <n v="547102.30000000005"/>
    <n v="7926311.2000000002"/>
    <n v="120575.15"/>
    <n v="533502.31999999995"/>
    <n v="2.25"/>
    <n v="176470.39"/>
    <n v="0"/>
    <n v="0"/>
    <x v="1"/>
    <n v="8"/>
  </r>
  <r>
    <n v="33459"/>
    <n v="3205150"/>
    <x v="74"/>
    <n v="0.32"/>
    <n v="1071017.01"/>
    <n v="79406.3"/>
    <n v="1150423.31"/>
    <n v="17500.259999999998"/>
    <n v="48897.120000000003"/>
    <n v="0.32"/>
    <n v="25612.880000000001"/>
    <n v="0"/>
    <n v="0"/>
    <x v="1"/>
    <n v="8"/>
  </r>
  <r>
    <n v="33460"/>
    <n v="3205176"/>
    <x v="75"/>
    <n v="0.61"/>
    <n v="2017573.32"/>
    <n v="149585.01999999999"/>
    <n v="2167158.34"/>
    <n v="32966.839999999997"/>
    <n v="172833.62"/>
    <n v="0.61"/>
    <n v="48249.34"/>
    <n v="0"/>
    <n v="0"/>
    <x v="1"/>
    <n v="8"/>
  </r>
  <r>
    <n v="33461"/>
    <n v="3205200"/>
    <x v="76"/>
    <n v="5.55"/>
    <n v="18200738.52"/>
    <n v="1349421.83"/>
    <n v="19550160.350000001"/>
    <n v="297397.3"/>
    <n v="4909636.5199999996"/>
    <n v="5.55"/>
    <n v="435262.31"/>
    <n v="0"/>
    <n v="0"/>
    <x v="1"/>
    <n v="8"/>
  </r>
  <r>
    <n v="33462"/>
    <n v="3205309"/>
    <x v="77"/>
    <n v="15.84"/>
    <n v="51890282.530000001"/>
    <n v="3847200.05"/>
    <n v="55737482.579999998"/>
    <n v="847879.33"/>
    <n v="4724103.25"/>
    <n v="15.84"/>
    <n v="1240932.3700000001"/>
    <n v="0"/>
    <n v="0"/>
    <x v="1"/>
    <n v="8"/>
  </r>
  <r>
    <n v="33541"/>
    <n v="3200102"/>
    <x v="0"/>
    <n v="0.79"/>
    <n v="2768531.89"/>
    <n v="166154.1"/>
    <n v="2934685.99"/>
    <n v="53970.400000000001"/>
    <n v="167293.43"/>
    <n v="0.79"/>
    <n v="85008.77"/>
    <n v="0"/>
    <n v="0"/>
    <x v="1"/>
    <n v="9"/>
  </r>
  <r>
    <n v="33542"/>
    <n v="3200169"/>
    <x v="1"/>
    <n v="0.28999999999999998"/>
    <n v="1033862.79"/>
    <n v="62047.5"/>
    <n v="1095910.29"/>
    <n v="20154.36"/>
    <n v="55234.11"/>
    <n v="0.28999999999999998"/>
    <n v="31745.13"/>
    <n v="0"/>
    <n v="0"/>
    <x v="1"/>
    <n v="9"/>
  </r>
  <r>
    <n v="33543"/>
    <n v="3200136"/>
    <x v="2"/>
    <n v="0.42"/>
    <n v="1474468.72"/>
    <n v="88490.6"/>
    <n v="1562959.32"/>
    <n v="28743.64"/>
    <n v="58244.27"/>
    <n v="0.42"/>
    <n v="45274.1"/>
    <n v="0"/>
    <n v="0"/>
    <x v="1"/>
    <n v="9"/>
  </r>
  <r>
    <n v="33544"/>
    <n v="3200201"/>
    <x v="3"/>
    <n v="0.48"/>
    <n v="1679159.68"/>
    <n v="100775.15"/>
    <n v="1779934.83"/>
    <n v="32733.93"/>
    <n v="154837.94"/>
    <n v="0.48"/>
    <n v="51559.199999999997"/>
    <n v="0"/>
    <n v="0"/>
    <x v="1"/>
    <n v="9"/>
  </r>
  <r>
    <n v="33545"/>
    <n v="3200300"/>
    <x v="4"/>
    <n v="0.48"/>
    <n v="1665282.33"/>
    <n v="99942.3"/>
    <n v="1765224.63"/>
    <n v="32463.4"/>
    <n v="139632.84"/>
    <n v="0.48"/>
    <n v="51133.1"/>
    <n v="0"/>
    <n v="0"/>
    <x v="1"/>
    <n v="9"/>
  </r>
  <r>
    <n v="33546"/>
    <n v="3200359"/>
    <x v="5"/>
    <n v="0.22"/>
    <n v="794478.46"/>
    <n v="47680.800000000003"/>
    <n v="842159.26"/>
    <n v="15487.75"/>
    <n v="38263.19"/>
    <n v="0.22"/>
    <n v="24394.75"/>
    <n v="0"/>
    <n v="0"/>
    <x v="1"/>
    <n v="9"/>
  </r>
  <r>
    <n v="33547"/>
    <n v="3200409"/>
    <x v="6"/>
    <n v="2.59"/>
    <n v="9013340.6300000008"/>
    <n v="540937.77"/>
    <n v="9554278.4000000004"/>
    <n v="175708.15"/>
    <n v="203807.13"/>
    <n v="2.59"/>
    <n v="276757.88"/>
    <n v="0"/>
    <n v="0"/>
    <x v="1"/>
    <n v="9"/>
  </r>
  <r>
    <n v="33548"/>
    <n v="3200508"/>
    <x v="7"/>
    <n v="0.19"/>
    <n v="676520.95999999996"/>
    <n v="40601.56"/>
    <n v="717122.52"/>
    <n v="13188.26"/>
    <n v="77636.5"/>
    <n v="0.19"/>
    <n v="20772.82"/>
    <n v="0"/>
    <n v="0"/>
    <x v="1"/>
    <n v="9"/>
  </r>
  <r>
    <n v="33549"/>
    <n v="3200607"/>
    <x v="8"/>
    <n v="5.18"/>
    <n v="17971171.850000001"/>
    <n v="1078544.1299999999"/>
    <n v="19049715.98"/>
    <n v="350334.19"/>
    <n v="750565.29"/>
    <n v="5.18"/>
    <n v="551811.31999999995"/>
    <n v="0"/>
    <n v="0"/>
    <x v="1"/>
    <n v="9"/>
  </r>
  <r>
    <n v="33550"/>
    <n v="3200706"/>
    <x v="9"/>
    <n v="0.36"/>
    <n v="1280185.8"/>
    <n v="76830.64"/>
    <n v="1357016.44"/>
    <n v="24956.240000000002"/>
    <n v="51800.68"/>
    <n v="0.36"/>
    <n v="39308.57"/>
    <n v="0"/>
    <n v="0"/>
    <x v="1"/>
    <n v="9"/>
  </r>
  <r>
    <n v="33551"/>
    <n v="3200805"/>
    <x v="10"/>
    <n v="0.65"/>
    <n v="2286293.88"/>
    <n v="137212.46"/>
    <n v="2423506.34"/>
    <n v="44569.54"/>
    <n v="275249.38"/>
    <n v="0.65"/>
    <n v="70201.48"/>
    <n v="0"/>
    <n v="0"/>
    <x v="1"/>
    <n v="9"/>
  </r>
  <r>
    <n v="33552"/>
    <n v="3200904"/>
    <x v="11"/>
    <n v="0.9"/>
    <n v="3143220.39"/>
    <n v="188641.11"/>
    <n v="3331861.5"/>
    <n v="61274.67"/>
    <n v="294819.73"/>
    <n v="0.9"/>
    <n v="96513.72"/>
    <n v="0"/>
    <n v="0"/>
    <x v="1"/>
    <n v="9"/>
  </r>
  <r>
    <n v="33553"/>
    <n v="3107109"/>
    <x v="12"/>
    <n v="0.41"/>
    <n v="1436306.01"/>
    <n v="86200.23"/>
    <n v="1522506.24"/>
    <n v="27999.68"/>
    <n v="73500.72"/>
    <n v="0.41"/>
    <n v="44102.3"/>
    <n v="0"/>
    <n v="0"/>
    <x v="1"/>
    <n v="9"/>
  </r>
  <r>
    <n v="33554"/>
    <n v="3201100"/>
    <x v="13"/>
    <n v="0.17"/>
    <n v="589787.47"/>
    <n v="35396.25"/>
    <n v="625183.72"/>
    <n v="11497.45"/>
    <n v="150703.84"/>
    <n v="0.17"/>
    <n v="18109.64"/>
    <n v="0"/>
    <n v="0"/>
    <x v="1"/>
    <n v="9"/>
  </r>
  <r>
    <n v="33555"/>
    <n v="3201159"/>
    <x v="14"/>
    <n v="0.43"/>
    <n v="1519570.12"/>
    <n v="91197.37"/>
    <n v="1610767.49"/>
    <n v="29622.85"/>
    <n v="63895.43"/>
    <n v="0.43"/>
    <n v="46658.95"/>
    <n v="0"/>
    <n v="0"/>
    <x v="1"/>
    <n v="9"/>
  </r>
  <r>
    <n v="33556"/>
    <n v="3201209"/>
    <x v="15"/>
    <n v="3.11"/>
    <n v="10796580.460000001"/>
    <n v="647959.31000000006"/>
    <n v="11444539.77"/>
    <n v="210471.04000000001"/>
    <n v="1748781.37"/>
    <n v="3.11"/>
    <n v="331512.90000000002"/>
    <n v="0"/>
    <n v="0"/>
    <x v="1"/>
    <n v="9"/>
  </r>
  <r>
    <n v="33557"/>
    <n v="3201308"/>
    <x v="16"/>
    <n v="6.51"/>
    <n v="22599268.960000001"/>
    <n v="1356300.44"/>
    <n v="23955569.399999999"/>
    <n v="440555.39"/>
    <n v="2532971.2200000002"/>
    <n v="6.51"/>
    <n v="693918.71999999997"/>
    <n v="0"/>
    <n v="0"/>
    <x v="1"/>
    <n v="9"/>
  </r>
  <r>
    <n v="33558"/>
    <n v="3201407"/>
    <x v="17"/>
    <n v="0.93"/>
    <n v="3247300.54"/>
    <n v="194887.53"/>
    <n v="3442188.07"/>
    <n v="63303.63"/>
    <n v="366691.06"/>
    <n v="0.93"/>
    <n v="99709.54"/>
    <n v="0"/>
    <n v="0"/>
    <x v="1"/>
    <n v="9"/>
  </r>
  <r>
    <n v="33559"/>
    <n v="3201506"/>
    <x v="18"/>
    <n v="2.2000000000000002"/>
    <n v="7636013.3499999996"/>
    <n v="458277.13"/>
    <n v="8094290.4800000004"/>
    <n v="148858.22"/>
    <n v="1082480.17"/>
    <n v="2.2000000000000002"/>
    <n v="234466.55"/>
    <n v="0"/>
    <n v="0"/>
    <x v="1"/>
    <n v="9"/>
  </r>
  <r>
    <n v="33560"/>
    <n v="3201605"/>
    <x v="19"/>
    <n v="0.57999999999999996"/>
    <n v="2029562.85"/>
    <n v="121804.7"/>
    <n v="2151367.5499999998"/>
    <n v="39564.769999999997"/>
    <n v="118872.5"/>
    <n v="0.57999999999999996"/>
    <n v="62318.46"/>
    <n v="0"/>
    <n v="0"/>
    <x v="1"/>
    <n v="9"/>
  </r>
  <r>
    <n v="33561"/>
    <n v="3201704"/>
    <x v="20"/>
    <n v="0.45"/>
    <n v="1582018.21"/>
    <n v="94945.2"/>
    <n v="1676963.41"/>
    <n v="30840.23"/>
    <n v="78348.41"/>
    <n v="0.45"/>
    <n v="48576.44"/>
    <n v="0"/>
    <n v="0"/>
    <x v="1"/>
    <n v="9"/>
  </r>
  <r>
    <n v="33562"/>
    <n v="3201803"/>
    <x v="21"/>
    <n v="0.19"/>
    <n v="659174.27"/>
    <n v="39560.51"/>
    <n v="698734.78"/>
    <n v="12850.1"/>
    <n v="16366.03"/>
    <n v="0.19"/>
    <n v="20240.189999999999"/>
    <n v="0"/>
    <n v="0"/>
    <x v="1"/>
    <n v="9"/>
  </r>
  <r>
    <n v="33563"/>
    <n v="3201902"/>
    <x v="22"/>
    <n v="1.22"/>
    <n v="4246469.95"/>
    <n v="254852.9"/>
    <n v="4501322.8499999996"/>
    <n v="82781.67"/>
    <n v="298107.56"/>
    <n v="1.22"/>
    <n v="130389.39"/>
    <n v="0"/>
    <n v="0"/>
    <x v="1"/>
    <n v="9"/>
  </r>
  <r>
    <n v="33564"/>
    <n v="3202009"/>
    <x v="23"/>
    <n v="0.24"/>
    <n v="846518.5"/>
    <n v="50804.01"/>
    <n v="897322.51"/>
    <n v="16502.23"/>
    <n v="54459.360000000001"/>
    <n v="0.24"/>
    <n v="25992.65"/>
    <n v="0"/>
    <n v="0"/>
    <x v="1"/>
    <n v="9"/>
  </r>
  <r>
    <n v="33565"/>
    <n v="3202108"/>
    <x v="24"/>
    <n v="0.69"/>
    <n v="2425067.39"/>
    <n v="145540.99"/>
    <n v="2570608.38"/>
    <n v="47274.83"/>
    <n v="111265.04"/>
    <n v="0.69"/>
    <n v="74462.570000000007"/>
    <n v="0"/>
    <n v="0"/>
    <x v="1"/>
    <n v="9"/>
  </r>
  <r>
    <n v="33566"/>
    <n v="3202207"/>
    <x v="25"/>
    <n v="0.33"/>
    <n v="1148350.93"/>
    <n v="68918.53"/>
    <n v="1217269.46"/>
    <n v="22386.22"/>
    <n v="115128.83"/>
    <n v="0.33"/>
    <n v="35260.53"/>
    <n v="0"/>
    <n v="0"/>
    <x v="1"/>
    <n v="9"/>
  </r>
  <r>
    <n v="33567"/>
    <n v="3202256"/>
    <x v="26"/>
    <n v="0.44"/>
    <n v="1536916.8"/>
    <n v="92238.44"/>
    <n v="1629155.24"/>
    <n v="29961.01"/>
    <n v="74366.94"/>
    <n v="0.44"/>
    <n v="47191.58"/>
    <n v="0"/>
    <n v="0"/>
    <x v="1"/>
    <n v="9"/>
  </r>
  <r>
    <n v="33568"/>
    <n v="3202306"/>
    <x v="27"/>
    <n v="0.39"/>
    <n v="1356511.25"/>
    <n v="81411.33"/>
    <n v="1437922.58"/>
    <n v="26444.14"/>
    <n v="230992.86"/>
    <n v="0.39"/>
    <n v="41652.17"/>
    <n v="0"/>
    <n v="0"/>
    <x v="1"/>
    <n v="9"/>
  </r>
  <r>
    <n v="33569"/>
    <n v="3202405"/>
    <x v="28"/>
    <n v="0.91"/>
    <n v="3164036.44"/>
    <n v="189890.4"/>
    <n v="3353926.84"/>
    <n v="61680.46"/>
    <n v="1426833.69"/>
    <n v="0.91"/>
    <n v="97152.88"/>
    <n v="0"/>
    <n v="0"/>
    <x v="1"/>
    <n v="9"/>
  </r>
  <r>
    <n v="33570"/>
    <n v="3202454"/>
    <x v="29"/>
    <n v="0.36"/>
    <n v="1248961.75"/>
    <n v="74956.75"/>
    <n v="1323918.5"/>
    <n v="24347.55"/>
    <n v="148578.93"/>
    <n v="0.36"/>
    <n v="38349.82"/>
    <n v="0"/>
    <n v="0"/>
    <x v="1"/>
    <n v="9"/>
  </r>
  <r>
    <n v="33571"/>
    <n v="3202504"/>
    <x v="30"/>
    <n v="0.27"/>
    <n v="947129.33"/>
    <n v="56842.2"/>
    <n v="1003971.53"/>
    <n v="18463.560000000001"/>
    <n v="101874.34"/>
    <n v="0.27"/>
    <n v="29081.95"/>
    <n v="0"/>
    <n v="0"/>
    <x v="1"/>
    <n v="9"/>
  </r>
  <r>
    <n v="33572"/>
    <n v="3202553"/>
    <x v="31"/>
    <n v="0.24"/>
    <n v="849987.86"/>
    <n v="51012.24"/>
    <n v="901000.1"/>
    <n v="16569.86"/>
    <n v="42244.43"/>
    <n v="0.24"/>
    <n v="26099.19"/>
    <n v="0"/>
    <n v="0"/>
    <x v="1"/>
    <n v="9"/>
  </r>
  <r>
    <n v="33573"/>
    <n v="3202603"/>
    <x v="32"/>
    <n v="0.37"/>
    <n v="1290593.81"/>
    <n v="77455.28"/>
    <n v="1368049.09"/>
    <n v="25159.13"/>
    <n v="194128.93"/>
    <n v="0.37"/>
    <n v="39628.15"/>
    <n v="0"/>
    <n v="0"/>
    <x v="1"/>
    <n v="9"/>
  </r>
  <r>
    <n v="33574"/>
    <n v="3202652"/>
    <x v="33"/>
    <n v="0.3"/>
    <n v="1072025.51"/>
    <n v="64337.88"/>
    <n v="1136363.3899999999"/>
    <n v="20898.310000000001"/>
    <n v="87913.85"/>
    <n v="0.3"/>
    <n v="32916.93"/>
    <n v="0"/>
    <n v="0"/>
    <x v="1"/>
    <n v="9"/>
  </r>
  <r>
    <n v="33575"/>
    <n v="3202702"/>
    <x v="34"/>
    <n v="0.38"/>
    <n v="1328756.51"/>
    <n v="79745.64"/>
    <n v="1408502.15"/>
    <n v="25903.09"/>
    <n v="72624.100000000006"/>
    <n v="0.38"/>
    <n v="40799.949999999997"/>
    <n v="0"/>
    <n v="0"/>
    <x v="1"/>
    <n v="9"/>
  </r>
  <r>
    <n v="33576"/>
    <n v="3202801"/>
    <x v="35"/>
    <n v="2.66"/>
    <n v="9245786.2699999996"/>
    <n v="554888.03"/>
    <n v="9800674.3000000007"/>
    <n v="180239.5"/>
    <n v="226038.87"/>
    <n v="2.66"/>
    <n v="283895.21000000002"/>
    <n v="0"/>
    <n v="0"/>
    <x v="1"/>
    <n v="9"/>
  </r>
  <r>
    <n v="33577"/>
    <n v="3202900"/>
    <x v="36"/>
    <n v="0.34"/>
    <n v="1186513.6499999999"/>
    <n v="71208.89"/>
    <n v="1257722.54"/>
    <n v="23130.17"/>
    <n v="69369.09"/>
    <n v="0.34"/>
    <n v="36432.33"/>
    <n v="0"/>
    <n v="0"/>
    <x v="1"/>
    <n v="9"/>
  </r>
  <r>
    <n v="33578"/>
    <n v="3203007"/>
    <x v="37"/>
    <n v="0.47"/>
    <n v="1637527.63"/>
    <n v="98276.61"/>
    <n v="1735804.24"/>
    <n v="31922.34"/>
    <n v="159313.47"/>
    <n v="0.47"/>
    <n v="50280.88"/>
    <n v="0"/>
    <n v="0"/>
    <x v="1"/>
    <n v="9"/>
  </r>
  <r>
    <n v="33579"/>
    <n v="3203056"/>
    <x v="38"/>
    <n v="0.86"/>
    <n v="3000977.56"/>
    <n v="180104.35"/>
    <n v="3181081.91"/>
    <n v="58501.75"/>
    <n v="163575.18"/>
    <n v="0.86"/>
    <n v="92146.1"/>
    <n v="0"/>
    <n v="0"/>
    <x v="1"/>
    <n v="9"/>
  </r>
  <r>
    <n v="33580"/>
    <n v="3203106"/>
    <x v="39"/>
    <n v="0.21"/>
    <n v="742438.38"/>
    <n v="44557.62"/>
    <n v="786996"/>
    <n v="14473.27"/>
    <n v="44419.65"/>
    <n v="0.21"/>
    <n v="22796.83"/>
    <n v="0"/>
    <n v="0"/>
    <x v="1"/>
    <n v="9"/>
  </r>
  <r>
    <n v="33581"/>
    <n v="3203130"/>
    <x v="40"/>
    <n v="0.42"/>
    <n v="1481407.43"/>
    <n v="88907.03"/>
    <n v="1570314.46"/>
    <n v="28878.9"/>
    <n v="127191.41"/>
    <n v="0.42"/>
    <n v="45487.15"/>
    <n v="0"/>
    <n v="0"/>
    <x v="1"/>
    <n v="9"/>
  </r>
  <r>
    <n v="33582"/>
    <n v="3203163"/>
    <x v="41"/>
    <n v="0.38"/>
    <n v="1318348.52"/>
    <n v="79120.990000000005"/>
    <n v="1397469.51"/>
    <n v="25700.19"/>
    <n v="38972.26"/>
    <n v="0.38"/>
    <n v="40480.370000000003"/>
    <n v="0"/>
    <n v="0"/>
    <x v="1"/>
    <n v="9"/>
  </r>
  <r>
    <n v="33583"/>
    <n v="3203205"/>
    <x v="42"/>
    <n v="5.75"/>
    <n v="19959102.629999999"/>
    <n v="1197850.25"/>
    <n v="21156952.879999999"/>
    <n v="389087.38"/>
    <n v="1392126.93"/>
    <n v="5.75"/>
    <n v="612851.44999999995"/>
    <n v="0"/>
    <n v="0"/>
    <x v="1"/>
    <n v="9"/>
  </r>
  <r>
    <n v="33584"/>
    <n v="3203304"/>
    <x v="43"/>
    <n v="0.25"/>
    <n v="884681.24"/>
    <n v="53094.36"/>
    <n v="937775.6"/>
    <n v="17246.18"/>
    <n v="78822.289999999994"/>
    <n v="0.25"/>
    <n v="27164.45"/>
    <n v="0"/>
    <n v="0"/>
    <x v="1"/>
    <n v="9"/>
  </r>
  <r>
    <n v="33585"/>
    <n v="3203320"/>
    <x v="44"/>
    <n v="0.61"/>
    <n v="2140581.66"/>
    <n v="128467.52"/>
    <n v="2269049.1800000002"/>
    <n v="41729"/>
    <n v="308828.46999999997"/>
    <n v="0.61"/>
    <n v="65727.33"/>
    <n v="0"/>
    <n v="0"/>
    <x v="1"/>
    <n v="9"/>
  </r>
  <r>
    <n v="33586"/>
    <n v="3203346"/>
    <x v="45"/>
    <n v="0.65"/>
    <n v="2279355.19"/>
    <n v="136796.04"/>
    <n v="2416151.23"/>
    <n v="44434.28"/>
    <n v="150558.04"/>
    <n v="0.65"/>
    <n v="69988.429999999993"/>
    <n v="0"/>
    <n v="0"/>
    <x v="1"/>
    <n v="9"/>
  </r>
  <r>
    <n v="33587"/>
    <n v="3203353"/>
    <x v="46"/>
    <n v="0.43"/>
    <n v="1519570.12"/>
    <n v="91197.37"/>
    <n v="1610767.49"/>
    <n v="29622.85"/>
    <n v="95356.38"/>
    <n v="0.43"/>
    <n v="46658.95"/>
    <n v="0"/>
    <n v="0"/>
    <x v="1"/>
    <n v="9"/>
  </r>
  <r>
    <n v="33588"/>
    <n v="3203403"/>
    <x v="47"/>
    <n v="0.5"/>
    <n v="1734669.09"/>
    <n v="104106.56"/>
    <n v="1838775.65"/>
    <n v="33816.04"/>
    <n v="129683.68"/>
    <n v="0.5"/>
    <n v="53263.64"/>
    <n v="0"/>
    <n v="0"/>
    <x v="1"/>
    <n v="9"/>
  </r>
  <r>
    <n v="33589"/>
    <n v="3203502"/>
    <x v="48"/>
    <n v="0.52"/>
    <n v="1821402.55"/>
    <n v="109311.91"/>
    <n v="1930714.46"/>
    <n v="35506.839999999997"/>
    <n v="122381.56"/>
    <n v="0.52"/>
    <n v="55926.82"/>
    <n v="0"/>
    <n v="0"/>
    <x v="1"/>
    <n v="9"/>
  </r>
  <r>
    <n v="33590"/>
    <n v="3203601"/>
    <x v="49"/>
    <n v="0.28000000000000003"/>
    <n v="1002638.72"/>
    <n v="60173.59"/>
    <n v="1062812.31"/>
    <n v="19545.669999999998"/>
    <n v="26219.35"/>
    <n v="0.28000000000000003"/>
    <n v="30786.39"/>
    <n v="0"/>
    <n v="0"/>
    <x v="1"/>
    <n v="9"/>
  </r>
  <r>
    <n v="33591"/>
    <n v="3203700"/>
    <x v="50"/>
    <n v="0.5"/>
    <n v="1765893.14"/>
    <n v="105980.47"/>
    <n v="1871873.61"/>
    <n v="34424.730000000003"/>
    <n v="79244.37"/>
    <n v="0.5"/>
    <n v="54222.38"/>
    <n v="0"/>
    <n v="0"/>
    <x v="1"/>
    <n v="9"/>
  </r>
  <r>
    <n v="33592"/>
    <n v="3203809"/>
    <x v="51"/>
    <n v="0.28999999999999998"/>
    <n v="1013046.76"/>
    <n v="60798.239999999998"/>
    <n v="1073845"/>
    <n v="19748.57"/>
    <n v="63929.09"/>
    <n v="0.28999999999999998"/>
    <n v="31105.97"/>
    <n v="0"/>
    <n v="0"/>
    <x v="1"/>
    <n v="9"/>
  </r>
  <r>
    <n v="33593"/>
    <n v="3203908"/>
    <x v="52"/>
    <n v="1.22"/>
    <n v="4263816.63"/>
    <n v="255893.93"/>
    <n v="4519710.5599999996"/>
    <n v="83119.83"/>
    <n v="376193.36"/>
    <n v="1.22"/>
    <n v="130922.03"/>
    <n v="0"/>
    <n v="0"/>
    <x v="1"/>
    <n v="9"/>
  </r>
  <r>
    <n v="33594"/>
    <n v="3204005"/>
    <x v="53"/>
    <n v="0.47"/>
    <n v="1658343.67"/>
    <n v="99525.88"/>
    <n v="1757869.55"/>
    <n v="32328.14"/>
    <n v="80533.740000000005"/>
    <n v="0.47"/>
    <n v="50920.04"/>
    <n v="0"/>
    <n v="0"/>
    <x v="1"/>
    <n v="9"/>
  </r>
  <r>
    <n v="33595"/>
    <n v="3204054"/>
    <x v="54"/>
    <n v="0.32"/>
    <n v="1124065.58"/>
    <n v="67461.06"/>
    <n v="1191526.6399999999"/>
    <n v="21912.79"/>
    <n v="135121.28"/>
    <n v="0.32"/>
    <n v="34514.839999999997"/>
    <n v="0"/>
    <n v="0"/>
    <x v="1"/>
    <n v="9"/>
  </r>
  <r>
    <n v="33596"/>
    <n v="3204104"/>
    <x v="55"/>
    <n v="0.66"/>
    <n v="2307109.9"/>
    <n v="138461.76999999999"/>
    <n v="2445571.67"/>
    <n v="44975.34"/>
    <n v="143655.04999999999"/>
    <n v="0.66"/>
    <n v="70840.649999999994"/>
    <n v="0"/>
    <n v="0"/>
    <x v="1"/>
    <n v="9"/>
  </r>
  <r>
    <n v="33597"/>
    <n v="3204203"/>
    <x v="56"/>
    <n v="0.15"/>
    <n v="530808.76"/>
    <n v="31856.61"/>
    <n v="562665.37"/>
    <n v="10347.709999999999"/>
    <n v="163899.07"/>
    <n v="0.15"/>
    <n v="16298.67"/>
    <n v="0"/>
    <n v="0"/>
    <x v="1"/>
    <n v="9"/>
  </r>
  <r>
    <n v="33598"/>
    <n v="3204252"/>
    <x v="57"/>
    <n v="0.23"/>
    <n v="797947.81"/>
    <n v="47889.01"/>
    <n v="845836.82"/>
    <n v="15555.38"/>
    <n v="34181.74"/>
    <n v="0.23"/>
    <n v="24501.27"/>
    <n v="0"/>
    <n v="0"/>
    <x v="1"/>
    <n v="9"/>
  </r>
  <r>
    <n v="33599"/>
    <n v="1718402"/>
    <x v="58"/>
    <n v="0.33"/>
    <n v="1158758.97"/>
    <n v="69543.199999999997"/>
    <n v="1228302.17"/>
    <n v="22589.119999999999"/>
    <n v="131663.62"/>
    <n v="0.33"/>
    <n v="35580.11"/>
    <n v="0"/>
    <n v="0"/>
    <x v="1"/>
    <n v="9"/>
  </r>
  <r>
    <n v="33600"/>
    <n v="3204351"/>
    <x v="59"/>
    <n v="0.76"/>
    <n v="2667921.06"/>
    <n v="160115.9"/>
    <n v="2828036.96"/>
    <n v="52009.07"/>
    <n v="129761.81"/>
    <n v="0.76"/>
    <n v="81919.48"/>
    <n v="0"/>
    <n v="0"/>
    <x v="1"/>
    <n v="9"/>
  </r>
  <r>
    <n v="33601"/>
    <n v="3204401"/>
    <x v="60"/>
    <n v="0.26"/>
    <n v="919374.6"/>
    <n v="55176.5"/>
    <n v="974551.1"/>
    <n v="17922.5"/>
    <n v="73933.61"/>
    <n v="0.26"/>
    <n v="28229.73"/>
    <n v="0"/>
    <n v="0"/>
    <x v="1"/>
    <n v="9"/>
  </r>
  <r>
    <n v="33602"/>
    <n v="3204500"/>
    <x v="61"/>
    <n v="0.49"/>
    <n v="1720791.74"/>
    <n v="103273.71"/>
    <n v="1824065.45"/>
    <n v="33545.51"/>
    <n v="55276.21"/>
    <n v="0.49"/>
    <n v="52837.54"/>
    <n v="0"/>
    <n v="0"/>
    <x v="1"/>
    <n v="9"/>
  </r>
  <r>
    <n v="33603"/>
    <n v="3204559"/>
    <x v="62"/>
    <n v="2.2400000000000002"/>
    <n v="7792133.5700000003"/>
    <n v="467646.73"/>
    <n v="8259780.2999999998"/>
    <n v="151901.66"/>
    <n v="396040.26"/>
    <n v="2.2400000000000002"/>
    <n v="239260.28"/>
    <n v="0"/>
    <n v="0"/>
    <x v="1"/>
    <n v="9"/>
  </r>
  <r>
    <n v="33604"/>
    <n v="3204609"/>
    <x v="63"/>
    <n v="0.69"/>
    <n v="2397312.69"/>
    <n v="143875.29999999999"/>
    <n v="2541187.9900000002"/>
    <n v="46733.77"/>
    <n v="223807.65"/>
    <n v="0.69"/>
    <n v="73610.350000000006"/>
    <n v="0"/>
    <n v="0"/>
    <x v="1"/>
    <n v="9"/>
  </r>
  <r>
    <n v="33605"/>
    <n v="3204658"/>
    <x v="64"/>
    <n v="0.45"/>
    <n v="1571610.2"/>
    <n v="94320.57"/>
    <n v="1665930.77"/>
    <n v="30637.33"/>
    <n v="59071.57"/>
    <n v="0.45"/>
    <n v="48256.86"/>
    <n v="0"/>
    <n v="0"/>
    <x v="1"/>
    <n v="9"/>
  </r>
  <r>
    <n v="33606"/>
    <n v="3204708"/>
    <x v="65"/>
    <n v="0.72"/>
    <n v="2529147.56"/>
    <n v="151787.4"/>
    <n v="2680934.96"/>
    <n v="49303.79"/>
    <n v="235775.66"/>
    <n v="0.72"/>
    <n v="77658.39"/>
    <n v="0"/>
    <n v="0"/>
    <x v="1"/>
    <n v="9"/>
  </r>
  <r>
    <n v="33607"/>
    <n v="3204807"/>
    <x v="66"/>
    <n v="0.22"/>
    <n v="766723.75"/>
    <n v="46015.1"/>
    <n v="812738.85"/>
    <n v="14946.69"/>
    <n v="48869.27"/>
    <n v="0.22"/>
    <n v="23542.53"/>
    <n v="0"/>
    <n v="0"/>
    <x v="1"/>
    <n v="9"/>
  </r>
  <r>
    <n v="33608"/>
    <n v="3204906"/>
    <x v="67"/>
    <n v="1.8"/>
    <n v="6248278.0700000003"/>
    <n v="374991.89"/>
    <n v="6623269.96"/>
    <n v="121805.38"/>
    <n v="895172.26"/>
    <n v="1.8"/>
    <n v="191855.64"/>
    <n v="0"/>
    <n v="0"/>
    <x v="1"/>
    <n v="9"/>
  </r>
  <r>
    <n v="33609"/>
    <n v="3204955"/>
    <x v="68"/>
    <n v="0.32"/>
    <n v="1137942.93"/>
    <n v="68293.929999999993"/>
    <n v="1206236.8600000001"/>
    <n v="22183.32"/>
    <n v="76672.77"/>
    <n v="0.32"/>
    <n v="34940.949999999997"/>
    <n v="0"/>
    <n v="0"/>
    <x v="1"/>
    <n v="9"/>
  </r>
  <r>
    <n v="33610"/>
    <n v="3205002"/>
    <x v="69"/>
    <n v="13.06"/>
    <n v="45333842.149999999"/>
    <n v="2720721.2"/>
    <n v="48054563.350000001"/>
    <n v="883748.43"/>
    <n v="4126507.73"/>
    <n v="13.06"/>
    <n v="1391992"/>
    <n v="0"/>
    <n v="0"/>
    <x v="1"/>
    <n v="9"/>
  </r>
  <r>
    <n v="33611"/>
    <n v="3205010"/>
    <x v="70"/>
    <n v="0.7"/>
    <n v="2445883.42"/>
    <n v="146790.28"/>
    <n v="2592673.7000000002"/>
    <n v="47680.62"/>
    <n v="125967.67"/>
    <n v="0.7"/>
    <n v="75101.73"/>
    <n v="0"/>
    <n v="0"/>
    <x v="1"/>
    <n v="9"/>
  </r>
  <r>
    <n v="33612"/>
    <n v="3205036"/>
    <x v="71"/>
    <n v="0.47"/>
    <n v="1651404.98"/>
    <n v="99109.46"/>
    <n v="1750514.44"/>
    <n v="32192.87"/>
    <n v="134258.48000000001"/>
    <n v="0.47"/>
    <n v="50706.98"/>
    <n v="0"/>
    <n v="0"/>
    <x v="1"/>
    <n v="9"/>
  </r>
  <r>
    <n v="33613"/>
    <n v="3205069"/>
    <x v="72"/>
    <n v="0.72"/>
    <n v="2501392.86"/>
    <n v="150121.68"/>
    <n v="2651514.54"/>
    <n v="48762.73"/>
    <n v="242826.25"/>
    <n v="0.72"/>
    <n v="76806.17"/>
    <n v="0"/>
    <n v="0"/>
    <x v="1"/>
    <n v="9"/>
  </r>
  <r>
    <n v="33614"/>
    <n v="2112803"/>
    <x v="73"/>
    <n v="2.25"/>
    <n v="7816418.9500000002"/>
    <n v="469104.21"/>
    <n v="8285523.1600000001"/>
    <n v="152375.07999999999"/>
    <n v="510081.07"/>
    <n v="2.25"/>
    <n v="240005.97"/>
    <n v="0"/>
    <n v="0"/>
    <x v="1"/>
    <n v="9"/>
  </r>
  <r>
    <n v="33615"/>
    <n v="3205150"/>
    <x v="74"/>
    <n v="0.32"/>
    <n v="1134473.5900000001"/>
    <n v="68085.710000000006"/>
    <n v="1202559.3"/>
    <n v="22115.69"/>
    <n v="48758.54"/>
    <n v="0.32"/>
    <n v="34834.42"/>
    <n v="0"/>
    <n v="0"/>
    <x v="1"/>
    <n v="9"/>
  </r>
  <r>
    <n v="33616"/>
    <n v="3205176"/>
    <x v="75"/>
    <n v="0.61"/>
    <n v="2137112.3199999998"/>
    <n v="128259.31"/>
    <n v="2265371.63"/>
    <n v="41661.360000000001"/>
    <n v="115955.84"/>
    <n v="0.61"/>
    <n v="65620.81"/>
    <n v="0"/>
    <n v="0"/>
    <x v="1"/>
    <n v="9"/>
  </r>
  <r>
    <n v="33617"/>
    <n v="3205200"/>
    <x v="76"/>
    <n v="5.55"/>
    <n v="19279112.32"/>
    <n v="1157040.45"/>
    <n v="20436152.77"/>
    <n v="375831.49"/>
    <n v="4604752.4800000004"/>
    <n v="5.55"/>
    <n v="591972.1"/>
    <n v="0"/>
    <n v="0"/>
    <x v="1"/>
    <n v="9"/>
  </r>
  <r>
    <n v="33618"/>
    <n v="3205309"/>
    <x v="77"/>
    <n v="15.84"/>
    <n v="54964724.909999996"/>
    <n v="3298720.85"/>
    <n v="58263445.759999998"/>
    <n v="1071495.1000000001"/>
    <n v="4563050.09"/>
    <n v="15.84"/>
    <n v="1687711.71"/>
    <n v="0"/>
    <n v="0"/>
    <x v="1"/>
    <n v="9"/>
  </r>
  <r>
    <n v="33697"/>
    <n v="3200102"/>
    <x v="0"/>
    <n v="0.79"/>
    <n v="2509340.7799999998"/>
    <n v="149310.18"/>
    <n v="2658650.96"/>
    <n v="56626.73"/>
    <n v="144414.22"/>
    <n v="0.79"/>
    <n v="80191.289999999994"/>
    <n v="0"/>
    <n v="0"/>
    <x v="1"/>
    <n v="10"/>
  </r>
  <r>
    <n v="33698"/>
    <n v="3200169"/>
    <x v="1"/>
    <n v="0.28999999999999998"/>
    <n v="937072.12"/>
    <n v="55757.43"/>
    <n v="992829.55"/>
    <n v="21146.32"/>
    <n v="50519.76"/>
    <n v="0.28999999999999998"/>
    <n v="29946.12"/>
    <n v="0"/>
    <n v="0"/>
    <x v="1"/>
    <n v="10"/>
  </r>
  <r>
    <n v="33699"/>
    <n v="3200136"/>
    <x v="2"/>
    <n v="0.42"/>
    <n v="1336428.3799999999"/>
    <n v="79519.86"/>
    <n v="1415948.24"/>
    <n v="30158.35"/>
    <n v="46699.05"/>
    <n v="0.42"/>
    <n v="42708.4"/>
    <n v="0"/>
    <n v="0"/>
    <x v="1"/>
    <n v="10"/>
  </r>
  <r>
    <n v="33700"/>
    <n v="3200201"/>
    <x v="3"/>
    <n v="0.48"/>
    <n v="1521956.08"/>
    <n v="90559.06"/>
    <n v="1612515.14"/>
    <n v="34345.03"/>
    <n v="141029.79"/>
    <n v="0.48"/>
    <n v="48637.32"/>
    <n v="0"/>
    <n v="0"/>
    <x v="1"/>
    <n v="10"/>
  </r>
  <r>
    <n v="33701"/>
    <n v="3200300"/>
    <x v="4"/>
    <n v="0.48"/>
    <n v="1509377.92"/>
    <n v="89810.66"/>
    <n v="1599188.58"/>
    <n v="34061.19"/>
    <n v="134161.74"/>
    <n v="0.48"/>
    <n v="48235.37"/>
    <n v="0"/>
    <n v="0"/>
    <x v="1"/>
    <n v="10"/>
  </r>
  <r>
    <n v="33702"/>
    <n v="3200359"/>
    <x v="5"/>
    <n v="0.22"/>
    <n v="720099.05"/>
    <n v="42847.14"/>
    <n v="762946.19"/>
    <n v="16250.03"/>
    <n v="42302.239999999998"/>
    <n v="0.22"/>
    <n v="23012.29"/>
    <n v="0"/>
    <n v="0"/>
    <x v="1"/>
    <n v="10"/>
  </r>
  <r>
    <n v="33703"/>
    <n v="3200409"/>
    <x v="6"/>
    <n v="2.59"/>
    <n v="8169507.9900000002"/>
    <n v="486100.1"/>
    <n v="8655608.0899999999"/>
    <n v="184356.19"/>
    <n v="218383.77"/>
    <n v="2.59"/>
    <n v="261073.9"/>
    <n v="0"/>
    <n v="0"/>
    <x v="1"/>
    <n v="10"/>
  </r>
  <r>
    <n v="33704"/>
    <n v="3200508"/>
    <x v="7"/>
    <n v="0.19"/>
    <n v="613184.80000000005"/>
    <n v="36485.58"/>
    <n v="649670.38"/>
    <n v="13837.36"/>
    <n v="58789.96"/>
    <n v="0.19"/>
    <n v="19595.62"/>
    <n v="0"/>
    <n v="0"/>
    <x v="1"/>
    <n v="10"/>
  </r>
  <r>
    <n v="33705"/>
    <n v="3200607"/>
    <x v="8"/>
    <n v="5.18"/>
    <n v="16288703.4"/>
    <n v="969206.52"/>
    <n v="17257909.920000002"/>
    <n v="367577.01"/>
    <n v="742914.97"/>
    <n v="5.18"/>
    <n v="520539.95"/>
    <n v="0"/>
    <n v="0"/>
    <x v="1"/>
    <n v="10"/>
  </r>
  <r>
    <n v="33706"/>
    <n v="3200706"/>
    <x v="9"/>
    <n v="0.36"/>
    <n v="1160334.29"/>
    <n v="69041.929999999993"/>
    <n v="1229376.22"/>
    <n v="26184.54"/>
    <n v="57497.63"/>
    <n v="0.36"/>
    <n v="37080.94"/>
    <n v="0"/>
    <n v="0"/>
    <x v="1"/>
    <n v="10"/>
  </r>
  <r>
    <n v="33707"/>
    <n v="3200805"/>
    <x v="10"/>
    <n v="0.65"/>
    <n v="2072250.09"/>
    <n v="123302.53"/>
    <n v="2195552.62"/>
    <n v="46763.18"/>
    <n v="208787.73"/>
    <n v="0.65"/>
    <n v="66223.13"/>
    <n v="0"/>
    <n v="0"/>
    <x v="1"/>
    <n v="10"/>
  </r>
  <r>
    <n v="33708"/>
    <n v="3200904"/>
    <x v="11"/>
    <n v="0.9"/>
    <n v="2848950.83"/>
    <n v="169517.58"/>
    <n v="3018468.41"/>
    <n v="64290.5"/>
    <n v="284044.96999999997"/>
    <n v="0.9"/>
    <n v="91044.25"/>
    <n v="0"/>
    <n v="0"/>
    <x v="1"/>
    <n v="10"/>
  </r>
  <r>
    <n v="33709"/>
    <n v="3107109"/>
    <x v="12"/>
    <n v="0.41"/>
    <n v="1301838.44"/>
    <n v="77461.679999999993"/>
    <n v="1379300.12"/>
    <n v="29377.78"/>
    <n v="60851.81"/>
    <n v="0.41"/>
    <n v="41603"/>
    <n v="0"/>
    <n v="0"/>
    <x v="1"/>
    <n v="10"/>
  </r>
  <r>
    <n v="33710"/>
    <n v="3201100"/>
    <x v="13"/>
    <n v="0.17"/>
    <n v="534571.34"/>
    <n v="31807.93"/>
    <n v="566379.27"/>
    <n v="12063.34"/>
    <n v="142876.32999999999"/>
    <n v="0.17"/>
    <n v="17083.349999999999"/>
    <n v="0"/>
    <n v="0"/>
    <x v="1"/>
    <n v="10"/>
  </r>
  <r>
    <n v="33711"/>
    <n v="3201159"/>
    <x v="14"/>
    <n v="0.43"/>
    <n v="1377307.35"/>
    <n v="81952.210000000006"/>
    <n v="1459259.56"/>
    <n v="31080.84"/>
    <n v="55766.22"/>
    <n v="0.43"/>
    <n v="44014.77"/>
    <n v="0"/>
    <n v="0"/>
    <x v="1"/>
    <n v="10"/>
  </r>
  <r>
    <n v="33712"/>
    <n v="3201209"/>
    <x v="15"/>
    <n v="3.11"/>
    <n v="9785800.1799999997"/>
    <n v="582272.31999999995"/>
    <n v="10368072.5"/>
    <n v="220830.05"/>
    <n v="1636037.96"/>
    <n v="3.11"/>
    <n v="312725.93"/>
    <n v="0"/>
    <n v="0"/>
    <x v="1"/>
    <n v="10"/>
  </r>
  <r>
    <n v="33713"/>
    <n v="3201308"/>
    <x v="16"/>
    <n v="6.51"/>
    <n v="20483516.199999999"/>
    <n v="1218805.3"/>
    <n v="21702321.5"/>
    <n v="462238.73"/>
    <n v="2271217.9"/>
    <n v="6.51"/>
    <n v="654594.06000000006"/>
    <n v="0"/>
    <n v="0"/>
    <x v="1"/>
    <n v="10"/>
  </r>
  <r>
    <n v="33714"/>
    <n v="3201407"/>
    <x v="17"/>
    <n v="0.93"/>
    <n v="2943286.95"/>
    <n v="175130.77"/>
    <n v="3118417.72"/>
    <n v="66419.320000000007"/>
    <n v="366206.76"/>
    <n v="0.93"/>
    <n v="94058.96"/>
    <n v="0"/>
    <n v="0"/>
    <x v="1"/>
    <n v="10"/>
  </r>
  <r>
    <n v="33715"/>
    <n v="3201506"/>
    <x v="18"/>
    <n v="2.2000000000000002"/>
    <n v="6921126.6900000004"/>
    <n v="411819.21"/>
    <n v="7332945.9000000004"/>
    <n v="156184.75"/>
    <n v="1031224.33"/>
    <n v="2.2000000000000002"/>
    <n v="221179.23"/>
    <n v="0"/>
    <n v="0"/>
    <x v="1"/>
    <n v="10"/>
  </r>
  <r>
    <n v="33716"/>
    <n v="3201605"/>
    <x v="19"/>
    <n v="0.57999999999999996"/>
    <n v="1839554.33"/>
    <n v="109456.71"/>
    <n v="1949011.04"/>
    <n v="41512.080000000002"/>
    <n v="133697.51"/>
    <n v="0.57999999999999996"/>
    <n v="58786.85"/>
    <n v="0"/>
    <n v="0"/>
    <x v="1"/>
    <n v="10"/>
  </r>
  <r>
    <n v="33717"/>
    <n v="3201704"/>
    <x v="20"/>
    <n v="0.45"/>
    <n v="1433909.02"/>
    <n v="85320.13"/>
    <n v="1519229.15"/>
    <n v="32358.13"/>
    <n v="76484.490000000005"/>
    <n v="0.45"/>
    <n v="45823.59"/>
    <n v="0"/>
    <n v="0"/>
    <x v="1"/>
    <n v="10"/>
  </r>
  <r>
    <n v="33718"/>
    <n v="3201803"/>
    <x v="21"/>
    <n v="0.19"/>
    <n v="597462.07999999996"/>
    <n v="35550.080000000002"/>
    <n v="633012.16"/>
    <n v="13482.55"/>
    <n v="19791.64"/>
    <n v="0.19"/>
    <n v="19093.16"/>
    <n v="0"/>
    <n v="0"/>
    <x v="1"/>
    <n v="10"/>
  </r>
  <r>
    <n v="33719"/>
    <n v="3201902"/>
    <x v="22"/>
    <n v="1.22"/>
    <n v="3848913.71"/>
    <n v="229017.14"/>
    <n v="4077930.85"/>
    <n v="86856.03"/>
    <n v="270455.87"/>
    <n v="1.22"/>
    <n v="123000.18"/>
    <n v="0"/>
    <n v="0"/>
    <x v="1"/>
    <n v="10"/>
  </r>
  <r>
    <n v="33720"/>
    <n v="3202009"/>
    <x v="23"/>
    <n v="0.24"/>
    <n v="767267.12"/>
    <n v="45653.73"/>
    <n v="812920.85"/>
    <n v="17314.439999999999"/>
    <n v="50485.24"/>
    <n v="0.24"/>
    <n v="24519.64"/>
    <n v="0"/>
    <n v="0"/>
    <x v="1"/>
    <n v="10"/>
  </r>
  <r>
    <n v="33721"/>
    <n v="3202108"/>
    <x v="24"/>
    <n v="0.69"/>
    <n v="2198031.59"/>
    <n v="130786.75"/>
    <n v="2328818.34"/>
    <n v="49601.61"/>
    <n v="95544.63"/>
    <n v="0.69"/>
    <n v="70242.740000000005"/>
    <n v="0"/>
    <n v="0"/>
    <x v="1"/>
    <n v="10"/>
  </r>
  <r>
    <n v="33722"/>
    <n v="3202207"/>
    <x v="25"/>
    <n v="0.33"/>
    <n v="1040841.86"/>
    <n v="61931.9"/>
    <n v="1102773.76"/>
    <n v="23488.03"/>
    <n v="107804.19"/>
    <n v="0.33"/>
    <n v="33262.31"/>
    <n v="0"/>
    <n v="0"/>
    <x v="1"/>
    <n v="10"/>
  </r>
  <r>
    <n v="33723"/>
    <n v="3202256"/>
    <x v="26"/>
    <n v="0.44"/>
    <n v="1393030.06"/>
    <n v="82887.75"/>
    <n v="1475917.81"/>
    <n v="31435.64"/>
    <n v="62586.01"/>
    <n v="0.44"/>
    <n v="44517.22"/>
    <n v="0"/>
    <n v="0"/>
    <x v="1"/>
    <n v="10"/>
  </r>
  <r>
    <n v="33724"/>
    <n v="3202306"/>
    <x v="27"/>
    <n v="0.39"/>
    <n v="1229514.1100000001"/>
    <n v="73158.25"/>
    <n v="1302672.3600000001"/>
    <n v="27745.68"/>
    <n v="189476.08"/>
    <n v="0.39"/>
    <n v="39291.72"/>
    <n v="0"/>
    <n v="0"/>
    <x v="1"/>
    <n v="10"/>
  </r>
  <r>
    <n v="33725"/>
    <n v="3202405"/>
    <x v="28"/>
    <n v="0.91"/>
    <n v="2867818.05"/>
    <n v="170640.22"/>
    <n v="3038458.27"/>
    <n v="64716.26"/>
    <n v="1313242.6299999999"/>
    <n v="0.91"/>
    <n v="91647.19"/>
    <n v="0"/>
    <n v="0"/>
    <x v="1"/>
    <n v="10"/>
  </r>
  <r>
    <n v="33726"/>
    <n v="3202454"/>
    <x v="29"/>
    <n v="0.36"/>
    <n v="1132033.44"/>
    <n v="67357.990000000005"/>
    <n v="1199391.43"/>
    <n v="25545.89"/>
    <n v="119476.19"/>
    <n v="0.36"/>
    <n v="36176.519999999997"/>
    <n v="0"/>
    <n v="0"/>
    <x v="1"/>
    <n v="10"/>
  </r>
  <r>
    <n v="33727"/>
    <n v="3202504"/>
    <x v="30"/>
    <n v="0.27"/>
    <n v="858458.69"/>
    <n v="51079.8"/>
    <n v="909538.49"/>
    <n v="19372.3"/>
    <n v="112038.15"/>
    <n v="0.27"/>
    <n v="27433.86"/>
    <n v="0"/>
    <n v="0"/>
    <x v="1"/>
    <n v="10"/>
  </r>
  <r>
    <n v="33728"/>
    <n v="3202553"/>
    <x v="31"/>
    <n v="0.24"/>
    <n v="770411.64"/>
    <n v="45840.86"/>
    <n v="816252.5"/>
    <n v="17385.400000000001"/>
    <n v="30532.23"/>
    <n v="0.24"/>
    <n v="24620.13"/>
    <n v="0"/>
    <n v="0"/>
    <x v="1"/>
    <n v="10"/>
  </r>
  <r>
    <n v="33729"/>
    <n v="3202603"/>
    <x v="32"/>
    <n v="0.37"/>
    <n v="1169767.8799999999"/>
    <n v="69603.25"/>
    <n v="1239371.1299999999"/>
    <n v="26397.42"/>
    <n v="162266.93"/>
    <n v="0.37"/>
    <n v="37382.410000000003"/>
    <n v="0"/>
    <n v="0"/>
    <x v="1"/>
    <n v="10"/>
  </r>
  <r>
    <n v="33730"/>
    <n v="3202652"/>
    <x v="33"/>
    <n v="0.3"/>
    <n v="971662.03"/>
    <n v="57815.61"/>
    <n v="1029477.64"/>
    <n v="21926.89"/>
    <n v="62947.37"/>
    <n v="0.3"/>
    <n v="31051.51"/>
    <n v="0"/>
    <n v="0"/>
    <x v="1"/>
    <n v="10"/>
  </r>
  <r>
    <n v="33731"/>
    <n v="3202702"/>
    <x v="34"/>
    <n v="0.38"/>
    <n v="1204357.79"/>
    <n v="71661.37"/>
    <n v="1276019.1599999999"/>
    <n v="27177.99"/>
    <n v="59058.02"/>
    <n v="0.38"/>
    <n v="38487.800000000003"/>
    <n v="0"/>
    <n v="0"/>
    <x v="1"/>
    <n v="10"/>
  </r>
  <r>
    <n v="33732"/>
    <n v="3202801"/>
    <x v="35"/>
    <n v="2.66"/>
    <n v="8380191.9699999997"/>
    <n v="498636.18"/>
    <n v="8878828.1500000004"/>
    <n v="189110.56"/>
    <n v="205358.67"/>
    <n v="2.66"/>
    <n v="267806.75"/>
    <n v="0"/>
    <n v="0"/>
    <x v="1"/>
    <n v="10"/>
  </r>
  <r>
    <n v="33733"/>
    <n v="3202900"/>
    <x v="36"/>
    <n v="0.34"/>
    <n v="1075431.78"/>
    <n v="63990.09"/>
    <n v="1139421.8700000001"/>
    <n v="24268.6"/>
    <n v="82261.990000000005"/>
    <n v="0.34"/>
    <n v="34367.699999999997"/>
    <n v="0"/>
    <n v="0"/>
    <x v="1"/>
    <n v="10"/>
  </r>
  <r>
    <n v="33734"/>
    <n v="3203007"/>
    <x v="37"/>
    <n v="0.47"/>
    <n v="1484221.63"/>
    <n v="88313.8"/>
    <n v="1572535.43"/>
    <n v="33493.5"/>
    <n v="144708.28"/>
    <n v="0.47"/>
    <n v="47431.44"/>
    <n v="0"/>
    <n v="0"/>
    <x v="1"/>
    <n v="10"/>
  </r>
  <r>
    <n v="33735"/>
    <n v="3203056"/>
    <x v="38"/>
    <n v="0.86"/>
    <n v="2720024.77"/>
    <n v="161846.26999999999"/>
    <n v="2881871.04"/>
    <n v="61381.1"/>
    <n v="150446.01"/>
    <n v="0.86"/>
    <n v="86924.14"/>
    <n v="0"/>
    <n v="0"/>
    <x v="1"/>
    <n v="10"/>
  </r>
  <r>
    <n v="33736"/>
    <n v="3203106"/>
    <x v="39"/>
    <n v="0.21"/>
    <n v="672930.98"/>
    <n v="40040.57"/>
    <n v="712971.55"/>
    <n v="15185.61"/>
    <n v="39367.269999999997"/>
    <n v="0.21"/>
    <n v="21504.93"/>
    <n v="0"/>
    <n v="0"/>
    <x v="1"/>
    <n v="10"/>
  </r>
  <r>
    <n v="33737"/>
    <n v="3203130"/>
    <x v="40"/>
    <n v="0.42"/>
    <n v="1342717.44"/>
    <n v="79894.039999999994"/>
    <n v="1422611.48"/>
    <n v="30300.27"/>
    <n v="125707.38"/>
    <n v="0.42"/>
    <n v="42909.37"/>
    <n v="0"/>
    <n v="0"/>
    <x v="1"/>
    <n v="10"/>
  </r>
  <r>
    <n v="33738"/>
    <n v="3203163"/>
    <x v="41"/>
    <n v="0.38"/>
    <n v="1194924.18"/>
    <n v="71100.08"/>
    <n v="1266024.26"/>
    <n v="26965.11"/>
    <n v="30300.68"/>
    <n v="0.38"/>
    <n v="38186.33"/>
    <n v="0"/>
    <n v="0"/>
    <x v="1"/>
    <n v="10"/>
  </r>
  <r>
    <n v="33739"/>
    <n v="3203205"/>
    <x v="42"/>
    <n v="5.75"/>
    <n v="18090523.289999999"/>
    <n v="1076417.98"/>
    <n v="19166941.27"/>
    <n v="408237.55"/>
    <n v="1305819.24"/>
    <n v="5.75"/>
    <n v="578120.91"/>
    <n v="0"/>
    <n v="0"/>
    <x v="1"/>
    <n v="10"/>
  </r>
  <r>
    <n v="33740"/>
    <n v="3203304"/>
    <x v="43"/>
    <n v="0.25"/>
    <n v="801857.03"/>
    <n v="47711.9"/>
    <n v="849568.93"/>
    <n v="18095.009999999998"/>
    <n v="72774.91"/>
    <n v="0.25"/>
    <n v="25625.03"/>
    <n v="0"/>
    <n v="0"/>
    <x v="1"/>
    <n v="10"/>
  </r>
  <r>
    <n v="33741"/>
    <n v="3203320"/>
    <x v="44"/>
    <n v="0.61"/>
    <n v="1940179.54"/>
    <n v="115444.1"/>
    <n v="2055623.64"/>
    <n v="43782.82"/>
    <n v="287019.28000000003"/>
    <n v="0.61"/>
    <n v="62002.53"/>
    <n v="0"/>
    <n v="0"/>
    <x v="1"/>
    <n v="10"/>
  </r>
  <r>
    <n v="33742"/>
    <n v="3203346"/>
    <x v="45"/>
    <n v="0.65"/>
    <n v="2065961.01"/>
    <n v="122928.34"/>
    <n v="2188889.35"/>
    <n v="46621.25"/>
    <n v="140552.68"/>
    <n v="0.65"/>
    <n v="66022.149999999994"/>
    <n v="0"/>
    <n v="0"/>
    <x v="1"/>
    <n v="10"/>
  </r>
  <r>
    <n v="33743"/>
    <n v="3203353"/>
    <x v="46"/>
    <n v="0.43"/>
    <n v="1377307.35"/>
    <n v="81952.210000000006"/>
    <n v="1459259.56"/>
    <n v="31080.84"/>
    <n v="79570.7"/>
    <n v="0.43"/>
    <n v="44014.77"/>
    <n v="0"/>
    <n v="0"/>
    <x v="1"/>
    <n v="10"/>
  </r>
  <r>
    <n v="33744"/>
    <n v="3203403"/>
    <x v="47"/>
    <n v="0.5"/>
    <n v="1572268.66"/>
    <n v="93552.77"/>
    <n v="1665821.43"/>
    <n v="35480.410000000003"/>
    <n v="116012.1"/>
    <n v="0.5"/>
    <n v="50245.17"/>
    <n v="0"/>
    <n v="0"/>
    <x v="1"/>
    <n v="10"/>
  </r>
  <r>
    <n v="33745"/>
    <n v="3203502"/>
    <x v="48"/>
    <n v="0.52"/>
    <n v="1650882.11"/>
    <n v="98230.399999999994"/>
    <n v="1749112.51"/>
    <n v="37254.43"/>
    <n v="95263.71"/>
    <n v="0.52"/>
    <n v="52757.43"/>
    <n v="0"/>
    <n v="0"/>
    <x v="1"/>
    <n v="10"/>
  </r>
  <r>
    <n v="33746"/>
    <n v="3203601"/>
    <x v="49"/>
    <n v="0.28000000000000003"/>
    <n v="908771.3"/>
    <n v="54073.51"/>
    <n v="962844.81"/>
    <n v="20507.669999999998"/>
    <n v="24830.36"/>
    <n v="0.28000000000000003"/>
    <n v="29041.71"/>
    <n v="0"/>
    <n v="0"/>
    <x v="1"/>
    <n v="10"/>
  </r>
  <r>
    <n v="33747"/>
    <n v="3203700"/>
    <x v="50"/>
    <n v="0.5"/>
    <n v="1600569.5"/>
    <n v="95236.7"/>
    <n v="1695806.2"/>
    <n v="36119.050000000003"/>
    <n v="74174.67"/>
    <n v="0.5"/>
    <n v="51149.58"/>
    <n v="0"/>
    <n v="0"/>
    <x v="1"/>
    <n v="10"/>
  </r>
  <r>
    <n v="33748"/>
    <n v="3203809"/>
    <x v="51"/>
    <n v="0.28999999999999998"/>
    <n v="918204.91"/>
    <n v="54634.82"/>
    <n v="972839.73"/>
    <n v="20720.560000000001"/>
    <n v="60752.97"/>
    <n v="0.28999999999999998"/>
    <n v="29343.17"/>
    <n v="0"/>
    <n v="0"/>
    <x v="1"/>
    <n v="10"/>
  </r>
  <r>
    <n v="33749"/>
    <n v="3203908"/>
    <x v="52"/>
    <n v="1.22"/>
    <n v="3864636.38"/>
    <n v="229952.7"/>
    <n v="4094589.08"/>
    <n v="87210.84"/>
    <n v="345544.7"/>
    <n v="1.22"/>
    <n v="123502.62"/>
    <n v="0"/>
    <n v="0"/>
    <x v="1"/>
    <n v="10"/>
  </r>
  <r>
    <n v="33750"/>
    <n v="3204005"/>
    <x v="53"/>
    <n v="0.47"/>
    <n v="1503088.84"/>
    <n v="89436.43"/>
    <n v="1592525.27"/>
    <n v="33919.269999999997"/>
    <n v="73524.240000000005"/>
    <n v="0.47"/>
    <n v="48034.38"/>
    <n v="0"/>
    <n v="0"/>
    <x v="1"/>
    <n v="10"/>
  </r>
  <r>
    <n v="33751"/>
    <n v="3204054"/>
    <x v="54"/>
    <n v="0.32"/>
    <n v="1018830.1"/>
    <n v="60622.17"/>
    <n v="1079452.27"/>
    <n v="22991.3"/>
    <n v="152770.41"/>
    <n v="0.32"/>
    <n v="32558.87"/>
    <n v="0"/>
    <n v="0"/>
    <x v="1"/>
    <n v="10"/>
  </r>
  <r>
    <n v="33752"/>
    <n v="3204104"/>
    <x v="55"/>
    <n v="0.66"/>
    <n v="2091117.33"/>
    <n v="124425.14"/>
    <n v="2215542.4700000002"/>
    <n v="47188.94"/>
    <n v="115763.83"/>
    <n v="0.66"/>
    <n v="66826.080000000002"/>
    <n v="0"/>
    <n v="0"/>
    <x v="1"/>
    <n v="10"/>
  </r>
  <r>
    <n v="33753"/>
    <n v="3204203"/>
    <x v="56"/>
    <n v="0.15"/>
    <n v="481114.19"/>
    <n v="28627.16"/>
    <n v="509741.35"/>
    <n v="10857"/>
    <n v="150952.37"/>
    <n v="0.15"/>
    <n v="15375.02"/>
    <n v="0"/>
    <n v="0"/>
    <x v="1"/>
    <n v="10"/>
  </r>
  <r>
    <n v="33754"/>
    <n v="3204252"/>
    <x v="57"/>
    <n v="0.23"/>
    <n v="723243.6"/>
    <n v="43034.26"/>
    <n v="766277.86"/>
    <n v="16320.99"/>
    <n v="25830.51"/>
    <n v="0.23"/>
    <n v="23112.78"/>
    <n v="0"/>
    <n v="0"/>
    <x v="1"/>
    <n v="10"/>
  </r>
  <r>
    <n v="33755"/>
    <n v="1718402"/>
    <x v="58"/>
    <n v="0.33"/>
    <n v="1050275.46"/>
    <n v="62493.27"/>
    <n v="1112768.73"/>
    <n v="23700.91"/>
    <n v="115624.75"/>
    <n v="0.33"/>
    <n v="33563.769999999997"/>
    <n v="0"/>
    <n v="0"/>
    <x v="1"/>
    <n v="10"/>
  </r>
  <r>
    <n v="33756"/>
    <n v="3204351"/>
    <x v="59"/>
    <n v="0.76"/>
    <n v="2418149.21"/>
    <n v="143884.12"/>
    <n v="2562033.33"/>
    <n v="54568.86"/>
    <n v="105610.75"/>
    <n v="0.76"/>
    <n v="77277.070000000007"/>
    <n v="0"/>
    <n v="0"/>
    <x v="1"/>
    <n v="10"/>
  </r>
  <r>
    <n v="33757"/>
    <n v="3204401"/>
    <x v="60"/>
    <n v="0.26"/>
    <n v="833302.41"/>
    <n v="49582.97"/>
    <n v="882885.38"/>
    <n v="18804.62"/>
    <n v="77466.759999999995"/>
    <n v="0.26"/>
    <n v="26629.94"/>
    <n v="0"/>
    <n v="0"/>
    <x v="1"/>
    <n v="10"/>
  </r>
  <r>
    <n v="33758"/>
    <n v="3204500"/>
    <x v="61"/>
    <n v="0.49"/>
    <n v="1559690.53"/>
    <n v="92804.32"/>
    <n v="1652494.85"/>
    <n v="35196.559999999998"/>
    <n v="38129.360000000001"/>
    <n v="0.49"/>
    <n v="49843.199999999997"/>
    <n v="0"/>
    <n v="0"/>
    <x v="1"/>
    <n v="10"/>
  </r>
  <r>
    <n v="33759"/>
    <n v="3204559"/>
    <x v="62"/>
    <n v="2.2400000000000002"/>
    <n v="7062630.8700000001"/>
    <n v="420238.98"/>
    <n v="7482869.8499999996"/>
    <n v="159377.98000000001"/>
    <n v="352056.81"/>
    <n v="2.2400000000000002"/>
    <n v="225701.3"/>
    <n v="0"/>
    <n v="0"/>
    <x v="1"/>
    <n v="10"/>
  </r>
  <r>
    <n v="33760"/>
    <n v="3204609"/>
    <x v="63"/>
    <n v="0.69"/>
    <n v="2172875.2999999998"/>
    <n v="129289.94"/>
    <n v="2302165.2400000002"/>
    <n v="49033.919999999998"/>
    <n v="188677"/>
    <n v="0.69"/>
    <n v="69438.820000000007"/>
    <n v="0"/>
    <n v="0"/>
    <x v="1"/>
    <n v="10"/>
  </r>
  <r>
    <n v="33761"/>
    <n v="3204658"/>
    <x v="64"/>
    <n v="0.45"/>
    <n v="1424475.42"/>
    <n v="84758.8"/>
    <n v="1509234.22"/>
    <n v="32145.25"/>
    <n v="55999.86"/>
    <n v="0.45"/>
    <n v="45522.13"/>
    <n v="0"/>
    <n v="0"/>
    <x v="1"/>
    <n v="10"/>
  </r>
  <r>
    <n v="33762"/>
    <n v="3204708"/>
    <x v="65"/>
    <n v="0.72"/>
    <n v="2292367.7200000002"/>
    <n v="136399.91"/>
    <n v="2428767.63"/>
    <n v="51730.43"/>
    <n v="201236.39"/>
    <n v="0.72"/>
    <n v="73257.45"/>
    <n v="0"/>
    <n v="0"/>
    <x v="1"/>
    <n v="10"/>
  </r>
  <r>
    <n v="33763"/>
    <n v="3204807"/>
    <x v="66"/>
    <n v="0.22"/>
    <n v="694942.73"/>
    <n v="41350.32"/>
    <n v="736293.05"/>
    <n v="15682.34"/>
    <n v="49243.65"/>
    <n v="0.22"/>
    <n v="22208.37"/>
    <n v="0"/>
    <n v="0"/>
    <x v="1"/>
    <n v="10"/>
  </r>
  <r>
    <n v="33764"/>
    <n v="3204906"/>
    <x v="67"/>
    <n v="1.8"/>
    <n v="5663311.75"/>
    <n v="336977.04"/>
    <n v="6000288.79"/>
    <n v="127800.42"/>
    <n v="876115.32"/>
    <n v="1.8"/>
    <n v="180983.1"/>
    <n v="0"/>
    <n v="0"/>
    <x v="1"/>
    <n v="10"/>
  </r>
  <r>
    <n v="33765"/>
    <n v="3204955"/>
    <x v="68"/>
    <n v="0.32"/>
    <n v="1031408.25"/>
    <n v="61370.6"/>
    <n v="1092778.8500000001"/>
    <n v="23275.15"/>
    <n v="60137.59"/>
    <n v="0.32"/>
    <n v="32960.83"/>
    <n v="0"/>
    <n v="0"/>
    <x v="1"/>
    <n v="10"/>
  </r>
  <r>
    <n v="33766"/>
    <n v="3205002"/>
    <x v="69"/>
    <n v="13.06"/>
    <n v="41089669.350000001"/>
    <n v="2444907.71"/>
    <n v="43534577.060000002"/>
    <n v="927244.93"/>
    <n v="3870531.31"/>
    <n v="13.06"/>
    <n v="1313107.24"/>
    <n v="0"/>
    <n v="0"/>
    <x v="1"/>
    <n v="10"/>
  </r>
  <r>
    <n v="33767"/>
    <n v="3205010"/>
    <x v="70"/>
    <n v="0.7"/>
    <n v="2216898.8199999998"/>
    <n v="131909.39000000001"/>
    <n v="2348808.21"/>
    <n v="50027.37"/>
    <n v="122822.05"/>
    <n v="0.7"/>
    <n v="70845.69"/>
    <n v="0"/>
    <n v="0"/>
    <x v="1"/>
    <n v="10"/>
  </r>
  <r>
    <n v="33768"/>
    <n v="3205036"/>
    <x v="71"/>
    <n v="0.47"/>
    <n v="1496799.77"/>
    <n v="89062.25"/>
    <n v="1585862.02"/>
    <n v="33777.35"/>
    <n v="118778.03"/>
    <n v="0.47"/>
    <n v="47833.4"/>
    <n v="0"/>
    <n v="0"/>
    <x v="1"/>
    <n v="10"/>
  </r>
  <r>
    <n v="33769"/>
    <n v="3205069"/>
    <x v="72"/>
    <n v="0.72"/>
    <n v="2267211.4"/>
    <n v="134903.09"/>
    <n v="2402114.4900000002"/>
    <n v="51162.75"/>
    <n v="219126.1"/>
    <n v="0.72"/>
    <n v="72453.539999999994"/>
    <n v="0"/>
    <n v="0"/>
    <x v="1"/>
    <n v="10"/>
  </r>
  <r>
    <n v="33770"/>
    <n v="2112803"/>
    <x v="73"/>
    <n v="2.25"/>
    <n v="7084642.6200000001"/>
    <n v="421548.71"/>
    <n v="7506191.3300000001"/>
    <n v="159874.71"/>
    <n v="465571.06"/>
    <n v="2.25"/>
    <n v="226404.73"/>
    <n v="0"/>
    <n v="0"/>
    <x v="1"/>
    <n v="10"/>
  </r>
  <r>
    <n v="33771"/>
    <n v="3205150"/>
    <x v="74"/>
    <n v="0.32"/>
    <n v="1028263.72"/>
    <n v="61183.51"/>
    <n v="1089447.23"/>
    <n v="23204.19"/>
    <n v="32593.599999999999"/>
    <n v="0.32"/>
    <n v="32860.339999999997"/>
    <n v="0"/>
    <n v="0"/>
    <x v="1"/>
    <n v="10"/>
  </r>
  <r>
    <n v="33772"/>
    <n v="3205176"/>
    <x v="75"/>
    <n v="0.61"/>
    <n v="1937035"/>
    <n v="115256.97"/>
    <n v="2052291.97"/>
    <n v="43711.86"/>
    <n v="98372.25"/>
    <n v="0.61"/>
    <n v="61902.05"/>
    <n v="0"/>
    <n v="0"/>
    <x v="1"/>
    <n v="10"/>
  </r>
  <r>
    <n v="33773"/>
    <n v="3205200"/>
    <x v="76"/>
    <n v="5.55"/>
    <n v="17474193.960000001"/>
    <n v="1039745.31"/>
    <n v="18513939.27"/>
    <n v="394329.23"/>
    <n v="4363403.32"/>
    <n v="5.55"/>
    <n v="558424.81000000006"/>
    <n v="0"/>
    <n v="0"/>
    <x v="1"/>
    <n v="10"/>
  </r>
  <r>
    <n v="33774"/>
    <n v="3205309"/>
    <x v="77"/>
    <n v="15.84"/>
    <n v="49818904.990000002"/>
    <n v="2964312.59"/>
    <n v="52783217.579999998"/>
    <n v="1124232.1499999999"/>
    <n v="4198460"/>
    <n v="15.84"/>
    <n v="1592068.43"/>
    <n v="0"/>
    <n v="0"/>
    <x v="1"/>
    <n v="10"/>
  </r>
  <r>
    <n v="33775"/>
    <n v="3200102"/>
    <x v="0"/>
    <n v="0.79"/>
    <n v="2819466.47"/>
    <n v="19129.5"/>
    <n v="2838595.97"/>
    <n v="53463.85"/>
    <n v="72512.52"/>
    <n v="0.79"/>
    <n v="69201.320000000007"/>
    <n v="0"/>
    <n v="0"/>
    <x v="1"/>
    <n v="11"/>
  </r>
  <r>
    <n v="33776"/>
    <n v="3200169"/>
    <x v="1"/>
    <n v="0.28999999999999998"/>
    <n v="1052883.47"/>
    <n v="7143.59"/>
    <n v="1060027.06"/>
    <n v="19965.2"/>
    <n v="33881.01"/>
    <n v="0.28999999999999998"/>
    <n v="25842.1"/>
    <n v="0"/>
    <n v="0"/>
    <x v="1"/>
    <n v="11"/>
  </r>
  <r>
    <n v="33777"/>
    <n v="3200136"/>
    <x v="2"/>
    <n v="0.42"/>
    <n v="1501595.54"/>
    <n v="10188.030000000001"/>
    <n v="1511783.57"/>
    <n v="28473.86"/>
    <n v="25821.35"/>
    <n v="0.42"/>
    <n v="36855.339999999997"/>
    <n v="0"/>
    <n v="0"/>
    <x v="1"/>
    <n v="11"/>
  </r>
  <r>
    <n v="33778"/>
    <n v="3200201"/>
    <x v="3"/>
    <n v="0.48"/>
    <n v="1710052.31"/>
    <n v="11602.39"/>
    <n v="1721654.7"/>
    <n v="32426.7"/>
    <n v="51823.74"/>
    <n v="0.48"/>
    <n v="41971.73"/>
    <n v="0"/>
    <n v="0"/>
    <x v="1"/>
    <n v="11"/>
  </r>
  <r>
    <n v="33779"/>
    <n v="3200300"/>
    <x v="4"/>
    <n v="0.48"/>
    <n v="1695919.67"/>
    <n v="11506.47"/>
    <n v="1707426.14"/>
    <n v="32158.71"/>
    <n v="51297.47"/>
    <n v="0.48"/>
    <n v="41624.85"/>
    <n v="0"/>
    <n v="0"/>
    <x v="1"/>
    <n v="11"/>
  </r>
  <r>
    <n v="33780"/>
    <n v="3200359"/>
    <x v="5"/>
    <n v="0.22"/>
    <n v="809095.03"/>
    <n v="5489.52"/>
    <n v="814584.55"/>
    <n v="15342.38"/>
    <n v="17796"/>
    <n v="0.22"/>
    <n v="19858.52"/>
    <n v="0"/>
    <n v="0"/>
    <x v="1"/>
    <n v="11"/>
  </r>
  <r>
    <n v="33781"/>
    <n v="3200409"/>
    <x v="6"/>
    <n v="2.59"/>
    <n v="9179165.2100000009"/>
    <n v="62278.79"/>
    <n v="9241444"/>
    <n v="174059.01"/>
    <n v="98905.600000000006"/>
    <n v="2.59"/>
    <n v="225294.51"/>
    <n v="0"/>
    <n v="0"/>
    <x v="1"/>
    <n v="11"/>
  </r>
  <r>
    <n v="33782"/>
    <n v="3200508"/>
    <x v="7"/>
    <n v="0.19"/>
    <n v="688967.36"/>
    <n v="4674.5"/>
    <n v="693641.86"/>
    <n v="13064.48"/>
    <n v="23109"/>
    <n v="0.19"/>
    <n v="16910.099999999999"/>
    <n v="0"/>
    <n v="0"/>
    <x v="1"/>
    <n v="11"/>
  </r>
  <r>
    <n v="33783"/>
    <n v="3200607"/>
    <x v="8"/>
    <n v="5.18"/>
    <n v="18301799.809999999"/>
    <n v="124174.02"/>
    <n v="18425973.829999998"/>
    <n v="347046.06"/>
    <n v="317728.48"/>
    <n v="5.18"/>
    <n v="449201.53"/>
    <n v="0"/>
    <n v="0"/>
    <x v="1"/>
    <n v="11"/>
  </r>
  <r>
    <n v="33784"/>
    <n v="3200706"/>
    <x v="9"/>
    <n v="0.36"/>
    <n v="1303738.24"/>
    <n v="8845.61"/>
    <n v="1312583.8500000001"/>
    <n v="24722.01"/>
    <n v="37394.68"/>
    <n v="0.36"/>
    <n v="31999.1"/>
    <n v="0"/>
    <n v="0"/>
    <x v="1"/>
    <n v="11"/>
  </r>
  <r>
    <n v="33785"/>
    <n v="3200805"/>
    <x v="10"/>
    <n v="0.65"/>
    <n v="2328356.37"/>
    <n v="15797.41"/>
    <n v="2344153.7799999998"/>
    <n v="44151.23"/>
    <n v="100904.68"/>
    <n v="0.65"/>
    <n v="57147.45"/>
    <n v="0"/>
    <n v="0"/>
    <x v="1"/>
    <n v="11"/>
  </r>
  <r>
    <n v="33786"/>
    <n v="3200904"/>
    <x v="11"/>
    <n v="0.9"/>
    <n v="3201048.38"/>
    <n v="21718.46"/>
    <n v="3222766.84"/>
    <n v="60699.56"/>
    <n v="167124.43"/>
    <n v="0.9"/>
    <n v="78566.91"/>
    <n v="0"/>
    <n v="0"/>
    <x v="1"/>
    <n v="11"/>
  </r>
  <r>
    <n v="33787"/>
    <n v="3107109"/>
    <x v="12"/>
    <n v="0.41"/>
    <n v="1462730.72"/>
    <n v="9924.32"/>
    <n v="1472655.04"/>
    <n v="27736.89"/>
    <n v="37119.129999999997"/>
    <n v="0.41"/>
    <n v="35901.43"/>
    <n v="0"/>
    <n v="0"/>
    <x v="1"/>
    <n v="11"/>
  </r>
  <r>
    <n v="33788"/>
    <n v="3201100"/>
    <x v="13"/>
    <n v="0.17"/>
    <n v="600638.22"/>
    <n v="4075.18"/>
    <n v="604713.4"/>
    <n v="11389.54"/>
    <n v="87593.33"/>
    <n v="0.17"/>
    <n v="14742.14"/>
    <n v="0"/>
    <n v="0"/>
    <x v="1"/>
    <n v="11"/>
  </r>
  <r>
    <n v="33789"/>
    <n v="3201159"/>
    <x v="14"/>
    <n v="0.43"/>
    <n v="1547526.7"/>
    <n v="10499.66"/>
    <n v="1558026.36"/>
    <n v="29344.82"/>
    <n v="32230.95"/>
    <n v="0.43"/>
    <n v="37982.68"/>
    <n v="0"/>
    <n v="0"/>
    <x v="1"/>
    <n v="11"/>
  </r>
  <r>
    <n v="33790"/>
    <n v="3201209"/>
    <x v="15"/>
    <n v="3.11"/>
    <n v="10995212.560000001"/>
    <n v="74600.3"/>
    <n v="11069812.859999999"/>
    <n v="208495.62"/>
    <n v="833442.1"/>
    <n v="3.11"/>
    <n v="269867.78999999998"/>
    <n v="0"/>
    <n v="0"/>
    <x v="1"/>
    <n v="11"/>
  </r>
  <r>
    <n v="33791"/>
    <n v="3201308"/>
    <x v="16"/>
    <n v="6.51"/>
    <n v="23015043.27"/>
    <n v="156152.43"/>
    <n v="23171195.699999999"/>
    <n v="436420.47"/>
    <n v="1234862"/>
    <n v="6.51"/>
    <n v="564883.93000000005"/>
    <n v="0"/>
    <n v="0"/>
    <x v="1"/>
    <n v="11"/>
  </r>
  <r>
    <n v="33792"/>
    <n v="3201407"/>
    <x v="17"/>
    <n v="0.93"/>
    <n v="3307043.38"/>
    <n v="22437.63"/>
    <n v="3329481.01"/>
    <n v="62709.48"/>
    <n v="189919.81"/>
    <n v="0.93"/>
    <n v="81168.460000000006"/>
    <n v="0"/>
    <n v="0"/>
    <x v="1"/>
    <n v="11"/>
  </r>
  <r>
    <n v="33793"/>
    <n v="3201506"/>
    <x v="18"/>
    <n v="2.2000000000000002"/>
    <n v="7776498.3499999996"/>
    <n v="52761.97"/>
    <n v="7829260.3200000003"/>
    <n v="147461.07999999999"/>
    <n v="467450.75"/>
    <n v="2.2000000000000002"/>
    <n v="190867.29"/>
    <n v="0"/>
    <n v="0"/>
    <x v="1"/>
    <n v="11"/>
  </r>
  <r>
    <n v="33794"/>
    <n v="3201605"/>
    <x v="19"/>
    <n v="0.57999999999999996"/>
    <n v="2066902.09"/>
    <n v="14023.51"/>
    <n v="2080925.6"/>
    <n v="39193.43"/>
    <n v="77536.7"/>
    <n v="0.57999999999999996"/>
    <n v="50730.29"/>
    <n v="0"/>
    <n v="0"/>
    <x v="1"/>
    <n v="11"/>
  </r>
  <r>
    <n v="33795"/>
    <n v="3201704"/>
    <x v="20"/>
    <n v="0.45"/>
    <n v="1611123.68"/>
    <n v="10931.14"/>
    <n v="1622054.82"/>
    <n v="30550.77"/>
    <n v="39912.04"/>
    <n v="0.45"/>
    <n v="39543.61"/>
    <n v="0"/>
    <n v="0"/>
    <x v="1"/>
    <n v="11"/>
  </r>
  <r>
    <n v="33796"/>
    <n v="3201803"/>
    <x v="21"/>
    <n v="0.19"/>
    <n v="671301.53"/>
    <n v="4554.6400000000003"/>
    <n v="675856.17"/>
    <n v="12729.49"/>
    <n v="10524.88"/>
    <n v="0.19"/>
    <n v="16476.5"/>
    <n v="0"/>
    <n v="0"/>
    <x v="1"/>
    <n v="11"/>
  </r>
  <r>
    <n v="33797"/>
    <n v="3201902"/>
    <x v="22"/>
    <n v="1.22"/>
    <n v="4324595.1900000004"/>
    <n v="29341.51"/>
    <n v="4353936.7"/>
    <n v="82004.710000000006"/>
    <n v="120317.98"/>
    <n v="1.22"/>
    <n v="106143.37"/>
    <n v="0"/>
    <n v="0"/>
    <x v="1"/>
    <n v="11"/>
  </r>
  <r>
    <n v="33798"/>
    <n v="3202009"/>
    <x v="23"/>
    <n v="0.24"/>
    <n v="862092.5"/>
    <n v="5849.13"/>
    <n v="867941.63"/>
    <n v="16347.34"/>
    <n v="27258.43"/>
    <n v="0.24"/>
    <n v="21159.3"/>
    <n v="0"/>
    <n v="0"/>
    <x v="1"/>
    <n v="11"/>
  </r>
  <r>
    <n v="33799"/>
    <n v="3202108"/>
    <x v="24"/>
    <n v="0.69"/>
    <n v="2469683.02"/>
    <n v="16756.28"/>
    <n v="2486439.2999999998"/>
    <n v="46831.12"/>
    <n v="61437.5"/>
    <n v="0.69"/>
    <n v="60616.19"/>
    <n v="0"/>
    <n v="0"/>
    <x v="1"/>
    <n v="11"/>
  </r>
  <r>
    <n v="33800"/>
    <n v="3202207"/>
    <x v="25"/>
    <n v="0.33"/>
    <n v="1169477.95"/>
    <n v="7934.66"/>
    <n v="1177412.6100000001"/>
    <n v="22176.11"/>
    <n v="49059.69"/>
    <n v="0.33"/>
    <n v="28703.8"/>
    <n v="0"/>
    <n v="0"/>
    <x v="1"/>
    <n v="11"/>
  </r>
  <r>
    <n v="33801"/>
    <n v="3202256"/>
    <x v="26"/>
    <n v="0.44"/>
    <n v="1565192.54"/>
    <n v="10619.52"/>
    <n v="1575812.06"/>
    <n v="29679.81"/>
    <n v="27402.81"/>
    <n v="0.44"/>
    <n v="38416.269999999997"/>
    <n v="0"/>
    <n v="0"/>
    <x v="1"/>
    <n v="11"/>
  </r>
  <r>
    <n v="33802"/>
    <n v="3202306"/>
    <x v="27"/>
    <n v="0.39"/>
    <n v="1381467.91"/>
    <n v="9372.99"/>
    <n v="1390840.9"/>
    <n v="26195.95"/>
    <n v="91249.32"/>
    <n v="0.39"/>
    <n v="33906.910000000003"/>
    <n v="0"/>
    <n v="0"/>
    <x v="1"/>
    <n v="11"/>
  </r>
  <r>
    <n v="33803"/>
    <n v="3202405"/>
    <x v="28"/>
    <n v="0.91"/>
    <n v="3222247.38"/>
    <n v="21862.33"/>
    <n v="3244109.71"/>
    <n v="61101.55"/>
    <n v="664815.48"/>
    <n v="0.91"/>
    <n v="79087.22"/>
    <n v="0"/>
    <n v="0"/>
    <x v="1"/>
    <n v="11"/>
  </r>
  <r>
    <n v="33804"/>
    <n v="3202454"/>
    <x v="29"/>
    <n v="0.36"/>
    <n v="1271939.76"/>
    <n v="8629.86"/>
    <n v="1280569.6200000001"/>
    <n v="24119.03"/>
    <n v="56873.31"/>
    <n v="0.36"/>
    <n v="31218.639999999999"/>
    <n v="0"/>
    <n v="0"/>
    <x v="1"/>
    <n v="11"/>
  </r>
  <r>
    <n v="33805"/>
    <n v="3202504"/>
    <x v="30"/>
    <n v="0.27"/>
    <n v="964554.3"/>
    <n v="6544.31"/>
    <n v="971098.61"/>
    <n v="18290.27"/>
    <n v="36257.370000000003"/>
    <n v="0.27"/>
    <n v="23674.13"/>
    <n v="0"/>
    <n v="0"/>
    <x v="1"/>
    <n v="11"/>
  </r>
  <r>
    <n v="33806"/>
    <n v="3202553"/>
    <x v="31"/>
    <n v="0.24"/>
    <n v="865625.67"/>
    <n v="5873.12"/>
    <n v="871498.79"/>
    <n v="16414.34"/>
    <n v="22557.71"/>
    <n v="0.24"/>
    <n v="21246.02"/>
    <n v="0"/>
    <n v="0"/>
    <x v="1"/>
    <n v="11"/>
  </r>
  <r>
    <n v="33807"/>
    <n v="3202603"/>
    <x v="32"/>
    <n v="0.37"/>
    <n v="1314337.74"/>
    <n v="8917.5400000000009"/>
    <n v="1323255.28"/>
    <n v="24923"/>
    <n v="59953.02"/>
    <n v="0.37"/>
    <n v="32259.26"/>
    <n v="0"/>
    <n v="0"/>
    <x v="1"/>
    <n v="11"/>
  </r>
  <r>
    <n v="33808"/>
    <n v="3202652"/>
    <x v="33"/>
    <n v="0.3"/>
    <n v="1091748.3"/>
    <n v="7407.3"/>
    <n v="1099155.6000000001"/>
    <n v="20702.169999999998"/>
    <n v="25457.279999999999"/>
    <n v="0.3"/>
    <n v="26796"/>
    <n v="0"/>
    <n v="0"/>
    <x v="1"/>
    <n v="11"/>
  </r>
  <r>
    <n v="33809"/>
    <n v="3202702"/>
    <x v="34"/>
    <n v="0.38"/>
    <n v="1353202.58"/>
    <n v="9181.19"/>
    <n v="1362383.77"/>
    <n v="25659.97"/>
    <n v="34865.54"/>
    <n v="0.38"/>
    <n v="33213.160000000003"/>
    <n v="0"/>
    <n v="0"/>
    <x v="1"/>
    <n v="11"/>
  </r>
  <r>
    <n v="33810"/>
    <n v="3202801"/>
    <x v="35"/>
    <n v="2.66"/>
    <n v="9415887.3599999994"/>
    <n v="63884.89"/>
    <n v="9479772.25"/>
    <n v="178547.83"/>
    <n v="122934.36"/>
    <n v="2.66"/>
    <n v="231104.65"/>
    <n v="0"/>
    <n v="0"/>
    <x v="1"/>
    <n v="11"/>
  </r>
  <r>
    <n v="33811"/>
    <n v="3202900"/>
    <x v="36"/>
    <n v="0.34"/>
    <n v="1208342.77"/>
    <n v="8198.36"/>
    <n v="1216541.1299999999"/>
    <n v="22913.08"/>
    <n v="34530.1"/>
    <n v="0.34"/>
    <n v="29657.71"/>
    <n v="0"/>
    <n v="0"/>
    <x v="1"/>
    <n v="11"/>
  </r>
  <r>
    <n v="33812"/>
    <n v="3203007"/>
    <x v="37"/>
    <n v="0.47"/>
    <n v="1667654.34"/>
    <n v="11314.68"/>
    <n v="1678969.02"/>
    <n v="31622.73"/>
    <n v="79000.59"/>
    <n v="0.47"/>
    <n v="40931.1"/>
    <n v="0"/>
    <n v="0"/>
    <x v="1"/>
    <n v="11"/>
  </r>
  <r>
    <n v="33813"/>
    <n v="3203056"/>
    <x v="38"/>
    <n v="0.86"/>
    <n v="3056188.6"/>
    <n v="20735.61"/>
    <n v="3076924.21"/>
    <n v="57952.67"/>
    <n v="67305.7"/>
    <n v="0.86"/>
    <n v="75011.45"/>
    <n v="0"/>
    <n v="0"/>
    <x v="1"/>
    <n v="11"/>
  </r>
  <r>
    <n v="33814"/>
    <n v="3203106"/>
    <x v="39"/>
    <n v="0.21"/>
    <n v="756097.53"/>
    <n v="5129.96"/>
    <n v="761227.49"/>
    <n v="14337.42"/>
    <n v="16896.46"/>
    <n v="0.21"/>
    <n v="18557.75"/>
    <n v="0"/>
    <n v="0"/>
    <x v="1"/>
    <n v="11"/>
  </r>
  <r>
    <n v="33815"/>
    <n v="3203130"/>
    <x v="40"/>
    <n v="0.42"/>
    <n v="1508661.89"/>
    <n v="10235.959999999999"/>
    <n v="1518897.85"/>
    <n v="28607.85"/>
    <n v="56361.64"/>
    <n v="0.42"/>
    <n v="37028.769999999997"/>
    <n v="0"/>
    <n v="0"/>
    <x v="1"/>
    <n v="11"/>
  </r>
  <r>
    <n v="33816"/>
    <n v="3203163"/>
    <x v="41"/>
    <n v="0.38"/>
    <n v="1342603.09"/>
    <n v="9109.31"/>
    <n v="1351712.4"/>
    <n v="25458.98"/>
    <n v="21093.05"/>
    <n v="0.38"/>
    <n v="32953.01"/>
    <n v="0"/>
    <n v="0"/>
    <x v="1"/>
    <n v="11"/>
  </r>
  <r>
    <n v="33817"/>
    <n v="3203205"/>
    <x v="42"/>
    <n v="5.75"/>
    <n v="20326303.940000001"/>
    <n v="137909.87"/>
    <n v="20464213.809999999"/>
    <n v="385435.51"/>
    <n v="628826.54"/>
    <n v="5.75"/>
    <n v="498891.2"/>
    <n v="0"/>
    <n v="0"/>
    <x v="1"/>
    <n v="11"/>
  </r>
  <r>
    <n v="33818"/>
    <n v="3203304"/>
    <x v="43"/>
    <n v="0.25"/>
    <n v="900957.3"/>
    <n v="6112.81"/>
    <n v="907070.11"/>
    <n v="17084.310000000001"/>
    <n v="36487.35"/>
    <n v="0.25"/>
    <n v="22113.200000000001"/>
    <n v="0"/>
    <n v="0"/>
    <x v="1"/>
    <n v="11"/>
  </r>
  <r>
    <n v="33819"/>
    <n v="3203320"/>
    <x v="44"/>
    <n v="0.61"/>
    <n v="2179963.42"/>
    <n v="14790.62"/>
    <n v="2194754.04"/>
    <n v="41337.339999999997"/>
    <n v="185898.95"/>
    <n v="0.61"/>
    <n v="53505.279999999999"/>
    <n v="0"/>
    <n v="0"/>
    <x v="1"/>
    <n v="11"/>
  </r>
  <r>
    <n v="33820"/>
    <n v="3203346"/>
    <x v="45"/>
    <n v="0.65"/>
    <n v="2321290.06"/>
    <n v="15749.49"/>
    <n v="2337039.5499999998"/>
    <n v="44017.23"/>
    <n v="76781.86"/>
    <n v="0.65"/>
    <n v="56974.02"/>
    <n v="0"/>
    <n v="0"/>
    <x v="1"/>
    <n v="11"/>
  </r>
  <r>
    <n v="33821"/>
    <n v="3203353"/>
    <x v="46"/>
    <n v="0.43"/>
    <n v="1547526.7"/>
    <n v="10499.66"/>
    <n v="1558026.36"/>
    <n v="29344.82"/>
    <n v="24648.54"/>
    <n v="0.43"/>
    <n v="37982.68"/>
    <n v="0"/>
    <n v="0"/>
    <x v="1"/>
    <n v="11"/>
  </r>
  <r>
    <n v="33822"/>
    <n v="3203403"/>
    <x v="47"/>
    <n v="0.5"/>
    <n v="1766582.97"/>
    <n v="11985.92"/>
    <n v="1778568.89"/>
    <n v="33498.65"/>
    <n v="74036.5"/>
    <n v="0.5"/>
    <n v="43359.22"/>
    <n v="0"/>
    <n v="0"/>
    <x v="1"/>
    <n v="11"/>
  </r>
  <r>
    <n v="33823"/>
    <n v="3203502"/>
    <x v="48"/>
    <n v="0.52"/>
    <n v="1854912.15"/>
    <n v="12585.22"/>
    <n v="1867497.37"/>
    <n v="35173.589999999997"/>
    <n v="56047.57"/>
    <n v="0.52"/>
    <n v="45527.18"/>
    <n v="0"/>
    <n v="0"/>
    <x v="1"/>
    <n v="11"/>
  </r>
  <r>
    <n v="33824"/>
    <n v="3203601"/>
    <x v="49"/>
    <n v="0.28000000000000003"/>
    <n v="1021084.98"/>
    <n v="6927.87"/>
    <n v="1028012.85"/>
    <n v="19362.22"/>
    <n v="11814.82"/>
    <n v="0.28000000000000003"/>
    <n v="25061.63"/>
    <n v="0"/>
    <n v="0"/>
    <x v="1"/>
    <n v="11"/>
  </r>
  <r>
    <n v="33825"/>
    <n v="3203700"/>
    <x v="50"/>
    <n v="0.5"/>
    <n v="1798381.49"/>
    <n v="12201.66"/>
    <n v="1810583.15"/>
    <n v="34101.629999999997"/>
    <n v="44843.68"/>
    <n v="0.5"/>
    <n v="44139.69"/>
    <n v="0"/>
    <n v="0"/>
    <x v="1"/>
    <n v="11"/>
  </r>
  <r>
    <n v="33826"/>
    <n v="3203809"/>
    <x v="51"/>
    <n v="0.28999999999999998"/>
    <n v="1031684.45"/>
    <n v="6999.78"/>
    <n v="1038684.23"/>
    <n v="19563.21"/>
    <n v="35224.980000000003"/>
    <n v="0.28999999999999998"/>
    <n v="25321.78"/>
    <n v="0"/>
    <n v="0"/>
    <x v="1"/>
    <n v="11"/>
  </r>
  <r>
    <n v="33827"/>
    <n v="3203908"/>
    <x v="52"/>
    <n v="1.22"/>
    <n v="4342261.03"/>
    <n v="29461.38"/>
    <n v="4371722.41"/>
    <n v="82339.69"/>
    <n v="170675.09"/>
    <n v="1.22"/>
    <n v="106576.96000000001"/>
    <n v="0"/>
    <n v="0"/>
    <x v="1"/>
    <n v="11"/>
  </r>
  <r>
    <n v="33828"/>
    <n v="3204005"/>
    <x v="53"/>
    <n v="0.47"/>
    <n v="1688853.35"/>
    <n v="11458.53"/>
    <n v="1700311.88"/>
    <n v="32024.71"/>
    <n v="49264.13"/>
    <n v="0.47"/>
    <n v="41451.42"/>
    <n v="0"/>
    <n v="0"/>
    <x v="1"/>
    <n v="11"/>
  </r>
  <r>
    <n v="33829"/>
    <n v="3204054"/>
    <x v="54"/>
    <n v="0.32"/>
    <n v="1144745.78"/>
    <n v="7766.87"/>
    <n v="1152512.6499999999"/>
    <n v="21707.13"/>
    <n v="72835.990000000005"/>
    <n v="0.32"/>
    <n v="28096.78"/>
    <n v="0"/>
    <n v="0"/>
    <x v="1"/>
    <n v="11"/>
  </r>
  <r>
    <n v="33830"/>
    <n v="3204104"/>
    <x v="55"/>
    <n v="0.66"/>
    <n v="2349555.38"/>
    <n v="15941.29"/>
    <n v="2365496.67"/>
    <n v="44553.21"/>
    <n v="76963.490000000005"/>
    <n v="0.66"/>
    <n v="57667.76"/>
    <n v="0"/>
    <n v="0"/>
    <x v="1"/>
    <n v="11"/>
  </r>
  <r>
    <n v="33831"/>
    <n v="3204203"/>
    <x v="56"/>
    <n v="0.15"/>
    <n v="540574.39"/>
    <n v="3667.7"/>
    <n v="544242.09"/>
    <n v="10250.59"/>
    <n v="78791.91"/>
    <n v="0.15"/>
    <n v="13267.92"/>
    <n v="0"/>
    <n v="0"/>
    <x v="1"/>
    <n v="11"/>
  </r>
  <r>
    <n v="33832"/>
    <n v="3204252"/>
    <x v="57"/>
    <n v="0.23"/>
    <n v="812628.17"/>
    <n v="5513.52"/>
    <n v="818141.69"/>
    <n v="15409.38"/>
    <n v="17713.53"/>
    <n v="0.23"/>
    <n v="19945.240000000002"/>
    <n v="0"/>
    <n v="0"/>
    <x v="1"/>
    <n v="11"/>
  </r>
  <r>
    <n v="33833"/>
    <n v="1718402"/>
    <x v="58"/>
    <n v="0.33"/>
    <n v="1180077.4099999999"/>
    <n v="8006.61"/>
    <n v="1188084.02"/>
    <n v="22377.1"/>
    <n v="77945.09"/>
    <n v="0.33"/>
    <n v="28963.96"/>
    <n v="0"/>
    <n v="0"/>
    <x v="1"/>
    <n v="11"/>
  </r>
  <r>
    <n v="33834"/>
    <n v="3204351"/>
    <x v="59"/>
    <n v="0.76"/>
    <n v="2717004.64"/>
    <n v="18434.32"/>
    <n v="2735438.96"/>
    <n v="51520.93"/>
    <n v="42412.59"/>
    <n v="0.76"/>
    <n v="66686.48"/>
    <n v="0"/>
    <n v="0"/>
    <x v="1"/>
    <n v="11"/>
  </r>
  <r>
    <n v="33835"/>
    <n v="3204401"/>
    <x v="60"/>
    <n v="0.26"/>
    <n v="936288.97"/>
    <n v="6352.53"/>
    <n v="942641.5"/>
    <n v="17754.29"/>
    <n v="34715.519999999997"/>
    <n v="0.26"/>
    <n v="22980.39"/>
    <n v="0"/>
    <n v="0"/>
    <x v="1"/>
    <n v="11"/>
  </r>
  <r>
    <n v="33836"/>
    <n v="3204500"/>
    <x v="61"/>
    <n v="0.49"/>
    <n v="1752450.33"/>
    <n v="11890.05"/>
    <n v="1764340.38"/>
    <n v="33230.660000000003"/>
    <n v="34471.25"/>
    <n v="0.49"/>
    <n v="43012.35"/>
    <n v="0"/>
    <n v="0"/>
    <x v="1"/>
    <n v="11"/>
  </r>
  <r>
    <n v="33837"/>
    <n v="3204559"/>
    <x v="62"/>
    <n v="2.2400000000000002"/>
    <n v="7935490.8200000003"/>
    <n v="53840.73"/>
    <n v="7989331.5499999998"/>
    <n v="150475.95000000001"/>
    <n v="190267.67"/>
    <n v="2.2400000000000002"/>
    <n v="194769.62"/>
    <n v="0"/>
    <n v="0"/>
    <x v="1"/>
    <n v="11"/>
  </r>
  <r>
    <n v="33838"/>
    <n v="3204609"/>
    <x v="63"/>
    <n v="0.69"/>
    <n v="2441417.71"/>
    <n v="16564.53"/>
    <n v="2457982.2400000002"/>
    <n v="46295.14"/>
    <n v="99101.18"/>
    <n v="0.69"/>
    <n v="59922.44"/>
    <n v="0"/>
    <n v="0"/>
    <x v="1"/>
    <n v="11"/>
  </r>
  <r>
    <n v="33839"/>
    <n v="3204658"/>
    <x v="64"/>
    <n v="0.45"/>
    <n v="1600524.2"/>
    <n v="10859.23"/>
    <n v="1611383.43"/>
    <n v="30349.78"/>
    <n v="32006.35"/>
    <n v="0.45"/>
    <n v="39283.449999999997"/>
    <n v="0"/>
    <n v="0"/>
    <x v="1"/>
    <n v="11"/>
  </r>
  <r>
    <n v="33840"/>
    <n v="3204708"/>
    <x v="65"/>
    <n v="0.72"/>
    <n v="2575678.02"/>
    <n v="17475.46"/>
    <n v="2593153.48"/>
    <n v="48841.04"/>
    <n v="106214.39"/>
    <n v="0.72"/>
    <n v="63217.74"/>
    <n v="0"/>
    <n v="0"/>
    <x v="1"/>
    <n v="11"/>
  </r>
  <r>
    <n v="33841"/>
    <n v="3204807"/>
    <x v="66"/>
    <n v="0.22"/>
    <n v="780829.68"/>
    <n v="5297.78"/>
    <n v="786127.46"/>
    <n v="14806.41"/>
    <n v="29228.959999999999"/>
    <n v="0.22"/>
    <n v="19164.78"/>
    <n v="0"/>
    <n v="0"/>
    <x v="1"/>
    <n v="11"/>
  </r>
  <r>
    <n v="33842"/>
    <n v="3204906"/>
    <x v="67"/>
    <n v="1.8"/>
    <n v="6363231.9400000004"/>
    <n v="43173.24"/>
    <n v="6406405.1799999997"/>
    <n v="120662.15"/>
    <n v="474765.79"/>
    <n v="1.8"/>
    <n v="156179.91"/>
    <n v="0"/>
    <n v="0"/>
    <x v="1"/>
    <n v="11"/>
  </r>
  <r>
    <n v="33843"/>
    <n v="3204955"/>
    <x v="68"/>
    <n v="0.32"/>
    <n v="1158878.45"/>
    <n v="7862.75"/>
    <n v="1166741.2"/>
    <n v="21975.119999999999"/>
    <n v="24540.12"/>
    <n v="0.32"/>
    <n v="28443.65"/>
    <n v="0"/>
    <n v="0"/>
    <x v="1"/>
    <n v="11"/>
  </r>
  <r>
    <n v="33844"/>
    <n v="3205002"/>
    <x v="69"/>
    <n v="13.06"/>
    <n v="46167879.979999997"/>
    <n v="313239.75"/>
    <n v="46481119.729999997"/>
    <n v="875453.83"/>
    <n v="2015256.6"/>
    <n v="13.06"/>
    <n v="1133149.8799999999"/>
    <n v="0"/>
    <n v="0"/>
    <x v="1"/>
    <n v="11"/>
  </r>
  <r>
    <n v="33845"/>
    <n v="3205010"/>
    <x v="70"/>
    <n v="0.7"/>
    <n v="2490881.9900000002"/>
    <n v="16900.150000000001"/>
    <n v="2507782.14"/>
    <n v="47233.1"/>
    <n v="75799.75"/>
    <n v="0.7"/>
    <n v="61136.5"/>
    <n v="0"/>
    <n v="0"/>
    <x v="1"/>
    <n v="11"/>
  </r>
  <r>
    <n v="33846"/>
    <n v="3205036"/>
    <x v="71"/>
    <n v="0.47"/>
    <n v="1681787"/>
    <n v="11410.58"/>
    <n v="1693197.58"/>
    <n v="31890.720000000001"/>
    <n v="73042.58"/>
    <n v="0.47"/>
    <n v="41277.980000000003"/>
    <n v="0"/>
    <n v="0"/>
    <x v="1"/>
    <n v="11"/>
  </r>
  <r>
    <n v="33847"/>
    <n v="3205069"/>
    <x v="72"/>
    <n v="0.72"/>
    <n v="2547412.67"/>
    <n v="17283.689999999999"/>
    <n v="2564696.36"/>
    <n v="48305.06"/>
    <n v="101969.27"/>
    <n v="0.72"/>
    <n v="62524"/>
    <n v="0"/>
    <n v="0"/>
    <x v="1"/>
    <n v="11"/>
  </r>
  <r>
    <n v="33848"/>
    <n v="2112803"/>
    <x v="73"/>
    <n v="2.25"/>
    <n v="7960222.9699999997"/>
    <n v="54008.5"/>
    <n v="8014231.4699999997"/>
    <n v="150944.94"/>
    <n v="203578"/>
    <n v="2.25"/>
    <n v="195376.65"/>
    <n v="0"/>
    <n v="0"/>
    <x v="1"/>
    <n v="11"/>
  </r>
  <r>
    <n v="33849"/>
    <n v="3205150"/>
    <x v="74"/>
    <n v="0.32"/>
    <n v="1155345.27"/>
    <n v="7838.8"/>
    <n v="1163184.07"/>
    <n v="21908.12"/>
    <n v="17580.900000000001"/>
    <n v="0.32"/>
    <n v="28356.93"/>
    <n v="0"/>
    <n v="0"/>
    <x v="1"/>
    <n v="11"/>
  </r>
  <r>
    <n v="33850"/>
    <n v="3205176"/>
    <x v="75"/>
    <n v="0.61"/>
    <n v="2176430.2599999998"/>
    <n v="14766.64"/>
    <n v="2191196.9"/>
    <n v="41270.339999999997"/>
    <n v="50160.9"/>
    <n v="0.61"/>
    <n v="53418.559999999998"/>
    <n v="0"/>
    <n v="0"/>
    <x v="1"/>
    <n v="11"/>
  </r>
  <r>
    <n v="33851"/>
    <n v="3205200"/>
    <x v="76"/>
    <n v="5.55"/>
    <n v="19633803.390000001"/>
    <n v="133211.4"/>
    <n v="19767014.789999999"/>
    <n v="372304.04"/>
    <n v="2112235.59"/>
    <n v="5.55"/>
    <n v="481894.38"/>
    <n v="0"/>
    <n v="0"/>
    <x v="1"/>
    <n v="11"/>
  </r>
  <r>
    <n v="33852"/>
    <n v="3205309"/>
    <x v="77"/>
    <n v="15.84"/>
    <n v="55975948.880000003"/>
    <n v="379785.31"/>
    <n v="56355734.189999998"/>
    <n v="1061438.3500000001"/>
    <n v="1955317.13"/>
    <n v="15.84"/>
    <n v="1373880.27"/>
    <n v="0"/>
    <n v="0"/>
    <x v="1"/>
    <n v="11"/>
  </r>
  <r>
    <n v="33853"/>
    <n v="3200102"/>
    <x v="0"/>
    <n v="0.79"/>
    <n v="2786465.86"/>
    <n v="331513.5"/>
    <n v="3117979.36"/>
    <n v="49221.72"/>
    <n v="58722.03"/>
    <n v="0.79"/>
    <n v="83827.53"/>
    <n v="0"/>
    <n v="0"/>
    <x v="1"/>
    <n v="12"/>
  </r>
  <r>
    <n v="33854"/>
    <n v="3200169"/>
    <x v="1"/>
    <n v="0.28999999999999998"/>
    <n v="1040559.92"/>
    <n v="123798.28"/>
    <n v="1164358.2"/>
    <n v="18381.04"/>
    <n v="28431.05"/>
    <n v="0.28999999999999998"/>
    <n v="31304.02"/>
    <n v="0"/>
    <n v="0"/>
    <x v="1"/>
    <n v="12"/>
  </r>
  <r>
    <n v="33855"/>
    <n v="3200136"/>
    <x v="2"/>
    <n v="0.42"/>
    <n v="1484020.04"/>
    <n v="176557.92"/>
    <n v="1660577.96"/>
    <n v="26214.57"/>
    <n v="19465.47"/>
    <n v="0.42"/>
    <n v="44644.99"/>
    <n v="0"/>
    <n v="0"/>
    <x v="1"/>
    <n v="12"/>
  </r>
  <r>
    <n v="33856"/>
    <n v="3200201"/>
    <x v="3"/>
    <n v="0.48"/>
    <n v="1690036.95"/>
    <n v="201068.34"/>
    <n v="1891105.29"/>
    <n v="29853.77"/>
    <n v="71405.48"/>
    <n v="0.48"/>
    <n v="50842.76"/>
    <n v="0"/>
    <n v="0"/>
    <x v="1"/>
    <n v="12"/>
  </r>
  <r>
    <n v="33857"/>
    <n v="3200300"/>
    <x v="4"/>
    <n v="0.48"/>
    <n v="1676069.7"/>
    <n v="199406.62"/>
    <n v="1875476.32"/>
    <n v="29607.05"/>
    <n v="47468.07"/>
    <n v="0.48"/>
    <n v="50422.57"/>
    <n v="0"/>
    <n v="0"/>
    <x v="1"/>
    <n v="12"/>
  </r>
  <r>
    <n v="33858"/>
    <n v="3200359"/>
    <x v="5"/>
    <n v="0.22"/>
    <n v="799624.91"/>
    <n v="95133.57"/>
    <n v="894758.48"/>
    <n v="14125.03"/>
    <n v="18217.64"/>
    <n v="0.22"/>
    <n v="24055.77"/>
    <n v="0"/>
    <n v="0"/>
    <x v="1"/>
    <n v="12"/>
  </r>
  <r>
    <n v="33859"/>
    <n v="3200409"/>
    <x v="6"/>
    <n v="2.59"/>
    <n v="9071727.1699999999"/>
    <n v="1079288.23"/>
    <n v="10151015.4"/>
    <n v="160248.15"/>
    <n v="118062.92"/>
    <n v="2.59"/>
    <n v="272912.18"/>
    <n v="0"/>
    <n v="0"/>
    <x v="1"/>
    <n v="12"/>
  </r>
  <r>
    <n v="33860"/>
    <n v="3200508"/>
    <x v="7"/>
    <n v="0.19"/>
    <n v="680903.29"/>
    <n v="81008.92"/>
    <n v="761912.21"/>
    <n v="12027.86"/>
    <n v="29659.31"/>
    <n v="0.19"/>
    <n v="20484.169999999998"/>
    <n v="0"/>
    <n v="0"/>
    <x v="1"/>
    <n v="12"/>
  </r>
  <r>
    <n v="33861"/>
    <n v="3200607"/>
    <x v="8"/>
    <n v="5.18"/>
    <n v="18087585.370000001"/>
    <n v="2151929.59"/>
    <n v="20239514.960000001"/>
    <n v="319509.39"/>
    <n v="331634.32"/>
    <n v="5.18"/>
    <n v="544143.61"/>
    <n v="0"/>
    <n v="0"/>
    <x v="1"/>
    <n v="12"/>
  </r>
  <r>
    <n v="33862"/>
    <n v="3200706"/>
    <x v="9"/>
    <n v="0.36"/>
    <n v="1288478.56"/>
    <n v="153293.85"/>
    <n v="1441772.41"/>
    <n v="22760.42"/>
    <n v="47641.2"/>
    <n v="0.36"/>
    <n v="38762.35"/>
    <n v="0"/>
    <n v="0"/>
    <x v="1"/>
    <n v="12"/>
  </r>
  <r>
    <n v="33863"/>
    <n v="3200805"/>
    <x v="10"/>
    <n v="0.65"/>
    <n v="2301104.0299999998"/>
    <n v="273768.65999999997"/>
    <n v="2574872.69"/>
    <n v="40648.01"/>
    <n v="83128.460000000006"/>
    <n v="0.65"/>
    <n v="69225.990000000005"/>
    <n v="0"/>
    <n v="0"/>
    <x v="1"/>
    <n v="12"/>
  </r>
  <r>
    <n v="33864"/>
    <n v="3200904"/>
    <x v="11"/>
    <n v="0.9"/>
    <n v="3163581.55"/>
    <n v="376379.97"/>
    <n v="3539961.52"/>
    <n v="55883.3"/>
    <n v="151079.6"/>
    <n v="0.9"/>
    <n v="95172.61"/>
    <n v="0"/>
    <n v="0"/>
    <x v="1"/>
    <n v="12"/>
  </r>
  <r>
    <n v="33865"/>
    <n v="3107109"/>
    <x v="12"/>
    <n v="0.41"/>
    <n v="1445610.11"/>
    <n v="171988.22"/>
    <n v="1617598.33"/>
    <n v="25536.080000000002"/>
    <n v="33893.230000000003"/>
    <n v="0.41"/>
    <n v="43489.47"/>
    <n v="0"/>
    <n v="0"/>
    <x v="1"/>
    <n v="12"/>
  </r>
  <r>
    <n v="33866"/>
    <n v="3201100"/>
    <x v="13"/>
    <n v="0.17"/>
    <n v="593608.02"/>
    <n v="70623.16"/>
    <n v="664231.18000000005"/>
    <n v="10485.83"/>
    <n v="79902.22"/>
    <n v="0.17"/>
    <n v="17857.990000000002"/>
    <n v="0"/>
    <n v="0"/>
    <x v="1"/>
    <n v="12"/>
  </r>
  <r>
    <n v="33867"/>
    <n v="3201159"/>
    <x v="14"/>
    <n v="0.43"/>
    <n v="1529413.58"/>
    <n v="181958.55"/>
    <n v="1711372.13"/>
    <n v="27016.43"/>
    <n v="26477.58"/>
    <n v="0.43"/>
    <n v="46010.6"/>
    <n v="0"/>
    <n v="0"/>
    <x v="1"/>
    <n v="12"/>
  </r>
  <r>
    <n v="33868"/>
    <n v="3201209"/>
    <x v="15"/>
    <n v="3.11"/>
    <n v="10866518.49"/>
    <n v="1292819.47"/>
    <n v="12159337.960000001"/>
    <n v="191952.36"/>
    <n v="904023.72"/>
    <n v="3.11"/>
    <n v="326906.34999999998"/>
    <n v="0"/>
    <n v="0"/>
    <x v="1"/>
    <n v="12"/>
  </r>
  <r>
    <n v="33869"/>
    <n v="3201308"/>
    <x v="16"/>
    <n v="6.51"/>
    <n v="22745662.370000001"/>
    <n v="2706113.77"/>
    <n v="25451776.140000001"/>
    <n v="401792.31"/>
    <n v="1086954"/>
    <n v="6.51"/>
    <n v="684276.34"/>
    <n v="0"/>
    <n v="0"/>
    <x v="1"/>
    <n v="12"/>
  </r>
  <r>
    <n v="33870"/>
    <n v="3201407"/>
    <x v="17"/>
    <n v="0.93"/>
    <n v="3268335.89"/>
    <n v="388842.9"/>
    <n v="3657178.79"/>
    <n v="57733.74"/>
    <n v="244566.92"/>
    <n v="0.93"/>
    <n v="98324.02"/>
    <n v="0"/>
    <n v="0"/>
    <x v="1"/>
    <n v="12"/>
  </r>
  <r>
    <n v="33871"/>
    <n v="3201506"/>
    <x v="18"/>
    <n v="2.2000000000000002"/>
    <n v="7685477.9000000004"/>
    <n v="914362.37"/>
    <n v="8599840.2699999996"/>
    <n v="135760.65"/>
    <n v="463125.75"/>
    <n v="2.2000000000000002"/>
    <n v="231208.51"/>
    <n v="0"/>
    <n v="0"/>
    <x v="1"/>
    <n v="12"/>
  </r>
  <r>
    <n v="33872"/>
    <n v="3201605"/>
    <x v="19"/>
    <n v="0.57999999999999996"/>
    <n v="2042709.94"/>
    <n v="243026.81"/>
    <n v="2285736.75"/>
    <n v="36083.589999999997"/>
    <n v="64695.71"/>
    <n v="0.57999999999999996"/>
    <n v="61452.51"/>
    <n v="0"/>
    <n v="0"/>
    <x v="1"/>
    <n v="12"/>
  </r>
  <r>
    <n v="33873"/>
    <n v="3201704"/>
    <x v="20"/>
    <n v="0.45"/>
    <n v="1592266.21"/>
    <n v="189436.28"/>
    <n v="1781702.49"/>
    <n v="28126.7"/>
    <n v="33251.64"/>
    <n v="0.45"/>
    <n v="47901.440000000002"/>
    <n v="0"/>
    <n v="0"/>
    <x v="1"/>
    <n v="12"/>
  </r>
  <r>
    <n v="33874"/>
    <n v="3201803"/>
    <x v="21"/>
    <n v="0.19"/>
    <n v="663444.27"/>
    <n v="78931.78"/>
    <n v="742376.05"/>
    <n v="11719.46"/>
    <n v="8558.1200000000008"/>
    <n v="0.19"/>
    <n v="19958.939999999999"/>
    <n v="0"/>
    <n v="0"/>
    <x v="1"/>
    <n v="12"/>
  </r>
  <r>
    <n v="33875"/>
    <n v="3201902"/>
    <x v="22"/>
    <n v="1.22"/>
    <n v="4273977.7"/>
    <n v="508486.83"/>
    <n v="4782464.53"/>
    <n v="75497.97"/>
    <n v="86234.9"/>
    <n v="1.22"/>
    <n v="128577.56"/>
    <n v="0"/>
    <n v="0"/>
    <x v="1"/>
    <n v="12"/>
  </r>
  <r>
    <n v="33876"/>
    <n v="3202009"/>
    <x v="23"/>
    <n v="0.24"/>
    <n v="852002.1"/>
    <n v="101365.03"/>
    <n v="953367.13"/>
    <n v="15050.25"/>
    <n v="16468.62"/>
    <n v="0.24"/>
    <n v="25631.47"/>
    <n v="0"/>
    <n v="0"/>
    <x v="1"/>
    <n v="12"/>
  </r>
  <r>
    <n v="33877"/>
    <n v="3202108"/>
    <x v="24"/>
    <n v="0.69"/>
    <n v="2440776.4900000002"/>
    <n v="290385.88"/>
    <n v="2731162.37"/>
    <n v="43115.26"/>
    <n v="61870.32"/>
    <n v="0.69"/>
    <n v="73427.87"/>
    <n v="0"/>
    <n v="0"/>
    <x v="1"/>
    <n v="12"/>
  </r>
  <r>
    <n v="33878"/>
    <n v="3202207"/>
    <x v="25"/>
    <n v="0.33"/>
    <n v="1155789.7"/>
    <n v="137507.44"/>
    <n v="1293297.1399999999"/>
    <n v="20416.53"/>
    <n v="34902.17"/>
    <n v="0.33"/>
    <n v="34770.57"/>
    <n v="0"/>
    <n v="0"/>
    <x v="1"/>
    <n v="12"/>
  </r>
  <r>
    <n v="33879"/>
    <n v="3202256"/>
    <x v="26"/>
    <n v="0.44"/>
    <n v="1546872.63"/>
    <n v="184035.69"/>
    <n v="1730908.32"/>
    <n v="27324.84"/>
    <n v="21349.37"/>
    <n v="0.44"/>
    <n v="46535.83"/>
    <n v="0"/>
    <n v="0"/>
    <x v="1"/>
    <n v="12"/>
  </r>
  <r>
    <n v="33880"/>
    <n v="3202306"/>
    <x v="27"/>
    <n v="0.39"/>
    <n v="1365298.44"/>
    <n v="162433.26999999999"/>
    <n v="1527731.71"/>
    <n v="24117.41"/>
    <n v="89556.76"/>
    <n v="0.39"/>
    <n v="41073.39"/>
    <n v="0"/>
    <n v="0"/>
    <x v="1"/>
    <n v="12"/>
  </r>
  <r>
    <n v="33881"/>
    <n v="3202405"/>
    <x v="28"/>
    <n v="0.91"/>
    <n v="3184532.4"/>
    <n v="378872.56"/>
    <n v="3563404.96"/>
    <n v="56253.39"/>
    <n v="654569.64"/>
    <n v="0.91"/>
    <n v="95802.89"/>
    <n v="0"/>
    <n v="0"/>
    <x v="1"/>
    <n v="12"/>
  </r>
  <r>
    <n v="33882"/>
    <n v="3202454"/>
    <x v="29"/>
    <n v="0.36"/>
    <n v="1257052.27"/>
    <n v="149554.96"/>
    <n v="1406607.23"/>
    <n v="22205.29"/>
    <n v="57259.54"/>
    <n v="0.36"/>
    <n v="37816.93"/>
    <n v="0"/>
    <n v="0"/>
    <x v="1"/>
    <n v="12"/>
  </r>
  <r>
    <n v="33883"/>
    <n v="3202504"/>
    <x v="30"/>
    <n v="0.27"/>
    <n v="953264.63"/>
    <n v="113412.48"/>
    <n v="1066677.1100000001"/>
    <n v="16839.009999999998"/>
    <n v="35725.96"/>
    <n v="0.27"/>
    <n v="28677.84"/>
    <n v="0"/>
    <n v="0"/>
    <x v="1"/>
    <n v="12"/>
  </r>
  <r>
    <n v="33884"/>
    <n v="3202553"/>
    <x v="31"/>
    <n v="0.24"/>
    <n v="855493.89"/>
    <n v="101780.46"/>
    <n v="957274.35"/>
    <n v="15111.93"/>
    <n v="15249.6"/>
    <n v="0.24"/>
    <n v="25736.52"/>
    <n v="0"/>
    <n v="0"/>
    <x v="1"/>
    <n v="12"/>
  </r>
  <r>
    <n v="33885"/>
    <n v="3202603"/>
    <x v="32"/>
    <n v="0.37"/>
    <n v="1298954.01"/>
    <n v="154540.13"/>
    <n v="1453494.14"/>
    <n v="22945.46"/>
    <n v="36710.449999999997"/>
    <n v="0.37"/>
    <n v="39077.49"/>
    <n v="0"/>
    <n v="0"/>
    <x v="1"/>
    <n v="12"/>
  </r>
  <r>
    <n v="33886"/>
    <n v="3202652"/>
    <x v="33"/>
    <n v="0.3"/>
    <n v="1078969.8700000001"/>
    <n v="128367.97"/>
    <n v="1207337.8400000001"/>
    <n v="19059.54"/>
    <n v="36305.54"/>
    <n v="0.3"/>
    <n v="32459.53"/>
    <n v="0"/>
    <n v="0"/>
    <x v="1"/>
    <n v="12"/>
  </r>
  <r>
    <n v="33887"/>
    <n v="3202702"/>
    <x v="34"/>
    <n v="0.38"/>
    <n v="1337363.92"/>
    <n v="159109.84"/>
    <n v="1496473.76"/>
    <n v="23623.96"/>
    <n v="27366.61"/>
    <n v="0.38"/>
    <n v="40233.01"/>
    <n v="0"/>
    <n v="0"/>
    <x v="1"/>
    <n v="12"/>
  </r>
  <r>
    <n v="33888"/>
    <n v="3202801"/>
    <x v="35"/>
    <n v="2.66"/>
    <n v="9305678.5700000003"/>
    <n v="1107122.04"/>
    <n v="10412800.609999999"/>
    <n v="164380.79999999999"/>
    <n v="155150.43"/>
    <n v="2.66"/>
    <n v="279950.33"/>
    <n v="0"/>
    <n v="0"/>
    <x v="1"/>
    <n v="12"/>
  </r>
  <r>
    <n v="33889"/>
    <n v="3202900"/>
    <x v="36"/>
    <n v="0.34"/>
    <n v="1194199.6299999999"/>
    <n v="142077.21"/>
    <n v="1336276.8400000001"/>
    <n v="21095.02"/>
    <n v="26196.18"/>
    <n v="0.34"/>
    <n v="35926.089999999997"/>
    <n v="0"/>
    <n v="0"/>
    <x v="1"/>
    <n v="12"/>
  </r>
  <r>
    <n v="33890"/>
    <n v="3203007"/>
    <x v="37"/>
    <n v="0.47"/>
    <n v="1648135.19"/>
    <n v="196083.16"/>
    <n v="1844218.35"/>
    <n v="29113.599999999999"/>
    <n v="74970.350000000006"/>
    <n v="0.47"/>
    <n v="49582.19"/>
    <n v="0"/>
    <n v="0"/>
    <x v="1"/>
    <n v="12"/>
  </r>
  <r>
    <n v="33891"/>
    <n v="3203056"/>
    <x v="38"/>
    <n v="0.86"/>
    <n v="3020417.26"/>
    <n v="359347.3"/>
    <n v="3379764.56"/>
    <n v="53354.37"/>
    <n v="75443.740000000005"/>
    <n v="0.86"/>
    <n v="90865.68"/>
    <n v="0"/>
    <n v="0"/>
    <x v="1"/>
    <n v="12"/>
  </r>
  <r>
    <n v="33892"/>
    <n v="3203106"/>
    <x v="39"/>
    <n v="0.21"/>
    <n v="747247.74"/>
    <n v="88902.09"/>
    <n v="836149.83"/>
    <n v="13199.81"/>
    <n v="21753.27"/>
    <n v="0.21"/>
    <n v="22480.07"/>
    <n v="0"/>
    <n v="0"/>
    <x v="1"/>
    <n v="12"/>
  </r>
  <r>
    <n v="33893"/>
    <n v="3203130"/>
    <x v="40"/>
    <n v="0.42"/>
    <n v="1491003.69"/>
    <n v="177388.78"/>
    <n v="1668392.47"/>
    <n v="26337.94"/>
    <n v="48294.49"/>
    <n v="0.42"/>
    <n v="44855.08"/>
    <n v="0"/>
    <n v="0"/>
    <x v="1"/>
    <n v="12"/>
  </r>
  <r>
    <n v="33894"/>
    <n v="3203163"/>
    <x v="41"/>
    <n v="0.38"/>
    <n v="1326888.5"/>
    <n v="157863.59"/>
    <n v="1484752.09"/>
    <n v="23438.91"/>
    <n v="20032.490000000002"/>
    <n v="0.38"/>
    <n v="39917.870000000003"/>
    <n v="0"/>
    <n v="0"/>
    <x v="1"/>
    <n v="12"/>
  </r>
  <r>
    <n v="33895"/>
    <n v="3203205"/>
    <x v="42"/>
    <n v="5.75"/>
    <n v="20088393.559999999"/>
    <n v="2389971.2200000002"/>
    <n v="22478364.780000001"/>
    <n v="354852.8"/>
    <n v="632003.13"/>
    <n v="5.75"/>
    <n v="604335.55000000005"/>
    <n v="0"/>
    <n v="0"/>
    <x v="1"/>
    <n v="12"/>
  </r>
  <r>
    <n v="33896"/>
    <n v="3203304"/>
    <x v="43"/>
    <n v="0.25"/>
    <n v="890412.01"/>
    <n v="105934.75"/>
    <n v="996346.76"/>
    <n v="15728.74"/>
    <n v="30262.18"/>
    <n v="0.25"/>
    <n v="26786.99"/>
    <n v="0"/>
    <n v="0"/>
    <x v="1"/>
    <n v="12"/>
  </r>
  <r>
    <n v="33897"/>
    <n v="3203320"/>
    <x v="44"/>
    <n v="0.61"/>
    <n v="2154447.91"/>
    <n v="256320.58"/>
    <n v="2410768.4900000002"/>
    <n v="38057.39"/>
    <n v="233121.63"/>
    <n v="0.61"/>
    <n v="64814.02"/>
    <n v="0"/>
    <n v="0"/>
    <x v="1"/>
    <n v="12"/>
  </r>
  <r>
    <n v="33898"/>
    <n v="3203346"/>
    <x v="45"/>
    <n v="0.65"/>
    <n v="2294120.39"/>
    <n v="272937.78999999998"/>
    <n v="2567058.1800000002"/>
    <n v="40524.65"/>
    <n v="51033.27"/>
    <n v="0.65"/>
    <n v="69015.899999999994"/>
    <n v="0"/>
    <n v="0"/>
    <x v="1"/>
    <n v="12"/>
  </r>
  <r>
    <n v="33899"/>
    <n v="3203353"/>
    <x v="46"/>
    <n v="0.43"/>
    <n v="1529413.58"/>
    <n v="181958.55"/>
    <n v="1711372.13"/>
    <n v="27016.43"/>
    <n v="22891.98"/>
    <n v="0.43"/>
    <n v="46010.6"/>
    <n v="0"/>
    <n v="0"/>
    <x v="1"/>
    <n v="12"/>
  </r>
  <r>
    <n v="33900"/>
    <n v="3203403"/>
    <x v="47"/>
    <n v="0.5"/>
    <n v="1745905.94"/>
    <n v="207715.23"/>
    <n v="1953621.17"/>
    <n v="30840.67"/>
    <n v="68360.34"/>
    <n v="0.5"/>
    <n v="52523.519999999997"/>
    <n v="0"/>
    <n v="0"/>
    <x v="1"/>
    <n v="12"/>
  </r>
  <r>
    <n v="33901"/>
    <n v="3203502"/>
    <x v="48"/>
    <n v="0.52"/>
    <n v="1833201.21"/>
    <n v="218100.94"/>
    <n v="2051302.15"/>
    <n v="32382.71"/>
    <n v="47280.29"/>
    <n v="0.52"/>
    <n v="55149.69"/>
    <n v="0"/>
    <n v="0"/>
    <x v="1"/>
    <n v="12"/>
  </r>
  <r>
    <n v="33902"/>
    <n v="3203601"/>
    <x v="49"/>
    <n v="0.28000000000000003"/>
    <n v="1009133.61"/>
    <n v="120059.4"/>
    <n v="1129193.01"/>
    <n v="17825.91"/>
    <n v="16143.25"/>
    <n v="0.28000000000000003"/>
    <n v="30358.59"/>
    <n v="0"/>
    <n v="0"/>
    <x v="1"/>
    <n v="12"/>
  </r>
  <r>
    <n v="33903"/>
    <n v="3203700"/>
    <x v="50"/>
    <n v="0.5"/>
    <n v="1777332.23"/>
    <n v="211454.09"/>
    <n v="1988786.32"/>
    <n v="31395.81"/>
    <n v="38861.35"/>
    <n v="0.5"/>
    <n v="53468.94"/>
    <n v="0"/>
    <n v="0"/>
    <x v="1"/>
    <n v="12"/>
  </r>
  <r>
    <n v="33904"/>
    <n v="3203809"/>
    <x v="51"/>
    <n v="0.28999999999999998"/>
    <n v="1019609.05"/>
    <n v="121305.66"/>
    <n v="1140914.71"/>
    <n v="18010.95"/>
    <n v="38875.9"/>
    <n v="0.28999999999999998"/>
    <n v="30673.73"/>
    <n v="0"/>
    <n v="0"/>
    <x v="1"/>
    <n v="12"/>
  </r>
  <r>
    <n v="33905"/>
    <n v="3203908"/>
    <x v="52"/>
    <n v="1.22"/>
    <n v="4291436.74"/>
    <n v="510564.01"/>
    <n v="4802000.75"/>
    <n v="75806.38"/>
    <n v="173728.23"/>
    <n v="1.22"/>
    <n v="129102.8"/>
    <n v="0"/>
    <n v="0"/>
    <x v="1"/>
    <n v="12"/>
  </r>
  <r>
    <n v="33906"/>
    <n v="3204005"/>
    <x v="53"/>
    <n v="0.47"/>
    <n v="1669086.08"/>
    <n v="198575.76"/>
    <n v="1867661.84"/>
    <n v="29483.68"/>
    <n v="29803"/>
    <n v="0.47"/>
    <n v="50212.480000000003"/>
    <n v="0"/>
    <n v="0"/>
    <x v="1"/>
    <n v="12"/>
  </r>
  <r>
    <n v="33907"/>
    <n v="3204054"/>
    <x v="54"/>
    <n v="0.32"/>
    <n v="1131347.04"/>
    <n v="134599.45000000001"/>
    <n v="1265946.49"/>
    <n v="19984.759999999998"/>
    <n v="70973.740000000005"/>
    <n v="0.32"/>
    <n v="34035.24"/>
    <n v="0"/>
    <n v="0"/>
    <x v="1"/>
    <n v="12"/>
  </r>
  <r>
    <n v="33908"/>
    <n v="3204104"/>
    <x v="55"/>
    <n v="0.66"/>
    <n v="2322054.89"/>
    <n v="276261.23"/>
    <n v="2598316.12"/>
    <n v="41018.1"/>
    <n v="69471.67"/>
    <n v="0.66"/>
    <n v="69856.28"/>
    <n v="0"/>
    <n v="0"/>
    <x v="1"/>
    <n v="12"/>
  </r>
  <r>
    <n v="33909"/>
    <n v="3204203"/>
    <x v="56"/>
    <n v="0.15"/>
    <n v="534247.22"/>
    <n v="63560.85"/>
    <n v="597808.06999999995"/>
    <n v="9437.25"/>
    <n v="94910.86"/>
    <n v="0.15"/>
    <n v="16072.2"/>
    <n v="0"/>
    <n v="0"/>
    <x v="1"/>
    <n v="12"/>
  </r>
  <r>
    <n v="33910"/>
    <n v="3204252"/>
    <x v="57"/>
    <n v="0.23"/>
    <n v="803116.74"/>
    <n v="95549"/>
    <n v="898665.74"/>
    <n v="14186.71"/>
    <n v="17534.169999999998"/>
    <n v="0.23"/>
    <n v="24160.81"/>
    <n v="0"/>
    <n v="0"/>
    <x v="1"/>
    <n v="12"/>
  </r>
  <r>
    <n v="33911"/>
    <n v="1718402"/>
    <x v="58"/>
    <n v="0.33"/>
    <n v="1166265.17"/>
    <n v="138753.76999999999"/>
    <n v="1305018.94"/>
    <n v="20601.57"/>
    <n v="101962.11"/>
    <n v="0.33"/>
    <n v="35085.71"/>
    <n v="0"/>
    <n v="0"/>
    <x v="1"/>
    <n v="12"/>
  </r>
  <r>
    <n v="33912"/>
    <n v="3204351"/>
    <x v="59"/>
    <n v="0.76"/>
    <n v="2685203.32"/>
    <n v="319465.98"/>
    <n v="3004669.3"/>
    <n v="47432.959999999999"/>
    <n v="30104.11"/>
    <n v="0.76"/>
    <n v="80781.16"/>
    <n v="0"/>
    <n v="0"/>
    <x v="1"/>
    <n v="12"/>
  </r>
  <r>
    <n v="33913"/>
    <n v="3204401"/>
    <x v="60"/>
    <n v="0.26"/>
    <n v="925330.15"/>
    <n v="110089.08"/>
    <n v="1035419.23"/>
    <n v="16345.56"/>
    <n v="34749.99"/>
    <n v="0.26"/>
    <n v="27837.46"/>
    <n v="0"/>
    <n v="0"/>
    <x v="1"/>
    <n v="12"/>
  </r>
  <r>
    <n v="33914"/>
    <n v="3204500"/>
    <x v="61"/>
    <n v="0.49"/>
    <n v="1731938.69"/>
    <n v="206053.52"/>
    <n v="1937992.21"/>
    <n v="30593.95"/>
    <n v="17808.61"/>
    <n v="0.49"/>
    <n v="52103.32"/>
    <n v="0"/>
    <n v="0"/>
    <x v="1"/>
    <n v="12"/>
  </r>
  <r>
    <n v="33915"/>
    <n v="3204559"/>
    <x v="62"/>
    <n v="2.2400000000000002"/>
    <n v="7842609.3899999997"/>
    <n v="933056.73"/>
    <n v="8775666.1199999992"/>
    <n v="138536.31"/>
    <n v="186475.49"/>
    <n v="2.2400000000000002"/>
    <n v="235935.63"/>
    <n v="0"/>
    <n v="0"/>
    <x v="1"/>
    <n v="12"/>
  </r>
  <r>
    <n v="33916"/>
    <n v="3204609"/>
    <x v="63"/>
    <n v="0.69"/>
    <n v="2412842.0099999998"/>
    <n v="287062.43"/>
    <n v="2699904.44"/>
    <n v="42621.81"/>
    <n v="78943.789999999994"/>
    <n v="0.69"/>
    <n v="72587.5"/>
    <n v="0"/>
    <n v="0"/>
    <x v="1"/>
    <n v="12"/>
  </r>
  <r>
    <n v="33917"/>
    <n v="3204658"/>
    <x v="64"/>
    <n v="0.45"/>
    <n v="1581790.78"/>
    <n v="188190"/>
    <n v="1769980.78"/>
    <n v="27941.65"/>
    <n v="19781.169999999998"/>
    <n v="0.45"/>
    <n v="47586.31"/>
    <n v="0"/>
    <n v="0"/>
    <x v="1"/>
    <n v="12"/>
  </r>
  <r>
    <n v="33918"/>
    <n v="3204708"/>
    <x v="65"/>
    <n v="0.72"/>
    <n v="2545530.83"/>
    <n v="302848.78000000003"/>
    <n v="2848379.61"/>
    <n v="44965.7"/>
    <n v="103798.46"/>
    <n v="0.72"/>
    <n v="76579.28"/>
    <n v="0"/>
    <n v="0"/>
    <x v="1"/>
    <n v="12"/>
  </r>
  <r>
    <n v="33919"/>
    <n v="3204807"/>
    <x v="66"/>
    <n v="0.22"/>
    <n v="771690.47"/>
    <n v="91810.12"/>
    <n v="863500.59"/>
    <n v="13631.58"/>
    <n v="29004.84"/>
    <n v="0.22"/>
    <n v="23215.39"/>
    <n v="0"/>
    <n v="0"/>
    <x v="1"/>
    <n v="12"/>
  </r>
  <r>
    <n v="33920"/>
    <n v="3204906"/>
    <x v="67"/>
    <n v="1.8"/>
    <n v="6288753.1299999999"/>
    <n v="748190.19"/>
    <n v="7036943.3200000003"/>
    <n v="111088.11"/>
    <n v="418446.44"/>
    <n v="1.8"/>
    <n v="189189.7"/>
    <n v="0"/>
    <n v="0"/>
    <x v="1"/>
    <n v="12"/>
  </r>
  <r>
    <n v="33921"/>
    <n v="3204955"/>
    <x v="68"/>
    <n v="0.32"/>
    <n v="1145314.29"/>
    <n v="136261.18"/>
    <n v="1281575.47"/>
    <n v="20231.48"/>
    <n v="23650.44"/>
    <n v="0.32"/>
    <n v="34455.42"/>
    <n v="0"/>
    <n v="0"/>
    <x v="1"/>
    <n v="12"/>
  </r>
  <r>
    <n v="33922"/>
    <n v="3205002"/>
    <x v="69"/>
    <n v="13.06"/>
    <n v="45627505.439999998"/>
    <n v="5428429.3600000003"/>
    <n v="51055934.799999997"/>
    <n v="805990.19"/>
    <n v="1757025.72"/>
    <n v="13.06"/>
    <n v="1372649.51"/>
    <n v="0"/>
    <n v="0"/>
    <x v="1"/>
    <n v="12"/>
  </r>
  <r>
    <n v="33923"/>
    <n v="3205010"/>
    <x v="70"/>
    <n v="0.7"/>
    <n v="2461727.34"/>
    <n v="292878.46999999997"/>
    <n v="2754605.81"/>
    <n v="43485.35"/>
    <n v="64192"/>
    <n v="0.7"/>
    <n v="74058.16"/>
    <n v="0"/>
    <n v="0"/>
    <x v="1"/>
    <n v="12"/>
  </r>
  <r>
    <n v="33924"/>
    <n v="3205036"/>
    <x v="71"/>
    <n v="0.47"/>
    <n v="1662102.45"/>
    <n v="197744.9"/>
    <n v="1859847.35"/>
    <n v="29360.32"/>
    <n v="85462.96"/>
    <n v="0.47"/>
    <n v="50002.39"/>
    <n v="0"/>
    <n v="0"/>
    <x v="1"/>
    <n v="12"/>
  </r>
  <r>
    <n v="33925"/>
    <n v="3205069"/>
    <x v="72"/>
    <n v="0.72"/>
    <n v="2517596.33"/>
    <n v="299525.33"/>
    <n v="2817121.66"/>
    <n v="44472.25"/>
    <n v="90599.84"/>
    <n v="0.72"/>
    <n v="75738.899999999994"/>
    <n v="0"/>
    <n v="0"/>
    <x v="1"/>
    <n v="12"/>
  </r>
  <r>
    <n v="33926"/>
    <n v="2112803"/>
    <x v="73"/>
    <n v="2.25"/>
    <n v="7867052.1100000003"/>
    <n v="935964.73"/>
    <n v="8803016.8399999999"/>
    <n v="138968.07999999999"/>
    <n v="178740.97"/>
    <n v="2.25"/>
    <n v="236670.95"/>
    <n v="0"/>
    <n v="0"/>
    <x v="1"/>
    <n v="12"/>
  </r>
  <r>
    <n v="33927"/>
    <n v="3205150"/>
    <x v="74"/>
    <n v="0.32"/>
    <n v="1141822.5"/>
    <n v="135845.75"/>
    <n v="1277668.25"/>
    <n v="20169.8"/>
    <n v="22962.81"/>
    <n v="0.32"/>
    <n v="34350.370000000003"/>
    <n v="0"/>
    <n v="0"/>
    <x v="1"/>
    <n v="12"/>
  </r>
  <r>
    <n v="33928"/>
    <n v="3205176"/>
    <x v="75"/>
    <n v="0.61"/>
    <n v="2150956.1"/>
    <n v="255905.15"/>
    <n v="2406861.25"/>
    <n v="37995.71"/>
    <n v="55586.16"/>
    <n v="0.61"/>
    <n v="64708.959999999999"/>
    <n v="0"/>
    <n v="0"/>
    <x v="1"/>
    <n v="12"/>
  </r>
  <r>
    <n v="33929"/>
    <n v="3205200"/>
    <x v="76"/>
    <n v="5.55"/>
    <n v="19403998.449999999"/>
    <n v="2308546.87"/>
    <n v="21712545.32"/>
    <n v="342763.26"/>
    <n v="2004912.41"/>
    <n v="5.55"/>
    <n v="583746.32999999996"/>
    <n v="0"/>
    <n v="0"/>
    <x v="1"/>
    <n v="12"/>
  </r>
  <r>
    <n v="33930"/>
    <n v="3205309"/>
    <x v="77"/>
    <n v="15.84"/>
    <n v="55320775.079999998"/>
    <n v="6581663.96"/>
    <n v="61902439.039999999"/>
    <n v="977217.62"/>
    <n v="1898053.05"/>
    <n v="15.84"/>
    <n v="1664260.07"/>
    <n v="0"/>
    <n v="0"/>
    <x v="1"/>
    <n v="12"/>
  </r>
  <r>
    <n v="37831"/>
    <n v="3200102"/>
    <x v="0"/>
    <n v="0.8"/>
    <n v="2698160.79"/>
    <n v="198456.81"/>
    <n v="2896617.6"/>
    <n v="32435.54"/>
    <n v="81727.990000000005"/>
    <n v="0.98499999999999999"/>
    <n v="83394.47"/>
    <n v="11073.92"/>
    <n v="0"/>
    <x v="2"/>
    <n v="1"/>
  </r>
  <r>
    <n v="37832"/>
    <n v="3200169"/>
    <x v="1"/>
    <n v="0.30099999999999999"/>
    <n v="1014998.78"/>
    <n v="74669.33"/>
    <n v="1089668.1100000001"/>
    <n v="12203.87"/>
    <n v="28100.5"/>
    <n v="0.439"/>
    <n v="31377.17"/>
    <n v="4944.42"/>
    <n v="0"/>
    <x v="2"/>
    <n v="1"/>
  </r>
  <r>
    <n v="37833"/>
    <n v="3200136"/>
    <x v="2"/>
    <n v="0.41599999999999998"/>
    <n v="1403866.5"/>
    <n v="103197.72"/>
    <n v="1507064.22"/>
    <n v="16866.48"/>
    <n v="23227.81"/>
    <n v="0.34799999999999998"/>
    <n v="43365.120000000003"/>
    <n v="3907.17"/>
    <n v="0"/>
    <x v="2"/>
    <n v="1"/>
  </r>
  <r>
    <n v="37834"/>
    <n v="3200201"/>
    <x v="3"/>
    <n v="0.51"/>
    <n v="1718051.12"/>
    <n v="126515.78"/>
    <n v="1844566.9"/>
    <n v="20677.650000000001"/>
    <n v="84672.12"/>
    <n v="0.98"/>
    <n v="53163.97"/>
    <n v="11008.07"/>
    <n v="0"/>
    <x v="2"/>
    <n v="1"/>
  </r>
  <r>
    <n v="37835"/>
    <n v="3200300"/>
    <x v="4"/>
    <n v="0.49"/>
    <n v="1651904.33"/>
    <n v="121554.64"/>
    <n v="1773458.97"/>
    <n v="19866.77"/>
    <n v="76129.009999999995"/>
    <n v="0.56399999999999995"/>
    <n v="51079.11"/>
    <n v="6317.7"/>
    <n v="0"/>
    <x v="2"/>
    <n v="1"/>
  </r>
  <r>
    <n v="37836"/>
    <n v="3200359"/>
    <x v="5"/>
    <n v="0.23100000000000001"/>
    <n v="778977.32"/>
    <n v="57304.4"/>
    <n v="836281.72"/>
    <n v="9365.76"/>
    <n v="14139.68"/>
    <n v="0.32700000000000001"/>
    <n v="24080.15"/>
    <n v="3666.08"/>
    <n v="0"/>
    <x v="2"/>
    <n v="1"/>
  </r>
  <r>
    <n v="37837"/>
    <n v="3200409"/>
    <x v="6"/>
    <n v="1.766"/>
    <n v="6024740.5700000003"/>
    <n v="438108.29"/>
    <n v="6462848.8600000003"/>
    <n v="71601.440000000002"/>
    <n v="174853.05"/>
    <n v="0.90800000000000003"/>
    <n v="184093.29"/>
    <n v="10119.280000000001"/>
    <n v="0"/>
    <x v="2"/>
    <n v="1"/>
  </r>
  <r>
    <n v="37838"/>
    <n v="3200508"/>
    <x v="7"/>
    <n v="0.185"/>
    <n v="624807.17000000004"/>
    <n v="45893.32"/>
    <n v="670700.49"/>
    <n v="7500.72"/>
    <n v="62993.55"/>
    <n v="0.32300000000000001"/>
    <n v="19284.97"/>
    <n v="3622.18"/>
    <n v="0"/>
    <x v="2"/>
    <n v="1"/>
  </r>
  <r>
    <n v="37839"/>
    <n v="3200607"/>
    <x v="8"/>
    <n v="4.9909999999999997"/>
    <n v="16849663.41"/>
    <n v="1238125.94"/>
    <n v="18087789.350000001"/>
    <n v="202357.2"/>
    <n v="375158.95"/>
    <n v="2.5089999999999999"/>
    <n v="520277.24"/>
    <n v="27936.959999999999"/>
    <n v="0"/>
    <x v="2"/>
    <n v="1"/>
  </r>
  <r>
    <n v="37840"/>
    <n v="3200706"/>
    <x v="9"/>
    <n v="0.373"/>
    <n v="1257766.05"/>
    <n v="92530.43"/>
    <n v="1350296.48"/>
    <n v="15123.07"/>
    <n v="45161.31"/>
    <n v="0.45700000000000002"/>
    <n v="38882.67"/>
    <n v="5108.5200000000004"/>
    <n v="0"/>
    <x v="2"/>
    <n v="1"/>
  </r>
  <r>
    <n v="37841"/>
    <n v="3200805"/>
    <x v="10"/>
    <n v="0.64300000000000002"/>
    <n v="2170089.83"/>
    <n v="159509.94"/>
    <n v="2329599.77"/>
    <n v="26070.06"/>
    <n v="177598.53"/>
    <n v="0.996"/>
    <n v="67028.3"/>
    <n v="11166.82"/>
    <n v="0"/>
    <x v="2"/>
    <n v="1"/>
  </r>
  <r>
    <n v="37842"/>
    <n v="3200904"/>
    <x v="11"/>
    <n v="1.036"/>
    <n v="3483676.03"/>
    <n v="256999.27"/>
    <n v="3740675.3"/>
    <n v="42004.02"/>
    <n v="187655.41"/>
    <n v="1.321"/>
    <n v="107995.84"/>
    <n v="14790.58"/>
    <n v="0"/>
    <x v="2"/>
    <n v="1"/>
  </r>
  <r>
    <n v="37843"/>
    <n v="3107109"/>
    <x v="12"/>
    <n v="0.39900000000000002"/>
    <n v="1347018.82"/>
    <n v="98980.63"/>
    <n v="1445999.45"/>
    <n v="16177.22"/>
    <n v="33750.449999999997"/>
    <n v="0.56899999999999995"/>
    <n v="41592.99"/>
    <n v="6380.26"/>
    <n v="0"/>
    <x v="2"/>
    <n v="1"/>
  </r>
  <r>
    <n v="37844"/>
    <n v="3201100"/>
    <x v="13"/>
    <n v="0.17599999999999999"/>
    <n v="593139.69999999995"/>
    <n v="43660.39"/>
    <n v="636800.09"/>
    <n v="7135.82"/>
    <n v="199684.57"/>
    <n v="0.43"/>
    <n v="18346.78"/>
    <n v="4814.4799999999996"/>
    <n v="0"/>
    <x v="2"/>
    <n v="1"/>
  </r>
  <r>
    <n v="37845"/>
    <n v="3201159"/>
    <x v="14"/>
    <n v="0.42099999999999999"/>
    <n v="1421386.68"/>
    <n v="104438.23"/>
    <n v="1525824.91"/>
    <n v="17069.2"/>
    <n v="27045.7"/>
    <n v="0.46"/>
    <n v="43886.34"/>
    <n v="5152.71"/>
    <n v="0"/>
    <x v="2"/>
    <n v="1"/>
  </r>
  <r>
    <n v="37846"/>
    <n v="3201209"/>
    <x v="15"/>
    <n v="3.234"/>
    <n v="10897978.890000001"/>
    <n v="802259.54"/>
    <n v="11700238.43"/>
    <n v="131120.65"/>
    <n v="1019301.15"/>
    <n v="4.4820000000000002"/>
    <n v="337122.14"/>
    <n v="50148.15"/>
    <n v="0"/>
    <x v="2"/>
    <n v="1"/>
  </r>
  <r>
    <n v="37847"/>
    <n v="3201308"/>
    <x v="16"/>
    <n v="7.4969999999999999"/>
    <n v="25206111.27"/>
    <n v="1859771.01"/>
    <n v="27065882.280000001"/>
    <n v="303961.51"/>
    <n v="2032967.69"/>
    <n v="6.6040000000000001"/>
    <n v="781510.41"/>
    <n v="73930.820000000007"/>
    <n v="0"/>
    <x v="2"/>
    <n v="1"/>
  </r>
  <r>
    <n v="37848"/>
    <n v="3201407"/>
    <x v="17"/>
    <n v="0.96499999999999997"/>
    <n v="3252477.44"/>
    <n v="239388.03"/>
    <n v="3491865.47"/>
    <n v="39125.360000000001"/>
    <n v="337112"/>
    <n v="1.155"/>
    <n v="100594.58"/>
    <n v="12936.37"/>
    <n v="0"/>
    <x v="2"/>
    <n v="1"/>
  </r>
  <r>
    <n v="37849"/>
    <n v="3201506"/>
    <x v="18"/>
    <n v="2.1739999999999999"/>
    <n v="7334910.3099999996"/>
    <n v="539306.9"/>
    <n v="7874217.21"/>
    <n v="88143.57"/>
    <n v="549505.41"/>
    <n v="2.8220000000000001"/>
    <n v="226624.47"/>
    <n v="31584.12"/>
    <n v="0"/>
    <x v="2"/>
    <n v="1"/>
  </r>
  <r>
    <n v="37850"/>
    <n v="3201605"/>
    <x v="19"/>
    <n v="0.65200000000000002"/>
    <n v="2193643.5"/>
    <n v="161741.10999999999"/>
    <n v="2355384.61"/>
    <n v="26434.959999999999"/>
    <n v="85900.57"/>
    <n v="0.999"/>
    <n v="67966.490000000005"/>
    <n v="11186.16"/>
    <n v="0"/>
    <x v="2"/>
    <n v="1"/>
  </r>
  <r>
    <n v="37851"/>
    <n v="3201704"/>
    <x v="20"/>
    <n v="0.47499999999999998"/>
    <n v="1600573.12"/>
    <n v="117833.4"/>
    <n v="1718406.52"/>
    <n v="19258.599999999999"/>
    <n v="46820.160000000003"/>
    <n v="0.46500000000000002"/>
    <n v="49515.47"/>
    <n v="5204.71"/>
    <n v="0"/>
    <x v="2"/>
    <n v="1"/>
  </r>
  <r>
    <n v="37852"/>
    <n v="3201803"/>
    <x v="21"/>
    <n v="0.186"/>
    <n v="627688.31999999995"/>
    <n v="46141.29"/>
    <n v="673829.61"/>
    <n v="7541.26"/>
    <n v="13250.72"/>
    <n v="0.28299999999999997"/>
    <n v="19389.21"/>
    <n v="3171.58"/>
    <n v="0"/>
    <x v="2"/>
    <n v="1"/>
  </r>
  <r>
    <n v="37853"/>
    <n v="3201902"/>
    <x v="22"/>
    <n v="1.3140000000000001"/>
    <n v="4424622.1900000004"/>
    <n v="325963.75"/>
    <n v="4750585.9400000004"/>
    <n v="53275.37"/>
    <n v="155415.82999999999"/>
    <n v="1.0309999999999999"/>
    <n v="136975.41"/>
    <n v="11558.42"/>
    <n v="0"/>
    <x v="2"/>
    <n v="1"/>
  </r>
  <r>
    <n v="37854"/>
    <n v="3202009"/>
    <x v="23"/>
    <n v="0.26"/>
    <n v="875644.21"/>
    <n v="64498.18"/>
    <n v="940142.39"/>
    <n v="10541.55"/>
    <n v="40933.620000000003"/>
    <n v="0.314"/>
    <n v="27103.200000000001"/>
    <n v="3514.74"/>
    <n v="0"/>
    <x v="2"/>
    <n v="1"/>
  </r>
  <r>
    <n v="37855"/>
    <n v="3202108"/>
    <x v="24"/>
    <n v="0.69899999999999995"/>
    <n v="2357661.2400000002"/>
    <n v="173401.64"/>
    <n v="2531062.88"/>
    <n v="28340.55"/>
    <n v="49491.39"/>
    <n v="0.81599999999999995"/>
    <n v="72865.919999999998"/>
    <n v="9166.48"/>
    <n v="0"/>
    <x v="2"/>
    <n v="1"/>
  </r>
  <r>
    <n v="37856"/>
    <n v="3202207"/>
    <x v="25"/>
    <n v="0.313"/>
    <n v="1057194.81"/>
    <n v="77646.559999999998"/>
    <n v="1134841.3700000001"/>
    <n v="12690.4"/>
    <n v="60789.02"/>
    <n v="0.73399999999999999"/>
    <n v="32628.09"/>
    <n v="8182.88"/>
    <n v="0"/>
    <x v="2"/>
    <n v="1"/>
  </r>
  <r>
    <n v="37857"/>
    <n v="3202256"/>
    <x v="26"/>
    <n v="0.43"/>
    <n v="1451414.98"/>
    <n v="106670.78"/>
    <n v="1558085.76"/>
    <n v="17434.099999999999"/>
    <n v="31399.46"/>
    <n v="0.46700000000000003"/>
    <n v="44824.53"/>
    <n v="5214.8599999999997"/>
    <n v="0"/>
    <x v="2"/>
    <n v="1"/>
  </r>
  <r>
    <n v="37858"/>
    <n v="3202306"/>
    <x v="27"/>
    <n v="0.378"/>
    <n v="1276023.8799999999"/>
    <n v="93771.09"/>
    <n v="1369794.97"/>
    <n v="15325.79"/>
    <n v="165459.82"/>
    <n v="0.998"/>
    <n v="39403.89"/>
    <n v="11165.45"/>
    <n v="0"/>
    <x v="2"/>
    <n v="1"/>
  </r>
  <r>
    <n v="37859"/>
    <n v="3202405"/>
    <x v="28"/>
    <n v="0.90900000000000003"/>
    <n v="3066217.35"/>
    <n v="225496.63"/>
    <n v="3291713.98"/>
    <n v="36854.879999999997"/>
    <n v="1288738.21"/>
    <n v="2.8730000000000002"/>
    <n v="94756.96"/>
    <n v="32037.06"/>
    <n v="0"/>
    <x v="2"/>
    <n v="1"/>
  </r>
  <r>
    <n v="37860"/>
    <n v="3202454"/>
    <x v="29"/>
    <n v="0.35099999999999998"/>
    <n v="1184627.5900000001"/>
    <n v="87073.11"/>
    <n v="1271700.7"/>
    <n v="14231.09"/>
    <n v="86796.51"/>
    <n v="0.86499999999999999"/>
    <n v="36589.32"/>
    <n v="9659.2099999999991"/>
    <n v="0"/>
    <x v="2"/>
    <n v="1"/>
  </r>
  <r>
    <n v="37861"/>
    <n v="3202504"/>
    <x v="30"/>
    <n v="0.26700000000000002"/>
    <n v="901057.62"/>
    <n v="66235.070000000007"/>
    <n v="967292.69"/>
    <n v="10825.36"/>
    <n v="40256.21"/>
    <n v="0.46300000000000002"/>
    <n v="27832.9"/>
    <n v="5175.21"/>
    <n v="0"/>
    <x v="2"/>
    <n v="1"/>
  </r>
  <r>
    <n v="37862"/>
    <n v="3202553"/>
    <x v="31"/>
    <n v="0.248"/>
    <n v="836234.78"/>
    <n v="61521.55"/>
    <n v="897756.33"/>
    <n v="10055.02"/>
    <n v="19346.330000000002"/>
    <n v="0.33800000000000002"/>
    <n v="25852.29"/>
    <n v="3801.24"/>
    <n v="0"/>
    <x v="2"/>
    <n v="1"/>
  </r>
  <r>
    <n v="37863"/>
    <n v="3202603"/>
    <x v="32"/>
    <n v="0.34399999999999997"/>
    <n v="1162574.44"/>
    <n v="85336.91"/>
    <n v="1247911.3500000001"/>
    <n v="13947.28"/>
    <n v="122055.88"/>
    <n v="0.55600000000000005"/>
    <n v="35859.620000000003"/>
    <n v="6226.72"/>
    <n v="0"/>
    <x v="2"/>
    <n v="1"/>
  </r>
  <r>
    <n v="37864"/>
    <n v="3202652"/>
    <x v="33"/>
    <n v="0.308"/>
    <n v="1038936.99"/>
    <n v="76405.91"/>
    <n v="1115342.8999999999"/>
    <n v="12487.68"/>
    <n v="49302.59"/>
    <n v="0.55100000000000005"/>
    <n v="32106.87"/>
    <n v="5303.5"/>
    <n v="0"/>
    <x v="2"/>
    <n v="1"/>
  </r>
  <r>
    <n v="37865"/>
    <n v="3202702"/>
    <x v="34"/>
    <n v="0.35499999999999998"/>
    <n v="1199676.42"/>
    <n v="88065.72"/>
    <n v="1287742.1399999999"/>
    <n v="14393.27"/>
    <n v="33274.58"/>
    <n v="0.55500000000000005"/>
    <n v="37006.300000000003"/>
    <n v="6233.58"/>
    <n v="0"/>
    <x v="2"/>
    <n v="1"/>
  </r>
  <r>
    <n v="37866"/>
    <n v="3202801"/>
    <x v="35"/>
    <n v="2.262"/>
    <n v="7662542.0800000001"/>
    <n v="561143.87"/>
    <n v="8223685.9500000002"/>
    <n v="91711.48"/>
    <n v="201487.58"/>
    <n v="1.042"/>
    <n v="235797.86"/>
    <n v="11650.35"/>
    <n v="0"/>
    <x v="2"/>
    <n v="1"/>
  </r>
  <r>
    <n v="37867"/>
    <n v="3202900"/>
    <x v="36"/>
    <n v="0.34599999999999997"/>
    <n v="1166697.6000000001"/>
    <n v="85832.49"/>
    <n v="1252530.0900000001"/>
    <n v="14028.37"/>
    <n v="31635.26"/>
    <n v="0.435"/>
    <n v="36068.11"/>
    <n v="4887.47"/>
    <n v="0"/>
    <x v="2"/>
    <n v="1"/>
  </r>
  <r>
    <n v="37868"/>
    <n v="3203007"/>
    <x v="37"/>
    <n v="0.438"/>
    <n v="1480119.35"/>
    <n v="108655.71"/>
    <n v="1588775.06"/>
    <n v="17758.46"/>
    <n v="95819.12"/>
    <n v="0.89700000000000002"/>
    <n v="45658.47"/>
    <n v="10052.19"/>
    <n v="0"/>
    <x v="2"/>
    <n v="1"/>
  </r>
  <r>
    <n v="37869"/>
    <n v="3203056"/>
    <x v="38"/>
    <n v="0.8"/>
    <n v="2703651.95"/>
    <n v="198458.01"/>
    <n v="2902109.96"/>
    <n v="32435.54"/>
    <n v="81863.289999999994"/>
    <n v="1"/>
    <n v="83394.47"/>
    <n v="11154.05"/>
    <n v="0"/>
    <x v="2"/>
    <n v="1"/>
  </r>
  <r>
    <n v="37870"/>
    <n v="3203106"/>
    <x v="39"/>
    <n v="0.21199999999999999"/>
    <n v="715219.98"/>
    <n v="52591.09"/>
    <n v="767811.07"/>
    <n v="8595.42"/>
    <n v="23847.97"/>
    <n v="0.45800000000000002"/>
    <n v="22099.53"/>
    <n v="5130.4799999999996"/>
    <n v="0"/>
    <x v="2"/>
    <n v="1"/>
  </r>
  <r>
    <n v="37871"/>
    <n v="3203130"/>
    <x v="40"/>
    <n v="0.38600000000000001"/>
    <n v="1305301.94"/>
    <n v="95756.15"/>
    <n v="1401058.09"/>
    <n v="15650.15"/>
    <n v="46784.74"/>
    <n v="0.66600000000000004"/>
    <n v="40237.83"/>
    <n v="7465.81"/>
    <n v="0"/>
    <x v="2"/>
    <n v="1"/>
  </r>
  <r>
    <n v="37872"/>
    <n v="3203163"/>
    <x v="41"/>
    <n v="0.372"/>
    <n v="1255376.68"/>
    <n v="92282.559999999998"/>
    <n v="1347659.24"/>
    <n v="15082.52"/>
    <n v="41123.71"/>
    <n v="0.441"/>
    <n v="38778.43"/>
    <n v="4947.71"/>
    <n v="0"/>
    <x v="2"/>
    <n v="1"/>
  </r>
  <r>
    <n v="37873"/>
    <n v="3203205"/>
    <x v="42"/>
    <n v="5.4"/>
    <n v="18242622.969999999"/>
    <n v="1339589.9099999999"/>
    <n v="19582212.879999999"/>
    <n v="218939.86"/>
    <n v="724300.33"/>
    <n v="4.0880000000000001"/>
    <n v="562912.66"/>
    <n v="45496.53"/>
    <n v="0"/>
    <x v="2"/>
    <n v="1"/>
  </r>
  <r>
    <n v="37874"/>
    <n v="3203304"/>
    <x v="43"/>
    <n v="0.216"/>
    <n v="731744.02"/>
    <n v="53584.04"/>
    <n v="785328.06"/>
    <n v="8757.59"/>
    <n v="39739.01"/>
    <n v="0.57599999999999996"/>
    <n v="22516.51"/>
    <n v="6436.65"/>
    <n v="0"/>
    <x v="2"/>
    <n v="1"/>
  </r>
  <r>
    <n v="37875"/>
    <n v="3203320"/>
    <x v="44"/>
    <n v="0.60899999999999999"/>
    <n v="2054755.37"/>
    <n v="151075.42000000001"/>
    <n v="2205830.79"/>
    <n v="24691.55"/>
    <n v="281504.18"/>
    <n v="1.171"/>
    <n v="63484.04"/>
    <n v="13092.24"/>
    <n v="0"/>
    <x v="2"/>
    <n v="1"/>
  </r>
  <r>
    <n v="37876"/>
    <n v="3203346"/>
    <x v="45"/>
    <n v="0.64500000000000002"/>
    <n v="2176507.79"/>
    <n v="160006.01"/>
    <n v="2336513.7999999998"/>
    <n v="26151.15"/>
    <n v="84819.12"/>
    <n v="0.67100000000000004"/>
    <n v="67236.789999999994"/>
    <n v="6631.09"/>
    <n v="0"/>
    <x v="2"/>
    <n v="1"/>
  </r>
  <r>
    <n v="37877"/>
    <n v="3203353"/>
    <x v="46"/>
    <n v="0.45200000000000001"/>
    <n v="1523406.09"/>
    <n v="112127.87"/>
    <n v="1635533.96"/>
    <n v="18326.080000000002"/>
    <n v="67122.39"/>
    <n v="0.46700000000000003"/>
    <n v="47117.87"/>
    <n v="5226.25"/>
    <n v="0"/>
    <x v="2"/>
    <n v="1"/>
  </r>
  <r>
    <n v="37878"/>
    <n v="3203403"/>
    <x v="47"/>
    <n v="0.51400000000000001"/>
    <n v="1732526.24"/>
    <n v="127508.27"/>
    <n v="1860034.51"/>
    <n v="20839.830000000002"/>
    <n v="99037.73"/>
    <n v="0.85599999999999998"/>
    <n v="53580.95"/>
    <n v="9616.5400000000009"/>
    <n v="0"/>
    <x v="2"/>
    <n v="1"/>
  </r>
  <r>
    <n v="37879"/>
    <n v="3203502"/>
    <x v="48"/>
    <n v="0.53600000000000003"/>
    <n v="1806976.03"/>
    <n v="132965.89000000001"/>
    <n v="1939941.92"/>
    <n v="21731.81"/>
    <n v="79180.73"/>
    <n v="0.69299999999999995"/>
    <n v="55874.29"/>
    <n v="7763.84"/>
    <n v="0"/>
    <x v="2"/>
    <n v="1"/>
  </r>
  <r>
    <n v="37880"/>
    <n v="3203601"/>
    <x v="49"/>
    <n v="0.27800000000000002"/>
    <n v="938569.39"/>
    <n v="68963.929999999993"/>
    <n v="1007533.32"/>
    <n v="11271.35"/>
    <n v="17671.66"/>
    <n v="0.29799999999999999"/>
    <n v="28979.58"/>
    <n v="3339.8"/>
    <n v="0"/>
    <x v="2"/>
    <n v="1"/>
  </r>
  <r>
    <n v="37881"/>
    <n v="3203700"/>
    <x v="50"/>
    <n v="0.55000000000000004"/>
    <n v="1851737.98"/>
    <n v="136438.32"/>
    <n v="1988176.3"/>
    <n v="22299.43"/>
    <n v="47528.01"/>
    <n v="0.67100000000000004"/>
    <n v="57333.7"/>
    <n v="7547.73"/>
    <n v="0"/>
    <x v="2"/>
    <n v="1"/>
  </r>
  <r>
    <n v="37882"/>
    <n v="3203809"/>
    <x v="51"/>
    <n v="0.29599999999999999"/>
    <n v="998052.34"/>
    <n v="73428.95"/>
    <n v="1071481.29"/>
    <n v="12001.15"/>
    <n v="44209.3"/>
    <n v="0.57499999999999996"/>
    <n v="30855.95"/>
    <n v="6439.81"/>
    <n v="0"/>
    <x v="2"/>
    <n v="1"/>
  </r>
  <r>
    <n v="37883"/>
    <n v="3203908"/>
    <x v="52"/>
    <n v="1.268"/>
    <n v="4273648.3499999996"/>
    <n v="314553.38"/>
    <n v="4588201.7300000004"/>
    <n v="51410.32"/>
    <n v="187304.21"/>
    <n v="1.4650000000000001"/>
    <n v="132180.23000000001"/>
    <n v="16400.96"/>
    <n v="0"/>
    <x v="2"/>
    <n v="1"/>
  </r>
  <r>
    <n v="37884"/>
    <n v="3204005"/>
    <x v="53"/>
    <n v="0.47099999999999997"/>
    <n v="1589212.38"/>
    <n v="116841.60000000001"/>
    <n v="1706053.98"/>
    <n v="19096.419999999998"/>
    <n v="33555.43"/>
    <n v="0.747"/>
    <n v="49098.49"/>
    <n v="8369.2199999999993"/>
    <n v="0"/>
    <x v="2"/>
    <n v="1"/>
  </r>
  <r>
    <n v="37885"/>
    <n v="3204054"/>
    <x v="54"/>
    <n v="0.313"/>
    <n v="1056621.1000000001"/>
    <n v="77646.44"/>
    <n v="1134267.54"/>
    <n v="12690.4"/>
    <n v="72064.08"/>
    <n v="0.86199999999999999"/>
    <n v="32628.09"/>
    <n v="9653.0300000000007"/>
    <n v="0"/>
    <x v="2"/>
    <n v="1"/>
  </r>
  <r>
    <n v="37886"/>
    <n v="3204104"/>
    <x v="55"/>
    <n v="0.72599999999999998"/>
    <n v="2443730.27"/>
    <n v="180098.48"/>
    <n v="2623828.75"/>
    <n v="29435.25"/>
    <n v="68053.789999999994"/>
    <n v="0.875"/>
    <n v="75680.479999999996"/>
    <n v="9782.84"/>
    <n v="0"/>
    <x v="2"/>
    <n v="1"/>
  </r>
  <r>
    <n v="37887"/>
    <n v="3204203"/>
    <x v="56"/>
    <n v="0.14599999999999999"/>
    <n v="493017.97"/>
    <n v="36218.49"/>
    <n v="529236.46"/>
    <n v="5919.49"/>
    <n v="171663.95"/>
    <n v="0.73399999999999999"/>
    <n v="15219.49"/>
    <n v="8197.2900000000009"/>
    <n v="0"/>
    <x v="2"/>
    <n v="1"/>
  </r>
  <r>
    <n v="37888"/>
    <n v="3204252"/>
    <x v="57"/>
    <n v="0.221"/>
    <n v="746149.82"/>
    <n v="54823.89"/>
    <n v="800973.71"/>
    <n v="8960.32"/>
    <n v="18580.73"/>
    <n v="0.32900000000000001"/>
    <n v="23037.72"/>
    <n v="3675.14"/>
    <n v="0"/>
    <x v="2"/>
    <n v="1"/>
  </r>
  <r>
    <n v="37889"/>
    <n v="1718402"/>
    <x v="58"/>
    <n v="0.33800000000000002"/>
    <n v="1139714.3500000001"/>
    <n v="83847.94"/>
    <n v="1223562.29"/>
    <n v="13704.01"/>
    <n v="151090.54999999999"/>
    <n v="0.45100000000000001"/>
    <n v="35234.160000000003"/>
    <n v="5047.1899999999996"/>
    <n v="0"/>
    <x v="2"/>
    <n v="1"/>
  </r>
  <r>
    <n v="37890"/>
    <n v="3204351"/>
    <x v="59"/>
    <n v="0.79700000000000004"/>
    <n v="2685911.19"/>
    <n v="197712.13"/>
    <n v="2883623.32"/>
    <n v="32313.9"/>
    <n v="46660.13"/>
    <n v="0.69799999999999995"/>
    <n v="83081.740000000005"/>
    <n v="7815.56"/>
    <n v="0"/>
    <x v="2"/>
    <n v="1"/>
  </r>
  <r>
    <n v="37891"/>
    <n v="3204401"/>
    <x v="60"/>
    <n v="0.27500000000000002"/>
    <n v="926729.55"/>
    <n v="68219.360000000001"/>
    <n v="994948.91"/>
    <n v="11149.72"/>
    <n v="42235.57"/>
    <n v="0.45"/>
    <n v="28666.85"/>
    <n v="5042.8"/>
    <n v="0"/>
    <x v="2"/>
    <n v="1"/>
  </r>
  <r>
    <n v="37892"/>
    <n v="3204500"/>
    <x v="61"/>
    <n v="0.53800000000000003"/>
    <n v="1811181.17"/>
    <n v="133461.48000000001"/>
    <n v="1944642.65"/>
    <n v="21812.9"/>
    <n v="31441.62"/>
    <n v="0.45600000000000002"/>
    <n v="56082.78"/>
    <n v="5121.1400000000003"/>
    <n v="0"/>
    <x v="2"/>
    <n v="1"/>
  </r>
  <r>
    <n v="37893"/>
    <n v="3204559"/>
    <x v="62"/>
    <n v="2.1160000000000001"/>
    <n v="7147723.4199999999"/>
    <n v="524920.63"/>
    <n v="7672644.0499999998"/>
    <n v="85791.99"/>
    <n v="379633.29"/>
    <n v="1.1990000000000001"/>
    <n v="220578.37"/>
    <n v="13384.78"/>
    <n v="0"/>
    <x v="2"/>
    <n v="1"/>
  </r>
  <r>
    <n v="37894"/>
    <n v="3204609"/>
    <x v="63"/>
    <n v="0.68799999999999994"/>
    <n v="2320805.15"/>
    <n v="170672.92"/>
    <n v="2491478.0699999998"/>
    <n v="27894.560000000001"/>
    <n v="106159.39"/>
    <n v="0.82899999999999996"/>
    <n v="71719.240000000005"/>
    <n v="9288.4599999999991"/>
    <n v="0"/>
    <x v="2"/>
    <n v="1"/>
  </r>
  <r>
    <n v="37895"/>
    <n v="3204658"/>
    <x v="64"/>
    <n v="0.42399999999999999"/>
    <n v="1432488.87"/>
    <n v="105182.65"/>
    <n v="1537671.52"/>
    <n v="17190.830000000002"/>
    <n v="17059.37"/>
    <n v="0.33700000000000002"/>
    <n v="44199.07"/>
    <n v="3777.64"/>
    <n v="0"/>
    <x v="2"/>
    <n v="1"/>
  </r>
  <r>
    <n v="37896"/>
    <n v="3204708"/>
    <x v="65"/>
    <n v="0.81499999999999995"/>
    <n v="2741869.96"/>
    <n v="202176.34"/>
    <n v="2944046.3"/>
    <n v="33043.699999999997"/>
    <n v="107946.41"/>
    <n v="1.169"/>
    <n v="84958.11"/>
    <n v="13042.71"/>
    <n v="0"/>
    <x v="2"/>
    <n v="1"/>
  </r>
  <r>
    <n v="37897"/>
    <n v="3204807"/>
    <x v="66"/>
    <n v="0.23"/>
    <n v="775030.76"/>
    <n v="57056.2"/>
    <n v="832086.96"/>
    <n v="9325.2199999999993"/>
    <n v="48544.62"/>
    <n v="0.436"/>
    <n v="23975.91"/>
    <n v="4894.6099999999997"/>
    <n v="0"/>
    <x v="2"/>
    <n v="1"/>
  </r>
  <r>
    <n v="37898"/>
    <n v="3204906"/>
    <x v="67"/>
    <n v="1.8839999999999999"/>
    <n v="6347752.2800000003"/>
    <n v="467364.35"/>
    <n v="6815116.6299999999"/>
    <n v="76385.69"/>
    <n v="505430.27"/>
    <n v="3.024"/>
    <n v="196393.97"/>
    <n v="33714.120000000003"/>
    <n v="0"/>
    <x v="2"/>
    <n v="1"/>
  </r>
  <r>
    <n v="37899"/>
    <n v="3204955"/>
    <x v="68"/>
    <n v="0.32600000000000001"/>
    <n v="1099731.24"/>
    <n v="80871.22"/>
    <n v="1180602.46"/>
    <n v="13217.48"/>
    <n v="48710.77"/>
    <n v="0.46100000000000002"/>
    <n v="33983.25"/>
    <n v="5164.09"/>
    <n v="0"/>
    <x v="2"/>
    <n v="1"/>
  </r>
  <r>
    <n v="37900"/>
    <n v="3205002"/>
    <x v="69"/>
    <n v="14.176"/>
    <n v="47723423.210000001"/>
    <n v="3516635.19"/>
    <n v="51240058.399999999"/>
    <n v="574757.68999999994"/>
    <n v="2137604.7200000002"/>
    <n v="8.4320000000000004"/>
    <n v="1477749.97"/>
    <n v="93596.45"/>
    <n v="0"/>
    <x v="2"/>
    <n v="1"/>
  </r>
  <r>
    <n v="37901"/>
    <n v="3205010"/>
    <x v="70"/>
    <n v="0.72199999999999998"/>
    <n v="2433844.7999999998"/>
    <n v="179106.99"/>
    <n v="2612951.79"/>
    <n v="29273.07"/>
    <n v="69173.460000000006"/>
    <n v="0.997"/>
    <n v="75263.509999999995"/>
    <n v="11104.8"/>
    <n v="0"/>
    <x v="2"/>
    <n v="1"/>
  </r>
  <r>
    <n v="37902"/>
    <n v="3205036"/>
    <x v="71"/>
    <n v="0.498"/>
    <n v="1677904.09"/>
    <n v="123538.98"/>
    <n v="1801443.07"/>
    <n v="20191.12"/>
    <n v="85874.72"/>
    <n v="0.72699999999999998"/>
    <n v="51913.06"/>
    <n v="8133.9"/>
    <n v="0"/>
    <x v="2"/>
    <n v="1"/>
  </r>
  <r>
    <n v="37903"/>
    <n v="3205069"/>
    <x v="72"/>
    <n v="0.75800000000000001"/>
    <n v="2553630.25"/>
    <n v="188037.2"/>
    <n v="2741667.45"/>
    <n v="30732.67"/>
    <n v="145317.49"/>
    <n v="0.85799999999999998"/>
    <n v="79016.259999999995"/>
    <n v="9565.76"/>
    <n v="0"/>
    <x v="2"/>
    <n v="1"/>
  </r>
  <r>
    <n v="37904"/>
    <n v="2112803"/>
    <x v="73"/>
    <n v="2.9929999999999999"/>
    <n v="10034458.789999999"/>
    <n v="742463.38"/>
    <n v="10776922.17"/>
    <n v="121349.45"/>
    <n v="272354.8"/>
    <n v="1.984"/>
    <n v="311999.55"/>
    <n v="22112.94"/>
    <n v="0"/>
    <x v="2"/>
    <n v="1"/>
  </r>
  <r>
    <n v="37905"/>
    <n v="3205150"/>
    <x v="74"/>
    <n v="0.32800000000000001"/>
    <n v="1106231.18"/>
    <n v="81367.27"/>
    <n v="1187598.45"/>
    <n v="13298.57"/>
    <n v="29610.82"/>
    <n v="0.34399999999999997"/>
    <n v="34191.730000000003"/>
    <n v="3854.07"/>
    <n v="0"/>
    <x v="2"/>
    <n v="1"/>
  </r>
  <r>
    <n v="37906"/>
    <n v="3205176"/>
    <x v="75"/>
    <n v="0.623"/>
    <n v="2100746.6800000002"/>
    <n v="154548.13"/>
    <n v="2255294.81"/>
    <n v="25259.17"/>
    <n v="61489.26"/>
    <n v="0.55600000000000005"/>
    <n v="64943.44"/>
    <n v="6240.44"/>
    <n v="0"/>
    <x v="2"/>
    <n v="1"/>
  </r>
  <r>
    <n v="37907"/>
    <n v="3205200"/>
    <x v="76"/>
    <n v="5.3819999999999997"/>
    <n v="18167322.210000001"/>
    <n v="1335121.45"/>
    <n v="19502443.66"/>
    <n v="218210.06"/>
    <n v="2885968.02"/>
    <n v="8.09"/>
    <n v="561036.28"/>
    <n v="90040.6"/>
    <n v="0"/>
    <x v="2"/>
    <n v="1"/>
  </r>
  <r>
    <n v="37908"/>
    <n v="3205309"/>
    <x v="77"/>
    <n v="14.535"/>
    <n v="49132387.979999997"/>
    <n v="3605735.71"/>
    <n v="52738123.689999998"/>
    <n v="589313.13"/>
    <n v="3348357.94"/>
    <n v="9.4969999999999999"/>
    <n v="1515173.23"/>
    <n v="105963.28"/>
    <n v="0"/>
    <x v="2"/>
    <n v="1"/>
  </r>
  <r>
    <n v="37909"/>
    <n v="3200102"/>
    <x v="0"/>
    <n v="0.79800000000000004"/>
    <n v="2076373.81"/>
    <n v="23916.99"/>
    <n v="2100290.7999999998"/>
    <n v="45580.01"/>
    <n v="85544.35"/>
    <n v="0.99299999999999999"/>
    <n v="49592.91"/>
    <n v="0"/>
    <n v="0"/>
    <x v="2"/>
    <n v="2"/>
  </r>
  <r>
    <n v="37910"/>
    <n v="3200169"/>
    <x v="1"/>
    <n v="0.29799999999999999"/>
    <n v="775391.19"/>
    <n v="8931.41"/>
    <n v="784322.6"/>
    <n v="17021.11"/>
    <n v="15477.22"/>
    <n v="0.443"/>
    <n v="18519.66"/>
    <n v="0"/>
    <n v="0"/>
    <x v="2"/>
    <n v="2"/>
  </r>
  <r>
    <n v="37911"/>
    <n v="3200136"/>
    <x v="2"/>
    <n v="0.42499999999999999"/>
    <n v="1105818.5900000001"/>
    <n v="12737.73"/>
    <n v="1118556.32"/>
    <n v="24275.07"/>
    <n v="15948.79"/>
    <n v="0.35"/>
    <n v="26412.26"/>
    <n v="0"/>
    <n v="0"/>
    <x v="2"/>
    <n v="2"/>
  </r>
  <r>
    <n v="37912"/>
    <n v="3200201"/>
    <x v="3"/>
    <n v="0.48399999999999999"/>
    <n v="1259383.0900000001"/>
    <n v="14506.03"/>
    <n v="1273889.1200000001"/>
    <n v="27645.02"/>
    <n v="71031.13"/>
    <n v="0.98699999999999999"/>
    <n v="30078.91"/>
    <n v="0"/>
    <n v="0"/>
    <x v="2"/>
    <n v="2"/>
  </r>
  <r>
    <n v="37913"/>
    <n v="3200300"/>
    <x v="4"/>
    <n v="0.48"/>
    <n v="1248963.1200000001"/>
    <n v="14386.13"/>
    <n v="1263349.25"/>
    <n v="27416.55"/>
    <n v="71918.69"/>
    <n v="0.56599999999999995"/>
    <n v="29830.32"/>
    <n v="0"/>
    <n v="0"/>
    <x v="2"/>
    <n v="2"/>
  </r>
  <r>
    <n v="37914"/>
    <n v="3200359"/>
    <x v="5"/>
    <n v="0.22900000000000001"/>
    <n v="595840.84"/>
    <n v="6863.42"/>
    <n v="602704.26"/>
    <n v="13079.98"/>
    <n v="8890.91"/>
    <n v="0.32900000000000001"/>
    <n v="14231.55"/>
    <n v="0"/>
    <n v="0"/>
    <x v="2"/>
    <n v="2"/>
  </r>
  <r>
    <n v="37915"/>
    <n v="3200409"/>
    <x v="6"/>
    <n v="2.5979999999999999"/>
    <n v="6759903.5300000003"/>
    <n v="77865.009999999995"/>
    <n v="6837768.54"/>
    <n v="148392.04999999999"/>
    <n v="104235.46"/>
    <n v="0.90700000000000003"/>
    <n v="161456.62"/>
    <n v="0"/>
    <n v="0"/>
    <x v="2"/>
    <n v="2"/>
  </r>
  <r>
    <n v="37916"/>
    <n v="3200508"/>
    <x v="7"/>
    <n v="0.19500000000000001"/>
    <n v="507377.85"/>
    <n v="5844.37"/>
    <n v="513222.22"/>
    <n v="11137.97"/>
    <n v="44325.5"/>
    <n v="0.32500000000000001"/>
    <n v="12118.57"/>
    <n v="0"/>
    <n v="0"/>
    <x v="2"/>
    <n v="2"/>
  </r>
  <r>
    <n v="37917"/>
    <n v="3200607"/>
    <x v="8"/>
    <n v="5.18"/>
    <n v="13476199.5"/>
    <n v="155250.48000000001"/>
    <n v="13631449.98"/>
    <n v="295870.21999999997"/>
    <n v="271019"/>
    <n v="2.5049999999999999"/>
    <n v="321918.89"/>
    <n v="0"/>
    <n v="0"/>
    <x v="2"/>
    <n v="2"/>
  </r>
  <r>
    <n v="37918"/>
    <n v="3200706"/>
    <x v="9"/>
    <n v="0.36899999999999999"/>
    <n v="960127.1"/>
    <n v="11059.34"/>
    <n v="971186.44"/>
    <n v="21076.47"/>
    <n v="22620.94"/>
    <n v="0.45800000000000002"/>
    <n v="22932.06"/>
    <n v="0"/>
    <n v="0"/>
    <x v="2"/>
    <n v="2"/>
  </r>
  <r>
    <n v="37919"/>
    <n v="3200805"/>
    <x v="10"/>
    <n v="0.65900000000000003"/>
    <n v="1714714.94"/>
    <n v="19750.990000000002"/>
    <n v="1734465.93"/>
    <n v="37640.629999999997"/>
    <n v="117347.08"/>
    <n v="1.0009999999999999"/>
    <n v="40954.550000000003"/>
    <n v="0"/>
    <n v="0"/>
    <x v="2"/>
    <n v="2"/>
  </r>
  <r>
    <n v="37920"/>
    <n v="3200904"/>
    <x v="11"/>
    <n v="0.90600000000000003"/>
    <n v="2357399.92"/>
    <n v="27153.87"/>
    <n v="2384553.79"/>
    <n v="51748.73"/>
    <n v="107447.13"/>
    <n v="1.3260000000000001"/>
    <n v="56304.73"/>
    <n v="0"/>
    <n v="0"/>
    <x v="2"/>
    <n v="2"/>
  </r>
  <r>
    <n v="37921"/>
    <n v="3107109"/>
    <x v="12"/>
    <n v="0.41399999999999998"/>
    <n v="1077194.17"/>
    <n v="12408.04"/>
    <n v="1089602.21"/>
    <n v="23646.77"/>
    <n v="26727.33"/>
    <n v="0.57199999999999995"/>
    <n v="25728.65"/>
    <n v="0"/>
    <n v="0"/>
    <x v="2"/>
    <n v="2"/>
  </r>
  <r>
    <n v="37922"/>
    <n v="3201100"/>
    <x v="13"/>
    <n v="0.17"/>
    <n v="442341.49"/>
    <n v="5095.1000000000004"/>
    <n v="447436.59"/>
    <n v="9710.0300000000007"/>
    <n v="135643.37"/>
    <n v="0.432"/>
    <n v="10564.91"/>
    <n v="0"/>
    <n v="0"/>
    <x v="2"/>
    <n v="2"/>
  </r>
  <r>
    <n v="37923"/>
    <n v="3201159"/>
    <x v="14"/>
    <n v="0.438"/>
    <n v="1139649.97"/>
    <n v="13127.35"/>
    <n v="1152777.32"/>
    <n v="25017.599999999999"/>
    <n v="29712.32"/>
    <n v="0.46200000000000002"/>
    <n v="27220.17"/>
    <n v="0"/>
    <n v="0"/>
    <x v="2"/>
    <n v="2"/>
  </r>
  <r>
    <n v="37924"/>
    <n v="3201209"/>
    <x v="15"/>
    <n v="3.1120000000000001"/>
    <n v="8097513.8899999997"/>
    <n v="93270.18"/>
    <n v="8190784.0700000003"/>
    <n v="177750.6"/>
    <n v="705421.23"/>
    <n v="4.4960000000000004"/>
    <n v="193399.92"/>
    <n v="0"/>
    <n v="0"/>
    <x v="2"/>
    <n v="2"/>
  </r>
  <r>
    <n v="37925"/>
    <n v="3201308"/>
    <x v="16"/>
    <n v="6.5140000000000002"/>
    <n v="16948523.539999999"/>
    <n v="195231.96"/>
    <n v="17143755.5"/>
    <n v="372065.37"/>
    <n v="1798570.37"/>
    <n v="6.6289999999999996"/>
    <n v="404822.33"/>
    <n v="0"/>
    <n v="0"/>
    <x v="2"/>
    <n v="2"/>
  </r>
  <r>
    <n v="37926"/>
    <n v="3201407"/>
    <x v="17"/>
    <n v="0.93600000000000005"/>
    <n v="2435419.5299999998"/>
    <n v="28052.97"/>
    <n v="2463472.5"/>
    <n v="53462.26"/>
    <n v="181303.99"/>
    <n v="1.1599999999999999"/>
    <n v="58169.13"/>
    <n v="0"/>
    <n v="0"/>
    <x v="2"/>
    <n v="2"/>
  </r>
  <r>
    <n v="37927"/>
    <n v="3201506"/>
    <x v="18"/>
    <n v="2.2010000000000001"/>
    <n v="5726931.2000000002"/>
    <n v="65966.460000000006"/>
    <n v="5792897.6600000001"/>
    <n v="125716.28"/>
    <n v="420068.95"/>
    <n v="2.8319999999999999"/>
    <n v="136784.45000000001"/>
    <n v="0"/>
    <n v="0"/>
    <x v="2"/>
    <n v="2"/>
  </r>
  <r>
    <n v="37928"/>
    <n v="3201605"/>
    <x v="19"/>
    <n v="0.58499999999999996"/>
    <n v="1522104"/>
    <n v="17533.11"/>
    <n v="1539637.11"/>
    <n v="33413.910000000003"/>
    <n v="35733.21"/>
    <n v="1.0029999999999999"/>
    <n v="36355.699999999997"/>
    <n v="0"/>
    <n v="0"/>
    <x v="2"/>
    <n v="2"/>
  </r>
  <r>
    <n v="37929"/>
    <n v="3201704"/>
    <x v="20"/>
    <n v="0.45600000000000002"/>
    <n v="1186486.95"/>
    <n v="13666.84"/>
    <n v="1200153.79"/>
    <n v="26045.72"/>
    <n v="30723.88"/>
    <n v="0.46700000000000003"/>
    <n v="28338.81"/>
    <n v="0"/>
    <n v="0"/>
    <x v="2"/>
    <n v="2"/>
  </r>
  <r>
    <n v="37930"/>
    <n v="3201803"/>
    <x v="21"/>
    <n v="0.19"/>
    <n v="494365.09"/>
    <n v="5694.52"/>
    <n v="500059.61"/>
    <n v="10852.38"/>
    <n v="13538.68"/>
    <n v="0.28399999999999997"/>
    <n v="11807.84"/>
    <n v="0"/>
    <n v="0"/>
    <x v="2"/>
    <n v="2"/>
  </r>
  <r>
    <n v="37931"/>
    <n v="3201902"/>
    <x v="22"/>
    <n v="1.224"/>
    <n v="3184837.12"/>
    <n v="36684.67"/>
    <n v="3221521.79"/>
    <n v="69912.19"/>
    <n v="114330.53"/>
    <n v="1.036"/>
    <n v="76067.320000000007"/>
    <n v="0"/>
    <n v="0"/>
    <x v="2"/>
    <n v="2"/>
  </r>
  <r>
    <n v="37932"/>
    <n v="3202009"/>
    <x v="23"/>
    <n v="0.24399999999999999"/>
    <n v="634880.17000000004"/>
    <n v="7312.96"/>
    <n v="642193.13"/>
    <n v="13936.74"/>
    <n v="30969.06"/>
    <n v="0.315"/>
    <n v="15163.75"/>
    <n v="0"/>
    <n v="0"/>
    <x v="2"/>
    <n v="2"/>
  </r>
  <r>
    <n v="37933"/>
    <n v="3202108"/>
    <x v="24"/>
    <n v="0.69899999999999995"/>
    <n v="1818780.48"/>
    <n v="20949.82"/>
    <n v="1839730.3"/>
    <n v="39925.339999999997"/>
    <n v="37272.69"/>
    <n v="0.82199999999999995"/>
    <n v="43440.41"/>
    <n v="0"/>
    <n v="0"/>
    <x v="2"/>
    <n v="2"/>
  </r>
  <r>
    <n v="37934"/>
    <n v="3202207"/>
    <x v="25"/>
    <n v="0.33100000000000002"/>
    <n v="861266.48"/>
    <n v="9920.44"/>
    <n v="871186.92"/>
    <n v="18905.990000000002"/>
    <n v="44092.12"/>
    <n v="0.73399999999999999"/>
    <n v="20570.490000000002"/>
    <n v="0"/>
    <n v="0"/>
    <x v="2"/>
    <n v="2"/>
  </r>
  <r>
    <n v="37935"/>
    <n v="3202256"/>
    <x v="26"/>
    <n v="0.443"/>
    <n v="1152647.44"/>
    <n v="13277.19"/>
    <n v="1165924.6299999999"/>
    <n v="25303.19"/>
    <n v="25600.13"/>
    <n v="0.46800000000000003"/>
    <n v="27530.9"/>
    <n v="0"/>
    <n v="0"/>
    <x v="2"/>
    <n v="2"/>
  </r>
  <r>
    <n v="37936"/>
    <n v="3202306"/>
    <x v="27"/>
    <n v="0.39100000000000001"/>
    <n v="1017385.12"/>
    <n v="11718.73"/>
    <n v="1029103.85"/>
    <n v="22333.06"/>
    <n v="128470.89"/>
    <n v="1.0009999999999999"/>
    <n v="24299.279999999999"/>
    <n v="0"/>
    <n v="0"/>
    <x v="2"/>
    <n v="2"/>
  </r>
  <r>
    <n v="37937"/>
    <n v="3202405"/>
    <x v="28"/>
    <n v="0.91200000000000003"/>
    <n v="2373056.36"/>
    <n v="27333.68"/>
    <n v="2400390.04"/>
    <n v="52091.44"/>
    <n v="866943.21"/>
    <n v="2.8730000000000002"/>
    <n v="56677.61"/>
    <n v="0"/>
    <n v="0"/>
    <x v="2"/>
    <n v="2"/>
  </r>
  <r>
    <n v="37938"/>
    <n v="3202454"/>
    <x v="29"/>
    <n v="0.36"/>
    <n v="936757.45"/>
    <n v="10789.61"/>
    <n v="947547.06"/>
    <n v="20562.41"/>
    <n v="60967.26"/>
    <n v="0.86599999999999999"/>
    <n v="22372.74"/>
    <n v="0"/>
    <n v="0"/>
    <x v="2"/>
    <n v="2"/>
  </r>
  <r>
    <n v="37939"/>
    <n v="3202504"/>
    <x v="30"/>
    <n v="0.27300000000000002"/>
    <n v="710315.12"/>
    <n v="8182.12"/>
    <n v="718497.24"/>
    <n v="15593.16"/>
    <n v="33174.559999999998"/>
    <n v="0.46400000000000002"/>
    <n v="16966"/>
    <n v="0"/>
    <n v="0"/>
    <x v="2"/>
    <n v="2"/>
  </r>
  <r>
    <n v="37940"/>
    <n v="3202553"/>
    <x v="31"/>
    <n v="0.245"/>
    <n v="637483.14"/>
    <n v="7342.93"/>
    <n v="644826.06999999995"/>
    <n v="13993.86"/>
    <n v="19180.16"/>
    <n v="0.34100000000000003"/>
    <n v="15225.89"/>
    <n v="0"/>
    <n v="0"/>
    <x v="2"/>
    <n v="2"/>
  </r>
  <r>
    <n v="37941"/>
    <n v="3202603"/>
    <x v="32"/>
    <n v="0.372"/>
    <n v="967960.4"/>
    <n v="11149.25"/>
    <n v="979109.65"/>
    <n v="21247.82"/>
    <n v="203461.61"/>
    <n v="0.55800000000000005"/>
    <n v="23118.5"/>
    <n v="0"/>
    <n v="0"/>
    <x v="2"/>
    <n v="2"/>
  </r>
  <r>
    <n v="37942"/>
    <n v="3202652"/>
    <x v="33"/>
    <n v="0.309"/>
    <n v="803978.97"/>
    <n v="9261.08"/>
    <n v="813240.05"/>
    <n v="17649.400000000001"/>
    <n v="34814.75"/>
    <n v="0.47599999999999998"/>
    <n v="19203.27"/>
    <n v="0"/>
    <n v="0"/>
    <x v="2"/>
    <n v="2"/>
  </r>
  <r>
    <n v="37943"/>
    <n v="3202702"/>
    <x v="34"/>
    <n v="0.38300000000000001"/>
    <n v="996544.11"/>
    <n v="11478.96"/>
    <n v="1008023.07"/>
    <n v="21876.12"/>
    <n v="23856.93"/>
    <n v="0.55900000000000005"/>
    <n v="23802.11"/>
    <n v="0"/>
    <n v="0"/>
    <x v="2"/>
    <n v="2"/>
  </r>
  <r>
    <n v="37944"/>
    <n v="3202801"/>
    <x v="35"/>
    <n v="2.665"/>
    <n v="6934109.5300000003"/>
    <n v="79873.070000000007"/>
    <n v="7013982.5999999996"/>
    <n v="152218.94"/>
    <n v="116116.63"/>
    <n v="1.0449999999999999"/>
    <n v="165620.43"/>
    <n v="0"/>
    <n v="0"/>
    <x v="2"/>
    <n v="2"/>
  </r>
  <r>
    <n v="37945"/>
    <n v="3202900"/>
    <x v="36"/>
    <n v="0.34200000000000003"/>
    <n v="889868.53"/>
    <n v="10250.14"/>
    <n v="900118.67"/>
    <n v="19534.29"/>
    <n v="34142.68"/>
    <n v="0.438"/>
    <n v="21254.1"/>
    <n v="0"/>
    <n v="0"/>
    <x v="2"/>
    <n v="2"/>
  </r>
  <r>
    <n v="37946"/>
    <n v="3203007"/>
    <x v="37"/>
    <n v="0.47199999999999998"/>
    <n v="1228098.72"/>
    <n v="14146.37"/>
    <n v="1242245.0900000001"/>
    <n v="26959.599999999999"/>
    <n v="72610.94"/>
    <n v="0.90100000000000002"/>
    <n v="29333.15"/>
    <n v="0"/>
    <n v="0"/>
    <x v="2"/>
    <n v="2"/>
  </r>
  <r>
    <n v="37947"/>
    <n v="3203056"/>
    <x v="38"/>
    <n v="0.86499999999999999"/>
    <n v="2250661.2200000002"/>
    <n v="25925.02"/>
    <n v="2276586.2400000002"/>
    <n v="49406.9"/>
    <n v="61000.34"/>
    <n v="1"/>
    <n v="53756.73"/>
    <n v="0"/>
    <n v="0"/>
    <x v="2"/>
    <n v="2"/>
  </r>
  <r>
    <n v="37948"/>
    <n v="3203106"/>
    <x v="39"/>
    <n v="0.214"/>
    <n v="556826.97"/>
    <n v="6413.83"/>
    <n v="563240.80000000005"/>
    <n v="12223.21"/>
    <n v="23004.41"/>
    <n v="0.46"/>
    <n v="13299.35"/>
    <n v="0"/>
    <n v="0"/>
    <x v="2"/>
    <n v="2"/>
  </r>
  <r>
    <n v="37949"/>
    <n v="3203130"/>
    <x v="40"/>
    <n v="0.42699999999999999"/>
    <n v="1111037.74"/>
    <n v="12797.69"/>
    <n v="1123835.43"/>
    <n v="24389.3"/>
    <n v="42930.42"/>
    <n v="0.66900000000000004"/>
    <n v="26536.560000000001"/>
    <n v="0"/>
    <n v="0"/>
    <x v="2"/>
    <n v="2"/>
  </r>
  <r>
    <n v="37950"/>
    <n v="3203163"/>
    <x v="41"/>
    <n v="0.38"/>
    <n v="988747.44"/>
    <n v="11389.04"/>
    <n v="1000136.48"/>
    <n v="21704.76"/>
    <n v="47531.65"/>
    <n v="0.44400000000000001"/>
    <n v="23615.67"/>
    <n v="0"/>
    <n v="0"/>
    <x v="2"/>
    <n v="2"/>
  </r>
  <r>
    <n v="37951"/>
    <n v="3203205"/>
    <x v="42"/>
    <n v="5.7530000000000001"/>
    <n v="14969394.609999999"/>
    <n v="172423.93"/>
    <n v="15141818.539999999"/>
    <n v="328598.71999999997"/>
    <n v="517907.37"/>
    <n v="4.0789999999999997"/>
    <n v="357528.84"/>
    <n v="0"/>
    <n v="0"/>
    <x v="2"/>
    <n v="2"/>
  </r>
  <r>
    <n v="37952"/>
    <n v="3203304"/>
    <x v="43"/>
    <n v="0.255"/>
    <n v="663496.48"/>
    <n v="7642.63"/>
    <n v="671139.11"/>
    <n v="14565.04"/>
    <n v="32466.81"/>
    <n v="0.57699999999999996"/>
    <n v="15847.36"/>
    <n v="0"/>
    <n v="0"/>
    <x v="2"/>
    <n v="2"/>
  </r>
  <r>
    <n v="37953"/>
    <n v="3203320"/>
    <x v="44"/>
    <n v="0.61699999999999999"/>
    <n v="1605395.68"/>
    <n v="18492.18"/>
    <n v="1623887.86"/>
    <n v="35241.68"/>
    <n v="187705.44"/>
    <n v="1.1739999999999999"/>
    <n v="38344.39"/>
    <n v="0"/>
    <n v="0"/>
    <x v="2"/>
    <n v="2"/>
  </r>
  <r>
    <n v="37954"/>
    <n v="3203346"/>
    <x v="45"/>
    <n v="0.65700000000000003"/>
    <n v="1709530.39"/>
    <n v="19691.05"/>
    <n v="1729221.44"/>
    <n v="37526.400000000001"/>
    <n v="52425.760000000002"/>
    <n v="0.59499999999999997"/>
    <n v="40830.25"/>
    <n v="0"/>
    <n v="0"/>
    <x v="2"/>
    <n v="2"/>
  </r>
  <r>
    <n v="37955"/>
    <n v="3203353"/>
    <x v="46"/>
    <n v="0.438"/>
    <n v="1139641.83"/>
    <n v="13127.35"/>
    <n v="1152769.18"/>
    <n v="25017.599999999999"/>
    <n v="58059.77"/>
    <n v="0.46899999999999997"/>
    <n v="27220.17"/>
    <n v="0"/>
    <n v="0"/>
    <x v="2"/>
    <n v="2"/>
  </r>
  <r>
    <n v="37956"/>
    <n v="3203403"/>
    <x v="47"/>
    <n v="0.5"/>
    <n v="1300986.72"/>
    <n v="14985.58"/>
    <n v="1315972.3"/>
    <n v="28558.9"/>
    <n v="77050.5"/>
    <n v="0.86199999999999999"/>
    <n v="31073.25"/>
    <n v="0"/>
    <n v="0"/>
    <x v="2"/>
    <n v="2"/>
  </r>
  <r>
    <n v="37957"/>
    <n v="3203502"/>
    <x v="48"/>
    <n v="0.52500000000000002"/>
    <n v="1366026.11"/>
    <n v="15734.85"/>
    <n v="1381760.96"/>
    <n v="29986.85"/>
    <n v="43027.72"/>
    <n v="0.69599999999999995"/>
    <n v="32626.91"/>
    <n v="0"/>
    <n v="0"/>
    <x v="2"/>
    <n v="2"/>
  </r>
  <r>
    <n v="37958"/>
    <n v="3203601"/>
    <x v="49"/>
    <n v="0.28899999999999998"/>
    <n v="751967.58"/>
    <n v="8661.65"/>
    <n v="760629.23"/>
    <n v="16507.04"/>
    <n v="13560.95"/>
    <n v="0.3"/>
    <n v="17960.34"/>
    <n v="0"/>
    <n v="0"/>
    <x v="2"/>
    <n v="2"/>
  </r>
  <r>
    <n v="37959"/>
    <n v="3203700"/>
    <x v="50"/>
    <n v="0.50900000000000001"/>
    <n v="1324395.01"/>
    <n v="15255.3"/>
    <n v="1339650.31"/>
    <n v="29072.959999999999"/>
    <n v="36417.4"/>
    <n v="0.67700000000000005"/>
    <n v="31632.57"/>
    <n v="0"/>
    <n v="0"/>
    <x v="2"/>
    <n v="2"/>
  </r>
  <r>
    <n v="37960"/>
    <n v="3203809"/>
    <x v="51"/>
    <n v="0.29199999999999998"/>
    <n v="759769.34"/>
    <n v="8751.59"/>
    <n v="768520.93"/>
    <n v="16678.400000000001"/>
    <n v="30413.98"/>
    <n v="0.57699999999999996"/>
    <n v="18146.78"/>
    <n v="0"/>
    <n v="0"/>
    <x v="2"/>
    <n v="2"/>
  </r>
  <r>
    <n v="37961"/>
    <n v="3203908"/>
    <x v="52"/>
    <n v="1.2290000000000001"/>
    <n v="3197779.65"/>
    <n v="36834.5"/>
    <n v="3234614.15"/>
    <n v="70197.78"/>
    <n v="124402.31"/>
    <n v="1.4710000000000001"/>
    <n v="76378.05"/>
    <n v="0"/>
    <n v="0"/>
    <x v="2"/>
    <n v="2"/>
  </r>
  <r>
    <n v="37962"/>
    <n v="3204005"/>
    <x v="53"/>
    <n v="0.47799999999999998"/>
    <n v="1243701.21"/>
    <n v="14326.21"/>
    <n v="1258027.42"/>
    <n v="27302.31"/>
    <n v="33363.72"/>
    <n v="0.75"/>
    <n v="29706.03"/>
    <n v="0"/>
    <n v="0"/>
    <x v="2"/>
    <n v="2"/>
  </r>
  <r>
    <n v="37963"/>
    <n v="3204054"/>
    <x v="54"/>
    <n v="0.32400000000000001"/>
    <n v="843019.3"/>
    <n v="9710.64"/>
    <n v="852729.94"/>
    <n v="18506.169999999998"/>
    <n v="58549.01"/>
    <n v="0.86499999999999999"/>
    <n v="20135.47"/>
    <n v="0"/>
    <n v="0"/>
    <x v="2"/>
    <n v="2"/>
  </r>
  <r>
    <n v="37964"/>
    <n v="3204104"/>
    <x v="55"/>
    <n v="0.66500000000000004"/>
    <n v="1730281.84"/>
    <n v="19930.8"/>
    <n v="1750212.64"/>
    <n v="37983.339999999997"/>
    <n v="39002.86"/>
    <n v="0.877"/>
    <n v="41327.42"/>
    <n v="0"/>
    <n v="0"/>
    <x v="2"/>
    <n v="2"/>
  </r>
  <r>
    <n v="37965"/>
    <n v="3204203"/>
    <x v="56"/>
    <n v="0.153"/>
    <n v="398241.78"/>
    <n v="4585.6000000000004"/>
    <n v="402827.38"/>
    <n v="8739.02"/>
    <n v="103987.69"/>
    <n v="0.73499999999999999"/>
    <n v="9508.42"/>
    <n v="0"/>
    <n v="0"/>
    <x v="2"/>
    <n v="2"/>
  </r>
  <r>
    <n v="37966"/>
    <n v="3204252"/>
    <x v="57"/>
    <n v="0.23"/>
    <n v="598440.76"/>
    <n v="6893.35"/>
    <n v="605334.11"/>
    <n v="13137.09"/>
    <n v="9678.08"/>
    <n v="0.33"/>
    <n v="14293.7"/>
    <n v="0"/>
    <n v="0"/>
    <x v="2"/>
    <n v="2"/>
  </r>
  <r>
    <n v="37967"/>
    <n v="1718402"/>
    <x v="58"/>
    <n v="0.33400000000000002"/>
    <n v="869048.9"/>
    <n v="10010.35"/>
    <n v="879059.25"/>
    <n v="19077.349999999999"/>
    <n v="83714.289999999994"/>
    <n v="0.45300000000000001"/>
    <n v="20756.93"/>
    <n v="0"/>
    <n v="0"/>
    <x v="2"/>
    <n v="2"/>
  </r>
  <r>
    <n v="37968"/>
    <n v="3204351"/>
    <x v="59"/>
    <n v="0.76900000000000002"/>
    <n v="2000940.86"/>
    <n v="23047.79"/>
    <n v="2023988.65"/>
    <n v="43923.59"/>
    <n v="51169.63"/>
    <n v="0.70099999999999996"/>
    <n v="47790.66"/>
    <n v="0"/>
    <n v="0"/>
    <x v="2"/>
    <n v="2"/>
  </r>
  <r>
    <n v="37969"/>
    <n v="3204401"/>
    <x v="60"/>
    <n v="0.26500000000000001"/>
    <n v="689512.84"/>
    <n v="7942.36"/>
    <n v="697455.2"/>
    <n v="15136.22"/>
    <n v="26756.14"/>
    <n v="0.45200000000000001"/>
    <n v="16468.82"/>
    <n v="0"/>
    <n v="0"/>
    <x v="2"/>
    <n v="2"/>
  </r>
  <r>
    <n v="37970"/>
    <n v="3204500"/>
    <x v="61"/>
    <n v="0.496"/>
    <n v="1290562.6299999999"/>
    <n v="14865.69"/>
    <n v="1305428.32"/>
    <n v="28330.43"/>
    <n v="26409.51"/>
    <n v="0.45900000000000002"/>
    <n v="30824.67"/>
    <n v="0"/>
    <n v="0"/>
    <x v="2"/>
    <n v="2"/>
  </r>
  <r>
    <n v="37971"/>
    <n v="3204559"/>
    <x v="62"/>
    <n v="2.246"/>
    <n v="5844013.5599999996"/>
    <n v="67315.179999999993"/>
    <n v="5911328.7400000002"/>
    <n v="128286.58"/>
    <n v="207736.1"/>
    <n v="1.2"/>
    <n v="139581.04999999999"/>
    <n v="0"/>
    <n v="0"/>
    <x v="2"/>
    <n v="2"/>
  </r>
  <r>
    <n v="37972"/>
    <n v="3204609"/>
    <x v="63"/>
    <n v="0.69099999999999995"/>
    <n v="1797943.53"/>
    <n v="20710.05"/>
    <n v="1818653.58"/>
    <n v="39468.400000000001"/>
    <n v="77297.3"/>
    <n v="0.83299999999999996"/>
    <n v="42943.23"/>
    <n v="0"/>
    <n v="0"/>
    <x v="2"/>
    <n v="2"/>
  </r>
  <r>
    <n v="37973"/>
    <n v="3204658"/>
    <x v="64"/>
    <n v="0.45300000000000001"/>
    <n v="1178713.71"/>
    <n v="13576.92"/>
    <n v="1192290.6299999999"/>
    <n v="25874.36"/>
    <n v="16523.43"/>
    <n v="0.33900000000000002"/>
    <n v="28152.37"/>
    <n v="0"/>
    <n v="0"/>
    <x v="2"/>
    <n v="2"/>
  </r>
  <r>
    <n v="37974"/>
    <n v="3204708"/>
    <x v="65"/>
    <n v="0.72899999999999998"/>
    <n v="1896789.9"/>
    <n v="21848.959999999999"/>
    <n v="1918638.86"/>
    <n v="41638.879999999997"/>
    <n v="72364.69"/>
    <n v="1.17"/>
    <n v="45304.800000000003"/>
    <n v="0"/>
    <n v="0"/>
    <x v="2"/>
    <n v="2"/>
  </r>
  <r>
    <n v="37975"/>
    <n v="3204807"/>
    <x v="66"/>
    <n v="0.221"/>
    <n v="575070.06999999995"/>
    <n v="6623.62"/>
    <n v="581693.68999999994"/>
    <n v="12623.03"/>
    <n v="35828.79"/>
    <n v="0.439"/>
    <n v="13734.38"/>
    <n v="0"/>
    <n v="0"/>
    <x v="2"/>
    <n v="2"/>
  </r>
  <r>
    <n v="37976"/>
    <n v="3204906"/>
    <x v="67"/>
    <n v="1.8009999999999999"/>
    <n v="4686241.59"/>
    <n v="53978.01"/>
    <n v="4740219.5999999996"/>
    <n v="102869.16"/>
    <n v="357162.09"/>
    <n v="3.0230000000000001"/>
    <n v="111925.85"/>
    <n v="0"/>
    <n v="0"/>
    <x v="2"/>
    <n v="2"/>
  </r>
  <r>
    <n v="37977"/>
    <n v="3204955"/>
    <x v="68"/>
    <n v="0.32800000000000001"/>
    <n v="853437.23"/>
    <n v="9830.51"/>
    <n v="863267.74"/>
    <n v="18734.64"/>
    <n v="23846.86"/>
    <n v="0.46300000000000002"/>
    <n v="20384.05"/>
    <n v="0"/>
    <n v="0"/>
    <x v="2"/>
    <n v="2"/>
  </r>
  <r>
    <n v="37978"/>
    <n v="3205002"/>
    <x v="69"/>
    <n v="13.067"/>
    <n v="34000669.289999999"/>
    <n v="391632.8"/>
    <n v="34392302.090000004"/>
    <n v="746358.33"/>
    <n v="1415794.5"/>
    <n v="8.3919999999999995"/>
    <n v="812068.36"/>
    <n v="0"/>
    <n v="0"/>
    <x v="2"/>
    <n v="2"/>
  </r>
  <r>
    <n v="37979"/>
    <n v="3205010"/>
    <x v="70"/>
    <n v="0.70499999999999996"/>
    <n v="1834376.83"/>
    <n v="21129.64"/>
    <n v="1855506.47"/>
    <n v="40268.050000000003"/>
    <n v="31012.06"/>
    <n v="0.996"/>
    <n v="43813.29"/>
    <n v="0"/>
    <n v="0"/>
    <x v="2"/>
    <n v="2"/>
  </r>
  <r>
    <n v="37980"/>
    <n v="3205036"/>
    <x v="71"/>
    <n v="0.47599999999999998"/>
    <n v="1238545.1299999999"/>
    <n v="14266.26"/>
    <n v="1252811.3899999999"/>
    <n v="27188.07"/>
    <n v="51647.15"/>
    <n v="0.72899999999999998"/>
    <n v="29581.74"/>
    <n v="0"/>
    <n v="0"/>
    <x v="2"/>
    <n v="2"/>
  </r>
  <r>
    <n v="37981"/>
    <n v="3205069"/>
    <x v="72"/>
    <n v="0.72099999999999997"/>
    <n v="1876008.94"/>
    <n v="21609.18"/>
    <n v="1897618.12"/>
    <n v="41181.94"/>
    <n v="141792.75"/>
    <n v="0.85799999999999998"/>
    <n v="44807.63"/>
    <n v="0"/>
    <n v="0"/>
    <x v="2"/>
    <n v="2"/>
  </r>
  <r>
    <n v="37982"/>
    <n v="2112803"/>
    <x v="73"/>
    <n v="2.2530000000000001"/>
    <n v="5861927.9199999999"/>
    <n v="67524.960000000006"/>
    <n v="5929452.8799999999"/>
    <n v="128686.41"/>
    <n v="528848.23"/>
    <n v="1.9830000000000001"/>
    <n v="140016.07"/>
    <n v="0"/>
    <n v="0"/>
    <x v="2"/>
    <n v="2"/>
  </r>
  <r>
    <n v="37983"/>
    <n v="3205150"/>
    <x v="74"/>
    <n v="0.32700000000000001"/>
    <n v="850837.33"/>
    <n v="9800.56"/>
    <n v="860637.89"/>
    <n v="18677.52"/>
    <n v="16210.73"/>
    <n v="0.34599999999999997"/>
    <n v="20321.91"/>
    <n v="0"/>
    <n v="0"/>
    <x v="2"/>
    <n v="2"/>
  </r>
  <r>
    <n v="37984"/>
    <n v="3205176"/>
    <x v="75"/>
    <n v="0.61599999999999999"/>
    <n v="1602769.32"/>
    <n v="18462.23"/>
    <n v="1621231.55"/>
    <n v="35184.57"/>
    <n v="39008.589999999997"/>
    <n v="0.56000000000000005"/>
    <n v="38282.25"/>
    <n v="0"/>
    <n v="0"/>
    <x v="2"/>
    <n v="2"/>
  </r>
  <r>
    <n v="37985"/>
    <n v="3205200"/>
    <x v="76"/>
    <n v="5.5570000000000004"/>
    <n v="14459503.34"/>
    <n v="166549.57999999999"/>
    <n v="14626052.92"/>
    <n v="317403.63"/>
    <n v="2021827.64"/>
    <n v="8.0730000000000004"/>
    <n v="345348.12"/>
    <n v="0"/>
    <n v="0"/>
    <x v="2"/>
    <n v="2"/>
  </r>
  <r>
    <n v="37986"/>
    <n v="3205309"/>
    <x v="77"/>
    <n v="15.843"/>
    <n v="41222039.5"/>
    <n v="474832.55"/>
    <n v="41696872.049999997"/>
    <n v="904917.35"/>
    <n v="3130938.13"/>
    <n v="9.5009999999999994"/>
    <n v="984587.04"/>
    <n v="0"/>
    <n v="0"/>
    <x v="2"/>
    <n v="2"/>
  </r>
  <r>
    <n v="37987"/>
    <n v="3200102"/>
    <x v="0"/>
    <n v="0.8"/>
    <n v="2526190.66"/>
    <n v="28657.56"/>
    <n v="2554848.2200000002"/>
    <n v="31206.14"/>
    <n v="70940.67"/>
    <n v="0.98499999999999999"/>
    <n v="80791.320000000007"/>
    <n v="0"/>
    <n v="0"/>
    <x v="2"/>
    <n v="2"/>
  </r>
  <r>
    <n v="37988"/>
    <n v="3200169"/>
    <x v="1"/>
    <n v="0.30099999999999999"/>
    <n v="950479.25"/>
    <n v="10782.41"/>
    <n v="961261.66"/>
    <n v="11741.31"/>
    <n v="20111.099999999999"/>
    <n v="0.439"/>
    <n v="30397.74"/>
    <n v="0"/>
    <n v="0"/>
    <x v="2"/>
    <n v="2"/>
  </r>
  <r>
    <n v="37989"/>
    <n v="3200136"/>
    <x v="2"/>
    <n v="0.41599999999999998"/>
    <n v="1313619.1499999999"/>
    <n v="14901.95"/>
    <n v="1328521.1000000001"/>
    <n v="16227.2"/>
    <n v="26126.34"/>
    <n v="0.34799999999999998"/>
    <n v="42011.48"/>
    <n v="0"/>
    <n v="0"/>
    <x v="2"/>
    <n v="2"/>
  </r>
  <r>
    <n v="37990"/>
    <n v="3200201"/>
    <x v="3"/>
    <n v="0.51"/>
    <n v="1610446.55"/>
    <n v="18269.21"/>
    <n v="1628715.76"/>
    <n v="19893.919999999998"/>
    <n v="90432.8"/>
    <n v="0.98"/>
    <n v="51504.46"/>
    <n v="0"/>
    <n v="0"/>
    <x v="2"/>
    <n v="2"/>
  </r>
  <r>
    <n v="37991"/>
    <n v="3200300"/>
    <x v="4"/>
    <n v="0.49"/>
    <n v="1547291.79"/>
    <n v="17552.740000000002"/>
    <n v="1564844.53"/>
    <n v="19113.759999999998"/>
    <n v="82189.33"/>
    <n v="0.56399999999999995"/>
    <n v="49484.69"/>
    <n v="0"/>
    <n v="0"/>
    <x v="2"/>
    <n v="2"/>
  </r>
  <r>
    <n v="37992"/>
    <n v="3200359"/>
    <x v="5"/>
    <n v="0.23100000000000001"/>
    <n v="729437.56"/>
    <n v="8274.8799999999992"/>
    <n v="737712.44"/>
    <n v="9010.77"/>
    <n v="19307.32"/>
    <n v="0.32700000000000001"/>
    <n v="23328.49"/>
    <n v="0"/>
    <n v="0"/>
    <x v="2"/>
    <n v="2"/>
  </r>
  <r>
    <n v="37993"/>
    <n v="3200409"/>
    <x v="6"/>
    <n v="1.766"/>
    <n v="5576565.9000000004"/>
    <n v="63261.53"/>
    <n v="5639827.4299999997"/>
    <n v="68887.56"/>
    <n v="122594.3"/>
    <n v="0.90800000000000003"/>
    <n v="178346.83"/>
    <n v="0"/>
    <n v="0"/>
    <x v="2"/>
    <n v="2"/>
  </r>
  <r>
    <n v="37994"/>
    <n v="3200508"/>
    <x v="7"/>
    <n v="0.185"/>
    <n v="584181.61"/>
    <n v="6627.06"/>
    <n v="590808.67000000004"/>
    <n v="7216.42"/>
    <n v="49161.74"/>
    <n v="0.32300000000000001"/>
    <n v="18682.990000000002"/>
    <n v="0"/>
    <n v="0"/>
    <x v="2"/>
    <n v="2"/>
  </r>
  <r>
    <n v="37995"/>
    <n v="3200607"/>
    <x v="8"/>
    <n v="4.9909999999999997"/>
    <n v="15760272.050000001"/>
    <n v="178787.28"/>
    <n v="15939059.33"/>
    <n v="194687.34"/>
    <n v="448438.42"/>
    <n v="2.5089999999999999"/>
    <n v="504036.83"/>
    <n v="0"/>
    <n v="0"/>
    <x v="2"/>
    <n v="2"/>
  </r>
  <r>
    <n v="37996"/>
    <n v="3200706"/>
    <x v="9"/>
    <n v="0.373"/>
    <n v="1177836.4099999999"/>
    <n v="13361.58"/>
    <n v="1191197.99"/>
    <n v="14549.87"/>
    <n v="49436.56"/>
    <n v="0.45700000000000002"/>
    <n v="37668.949999999997"/>
    <n v="0"/>
    <n v="0"/>
    <x v="2"/>
    <n v="2"/>
  </r>
  <r>
    <n v="37997"/>
    <n v="3200805"/>
    <x v="10"/>
    <n v="0.64300000000000002"/>
    <n v="2030425.77"/>
    <n v="23033.5"/>
    <n v="2053459.27"/>
    <n v="25081.94"/>
    <n v="173320.44"/>
    <n v="0.996"/>
    <n v="64936.02"/>
    <n v="0"/>
    <n v="0"/>
    <x v="2"/>
    <n v="2"/>
  </r>
  <r>
    <n v="37998"/>
    <n v="3200904"/>
    <x v="11"/>
    <n v="1.036"/>
    <n v="3271416.92"/>
    <n v="37111.54"/>
    <n v="3308528.46"/>
    <n v="40411.96"/>
    <n v="227171.82"/>
    <n v="1.321"/>
    <n v="104624.76"/>
    <n v="0"/>
    <n v="0"/>
    <x v="2"/>
    <n v="2"/>
  </r>
  <r>
    <n v="37999"/>
    <n v="3107109"/>
    <x v="12"/>
    <n v="0.39900000000000002"/>
    <n v="1259937.6100000001"/>
    <n v="14292.96"/>
    <n v="1274230.57"/>
    <n v="15564.06"/>
    <n v="47145.27"/>
    <n v="0.56899999999999995"/>
    <n v="40294.660000000003"/>
    <n v="0"/>
    <n v="0"/>
    <x v="2"/>
    <n v="2"/>
  </r>
  <r>
    <n v="38000"/>
    <n v="3201100"/>
    <x v="13"/>
    <n v="0.17599999999999999"/>
    <n v="555761.93000000005"/>
    <n v="6304.67"/>
    <n v="562066.6"/>
    <n v="6865.35"/>
    <n v="150739.26"/>
    <n v="0.43"/>
    <n v="17774.09"/>
    <n v="0"/>
    <n v="0"/>
    <x v="2"/>
    <n v="2"/>
  </r>
  <r>
    <n v="38001"/>
    <n v="3201159"/>
    <x v="14"/>
    <n v="0.42099999999999999"/>
    <n v="1329407.8400000001"/>
    <n v="15081.05"/>
    <n v="1344488.89"/>
    <n v="16422.23"/>
    <n v="26721.94"/>
    <n v="0.46"/>
    <n v="42516.43"/>
    <n v="0"/>
    <n v="0"/>
    <x v="2"/>
    <n v="2"/>
  </r>
  <r>
    <n v="38002"/>
    <n v="3201209"/>
    <x v="15"/>
    <n v="3.234"/>
    <n v="10212125.789999999"/>
    <n v="115848.13"/>
    <n v="10327973.92"/>
    <n v="126150.84"/>
    <n v="979405.66"/>
    <n v="4.4820000000000002"/>
    <n v="326598.90000000002"/>
    <n v="0"/>
    <n v="0"/>
    <x v="2"/>
    <n v="2"/>
  </r>
  <r>
    <n v="38003"/>
    <n v="3201308"/>
    <x v="16"/>
    <n v="7.4969999999999999"/>
    <n v="23673564.359999999"/>
    <n v="268557.02"/>
    <n v="23942121.379999999"/>
    <n v="292440.59000000003"/>
    <n v="1757588.31"/>
    <n v="6.6040000000000001"/>
    <n v="757115.63"/>
    <n v="0"/>
    <n v="0"/>
    <x v="2"/>
    <n v="2"/>
  </r>
  <r>
    <n v="38004"/>
    <n v="3201407"/>
    <x v="17"/>
    <n v="0.96499999999999997"/>
    <n v="3047217.48"/>
    <n v="34568.160000000003"/>
    <n v="3081785.64"/>
    <n v="37642.410000000003"/>
    <n v="294703.56"/>
    <n v="1.155"/>
    <n v="97454.52"/>
    <n v="0"/>
    <n v="0"/>
    <x v="2"/>
    <n v="2"/>
  </r>
  <r>
    <n v="38005"/>
    <n v="3201506"/>
    <x v="18"/>
    <n v="2.1739999999999999"/>
    <n v="6864923.1399999997"/>
    <n v="77876.88"/>
    <n v="6942800.0199999996"/>
    <n v="84802.7"/>
    <n v="512941.1"/>
    <n v="2.8220000000000001"/>
    <n v="219550.41"/>
    <n v="0"/>
    <n v="0"/>
    <x v="2"/>
    <n v="2"/>
  </r>
  <r>
    <n v="38006"/>
    <n v="3201605"/>
    <x v="19"/>
    <n v="0.65200000000000002"/>
    <n v="2058845.39"/>
    <n v="23355.89"/>
    <n v="2082201.28"/>
    <n v="25433.01"/>
    <n v="51040.800000000003"/>
    <n v="0.999"/>
    <n v="65844.92"/>
    <n v="0"/>
    <n v="0"/>
    <x v="2"/>
    <n v="2"/>
  </r>
  <r>
    <n v="38007"/>
    <n v="3201704"/>
    <x v="20"/>
    <n v="0.47499999999999998"/>
    <n v="1499925.71"/>
    <n v="17015.419999999998"/>
    <n v="1516941.13"/>
    <n v="18528.650000000001"/>
    <n v="46566"/>
    <n v="0.46500000000000002"/>
    <n v="47969.85"/>
    <n v="0"/>
    <n v="0"/>
    <x v="2"/>
    <n v="2"/>
  </r>
  <r>
    <n v="38008"/>
    <n v="3201803"/>
    <x v="21"/>
    <n v="0.186"/>
    <n v="587339.34"/>
    <n v="6662.89"/>
    <n v="594002.23"/>
    <n v="7255.43"/>
    <n v="11508.97"/>
    <n v="0.28299999999999997"/>
    <n v="18783.98"/>
    <n v="0"/>
    <n v="0"/>
    <x v="2"/>
    <n v="2"/>
  </r>
  <r>
    <n v="38009"/>
    <n v="3201902"/>
    <x v="22"/>
    <n v="1.3140000000000001"/>
    <n v="4149268.18"/>
    <n v="47070.03"/>
    <n v="4196338.21"/>
    <n v="51256.09"/>
    <n v="177385.45"/>
    <n v="1.0309999999999999"/>
    <n v="132699.74"/>
    <n v="0"/>
    <n v="0"/>
    <x v="2"/>
    <n v="2"/>
  </r>
  <r>
    <n v="38010"/>
    <n v="3202009"/>
    <x v="23"/>
    <n v="0.26"/>
    <n v="821011.96"/>
    <n v="9313.7099999999991"/>
    <n v="830325.67"/>
    <n v="10142"/>
    <n v="50465.06"/>
    <n v="0.314"/>
    <n v="26257.17"/>
    <n v="0"/>
    <n v="0"/>
    <x v="2"/>
    <n v="2"/>
  </r>
  <r>
    <n v="38011"/>
    <n v="3202108"/>
    <x v="24"/>
    <n v="0.69899999999999995"/>
    <n v="2207259.11"/>
    <n v="25039.54"/>
    <n v="2232298.65"/>
    <n v="27266.37"/>
    <n v="40436.86"/>
    <n v="0.81599999999999995"/>
    <n v="70591.41"/>
    <n v="0"/>
    <n v="0"/>
    <x v="2"/>
    <n v="2"/>
  </r>
  <r>
    <n v="38012"/>
    <n v="3202207"/>
    <x v="25"/>
    <n v="0.313"/>
    <n v="988372.1"/>
    <n v="11212.26"/>
    <n v="999584.36"/>
    <n v="12209.4"/>
    <n v="58382.07"/>
    <n v="0.73399999999999999"/>
    <n v="31609.599999999999"/>
    <n v="0"/>
    <n v="0"/>
    <x v="2"/>
    <n v="2"/>
  </r>
  <r>
    <n v="38013"/>
    <n v="3202256"/>
    <x v="26"/>
    <n v="0.43"/>
    <n v="1357827.48"/>
    <n v="15403.44"/>
    <n v="1373230.92"/>
    <n v="16773.3"/>
    <n v="37358.550000000003"/>
    <n v="0.46700000000000003"/>
    <n v="43425.33"/>
    <n v="0"/>
    <n v="0"/>
    <x v="2"/>
    <n v="2"/>
  </r>
  <r>
    <n v="38014"/>
    <n v="3202306"/>
    <x v="27"/>
    <n v="0.378"/>
    <n v="1193625.0900000001"/>
    <n v="13540.71"/>
    <n v="1207165.8"/>
    <n v="14744.9"/>
    <n v="140487.78"/>
    <n v="0.998"/>
    <n v="38173.9"/>
    <n v="0"/>
    <n v="0"/>
    <x v="2"/>
    <n v="2"/>
  </r>
  <r>
    <n v="38015"/>
    <n v="3202405"/>
    <x v="28"/>
    <n v="0.90900000000000003"/>
    <n v="2870384.15"/>
    <n v="32562.14"/>
    <n v="2902946.29"/>
    <n v="35457.980000000003"/>
    <n v="1089178.55"/>
    <n v="2.8730000000000002"/>
    <n v="91799.14"/>
    <n v="0"/>
    <n v="0"/>
    <x v="2"/>
    <n v="2"/>
  </r>
  <r>
    <n v="38016"/>
    <n v="3202454"/>
    <x v="29"/>
    <n v="0.35099999999999998"/>
    <n v="1108366.1599999999"/>
    <n v="12573.52"/>
    <n v="1120939.68"/>
    <n v="13691.7"/>
    <n v="76044.66"/>
    <n v="0.86499999999999999"/>
    <n v="35447.199999999997"/>
    <n v="0"/>
    <n v="0"/>
    <x v="2"/>
    <n v="2"/>
  </r>
  <r>
    <n v="38017"/>
    <n v="3202504"/>
    <x v="30"/>
    <n v="0.26700000000000002"/>
    <n v="843116.15"/>
    <n v="9564.4699999999993"/>
    <n v="852680.62"/>
    <n v="10415.049999999999"/>
    <n v="66410.720000000001"/>
    <n v="0.46300000000000002"/>
    <n v="26964.1"/>
    <n v="0"/>
    <n v="0"/>
    <x v="2"/>
    <n v="2"/>
  </r>
  <r>
    <n v="38018"/>
    <n v="3202553"/>
    <x v="31"/>
    <n v="0.248"/>
    <n v="783119.12"/>
    <n v="8883.83"/>
    <n v="792002.95"/>
    <n v="9673.9"/>
    <n v="26776.240000000002"/>
    <n v="0.33800000000000002"/>
    <n v="25045.31"/>
    <n v="0"/>
    <n v="0"/>
    <x v="2"/>
    <n v="2"/>
  </r>
  <r>
    <n v="38019"/>
    <n v="3202603"/>
    <x v="32"/>
    <n v="0.34399999999999997"/>
    <n v="1086261.99"/>
    <n v="12322.76"/>
    <n v="1098584.75"/>
    <n v="13418.64"/>
    <n v="302118.81"/>
    <n v="0.55600000000000005"/>
    <n v="34740.269999999997"/>
    <n v="0"/>
    <n v="0"/>
    <x v="2"/>
    <n v="2"/>
  </r>
  <r>
    <n v="38020"/>
    <n v="3202652"/>
    <x v="33"/>
    <n v="0.308"/>
    <n v="972583.42"/>
    <n v="11033.14"/>
    <n v="983616.56"/>
    <n v="12014.37"/>
    <n v="58117.9"/>
    <n v="0.55100000000000005"/>
    <n v="31104.65"/>
    <n v="0"/>
    <n v="0"/>
    <x v="2"/>
    <n v="2"/>
  </r>
  <r>
    <n v="38021"/>
    <n v="3202702"/>
    <x v="34"/>
    <n v="0.35499999999999998"/>
    <n v="1120997.1100000001"/>
    <n v="12716.78"/>
    <n v="1133713.8899999999"/>
    <n v="13847.73"/>
    <n v="31177.38"/>
    <n v="0.55500000000000005"/>
    <n v="35851.14"/>
    <n v="0"/>
    <n v="0"/>
    <x v="2"/>
    <n v="2"/>
  </r>
  <r>
    <n v="38022"/>
    <n v="3202801"/>
    <x v="35"/>
    <n v="2.262"/>
    <n v="7142804.1200000001"/>
    <n v="81029.210000000006"/>
    <n v="7223833.3300000001"/>
    <n v="88235.37"/>
    <n v="159261.37"/>
    <n v="1.042"/>
    <n v="228437.45"/>
    <n v="0"/>
    <n v="0"/>
    <x v="2"/>
    <n v="2"/>
  </r>
  <r>
    <n v="38023"/>
    <n v="3202900"/>
    <x v="36"/>
    <n v="0.34599999999999997"/>
    <n v="1092577.48"/>
    <n v="12394.38"/>
    <n v="1104971.8600000001"/>
    <n v="13496.66"/>
    <n v="39875.870000000003"/>
    <n v="0.435"/>
    <n v="34942.25"/>
    <n v="0"/>
    <n v="0"/>
    <x v="2"/>
    <n v="2"/>
  </r>
  <r>
    <n v="38024"/>
    <n v="3203007"/>
    <x v="37"/>
    <n v="0.438"/>
    <n v="1383089.4"/>
    <n v="15690.01"/>
    <n v="1398779.41"/>
    <n v="17085.36"/>
    <n v="93421.86"/>
    <n v="0.89700000000000002"/>
    <n v="44233.25"/>
    <n v="0"/>
    <n v="0"/>
    <x v="2"/>
    <n v="2"/>
  </r>
  <r>
    <n v="38025"/>
    <n v="3203056"/>
    <x v="38"/>
    <n v="0.8"/>
    <n v="2526190.66"/>
    <n v="28657.56"/>
    <n v="2554848.2200000002"/>
    <n v="31206.14"/>
    <n v="97887.78"/>
    <n v="1"/>
    <n v="80791.320000000007"/>
    <n v="0"/>
    <n v="0"/>
    <x v="2"/>
    <n v="2"/>
  </r>
  <r>
    <n v="38026"/>
    <n v="3203106"/>
    <x v="39"/>
    <n v="0.21199999999999999"/>
    <n v="669440.52"/>
    <n v="7594.25"/>
    <n v="677034.77"/>
    <n v="8269.6299999999992"/>
    <n v="25964.5"/>
    <n v="0.45800000000000002"/>
    <n v="21409.69"/>
    <n v="0"/>
    <n v="0"/>
    <x v="2"/>
    <n v="2"/>
  </r>
  <r>
    <n v="38027"/>
    <n v="3203130"/>
    <x v="40"/>
    <n v="0.38600000000000001"/>
    <n v="1218887"/>
    <n v="13827.26"/>
    <n v="1232714.26"/>
    <n v="15056.96"/>
    <n v="60858.95"/>
    <n v="0.66600000000000004"/>
    <n v="38981.81"/>
    <n v="0"/>
    <n v="0"/>
    <x v="2"/>
    <n v="2"/>
  </r>
  <r>
    <n v="38028"/>
    <n v="3203163"/>
    <x v="41"/>
    <n v="0.372"/>
    <n v="1174678.6399999999"/>
    <n v="13325.75"/>
    <n v="1188004.3899999999"/>
    <n v="14510.86"/>
    <n v="26356.67"/>
    <n v="0.441"/>
    <n v="37567.96"/>
    <n v="0"/>
    <n v="0"/>
    <x v="2"/>
    <n v="2"/>
  </r>
  <r>
    <n v="38029"/>
    <n v="3203205"/>
    <x v="42"/>
    <n v="5.4"/>
    <n v="17051787.039999999"/>
    <n v="193438.45"/>
    <n v="17245225.489999998"/>
    <n v="210641.48"/>
    <n v="774216.5"/>
    <n v="4.0880000000000001"/>
    <n v="545341.39"/>
    <n v="0"/>
    <n v="0"/>
    <x v="2"/>
    <n v="2"/>
  </r>
  <r>
    <n v="38030"/>
    <n v="3203304"/>
    <x v="43"/>
    <n v="0.216"/>
    <n v="682071.49"/>
    <n v="7737.54"/>
    <n v="689809.03"/>
    <n v="8425.66"/>
    <n v="38339.870000000003"/>
    <n v="0.57599999999999996"/>
    <n v="21813.65"/>
    <n v="0"/>
    <n v="0"/>
    <x v="2"/>
    <n v="2"/>
  </r>
  <r>
    <n v="38031"/>
    <n v="3203320"/>
    <x v="44"/>
    <n v="0.60899999999999999"/>
    <n v="1923062.65"/>
    <n v="21815.57"/>
    <n v="1944878.22"/>
    <n v="23755.68"/>
    <n v="240192.46"/>
    <n v="1.171"/>
    <n v="61502.39"/>
    <n v="0"/>
    <n v="0"/>
    <x v="2"/>
    <n v="2"/>
  </r>
  <r>
    <n v="38032"/>
    <n v="3203346"/>
    <x v="45"/>
    <n v="0.64500000000000002"/>
    <n v="2036741.25"/>
    <n v="23105.15"/>
    <n v="2059846.4"/>
    <n v="25159.95"/>
    <n v="69961.59"/>
    <n v="0.67100000000000004"/>
    <n v="65138"/>
    <n v="0"/>
    <n v="0"/>
    <x v="2"/>
    <n v="2"/>
  </r>
  <r>
    <n v="38033"/>
    <n v="3203353"/>
    <x v="46"/>
    <n v="0.45200000000000001"/>
    <n v="1427297.74"/>
    <n v="16191.5"/>
    <n v="1443489.24"/>
    <n v="17631.47"/>
    <n v="73736.179999999993"/>
    <n v="0.46700000000000003"/>
    <n v="45647.09"/>
    <n v="0"/>
    <n v="0"/>
    <x v="2"/>
    <n v="2"/>
  </r>
  <r>
    <n v="38034"/>
    <n v="3203403"/>
    <x v="47"/>
    <n v="0.51400000000000001"/>
    <n v="1623077.52"/>
    <n v="18412.46"/>
    <n v="1641489.98"/>
    <n v="20049.95"/>
    <n v="85356.75"/>
    <n v="0.85599999999999998"/>
    <n v="51908.42"/>
    <n v="0"/>
    <n v="0"/>
    <x v="2"/>
    <n v="2"/>
  </r>
  <r>
    <n v="38035"/>
    <n v="3203502"/>
    <x v="48"/>
    <n v="0.53600000000000003"/>
    <n v="1692547.74"/>
    <n v="19200.560000000001"/>
    <n v="1711748.3"/>
    <n v="20908.12"/>
    <n v="68117.06"/>
    <n v="0.69299999999999995"/>
    <n v="54130.19"/>
    <n v="0"/>
    <n v="0"/>
    <x v="2"/>
    <n v="2"/>
  </r>
  <r>
    <n v="38036"/>
    <n v="3203601"/>
    <x v="49"/>
    <n v="0.27800000000000002"/>
    <n v="877851.27"/>
    <n v="9958.48"/>
    <n v="887809.75"/>
    <n v="10844.14"/>
    <n v="11108.34"/>
    <n v="0.29799999999999999"/>
    <n v="28074.98"/>
    <n v="0"/>
    <n v="0"/>
    <x v="2"/>
    <n v="2"/>
  </r>
  <r>
    <n v="38037"/>
    <n v="3203700"/>
    <x v="50"/>
    <n v="0.55000000000000004"/>
    <n v="1736756.08"/>
    <n v="19702.05"/>
    <n v="1756458.13"/>
    <n v="21454.22"/>
    <n v="37659.08"/>
    <n v="0.67100000000000004"/>
    <n v="55544.03"/>
    <n v="0"/>
    <n v="0"/>
    <x v="2"/>
    <n v="2"/>
  </r>
  <r>
    <n v="38038"/>
    <n v="3203809"/>
    <x v="51"/>
    <n v="0.29599999999999999"/>
    <n v="934690.56"/>
    <n v="10603.3"/>
    <n v="945293.86"/>
    <n v="11546.27"/>
    <n v="42886.14"/>
    <n v="0.57499999999999996"/>
    <n v="29892.79"/>
    <n v="0"/>
    <n v="0"/>
    <x v="2"/>
    <n v="2"/>
  </r>
  <r>
    <n v="38039"/>
    <n v="3203908"/>
    <x v="52"/>
    <n v="1.268"/>
    <n v="4004012.23"/>
    <n v="45422.22"/>
    <n v="4049434.45"/>
    <n v="49461.74"/>
    <n v="174583.74"/>
    <n v="1.4650000000000001"/>
    <n v="128054.24"/>
    <n v="0"/>
    <n v="0"/>
    <x v="2"/>
    <n v="2"/>
  </r>
  <r>
    <n v="38040"/>
    <n v="3204005"/>
    <x v="53"/>
    <n v="0.47099999999999997"/>
    <n v="1487294.76"/>
    <n v="16872.150000000001"/>
    <n v="1504166.91"/>
    <n v="18372.62"/>
    <n v="32361.94"/>
    <n v="0.747"/>
    <n v="47565.89"/>
    <n v="0"/>
    <n v="0"/>
    <x v="2"/>
    <n v="2"/>
  </r>
  <r>
    <n v="38041"/>
    <n v="3204054"/>
    <x v="54"/>
    <n v="0.313"/>
    <n v="988372.1"/>
    <n v="11212.26"/>
    <n v="999584.36"/>
    <n v="12209.4"/>
    <n v="63202.49"/>
    <n v="0.86199999999999999"/>
    <n v="31609.599999999999"/>
    <n v="0"/>
    <n v="0"/>
    <x v="2"/>
    <n v="2"/>
  </r>
  <r>
    <n v="38042"/>
    <n v="3204104"/>
    <x v="55"/>
    <n v="0.72599999999999998"/>
    <n v="2292518.04"/>
    <n v="26006.71"/>
    <n v="2318524.75"/>
    <n v="28319.58"/>
    <n v="59369.98"/>
    <n v="0.875"/>
    <n v="73318.13"/>
    <n v="0"/>
    <n v="0"/>
    <x v="2"/>
    <n v="2"/>
  </r>
  <r>
    <n v="38043"/>
    <n v="3204203"/>
    <x v="56"/>
    <n v="0.14599999999999999"/>
    <n v="461029.8"/>
    <n v="5230.0200000000004"/>
    <n v="466259.82"/>
    <n v="5695.12"/>
    <n v="151886.70000000001"/>
    <n v="0.73399999999999999"/>
    <n v="14744.42"/>
    <n v="0"/>
    <n v="0"/>
    <x v="2"/>
    <n v="2"/>
  </r>
  <r>
    <n v="38044"/>
    <n v="3204252"/>
    <x v="57"/>
    <n v="0.221"/>
    <n v="697860.16"/>
    <n v="7916.67"/>
    <n v="705776.83"/>
    <n v="8620.7000000000007"/>
    <n v="16890.919999999998"/>
    <n v="0.32900000000000001"/>
    <n v="22318.6"/>
    <n v="0"/>
    <n v="0"/>
    <x v="2"/>
    <n v="2"/>
  </r>
  <r>
    <n v="38045"/>
    <n v="1718402"/>
    <x v="58"/>
    <n v="0.33800000000000002"/>
    <n v="1067315.57"/>
    <n v="12107.83"/>
    <n v="1079423.3999999999"/>
    <n v="13184.6"/>
    <n v="138285.82999999999"/>
    <n v="0.45100000000000001"/>
    <n v="34134.33"/>
    <n v="0"/>
    <n v="0"/>
    <x v="2"/>
    <n v="2"/>
  </r>
  <r>
    <n v="38046"/>
    <n v="3204351"/>
    <x v="59"/>
    <n v="0.79700000000000004"/>
    <n v="2516717.44"/>
    <n v="28550.07"/>
    <n v="2545267.5099999998"/>
    <n v="31089.119999999999"/>
    <n v="92366.76"/>
    <n v="0.69799999999999995"/>
    <n v="80488.350000000006"/>
    <n v="0"/>
    <n v="0"/>
    <x v="2"/>
    <n v="2"/>
  </r>
  <r>
    <n v="38047"/>
    <n v="3204401"/>
    <x v="60"/>
    <n v="0.27500000000000002"/>
    <n v="868378.04"/>
    <n v="9851.0300000000007"/>
    <n v="878229.07"/>
    <n v="10727.11"/>
    <n v="36133.25"/>
    <n v="0.45"/>
    <n v="27772.01"/>
    <n v="0"/>
    <n v="0"/>
    <x v="2"/>
    <n v="2"/>
  </r>
  <r>
    <n v="38048"/>
    <n v="3204500"/>
    <x v="61"/>
    <n v="0.53800000000000003"/>
    <n v="1698863.23"/>
    <n v="19272.21"/>
    <n v="1718135.44"/>
    <n v="20986.13"/>
    <n v="31165.63"/>
    <n v="0.45600000000000002"/>
    <n v="54332.17"/>
    <n v="0"/>
    <n v="0"/>
    <x v="2"/>
    <n v="2"/>
  </r>
  <r>
    <n v="38049"/>
    <n v="3204559"/>
    <x v="62"/>
    <n v="2.1160000000000001"/>
    <n v="6681774.3200000003"/>
    <n v="75799.19"/>
    <n v="6757573.5099999998"/>
    <n v="82540.25"/>
    <n v="311612.71999999997"/>
    <n v="1.1990000000000001"/>
    <n v="213693.03"/>
    <n v="0"/>
    <n v="0"/>
    <x v="2"/>
    <n v="2"/>
  </r>
  <r>
    <n v="38050"/>
    <n v="3204609"/>
    <x v="63"/>
    <n v="0.68799999999999994"/>
    <n v="2172523.9700000002"/>
    <n v="24645.5"/>
    <n v="2197169.4700000002"/>
    <n v="26837.279999999999"/>
    <n v="111559.41"/>
    <n v="0.82899999999999996"/>
    <n v="69480.53"/>
    <n v="0"/>
    <n v="0"/>
    <x v="2"/>
    <n v="2"/>
  </r>
  <r>
    <n v="38051"/>
    <n v="3204658"/>
    <x v="64"/>
    <n v="0.42399999999999999"/>
    <n v="1338881.05"/>
    <n v="15188.51"/>
    <n v="1354069.56"/>
    <n v="16539.259999999998"/>
    <n v="17451.77"/>
    <n v="0.33700000000000002"/>
    <n v="42819.4"/>
    <n v="0"/>
    <n v="0"/>
    <x v="2"/>
    <n v="2"/>
  </r>
  <r>
    <n v="38052"/>
    <n v="3204708"/>
    <x v="65"/>
    <n v="0.81499999999999995"/>
    <n v="2573556.7599999998"/>
    <n v="29194.87"/>
    <n v="2602751.63"/>
    <n v="31791.26"/>
    <n v="80985.039999999994"/>
    <n v="1.169"/>
    <n v="82306.16"/>
    <n v="0"/>
    <n v="0"/>
    <x v="2"/>
    <n v="2"/>
  </r>
  <r>
    <n v="38053"/>
    <n v="3204807"/>
    <x v="66"/>
    <n v="0.23"/>
    <n v="726279.82"/>
    <n v="8239.0499999999993"/>
    <n v="734518.87"/>
    <n v="8971.77"/>
    <n v="46066.16"/>
    <n v="0.436"/>
    <n v="23227.5"/>
    <n v="0"/>
    <n v="0"/>
    <x v="2"/>
    <n v="2"/>
  </r>
  <r>
    <n v="38054"/>
    <n v="3204906"/>
    <x v="67"/>
    <n v="1.8839999999999999"/>
    <n v="5949179.0199999996"/>
    <n v="67488.5"/>
    <n v="6016667.5199999996"/>
    <n v="73490.47"/>
    <n v="492311.36"/>
    <n v="3.024"/>
    <n v="190263.55"/>
    <n v="0"/>
    <n v="0"/>
    <x v="2"/>
    <n v="2"/>
  </r>
  <r>
    <n v="38055"/>
    <n v="3204955"/>
    <x v="68"/>
    <n v="0.32600000000000001"/>
    <n v="1029422.69"/>
    <n v="11677.94"/>
    <n v="1041100.63"/>
    <n v="12716.5"/>
    <n v="36740.65"/>
    <n v="0.46100000000000002"/>
    <n v="32922.46"/>
    <n v="0"/>
    <n v="0"/>
    <x v="2"/>
    <n v="2"/>
  </r>
  <r>
    <n v="38056"/>
    <n v="3205002"/>
    <x v="69"/>
    <n v="14.176"/>
    <n v="44764098.689999998"/>
    <n v="507811.71"/>
    <n v="45271910.399999999"/>
    <n v="552972.89"/>
    <n v="2236859.36"/>
    <n v="8.4320000000000004"/>
    <n v="1431622.14"/>
    <n v="0"/>
    <n v="0"/>
    <x v="2"/>
    <n v="2"/>
  </r>
  <r>
    <n v="38057"/>
    <n v="3205010"/>
    <x v="70"/>
    <n v="0.72199999999999998"/>
    <n v="2279887.0699999998"/>
    <n v="25863.43"/>
    <n v="2305750.5"/>
    <n v="28163.55"/>
    <n v="60436.69"/>
    <n v="0.997"/>
    <n v="72914.17"/>
    <n v="0"/>
    <n v="0"/>
    <x v="2"/>
    <n v="2"/>
  </r>
  <r>
    <n v="38058"/>
    <n v="3205036"/>
    <x v="71"/>
    <n v="0.498"/>
    <n v="1572553.69"/>
    <n v="17839.310000000001"/>
    <n v="1590393"/>
    <n v="19425.830000000002"/>
    <n v="93016.61"/>
    <n v="0.72699999999999998"/>
    <n v="50292.59"/>
    <n v="0"/>
    <n v="0"/>
    <x v="2"/>
    <n v="2"/>
  </r>
  <r>
    <n v="38059"/>
    <n v="3205069"/>
    <x v="72"/>
    <n v="0.75800000000000001"/>
    <n v="2393565.67"/>
    <n v="27153.05"/>
    <n v="2420718.7200000002"/>
    <n v="29567.82"/>
    <n v="163382.6"/>
    <n v="0.85799999999999998"/>
    <n v="76549.77"/>
    <n v="0"/>
    <n v="0"/>
    <x v="2"/>
    <n v="2"/>
  </r>
  <r>
    <n v="38060"/>
    <n v="2112803"/>
    <x v="73"/>
    <n v="2.9929999999999999"/>
    <n v="9451110.8599999994"/>
    <n v="107215.06"/>
    <n v="9558325.9199999999"/>
    <n v="116749.99"/>
    <n v="507193.19"/>
    <n v="1.984"/>
    <n v="302260.51"/>
    <n v="0"/>
    <n v="0"/>
    <x v="2"/>
    <n v="2"/>
  </r>
  <r>
    <n v="38061"/>
    <n v="3205150"/>
    <x v="74"/>
    <n v="0.32800000000000001"/>
    <n v="1035738.17"/>
    <n v="11749.6"/>
    <n v="1047487.77"/>
    <n v="12794.52"/>
    <n v="34919.360000000001"/>
    <n v="0.34399999999999997"/>
    <n v="33124.44"/>
    <n v="0"/>
    <n v="0"/>
    <x v="2"/>
    <n v="2"/>
  </r>
  <r>
    <n v="38062"/>
    <n v="3205176"/>
    <x v="75"/>
    <n v="0.623"/>
    <n v="1967270.97"/>
    <n v="22317.08"/>
    <n v="1989588.05"/>
    <n v="24301.79"/>
    <n v="52000.800000000003"/>
    <n v="0.55600000000000005"/>
    <n v="62916.24"/>
    <n v="0"/>
    <n v="0"/>
    <x v="2"/>
    <n v="2"/>
  </r>
  <r>
    <n v="38063"/>
    <n v="3205200"/>
    <x v="76"/>
    <n v="5.3819999999999997"/>
    <n v="16994947.75"/>
    <n v="192793.66"/>
    <n v="17187741.41"/>
    <n v="209939.34"/>
    <n v="2572536.8199999998"/>
    <n v="8.09"/>
    <n v="543523.57999999996"/>
    <n v="0"/>
    <n v="0"/>
    <x v="2"/>
    <n v="2"/>
  </r>
  <r>
    <n v="38064"/>
    <n v="3205309"/>
    <x v="77"/>
    <n v="14.535"/>
    <n v="45897726.630000003"/>
    <n v="520671.56"/>
    <n v="46418398.189999998"/>
    <n v="566976.65"/>
    <n v="3363535.69"/>
    <n v="9.4969999999999999"/>
    <n v="1467877.25"/>
    <n v="0"/>
    <n v="0"/>
    <x v="2"/>
    <n v="2"/>
  </r>
  <r>
    <n v="38065"/>
    <n v="3200102"/>
    <x v="0"/>
    <n v="0.8"/>
    <n v="2541089.11"/>
    <n v="289518.5"/>
    <n v="2830607.61"/>
    <n v="31746.06"/>
    <n v="188170.17"/>
    <n v="0.98499999999999999"/>
    <n v="88320.17"/>
    <n v="0"/>
    <n v="0"/>
    <x v="2"/>
    <n v="3"/>
  </r>
  <r>
    <n v="38066"/>
    <n v="3200169"/>
    <x v="1"/>
    <n v="0.30099999999999999"/>
    <n v="956084.78"/>
    <n v="108931.33"/>
    <n v="1065016.1100000001"/>
    <n v="11944.45"/>
    <n v="50498.86"/>
    <n v="0.439"/>
    <n v="33230.46"/>
    <n v="0"/>
    <n v="0"/>
    <x v="2"/>
    <n v="3"/>
  </r>
  <r>
    <n v="38067"/>
    <n v="3200136"/>
    <x v="2"/>
    <n v="0.41599999999999998"/>
    <n v="1321366.33"/>
    <n v="150549.63"/>
    <n v="1471915.96"/>
    <n v="16507.95"/>
    <n v="61074.57"/>
    <n v="0.34799999999999998"/>
    <n v="45926.49"/>
    <n v="0"/>
    <n v="0"/>
    <x v="2"/>
    <n v="3"/>
  </r>
  <r>
    <n v="38068"/>
    <n v="3200201"/>
    <x v="3"/>
    <n v="0.51"/>
    <n v="1619944.29"/>
    <n v="184568.05"/>
    <n v="1804512.34"/>
    <n v="20238.11"/>
    <n v="161198.71"/>
    <n v="0.98"/>
    <n v="56304.11"/>
    <n v="0"/>
    <n v="0"/>
    <x v="2"/>
    <n v="3"/>
  </r>
  <r>
    <n v="38069"/>
    <n v="3200300"/>
    <x v="4"/>
    <n v="0.49"/>
    <n v="1556417.06"/>
    <n v="177330.09"/>
    <n v="1733747.15"/>
    <n v="19444.46"/>
    <n v="237608.41"/>
    <n v="0.56399999999999995"/>
    <n v="54096.1"/>
    <n v="0"/>
    <n v="0"/>
    <x v="2"/>
    <n v="3"/>
  </r>
  <r>
    <n v="38070"/>
    <n v="3200359"/>
    <x v="5"/>
    <n v="0.23100000000000001"/>
    <n v="733739.49"/>
    <n v="83598.47"/>
    <n v="817337.96"/>
    <n v="9166.67"/>
    <n v="19862.05"/>
    <n v="0.32700000000000001"/>
    <n v="25502.45"/>
    <n v="0"/>
    <n v="0"/>
    <x v="2"/>
    <n v="3"/>
  </r>
  <r>
    <n v="38071"/>
    <n v="3200409"/>
    <x v="6"/>
    <n v="1.766"/>
    <n v="5609454.1600000001"/>
    <n v="639112.07999999996"/>
    <n v="6248566.2400000002"/>
    <n v="70079.42"/>
    <n v="285813.53999999998"/>
    <n v="0.90800000000000003"/>
    <n v="194966.78"/>
    <n v="0"/>
    <n v="0"/>
    <x v="2"/>
    <n v="3"/>
  </r>
  <r>
    <n v="38072"/>
    <n v="3200508"/>
    <x v="7"/>
    <n v="0.185"/>
    <n v="587626.84"/>
    <n v="66951.16"/>
    <n v="654578"/>
    <n v="7341.28"/>
    <n v="96394.44"/>
    <n v="0.32300000000000001"/>
    <n v="20424.04"/>
    <n v="0"/>
    <n v="0"/>
    <x v="2"/>
    <n v="3"/>
  </r>
  <r>
    <n v="38073"/>
    <n v="3200607"/>
    <x v="8"/>
    <n v="4.9909999999999997"/>
    <n v="15853219.619999999"/>
    <n v="1806233.54"/>
    <n v="17659453.16"/>
    <n v="198055.7"/>
    <n v="741272.29"/>
    <n v="2.5089999999999999"/>
    <n v="551007.47"/>
    <n v="0"/>
    <n v="0"/>
    <x v="2"/>
    <n v="3"/>
  </r>
  <r>
    <n v="38074"/>
    <n v="3200706"/>
    <x v="9"/>
    <n v="0.373"/>
    <n v="1184782.78"/>
    <n v="134987.98000000001"/>
    <n v="1319770.76"/>
    <n v="14801.6"/>
    <n v="60735.14"/>
    <n v="0.45700000000000002"/>
    <n v="41179.279999999999"/>
    <n v="0"/>
    <n v="0"/>
    <x v="2"/>
    <n v="3"/>
  </r>
  <r>
    <n v="38075"/>
    <n v="3200805"/>
    <x v="10"/>
    <n v="0.64300000000000002"/>
    <n v="2042400.38"/>
    <n v="232700.5"/>
    <n v="2275100.88"/>
    <n v="25515.89"/>
    <n v="380149.26"/>
    <n v="0.996"/>
    <n v="70987.34"/>
    <n v="0"/>
    <n v="0"/>
    <x v="2"/>
    <n v="3"/>
  </r>
  <r>
    <n v="38076"/>
    <n v="3200904"/>
    <x v="11"/>
    <n v="1.036"/>
    <n v="3290710.39"/>
    <n v="374926.46"/>
    <n v="3665636.85"/>
    <n v="41111.14"/>
    <n v="401211.59"/>
    <n v="1.321"/>
    <n v="114374.62"/>
    <n v="0"/>
    <n v="0"/>
    <x v="2"/>
    <n v="3"/>
  </r>
  <r>
    <n v="38077"/>
    <n v="3107109"/>
    <x v="12"/>
    <n v="0.39900000000000002"/>
    <n v="1267368.2"/>
    <n v="144397.35"/>
    <n v="1411765.55"/>
    <n v="15833.34"/>
    <n v="56711.38"/>
    <n v="0.56899999999999995"/>
    <n v="44049.68"/>
    <n v="0"/>
    <n v="0"/>
    <x v="2"/>
    <n v="3"/>
  </r>
  <r>
    <n v="38078"/>
    <n v="3201100"/>
    <x v="13"/>
    <n v="0.17599999999999999"/>
    <n v="559039.62"/>
    <n v="63694.07"/>
    <n v="622733.68999999994"/>
    <n v="6984.13"/>
    <n v="248605.5"/>
    <n v="0.43"/>
    <n v="19430.43"/>
    <n v="0"/>
    <n v="0"/>
    <x v="2"/>
    <n v="3"/>
  </r>
  <r>
    <n v="38079"/>
    <n v="3201159"/>
    <x v="14"/>
    <n v="0.42099999999999999"/>
    <n v="1337248.1299999999"/>
    <n v="152359.10999999999"/>
    <n v="1489607.24"/>
    <n v="16706.36"/>
    <n v="53902.81"/>
    <n v="0.46"/>
    <n v="46478.49"/>
    <n v="0"/>
    <n v="0"/>
    <x v="2"/>
    <n v="3"/>
  </r>
  <r>
    <n v="38080"/>
    <n v="3201209"/>
    <x v="15"/>
    <n v="3.234"/>
    <n v="10272352.699999999"/>
    <n v="1170378.53"/>
    <n v="11442731.23"/>
    <n v="128333.43"/>
    <n v="1711898.34"/>
    <n v="4.4820000000000002"/>
    <n v="357034.29"/>
    <n v="0"/>
    <n v="0"/>
    <x v="2"/>
    <n v="3"/>
  </r>
  <r>
    <n v="38081"/>
    <n v="3201308"/>
    <x v="16"/>
    <n v="7.4969999999999999"/>
    <n v="23813181.190000001"/>
    <n v="2713150.23"/>
    <n v="26526331.420000002"/>
    <n v="297500.21999999997"/>
    <n v="4127370.24"/>
    <n v="6.6040000000000001"/>
    <n v="827670.4"/>
    <n v="0"/>
    <n v="0"/>
    <x v="2"/>
    <n v="3"/>
  </r>
  <r>
    <n v="38082"/>
    <n v="3201407"/>
    <x v="17"/>
    <n v="0.96499999999999997"/>
    <n v="3065188.72"/>
    <n v="349231.69"/>
    <n v="3414420.41"/>
    <n v="38293.68"/>
    <n v="514633.88"/>
    <n v="1.155"/>
    <n v="106536.21"/>
    <n v="0"/>
    <n v="0"/>
    <x v="2"/>
    <n v="3"/>
  </r>
  <r>
    <n v="38083"/>
    <n v="3201506"/>
    <x v="18"/>
    <n v="2.1739999999999999"/>
    <n v="6905409.6500000004"/>
    <n v="786766.48"/>
    <n v="7692176.1299999999"/>
    <n v="86269.9"/>
    <n v="1172422.8500000001"/>
    <n v="2.8220000000000001"/>
    <n v="240010.06"/>
    <n v="0"/>
    <n v="0"/>
    <x v="2"/>
    <n v="3"/>
  </r>
  <r>
    <n v="38084"/>
    <n v="3201605"/>
    <x v="19"/>
    <n v="0.65200000000000002"/>
    <n v="2070987.6"/>
    <n v="235957.57"/>
    <n v="2306945.17"/>
    <n v="25873.03"/>
    <n v="99756.74"/>
    <n v="0.999"/>
    <n v="71980.94"/>
    <n v="0"/>
    <n v="0"/>
    <x v="2"/>
    <n v="3"/>
  </r>
  <r>
    <n v="38085"/>
    <n v="3201704"/>
    <x v="20"/>
    <n v="0.47499999999999998"/>
    <n v="1508771.65"/>
    <n v="171901.61"/>
    <n v="1680673.26"/>
    <n v="18849.22"/>
    <n v="94614.14"/>
    <n v="0.46500000000000002"/>
    <n v="52440.1"/>
    <n v="0"/>
    <n v="0"/>
    <x v="2"/>
    <n v="3"/>
  </r>
  <r>
    <n v="38086"/>
    <n v="3201803"/>
    <x v="21"/>
    <n v="0.186"/>
    <n v="590803.21"/>
    <n v="67313.039999999994"/>
    <n v="658116.25"/>
    <n v="7380.96"/>
    <n v="20660.32"/>
    <n v="0.28299999999999997"/>
    <n v="20534.439999999999"/>
    <n v="0"/>
    <n v="0"/>
    <x v="2"/>
    <n v="3"/>
  </r>
  <r>
    <n v="38087"/>
    <n v="3201902"/>
    <x v="22"/>
    <n v="1.3140000000000001"/>
    <n v="4173738.85"/>
    <n v="475534.15"/>
    <n v="4649273"/>
    <n v="52142.9"/>
    <n v="385728.12"/>
    <n v="1.0309999999999999"/>
    <n v="145065.88"/>
    <n v="0"/>
    <n v="0"/>
    <x v="2"/>
    <n v="3"/>
  </r>
  <r>
    <n v="38088"/>
    <n v="3202009"/>
    <x v="23"/>
    <n v="0.26"/>
    <n v="825853.96"/>
    <n v="94093.49"/>
    <n v="919947.45"/>
    <n v="10317.469999999999"/>
    <n v="102799"/>
    <n v="0.314"/>
    <n v="28704.05"/>
    <n v="0"/>
    <n v="0"/>
    <x v="2"/>
    <n v="3"/>
  </r>
  <r>
    <n v="38089"/>
    <n v="3202108"/>
    <x v="24"/>
    <n v="0.69899999999999995"/>
    <n v="2220276.59"/>
    <n v="252966.79"/>
    <n v="2473243.38"/>
    <n v="27738.12"/>
    <n v="97142.5"/>
    <n v="0.81599999999999995"/>
    <n v="77169.75"/>
    <n v="0"/>
    <n v="0"/>
    <x v="2"/>
    <n v="3"/>
  </r>
  <r>
    <n v="38090"/>
    <n v="3202207"/>
    <x v="25"/>
    <n v="0.313"/>
    <n v="994201.11"/>
    <n v="113274.13"/>
    <n v="1107475.24"/>
    <n v="12420.64"/>
    <n v="115735.25"/>
    <n v="0.73399999999999999"/>
    <n v="34555.26"/>
    <n v="0"/>
    <n v="0"/>
    <x v="2"/>
    <n v="3"/>
  </r>
  <r>
    <n v="38091"/>
    <n v="3202256"/>
    <x v="26"/>
    <n v="0.43"/>
    <n v="1365835.37"/>
    <n v="155616.18"/>
    <n v="1521451.55"/>
    <n v="17063.5"/>
    <n v="81072.77"/>
    <n v="0.46700000000000003"/>
    <n v="47472.09"/>
    <n v="0"/>
    <n v="0"/>
    <x v="2"/>
    <n v="3"/>
  </r>
  <r>
    <n v="38092"/>
    <n v="3202306"/>
    <x v="27"/>
    <n v="0.378"/>
    <n v="1200664.58"/>
    <n v="136797.48000000001"/>
    <n v="1337462.06"/>
    <n v="15000.01"/>
    <n v="262526.28999999998"/>
    <n v="0.998"/>
    <n v="41731.279999999999"/>
    <n v="0"/>
    <n v="0"/>
    <x v="2"/>
    <n v="3"/>
  </r>
  <r>
    <n v="38093"/>
    <n v="3202405"/>
    <x v="28"/>
    <n v="0.90900000000000003"/>
    <n v="2887312.5"/>
    <n v="328965.40000000002"/>
    <n v="3216277.9"/>
    <n v="36071.46"/>
    <n v="1842993.15"/>
    <n v="2.8730000000000002"/>
    <n v="100353.8"/>
    <n v="0"/>
    <n v="0"/>
    <x v="2"/>
    <n v="3"/>
  </r>
  <r>
    <n v="38094"/>
    <n v="3202454"/>
    <x v="29"/>
    <n v="0.35099999999999998"/>
    <n v="1114902.8500000001"/>
    <n v="127026.25"/>
    <n v="1241929.1000000001"/>
    <n v="13928.58"/>
    <n v="192687.93"/>
    <n v="0.86499999999999999"/>
    <n v="38750.47"/>
    <n v="0"/>
    <n v="0"/>
    <x v="2"/>
    <n v="3"/>
  </r>
  <r>
    <n v="38095"/>
    <n v="3202504"/>
    <x v="30"/>
    <n v="0.26700000000000002"/>
    <n v="848088.49"/>
    <n v="96626.79"/>
    <n v="944715.28"/>
    <n v="10595.25"/>
    <n v="100628.77"/>
    <n v="0.46300000000000002"/>
    <n v="29476.85"/>
    <n v="0"/>
    <n v="0"/>
    <x v="2"/>
    <n v="3"/>
  </r>
  <r>
    <n v="38096"/>
    <n v="3202553"/>
    <x v="31"/>
    <n v="0.248"/>
    <n v="787737.62"/>
    <n v="89750.720000000001"/>
    <n v="877488.34"/>
    <n v="9841.2800000000007"/>
    <n v="43823.99"/>
    <n v="0.33800000000000002"/>
    <n v="27379.25"/>
    <n v="0"/>
    <n v="0"/>
    <x v="2"/>
    <n v="3"/>
  </r>
  <r>
    <n v="38097"/>
    <n v="3202603"/>
    <x v="32"/>
    <n v="0.34399999999999997"/>
    <n v="1092668.3400000001"/>
    <n v="124492.96"/>
    <n v="1217161.3"/>
    <n v="13650.8"/>
    <n v="314750.46000000002"/>
    <n v="0.55600000000000005"/>
    <n v="37977.67"/>
    <n v="0"/>
    <n v="0"/>
    <x v="2"/>
    <n v="3"/>
  </r>
  <r>
    <n v="38098"/>
    <n v="3202652"/>
    <x v="33"/>
    <n v="0.308"/>
    <n v="978319.29"/>
    <n v="111464.63"/>
    <n v="1089783.92"/>
    <n v="12222.23"/>
    <n v="85227.31"/>
    <n v="0.55100000000000005"/>
    <n v="34003.269999999997"/>
    <n v="0"/>
    <n v="0"/>
    <x v="2"/>
    <n v="3"/>
  </r>
  <r>
    <n v="38099"/>
    <n v="3202702"/>
    <x v="34"/>
    <n v="0.35499999999999998"/>
    <n v="1127608.28"/>
    <n v="128473.83"/>
    <n v="1256082.1100000001"/>
    <n v="14087.31"/>
    <n v="52015.62"/>
    <n v="0.55500000000000005"/>
    <n v="39192.07"/>
    <n v="0"/>
    <n v="0"/>
    <x v="2"/>
    <n v="3"/>
  </r>
  <r>
    <n v="38100"/>
    <n v="3202801"/>
    <x v="35"/>
    <n v="2.262"/>
    <n v="7184929.3899999997"/>
    <n v="818613.57"/>
    <n v="8003542.96"/>
    <n v="89761.97"/>
    <n v="243918.03"/>
    <n v="1.042"/>
    <n v="249725.29"/>
    <n v="0"/>
    <n v="0"/>
    <x v="2"/>
    <n v="3"/>
  </r>
  <r>
    <n v="38101"/>
    <n v="3202900"/>
    <x v="36"/>
    <n v="0.34599999999999997"/>
    <n v="1099021.03"/>
    <n v="125216.73"/>
    <n v="1224237.76"/>
    <n v="13730.17"/>
    <n v="122345.91"/>
    <n v="0.435"/>
    <n v="38198.47"/>
    <n v="0"/>
    <n v="0"/>
    <x v="2"/>
    <n v="3"/>
  </r>
  <r>
    <n v="38102"/>
    <n v="3203007"/>
    <x v="37"/>
    <n v="0.438"/>
    <n v="1391246.27"/>
    <n v="158511.4"/>
    <n v="1549757.67"/>
    <n v="17380.97"/>
    <n v="171979.28"/>
    <n v="0.89700000000000002"/>
    <n v="48355.29"/>
    <n v="0"/>
    <n v="0"/>
    <x v="2"/>
    <n v="3"/>
  </r>
  <r>
    <n v="38103"/>
    <n v="3203056"/>
    <x v="38"/>
    <n v="0.8"/>
    <n v="2541089.11"/>
    <n v="289518.5"/>
    <n v="2830607.61"/>
    <n v="31746.06"/>
    <n v="195663.47"/>
    <n v="1"/>
    <n v="88320.17"/>
    <n v="0"/>
    <n v="0"/>
    <x v="2"/>
    <n v="3"/>
  </r>
  <r>
    <n v="38104"/>
    <n v="3203106"/>
    <x v="39"/>
    <n v="0.21199999999999999"/>
    <n v="673388.6"/>
    <n v="76722.41"/>
    <n v="750111.01"/>
    <n v="8412.7000000000007"/>
    <n v="47474.62"/>
    <n v="0.45800000000000002"/>
    <n v="23404.85"/>
    <n v="0"/>
    <n v="0"/>
    <x v="2"/>
    <n v="3"/>
  </r>
  <r>
    <n v="38105"/>
    <n v="3203130"/>
    <x v="40"/>
    <n v="0.38600000000000001"/>
    <n v="1226075.49"/>
    <n v="139692.67000000001"/>
    <n v="1365768.16"/>
    <n v="15317.47"/>
    <n v="137579.26"/>
    <n v="0.66600000000000004"/>
    <n v="42614.48"/>
    <n v="0"/>
    <n v="0"/>
    <x v="2"/>
    <n v="3"/>
  </r>
  <r>
    <n v="38106"/>
    <n v="3203163"/>
    <x v="41"/>
    <n v="0.372"/>
    <n v="1181606.44"/>
    <n v="134626.12"/>
    <n v="1316232.56"/>
    <n v="14761.92"/>
    <n v="87045.75"/>
    <n v="0.441"/>
    <n v="41068.879999999997"/>
    <n v="0"/>
    <n v="0"/>
    <x v="2"/>
    <n v="3"/>
  </r>
  <r>
    <n v="38107"/>
    <n v="3203205"/>
    <x v="42"/>
    <n v="5.4"/>
    <n v="17152351.420000002"/>
    <n v="1954249.82"/>
    <n v="19106601.239999998"/>
    <n v="214285.87"/>
    <n v="1415085.24"/>
    <n v="4.0880000000000001"/>
    <n v="596161.16"/>
    <n v="0"/>
    <n v="0"/>
    <x v="2"/>
    <n v="3"/>
  </r>
  <r>
    <n v="38108"/>
    <n v="3203304"/>
    <x v="43"/>
    <n v="0.216"/>
    <n v="686094.05"/>
    <n v="78170.009999999995"/>
    <n v="764264.06"/>
    <n v="8571.43"/>
    <n v="79031.66"/>
    <n v="0.57599999999999996"/>
    <n v="23846.45"/>
    <n v="0"/>
    <n v="0"/>
    <x v="2"/>
    <n v="3"/>
  </r>
  <r>
    <n v="38109"/>
    <n v="3203320"/>
    <x v="44"/>
    <n v="0.60899999999999999"/>
    <n v="1934404.06"/>
    <n v="220395.97"/>
    <n v="2154800.0299999998"/>
    <n v="24166.68"/>
    <n v="381083.09"/>
    <n v="1.171"/>
    <n v="67233.73"/>
    <n v="0"/>
    <n v="0"/>
    <x v="2"/>
    <n v="3"/>
  </r>
  <r>
    <n v="38110"/>
    <n v="3203346"/>
    <x v="45"/>
    <n v="0.64500000000000002"/>
    <n v="2048753.12"/>
    <n v="233424.3"/>
    <n v="2282177.42"/>
    <n v="25595.26"/>
    <n v="243523.67"/>
    <n v="0.67100000000000004"/>
    <n v="71208.13"/>
    <n v="0"/>
    <n v="0"/>
    <x v="2"/>
    <n v="3"/>
  </r>
  <r>
    <n v="38111"/>
    <n v="3203353"/>
    <x v="46"/>
    <n v="0.45200000000000001"/>
    <n v="1435715.33"/>
    <n v="163577.96"/>
    <n v="1599293.29"/>
    <n v="17936.52"/>
    <n v="186532.38"/>
    <n v="0.46700000000000003"/>
    <n v="49900.89"/>
    <n v="0"/>
    <n v="0"/>
    <x v="2"/>
    <n v="3"/>
  </r>
  <r>
    <n v="38112"/>
    <n v="3203403"/>
    <x v="47"/>
    <n v="0.51400000000000001"/>
    <n v="1632649.74"/>
    <n v="186015.63"/>
    <n v="1818665.37"/>
    <n v="20396.84"/>
    <n v="142111.56"/>
    <n v="0.85599999999999998"/>
    <n v="56745.71"/>
    <n v="0"/>
    <n v="0"/>
    <x v="2"/>
    <n v="3"/>
  </r>
  <r>
    <n v="38113"/>
    <n v="3203502"/>
    <x v="48"/>
    <n v="0.53600000000000003"/>
    <n v="1702529.7"/>
    <n v="193977.41"/>
    <n v="1896507.11"/>
    <n v="21269.86"/>
    <n v="102284.71"/>
    <n v="0.69299999999999995"/>
    <n v="59174.51"/>
    <n v="0"/>
    <n v="0"/>
    <x v="2"/>
    <n v="3"/>
  </r>
  <r>
    <n v="38114"/>
    <n v="3203601"/>
    <x v="49"/>
    <n v="0.27800000000000002"/>
    <n v="883028.46"/>
    <n v="100607.69"/>
    <n v="983636.15"/>
    <n v="11031.75"/>
    <n v="23394.33"/>
    <n v="0.29799999999999999"/>
    <n v="30691.25"/>
    <n v="0"/>
    <n v="0"/>
    <x v="2"/>
    <n v="3"/>
  </r>
  <r>
    <n v="38115"/>
    <n v="3203700"/>
    <x v="50"/>
    <n v="0.55000000000000004"/>
    <n v="1746998.76"/>
    <n v="199043.97"/>
    <n v="1946042.73"/>
    <n v="21825.41"/>
    <n v="82990.149999999994"/>
    <n v="0.67100000000000004"/>
    <n v="60720.12"/>
    <n v="0"/>
    <n v="0"/>
    <x v="2"/>
    <n v="3"/>
  </r>
  <r>
    <n v="38116"/>
    <n v="3203809"/>
    <x v="51"/>
    <n v="0.29599999999999999"/>
    <n v="940202.98"/>
    <n v="107121.84"/>
    <n v="1047324.82"/>
    <n v="11746.04"/>
    <n v="68572.2"/>
    <n v="0.57499999999999996"/>
    <n v="32678.47"/>
    <n v="0"/>
    <n v="0"/>
    <x v="2"/>
    <n v="3"/>
  </r>
  <r>
    <n v="38117"/>
    <n v="3203908"/>
    <x v="52"/>
    <n v="1.268"/>
    <n v="4027626.19"/>
    <n v="458886.84"/>
    <n v="4486513.03"/>
    <n v="50317.5"/>
    <n v="295198.18"/>
    <n v="1.4650000000000001"/>
    <n v="139987.47"/>
    <n v="0"/>
    <n v="0"/>
    <x v="2"/>
    <n v="3"/>
  </r>
  <r>
    <n v="38118"/>
    <n v="3204005"/>
    <x v="53"/>
    <n v="0.47099999999999997"/>
    <n v="1496066.21"/>
    <n v="170454.01"/>
    <n v="1666520.22"/>
    <n v="18690.490000000002"/>
    <n v="76147.91"/>
    <n v="0.747"/>
    <n v="51998.5"/>
    <n v="0"/>
    <n v="0"/>
    <x v="2"/>
    <n v="3"/>
  </r>
  <r>
    <n v="38119"/>
    <n v="3204054"/>
    <x v="54"/>
    <n v="0.313"/>
    <n v="994201.11"/>
    <n v="113274.13"/>
    <n v="1107475.24"/>
    <n v="12420.64"/>
    <n v="117843.91"/>
    <n v="0.86199999999999999"/>
    <n v="34555.26"/>
    <n v="0"/>
    <n v="0"/>
    <x v="2"/>
    <n v="3"/>
  </r>
  <r>
    <n v="38120"/>
    <n v="3204104"/>
    <x v="55"/>
    <n v="0.72599999999999998"/>
    <n v="2306038.35"/>
    <n v="262738.03000000003"/>
    <n v="2568776.38"/>
    <n v="28809.55"/>
    <n v="79306.87"/>
    <n v="0.875"/>
    <n v="80150.559999999998"/>
    <n v="0"/>
    <n v="0"/>
    <x v="2"/>
    <n v="3"/>
  </r>
  <r>
    <n v="38121"/>
    <n v="3204203"/>
    <x v="56"/>
    <n v="0.14599999999999999"/>
    <n v="463748.74"/>
    <n v="52837.13"/>
    <n v="516585.87"/>
    <n v="5793.66"/>
    <n v="247641.28"/>
    <n v="0.73399999999999999"/>
    <n v="16118.43"/>
    <n v="0"/>
    <n v="0"/>
    <x v="2"/>
    <n v="3"/>
  </r>
  <r>
    <n v="38122"/>
    <n v="3204252"/>
    <x v="57"/>
    <n v="0.221"/>
    <n v="701975.86"/>
    <n v="79979.5"/>
    <n v="781955.36"/>
    <n v="8769.85"/>
    <n v="24407.35"/>
    <n v="0.32900000000000001"/>
    <n v="24398.45"/>
    <n v="0"/>
    <n v="0"/>
    <x v="2"/>
    <n v="3"/>
  </r>
  <r>
    <n v="38123"/>
    <n v="1718402"/>
    <x v="58"/>
    <n v="0.33800000000000002"/>
    <n v="1073610.1200000001"/>
    <n v="122321.55"/>
    <n v="1195931.67"/>
    <n v="13412.71"/>
    <n v="193314.45"/>
    <n v="0.45100000000000001"/>
    <n v="37315.279999999999"/>
    <n v="0"/>
    <n v="0"/>
    <x v="2"/>
    <n v="3"/>
  </r>
  <r>
    <n v="38124"/>
    <n v="3204351"/>
    <x v="59"/>
    <n v="0.79700000000000004"/>
    <n v="2531560"/>
    <n v="288432.78999999998"/>
    <n v="2819992.79"/>
    <n v="31627.01"/>
    <n v="211795.74"/>
    <n v="0.69799999999999995"/>
    <n v="87988.97"/>
    <n v="0"/>
    <n v="0"/>
    <x v="2"/>
    <n v="3"/>
  </r>
  <r>
    <n v="38125"/>
    <n v="3204401"/>
    <x v="60"/>
    <n v="0.27500000000000002"/>
    <n v="873499.36"/>
    <n v="99521.97"/>
    <n v="973021.33"/>
    <n v="10912.71"/>
    <n v="77139.91"/>
    <n v="0.45"/>
    <n v="30360.06"/>
    <n v="0"/>
    <n v="0"/>
    <x v="2"/>
    <n v="3"/>
  </r>
  <r>
    <n v="38126"/>
    <n v="3204500"/>
    <x v="61"/>
    <n v="0.53800000000000003"/>
    <n v="1708882.41"/>
    <n v="194701.22"/>
    <n v="1903583.63"/>
    <n v="21349.22"/>
    <n v="87259.15"/>
    <n v="0.45600000000000002"/>
    <n v="59395.32"/>
    <n v="0"/>
    <n v="0"/>
    <x v="2"/>
    <n v="3"/>
  </r>
  <r>
    <n v="38127"/>
    <n v="3204559"/>
    <x v="62"/>
    <n v="2.1160000000000001"/>
    <n v="6721180.6699999999"/>
    <n v="765776.44"/>
    <n v="7486957.1100000003"/>
    <n v="83968.320000000007"/>
    <n v="550713.81999999995"/>
    <n v="1.1990000000000001"/>
    <n v="233606.85"/>
    <n v="0"/>
    <n v="0"/>
    <x v="2"/>
    <n v="3"/>
  </r>
  <r>
    <n v="38128"/>
    <n v="3204609"/>
    <x v="63"/>
    <n v="0.68799999999999994"/>
    <n v="2185336.63"/>
    <n v="248985.9"/>
    <n v="2434322.5299999998"/>
    <n v="27301.61"/>
    <n v="214953.93"/>
    <n v="0.82899999999999996"/>
    <n v="75955.350000000006"/>
    <n v="0"/>
    <n v="0"/>
    <x v="2"/>
    <n v="3"/>
  </r>
  <r>
    <n v="38129"/>
    <n v="3204658"/>
    <x v="64"/>
    <n v="0.42399999999999999"/>
    <n v="1346777.23"/>
    <n v="153444.79999999999"/>
    <n v="1500222.03"/>
    <n v="16825.41"/>
    <n v="59981.74"/>
    <n v="0.33700000000000002"/>
    <n v="46809.69"/>
    <n v="0"/>
    <n v="0"/>
    <x v="2"/>
    <n v="3"/>
  </r>
  <r>
    <n v="38130"/>
    <n v="3204708"/>
    <x v="65"/>
    <n v="0.81499999999999995"/>
    <n v="2588734.5299999998"/>
    <n v="294946.96999999997"/>
    <n v="2883681.5"/>
    <n v="32341.29"/>
    <n v="221500.87"/>
    <n v="1.169"/>
    <n v="89976.17"/>
    <n v="0"/>
    <n v="0"/>
    <x v="2"/>
    <n v="3"/>
  </r>
  <r>
    <n v="38131"/>
    <n v="3204807"/>
    <x v="66"/>
    <n v="0.23"/>
    <n v="730563.11"/>
    <n v="83236.570000000007"/>
    <n v="813799.68"/>
    <n v="9126.99"/>
    <n v="84512.45"/>
    <n v="0.436"/>
    <n v="25392.05"/>
    <n v="0"/>
    <n v="0"/>
    <x v="2"/>
    <n v="3"/>
  </r>
  <r>
    <n v="38132"/>
    <n v="3204906"/>
    <x v="67"/>
    <n v="1.8839999999999999"/>
    <n v="5984264.8200000003"/>
    <n v="681816.06"/>
    <n v="6666080.8799999999"/>
    <n v="74761.960000000006"/>
    <n v="779840.97"/>
    <n v="3.024"/>
    <n v="207994.01"/>
    <n v="0"/>
    <n v="0"/>
    <x v="2"/>
    <n v="3"/>
  </r>
  <r>
    <n v="38133"/>
    <n v="3204955"/>
    <x v="68"/>
    <n v="0.32600000000000001"/>
    <n v="1035493.81"/>
    <n v="117978.79"/>
    <n v="1153472.6000000001"/>
    <n v="12936.52"/>
    <n v="81503.600000000006"/>
    <n v="0.46100000000000002"/>
    <n v="35990.47"/>
    <n v="0"/>
    <n v="0"/>
    <x v="2"/>
    <n v="3"/>
  </r>
  <r>
    <n v="38134"/>
    <n v="3205002"/>
    <x v="69"/>
    <n v="14.176"/>
    <n v="45028098.829999998"/>
    <n v="5130267.8099999996"/>
    <n v="50158366.640000001"/>
    <n v="562540.1"/>
    <n v="3773869.28"/>
    <n v="8.4320000000000004"/>
    <n v="1565033.43"/>
    <n v="0"/>
    <n v="0"/>
    <x v="2"/>
    <n v="3"/>
  </r>
  <r>
    <n v="38135"/>
    <n v="3205010"/>
    <x v="70"/>
    <n v="0.72199999999999998"/>
    <n v="2293332.91"/>
    <n v="261290.44"/>
    <n v="2554623.35"/>
    <n v="28650.81"/>
    <n v="105295"/>
    <n v="0.997"/>
    <n v="79708.95"/>
    <n v="0"/>
    <n v="0"/>
    <x v="2"/>
    <n v="3"/>
  </r>
  <r>
    <n v="38136"/>
    <n v="3205036"/>
    <x v="71"/>
    <n v="0.498"/>
    <n v="1581827.95"/>
    <n v="180225.28"/>
    <n v="1762053.23"/>
    <n v="19761.919999999998"/>
    <n v="178709.04"/>
    <n v="0.72699999999999998"/>
    <n v="54979.3"/>
    <n v="0"/>
    <n v="0"/>
    <x v="2"/>
    <n v="3"/>
  </r>
  <r>
    <n v="38137"/>
    <n v="3205069"/>
    <x v="72"/>
    <n v="0.75800000000000001"/>
    <n v="2407681.91"/>
    <n v="274318.77"/>
    <n v="2682000.6800000002"/>
    <n v="30079.39"/>
    <n v="376239.86"/>
    <n v="0.85799999999999998"/>
    <n v="83683.37"/>
    <n v="0"/>
    <n v="0"/>
    <x v="2"/>
    <n v="3"/>
  </r>
  <r>
    <n v="38138"/>
    <n v="2112803"/>
    <x v="73"/>
    <n v="2.9929999999999999"/>
    <n v="9506849.5899999999"/>
    <n v="1083161.1000000001"/>
    <n v="10590010.689999999"/>
    <n v="118769.93"/>
    <n v="852748.97"/>
    <n v="1.984"/>
    <n v="330427.84000000003"/>
    <n v="0"/>
    <n v="0"/>
    <x v="2"/>
    <n v="3"/>
  </r>
  <r>
    <n v="38139"/>
    <n v="3205150"/>
    <x v="74"/>
    <n v="0.32800000000000001"/>
    <n v="1041846.53"/>
    <n v="118702.59"/>
    <n v="1160549.1200000001"/>
    <n v="13015.88"/>
    <n v="48820.14"/>
    <n v="0.34399999999999997"/>
    <n v="36211.269999999997"/>
    <n v="0"/>
    <n v="0"/>
    <x v="2"/>
    <n v="3"/>
  </r>
  <r>
    <n v="38140"/>
    <n v="3205176"/>
    <x v="75"/>
    <n v="0.623"/>
    <n v="1978873.12"/>
    <n v="225462.53"/>
    <n v="2204335.65"/>
    <n v="24722.240000000002"/>
    <n v="146661.26999999999"/>
    <n v="0.55600000000000005"/>
    <n v="68779.33"/>
    <n v="0"/>
    <n v="0"/>
    <x v="2"/>
    <n v="3"/>
  </r>
  <r>
    <n v="38141"/>
    <n v="3205200"/>
    <x v="76"/>
    <n v="5.3819999999999997"/>
    <n v="17095176.91"/>
    <n v="1947735.7"/>
    <n v="19042912.609999999"/>
    <n v="213571.59"/>
    <n v="4376957.6500000004"/>
    <n v="8.09"/>
    <n v="594173.94999999995"/>
    <n v="0"/>
    <n v="0"/>
    <x v="2"/>
    <n v="3"/>
  </r>
  <r>
    <n v="38142"/>
    <n v="3205309"/>
    <x v="77"/>
    <n v="14.535"/>
    <n v="46168412.850000001"/>
    <n v="5260189.16"/>
    <n v="51428602.009999998"/>
    <n v="576786.14"/>
    <n v="5546618.0099999998"/>
    <n v="9.4969999999999999"/>
    <n v="1604667.17"/>
    <n v="0"/>
    <n v="0"/>
    <x v="2"/>
    <n v="3"/>
  </r>
  <r>
    <n v="38143"/>
    <n v="3200102"/>
    <x v="0"/>
    <n v="0.8"/>
    <n v="2714974.68"/>
    <n v="213156.41"/>
    <n v="2928131.09"/>
    <n v="31319.08"/>
    <n v="696876.87"/>
    <n v="0.98499999999999999"/>
    <n v="72283.62"/>
    <n v="13047.02"/>
    <n v="0"/>
    <x v="2"/>
    <n v="4"/>
  </r>
  <r>
    <n v="38144"/>
    <n v="3200169"/>
    <x v="1"/>
    <n v="0.30099999999999999"/>
    <n v="1021509.21"/>
    <n v="80200.09"/>
    <n v="1101709.3"/>
    <n v="11783.8"/>
    <n v="179852.73"/>
    <n v="0.439"/>
    <n v="27196.71"/>
    <n v="5820.44"/>
    <n v="0"/>
    <x v="2"/>
    <n v="4"/>
  </r>
  <r>
    <n v="38145"/>
    <n v="3200136"/>
    <x v="2"/>
    <n v="0.41599999999999998"/>
    <n v="1411786.85"/>
    <n v="110841.31"/>
    <n v="1522628.16"/>
    <n v="16285.92"/>
    <n v="237481.28"/>
    <n v="0.34799999999999998"/>
    <n v="37587.480000000003"/>
    <n v="4610.3599999999997"/>
    <n v="0"/>
    <x v="2"/>
    <n v="4"/>
  </r>
  <r>
    <n v="38146"/>
    <n v="3200201"/>
    <x v="3"/>
    <n v="0.51"/>
    <n v="1730796.35"/>
    <n v="135887.22"/>
    <n v="1866683.57"/>
    <n v="19965.91"/>
    <n v="728950.99"/>
    <n v="0.98"/>
    <n v="46080.81"/>
    <n v="12973.36"/>
    <n v="0"/>
    <x v="2"/>
    <n v="4"/>
  </r>
  <r>
    <n v="38147"/>
    <n v="3200300"/>
    <x v="4"/>
    <n v="0.49"/>
    <n v="1662921.99"/>
    <n v="130558.3"/>
    <n v="1793480.29"/>
    <n v="19182.939999999999"/>
    <n v="648505.11"/>
    <n v="0.56399999999999995"/>
    <n v="44273.72"/>
    <n v="7463.93"/>
    <n v="0"/>
    <x v="2"/>
    <n v="4"/>
  </r>
  <r>
    <n v="38148"/>
    <n v="3200359"/>
    <x v="5"/>
    <n v="0.23100000000000001"/>
    <n v="783948.96"/>
    <n v="61548.9"/>
    <n v="845497.86"/>
    <n v="9043.3799999999992"/>
    <n v="102694.87"/>
    <n v="0.32700000000000001"/>
    <n v="20871.89"/>
    <n v="4334.75"/>
    <n v="0"/>
    <x v="2"/>
    <n v="4"/>
  </r>
  <r>
    <n v="38149"/>
    <n v="3200409"/>
    <x v="6"/>
    <n v="1.766"/>
    <n v="5993306.5999999996"/>
    <n v="470542.73"/>
    <n v="6463849.3300000001"/>
    <n v="69136.87"/>
    <n v="804974.92"/>
    <n v="0.90800000000000003"/>
    <n v="159566.09"/>
    <n v="12020.53"/>
    <n v="0"/>
    <x v="2"/>
    <n v="4"/>
  </r>
  <r>
    <n v="38150"/>
    <n v="3200508"/>
    <x v="7"/>
    <n v="0.185"/>
    <n v="627837.89"/>
    <n v="49292.4"/>
    <n v="677130.29"/>
    <n v="7242.54"/>
    <n v="253540.81"/>
    <n v="0.32300000000000001"/>
    <n v="16715.59"/>
    <n v="4275.2700000000004"/>
    <n v="0"/>
    <x v="2"/>
    <n v="4"/>
  </r>
  <r>
    <n v="38151"/>
    <n v="3200607"/>
    <x v="8"/>
    <n v="4.9909999999999997"/>
    <n v="16938048.300000001"/>
    <n v="1329829.3899999999"/>
    <n v="18267877.690000001"/>
    <n v="195391.91"/>
    <n v="2651624.7999999998"/>
    <n v="2.5089999999999999"/>
    <n v="450959.42"/>
    <n v="33232.75"/>
    <n v="0"/>
    <x v="2"/>
    <n v="4"/>
  </r>
  <r>
    <n v="38152"/>
    <n v="3200706"/>
    <x v="9"/>
    <n v="0.373"/>
    <n v="1265856.95"/>
    <n v="99384.15"/>
    <n v="1365241.1"/>
    <n v="14602.52"/>
    <n v="226694.5"/>
    <n v="0.45700000000000002"/>
    <n v="33702.239999999998"/>
    <n v="6057.2"/>
    <n v="0"/>
    <x v="2"/>
    <n v="4"/>
  </r>
  <r>
    <n v="38153"/>
    <n v="3200805"/>
    <x v="10"/>
    <n v="0.64300000000000002"/>
    <n v="2182160.88"/>
    <n v="171324.47"/>
    <n v="2353485.35"/>
    <n v="25172.71"/>
    <n v="1119436.31"/>
    <n v="0.996"/>
    <n v="58097.96"/>
    <n v="13198.04"/>
    <n v="0"/>
    <x v="2"/>
    <n v="4"/>
  </r>
  <r>
    <n v="38154"/>
    <n v="3200904"/>
    <x v="11"/>
    <n v="1.036"/>
    <n v="3515892.22"/>
    <n v="276037.51"/>
    <n v="3791929.73"/>
    <n v="40558.21"/>
    <n v="1272771.67"/>
    <n v="1.321"/>
    <n v="93607.29"/>
    <n v="17500.47"/>
    <n v="0"/>
    <x v="2"/>
    <n v="4"/>
  </r>
  <r>
    <n v="38155"/>
    <n v="3107109"/>
    <x v="12"/>
    <n v="0.39900000000000002"/>
    <n v="1354093.62"/>
    <n v="106311.77"/>
    <n v="1460405.39"/>
    <n v="15620.39"/>
    <n v="245421.71"/>
    <n v="0.56899999999999995"/>
    <n v="36051.449999999997"/>
    <n v="7540.66"/>
    <n v="0"/>
    <x v="2"/>
    <n v="4"/>
  </r>
  <r>
    <n v="38156"/>
    <n v="3201100"/>
    <x v="13"/>
    <n v="0.17599999999999999"/>
    <n v="597294.42000000004"/>
    <n v="46894.400000000001"/>
    <n v="644188.81999999995"/>
    <n v="6890.2"/>
    <n v="787121.52"/>
    <n v="0.43"/>
    <n v="15902.4"/>
    <n v="5689.4"/>
    <n v="0"/>
    <x v="2"/>
    <n v="4"/>
  </r>
  <r>
    <n v="38157"/>
    <n v="3201159"/>
    <x v="14"/>
    <n v="0.42099999999999999"/>
    <n v="1428755.43"/>
    <n v="112173.57"/>
    <n v="1540929"/>
    <n v="16481.669999999998"/>
    <n v="221082.66"/>
    <n v="0.46"/>
    <n v="38039.25"/>
    <n v="6086.22"/>
    <n v="0"/>
    <x v="2"/>
    <n v="4"/>
  </r>
  <r>
    <n v="38158"/>
    <n v="3201209"/>
    <x v="15"/>
    <n v="3.234"/>
    <n v="10975285.140000001"/>
    <n v="861684.7"/>
    <n v="11836969.84"/>
    <n v="126607.38"/>
    <n v="6690671.6900000004"/>
    <n v="4.4820000000000002"/>
    <n v="292206.53000000003"/>
    <n v="59363.65"/>
    <n v="0"/>
    <x v="2"/>
    <n v="4"/>
  </r>
  <r>
    <n v="38159"/>
    <n v="3201308"/>
    <x v="16"/>
    <n v="7.4969999999999999"/>
    <n v="25442706.489999998"/>
    <n v="1997541.78"/>
    <n v="27440248.27"/>
    <n v="293498.93"/>
    <n v="7677183.3399999999"/>
    <n v="6.6040000000000001"/>
    <n v="677387.86"/>
    <n v="87461.21"/>
    <n v="0"/>
    <x v="2"/>
    <n v="4"/>
  </r>
  <r>
    <n v="38160"/>
    <n v="3201407"/>
    <x v="17"/>
    <n v="0.96499999999999997"/>
    <n v="3274938.23"/>
    <n v="257119.89"/>
    <n v="3532058.12"/>
    <n v="37778.639999999999"/>
    <n v="1689571.02"/>
    <n v="1.155"/>
    <n v="87192.11"/>
    <n v="15296.72"/>
    <n v="0"/>
    <x v="2"/>
    <n v="4"/>
  </r>
  <r>
    <n v="38161"/>
    <n v="3201506"/>
    <x v="18"/>
    <n v="2.1739999999999999"/>
    <n v="7377943.6799999997"/>
    <n v="579252.49"/>
    <n v="7957196.1699999999"/>
    <n v="85109.6"/>
    <n v="4257583.03"/>
    <n v="2.8220000000000001"/>
    <n v="196430.73"/>
    <n v="37370.04"/>
    <n v="0"/>
    <x v="2"/>
    <n v="4"/>
  </r>
  <r>
    <n v="38162"/>
    <n v="3201605"/>
    <x v="19"/>
    <n v="0.65200000000000002"/>
    <n v="2212704.37"/>
    <n v="173722.43"/>
    <n v="2386426.7999999998"/>
    <n v="25525.05"/>
    <n v="409761.67"/>
    <n v="0.999"/>
    <n v="58911.15"/>
    <n v="13232.86"/>
    <n v="0"/>
    <x v="2"/>
    <n v="4"/>
  </r>
  <r>
    <n v="38163"/>
    <n v="3201704"/>
    <x v="20"/>
    <n v="0.47499999999999998"/>
    <n v="1612016.2"/>
    <n v="126561.58"/>
    <n v="1738577.78"/>
    <n v="18595.7"/>
    <n v="339741.45"/>
    <n v="0.46500000000000002"/>
    <n v="42918.400000000001"/>
    <n v="6156.65"/>
    <n v="0"/>
    <x v="2"/>
    <n v="4"/>
  </r>
  <r>
    <n v="38164"/>
    <n v="3201803"/>
    <x v="21"/>
    <n v="0.186"/>
    <n v="631231.6"/>
    <n v="49558.86"/>
    <n v="680790.46"/>
    <n v="7281.69"/>
    <n v="87149"/>
    <n v="0.28299999999999997"/>
    <n v="16805.939999999999"/>
    <n v="3742.4"/>
    <n v="0"/>
    <x v="2"/>
    <n v="4"/>
  </r>
  <r>
    <n v="38165"/>
    <n v="3201902"/>
    <x v="22"/>
    <n v="1.3140000000000001"/>
    <n v="4459345.91"/>
    <n v="350109.37"/>
    <n v="4809455.28"/>
    <n v="51441.59"/>
    <n v="1316274.54"/>
    <n v="1.0309999999999999"/>
    <n v="118725.84"/>
    <n v="13658.54"/>
    <n v="0"/>
    <x v="2"/>
    <n v="4"/>
  </r>
  <r>
    <n v="38166"/>
    <n v="3202009"/>
    <x v="23"/>
    <n v="0.26"/>
    <n v="882366.77"/>
    <n v="69275.839999999997"/>
    <n v="951642.61"/>
    <n v="10178.700000000001"/>
    <n v="276716.78000000003"/>
    <n v="0.314"/>
    <n v="23492.18"/>
    <n v="4154.54"/>
    <n v="0"/>
    <x v="2"/>
    <n v="4"/>
  </r>
  <r>
    <n v="38167"/>
    <n v="3202108"/>
    <x v="24"/>
    <n v="0.69899999999999995"/>
    <n v="2372209.12"/>
    <n v="186245.4"/>
    <n v="2558454.52"/>
    <n v="27365.05"/>
    <n v="339242.02"/>
    <n v="0.81599999999999995"/>
    <n v="63157.81"/>
    <n v="10805.71"/>
    <n v="0"/>
    <x v="2"/>
    <n v="4"/>
  </r>
  <r>
    <n v="38168"/>
    <n v="3202207"/>
    <x v="25"/>
    <n v="0.313"/>
    <n v="1062233.8600000001"/>
    <n v="83397.440000000002"/>
    <n v="1145631.3"/>
    <n v="12253.59"/>
    <n v="433316.89"/>
    <n v="0.73399999999999999"/>
    <n v="28280.97"/>
    <n v="9726.36"/>
    <n v="0"/>
    <x v="2"/>
    <n v="4"/>
  </r>
  <r>
    <n v="38169"/>
    <n v="3202256"/>
    <x v="26"/>
    <n v="0.43"/>
    <n v="1459298.89"/>
    <n v="114571.55"/>
    <n v="1573870.44"/>
    <n v="16834.009999999998"/>
    <n v="357755.93"/>
    <n v="0.46700000000000003"/>
    <n v="38852.44"/>
    <n v="6182.44"/>
    <n v="0"/>
    <x v="2"/>
    <n v="4"/>
  </r>
  <r>
    <n v="38170"/>
    <n v="3202306"/>
    <x v="27"/>
    <n v="0.378"/>
    <n v="1282825.52"/>
    <n v="100716.4"/>
    <n v="1383541.92"/>
    <n v="14798.27"/>
    <n v="980037.96"/>
    <n v="0.998"/>
    <n v="34154.01"/>
    <n v="13215.62"/>
    <n v="0"/>
    <x v="2"/>
    <n v="4"/>
  </r>
  <r>
    <n v="38171"/>
    <n v="3202405"/>
    <x v="28"/>
    <n v="0.90900000000000003"/>
    <n v="3084889.98"/>
    <n v="242198.96"/>
    <n v="3327088.94"/>
    <n v="35586.300000000003"/>
    <n v="6668691.8200000003"/>
    <n v="2.8730000000000002"/>
    <n v="82132.259999999995"/>
    <n v="38050.379999999997"/>
    <n v="0"/>
    <x v="2"/>
    <n v="4"/>
  </r>
  <r>
    <n v="38172"/>
    <n v="3202454"/>
    <x v="29"/>
    <n v="0.35099999999999998"/>
    <n v="1191195.1599999999"/>
    <n v="93522.35"/>
    <n v="1284717.51"/>
    <n v="13741.25"/>
    <n v="650400.29"/>
    <n v="0.86499999999999999"/>
    <n v="31714.44"/>
    <n v="11452.7"/>
    <n v="0"/>
    <x v="2"/>
    <n v="4"/>
  </r>
  <r>
    <n v="38173"/>
    <n v="3202504"/>
    <x v="30"/>
    <n v="0.26700000000000002"/>
    <n v="906122.79"/>
    <n v="71140.929999999993"/>
    <n v="977263.72"/>
    <n v="10452.74"/>
    <n v="381903.24"/>
    <n v="0.46300000000000002"/>
    <n v="24124.66"/>
    <n v="6126.68"/>
    <n v="0"/>
    <x v="2"/>
    <n v="4"/>
  </r>
  <r>
    <n v="38174"/>
    <n v="3202553"/>
    <x v="31"/>
    <n v="0.248"/>
    <n v="841642.18"/>
    <n v="66078.5"/>
    <n v="907720.68"/>
    <n v="9708.91"/>
    <n v="149036.79"/>
    <n v="0.33800000000000002"/>
    <n v="22407.919999999998"/>
    <n v="4482.87"/>
    <n v="0"/>
    <x v="2"/>
    <n v="4"/>
  </r>
  <r>
    <n v="38175"/>
    <n v="3202603"/>
    <x v="32"/>
    <n v="0.34399999999999997"/>
    <n v="1167439.1100000001"/>
    <n v="91657.24"/>
    <n v="1259096.3500000001"/>
    <n v="13467.2"/>
    <n v="737025.45"/>
    <n v="0.55600000000000005"/>
    <n v="31081.96"/>
    <n v="7369.31"/>
    <n v="0"/>
    <x v="2"/>
    <n v="4"/>
  </r>
  <r>
    <n v="38176"/>
    <n v="3202652"/>
    <x v="33"/>
    <n v="0.308"/>
    <n v="1045265.25"/>
    <n v="82065.210000000006"/>
    <n v="1127330.46"/>
    <n v="12057.85"/>
    <n v="279624.38"/>
    <n v="0.55100000000000005"/>
    <n v="27829.19"/>
    <n v="7303.07"/>
    <n v="0"/>
    <x v="2"/>
    <n v="4"/>
  </r>
  <r>
    <n v="38177"/>
    <n v="3202702"/>
    <x v="34"/>
    <n v="0.35499999999999998"/>
    <n v="1204770.02"/>
    <n v="94588.17"/>
    <n v="1299358.19"/>
    <n v="13897.84"/>
    <n v="281066.38"/>
    <n v="0.55500000000000005"/>
    <n v="32075.86"/>
    <n v="7353.04"/>
    <n v="0"/>
    <x v="2"/>
    <n v="4"/>
  </r>
  <r>
    <n v="38178"/>
    <n v="3202801"/>
    <x v="35"/>
    <n v="2.262"/>
    <n v="7676590.9199999999"/>
    <n v="602699.68000000005"/>
    <n v="8279290.5999999996"/>
    <n v="88554.7"/>
    <n v="663338.32999999996"/>
    <n v="1.042"/>
    <n v="204381.93"/>
    <n v="13793.45"/>
    <n v="0"/>
    <x v="2"/>
    <n v="4"/>
  </r>
  <r>
    <n v="38179"/>
    <n v="3202900"/>
    <x v="36"/>
    <n v="0.34599999999999997"/>
    <n v="1174226.52"/>
    <n v="92190.14"/>
    <n v="1266416.6599999999"/>
    <n v="13545.5"/>
    <n v="346119.54"/>
    <n v="0.435"/>
    <n v="31262.66"/>
    <n v="5761.11"/>
    <n v="0"/>
    <x v="2"/>
    <n v="4"/>
  </r>
  <r>
    <n v="38180"/>
    <n v="3203007"/>
    <x v="37"/>
    <n v="0.438"/>
    <n v="1486448.6399999999"/>
    <n v="116703.11"/>
    <n v="1603151.75"/>
    <n v="17147.2"/>
    <n v="538645.42000000004"/>
    <n v="0.89700000000000002"/>
    <n v="39575.279999999999"/>
    <n v="11880.63"/>
    <n v="0"/>
    <x v="2"/>
    <n v="4"/>
  </r>
  <r>
    <n v="38181"/>
    <n v="3203056"/>
    <x v="38"/>
    <n v="0.8"/>
    <n v="2714974.68"/>
    <n v="213156.41"/>
    <n v="2928131.09"/>
    <n v="31319.08"/>
    <n v="831658.79"/>
    <n v="1"/>
    <n v="72283.62"/>
    <n v="13250.59"/>
    <n v="0"/>
    <x v="2"/>
    <n v="4"/>
  </r>
  <r>
    <n v="38182"/>
    <n v="3203106"/>
    <x v="39"/>
    <n v="0.21199999999999999"/>
    <n v="719468.29"/>
    <n v="56486.44"/>
    <n v="775954.73"/>
    <n v="8299.56"/>
    <n v="202729.91"/>
    <n v="0.45800000000000002"/>
    <n v="19155.16"/>
    <n v="6067.85"/>
    <n v="0"/>
    <x v="2"/>
    <n v="4"/>
  </r>
  <r>
    <n v="38183"/>
    <n v="3203130"/>
    <x v="40"/>
    <n v="0.38600000000000001"/>
    <n v="1309975.28"/>
    <n v="102847.99"/>
    <n v="1412823.27"/>
    <n v="15111.46"/>
    <n v="586673.37"/>
    <n v="0.66600000000000004"/>
    <n v="34876.85"/>
    <n v="8822.94"/>
    <n v="0"/>
    <x v="2"/>
    <n v="4"/>
  </r>
  <r>
    <n v="38184"/>
    <n v="3203163"/>
    <x v="41"/>
    <n v="0.372"/>
    <n v="1262463.22"/>
    <n v="99117.72"/>
    <n v="1361580.94"/>
    <n v="14563.37"/>
    <n v="273728.42"/>
    <n v="0.441"/>
    <n v="33611.879999999997"/>
    <n v="5839.45"/>
    <n v="0"/>
    <x v="2"/>
    <n v="4"/>
  </r>
  <r>
    <n v="38185"/>
    <n v="3203205"/>
    <x v="42"/>
    <n v="5.4"/>
    <n v="18326079.100000001"/>
    <n v="1438805.62"/>
    <n v="19764884.719999999"/>
    <n v="211403.79"/>
    <n v="5173800.34"/>
    <n v="4.0880000000000001"/>
    <n v="487914.42"/>
    <n v="54138.64"/>
    <n v="0"/>
    <x v="2"/>
    <n v="4"/>
  </r>
  <r>
    <n v="38186"/>
    <n v="3203304"/>
    <x v="43"/>
    <n v="0.216"/>
    <n v="733043.16"/>
    <n v="57552.22"/>
    <n v="790595.38"/>
    <n v="8456.15"/>
    <n v="306622.71000000002"/>
    <n v="0.57599999999999996"/>
    <n v="19516.580000000002"/>
    <n v="7622.37"/>
    <n v="0"/>
    <x v="2"/>
    <n v="4"/>
  </r>
  <r>
    <n v="38187"/>
    <n v="3203320"/>
    <x v="44"/>
    <n v="0.60899999999999999"/>
    <n v="2066774.47"/>
    <n v="162265.32"/>
    <n v="2229039.79"/>
    <n v="23841.65"/>
    <n v="994111.09"/>
    <n v="1.171"/>
    <n v="55025.9"/>
    <n v="15506.73"/>
    <n v="0"/>
    <x v="2"/>
    <n v="4"/>
  </r>
  <r>
    <n v="38188"/>
    <n v="3203346"/>
    <x v="45"/>
    <n v="0.64500000000000002"/>
    <n v="2188948.3199999998"/>
    <n v="171857.36"/>
    <n v="2360805.6800000002"/>
    <n v="25251.01"/>
    <n v="691685.38"/>
    <n v="0.67100000000000004"/>
    <n v="58278.67"/>
    <n v="8882.09"/>
    <n v="0"/>
    <x v="2"/>
    <n v="4"/>
  </r>
  <r>
    <n v="38189"/>
    <n v="3203353"/>
    <x v="46"/>
    <n v="0.45200000000000001"/>
    <n v="1533960.68"/>
    <n v="120433.38"/>
    <n v="1654394.06"/>
    <n v="17695.28"/>
    <n v="498778.32"/>
    <n v="0.46700000000000003"/>
    <n v="40840.239999999998"/>
    <n v="6189.54"/>
    <n v="0"/>
    <x v="2"/>
    <n v="4"/>
  </r>
  <r>
    <n v="38190"/>
    <n v="3203403"/>
    <x v="47"/>
    <n v="0.51400000000000001"/>
    <n v="1744371.25"/>
    <n v="136952.98000000001"/>
    <n v="1881324.23"/>
    <n v="20122.509999999998"/>
    <n v="627148.80000000005"/>
    <n v="0.85599999999999998"/>
    <n v="46442.22"/>
    <n v="11342.6"/>
    <n v="0"/>
    <x v="2"/>
    <n v="4"/>
  </r>
  <r>
    <n v="38191"/>
    <n v="3203502"/>
    <x v="48"/>
    <n v="0.53600000000000003"/>
    <n v="1819033.05"/>
    <n v="142814.78"/>
    <n v="1961847.83"/>
    <n v="20983.78"/>
    <n v="396575.66"/>
    <n v="0.69299999999999995"/>
    <n v="48430.02"/>
    <n v="9174.31"/>
    <n v="0"/>
    <x v="2"/>
    <n v="4"/>
  </r>
  <r>
    <n v="38192"/>
    <n v="3203601"/>
    <x v="49"/>
    <n v="0.27800000000000002"/>
    <n v="943453.7"/>
    <n v="74071.820000000007"/>
    <n v="1017525.52"/>
    <n v="10883.38"/>
    <n v="92557.33"/>
    <n v="0.29799999999999999"/>
    <n v="25118.560000000001"/>
    <n v="3940.98"/>
    <n v="0"/>
    <x v="2"/>
    <n v="4"/>
  </r>
  <r>
    <n v="38193"/>
    <n v="3203700"/>
    <x v="50"/>
    <n v="0.55000000000000004"/>
    <n v="1866545.09"/>
    <n v="146545.01"/>
    <n v="2013090.1"/>
    <n v="21531.87"/>
    <n v="332127.46000000002"/>
    <n v="0.67100000000000004"/>
    <n v="49694.99"/>
    <n v="8887.73"/>
    <n v="0"/>
    <x v="2"/>
    <n v="4"/>
  </r>
  <r>
    <n v="38194"/>
    <n v="3203809"/>
    <x v="51"/>
    <n v="0.29599999999999999"/>
    <n v="1004540.64"/>
    <n v="78867.86"/>
    <n v="1083408.5"/>
    <n v="11588.06"/>
    <n v="254812.37"/>
    <n v="0.57499999999999996"/>
    <n v="26744.94"/>
    <n v="7614.15"/>
    <n v="0"/>
    <x v="2"/>
    <n v="4"/>
  </r>
  <r>
    <n v="38195"/>
    <n v="3203908"/>
    <x v="52"/>
    <n v="1.268"/>
    <n v="4303234.88"/>
    <n v="337852.85"/>
    <n v="4641087.7300000004"/>
    <n v="49640.74"/>
    <n v="1291480.73"/>
    <n v="1.4650000000000001"/>
    <n v="114569.54"/>
    <n v="19398.79"/>
    <n v="0"/>
    <x v="2"/>
    <n v="4"/>
  </r>
  <r>
    <n v="38196"/>
    <n v="3204005"/>
    <x v="53"/>
    <n v="0.47099999999999997"/>
    <n v="1598441.37"/>
    <n v="125495.83"/>
    <n v="1723937.2"/>
    <n v="18439.11"/>
    <n v="327605.44"/>
    <n v="0.747"/>
    <n v="42556.98"/>
    <n v="9895.1200000000008"/>
    <n v="0"/>
    <x v="2"/>
    <n v="4"/>
  </r>
  <r>
    <n v="38197"/>
    <n v="3204054"/>
    <x v="54"/>
    <n v="0.313"/>
    <n v="1062233.8600000001"/>
    <n v="83397.440000000002"/>
    <n v="1145631.3"/>
    <n v="12253.59"/>
    <n v="444525.66"/>
    <n v="0.86199999999999999"/>
    <n v="28280.97"/>
    <n v="11422.55"/>
    <n v="0"/>
    <x v="2"/>
    <n v="4"/>
  </r>
  <r>
    <n v="38198"/>
    <n v="3204104"/>
    <x v="55"/>
    <n v="0.72599999999999998"/>
    <n v="2463839.52"/>
    <n v="193439.42"/>
    <n v="2657278.94"/>
    <n v="28422.06"/>
    <n v="426525.02"/>
    <n v="0.875"/>
    <n v="65597.38"/>
    <n v="11587.92"/>
    <n v="0"/>
    <x v="2"/>
    <n v="4"/>
  </r>
  <r>
    <n v="38199"/>
    <n v="3204203"/>
    <x v="56"/>
    <n v="0.14599999999999999"/>
    <n v="495482.88"/>
    <n v="38901.019999999997"/>
    <n v="534383.9"/>
    <n v="5715.73"/>
    <n v="764109.99"/>
    <n v="0.73399999999999999"/>
    <n v="13191.76"/>
    <n v="9727.7999999999993"/>
    <n v="0"/>
    <x v="2"/>
    <n v="4"/>
  </r>
  <r>
    <n v="38200"/>
    <n v="3204252"/>
    <x v="57"/>
    <n v="0.221"/>
    <n v="750011.75"/>
    <n v="58884.45"/>
    <n v="808896.2"/>
    <n v="8651.9"/>
    <n v="94123.35"/>
    <n v="0.32900000000000001"/>
    <n v="19968.349999999999"/>
    <n v="4351.67"/>
    <n v="0"/>
    <x v="2"/>
    <n v="4"/>
  </r>
  <r>
    <n v="38201"/>
    <n v="1718402"/>
    <x v="58"/>
    <n v="0.33800000000000002"/>
    <n v="1147076.8"/>
    <n v="90058.58"/>
    <n v="1237135.3799999999"/>
    <n v="13232.31"/>
    <n v="535355.72"/>
    <n v="0.45100000000000001"/>
    <n v="30539.83"/>
    <n v="5971.95"/>
    <n v="0"/>
    <x v="2"/>
    <n v="4"/>
  </r>
  <r>
    <n v="38202"/>
    <n v="3204351"/>
    <x v="59"/>
    <n v="0.79700000000000004"/>
    <n v="2704793.53"/>
    <n v="212357.06"/>
    <n v="2917150.59"/>
    <n v="31201.63"/>
    <n v="865018.91"/>
    <n v="0.69799999999999995"/>
    <n v="72012.55"/>
    <n v="9245.8700000000008"/>
    <n v="0"/>
    <x v="2"/>
    <n v="4"/>
  </r>
  <r>
    <n v="38203"/>
    <n v="3204401"/>
    <x v="60"/>
    <n v="0.27500000000000002"/>
    <n v="933272.54"/>
    <n v="73272.479999999996"/>
    <n v="1006545.02"/>
    <n v="10765.93"/>
    <n v="320909.34000000003"/>
    <n v="0.45"/>
    <n v="24847.49"/>
    <n v="5954.06"/>
    <n v="0"/>
    <x v="2"/>
    <n v="4"/>
  </r>
  <r>
    <n v="38204"/>
    <n v="3204500"/>
    <x v="61"/>
    <n v="0.53800000000000003"/>
    <n v="1825820.48"/>
    <n v="143347.67000000001"/>
    <n v="1969168.15"/>
    <n v="21062.080000000002"/>
    <n v="236394.35"/>
    <n v="0.45600000000000002"/>
    <n v="48610.73"/>
    <n v="6041.26"/>
    <n v="0"/>
    <x v="2"/>
    <n v="4"/>
  </r>
  <r>
    <n v="38205"/>
    <n v="3204559"/>
    <x v="62"/>
    <n v="2.1160000000000001"/>
    <n v="7181108.04"/>
    <n v="563798.64"/>
    <n v="7744906.6799999997"/>
    <n v="82838.97"/>
    <n v="1521065.85"/>
    <n v="1.1990000000000001"/>
    <n v="191190.17"/>
    <n v="15882.13"/>
    <n v="0"/>
    <x v="2"/>
    <n v="4"/>
  </r>
  <r>
    <n v="38206"/>
    <n v="3204609"/>
    <x v="63"/>
    <n v="0.68799999999999994"/>
    <n v="2334878.25"/>
    <n v="183314.52"/>
    <n v="2518192.77"/>
    <n v="26934.41"/>
    <n v="961396.23"/>
    <n v="0.82899999999999996"/>
    <n v="62163.91"/>
    <n v="10983.81"/>
    <n v="0"/>
    <x v="2"/>
    <n v="4"/>
  </r>
  <r>
    <n v="38207"/>
    <n v="3204658"/>
    <x v="64"/>
    <n v="0.42399999999999999"/>
    <n v="1438936.6"/>
    <n v="112972.86"/>
    <n v="1551909.46"/>
    <n v="16599.11"/>
    <n v="247941.68"/>
    <n v="0.33700000000000002"/>
    <n v="38310.32"/>
    <n v="4467.5600000000004"/>
    <n v="0"/>
    <x v="2"/>
    <n v="4"/>
  </r>
  <r>
    <n v="38208"/>
    <n v="3204708"/>
    <x v="65"/>
    <n v="0.81499999999999995"/>
    <n v="2765880.47"/>
    <n v="217153.07"/>
    <n v="2983033.54"/>
    <n v="31906.31"/>
    <n v="900547.3"/>
    <n v="1.169"/>
    <n v="73638.94"/>
    <n v="15478.68"/>
    <n v="0"/>
    <x v="2"/>
    <n v="4"/>
  </r>
  <r>
    <n v="38209"/>
    <n v="3204807"/>
    <x v="66"/>
    <n v="0.23"/>
    <n v="780555.21"/>
    <n v="61282.44"/>
    <n v="841837.65"/>
    <n v="9004.24"/>
    <n v="259741.53"/>
    <n v="0.436"/>
    <n v="20781.54"/>
    <n v="5777.72"/>
    <n v="0"/>
    <x v="2"/>
    <n v="4"/>
  </r>
  <r>
    <n v="38210"/>
    <n v="3204906"/>
    <x v="67"/>
    <n v="1.8839999999999999"/>
    <n v="6393765.3700000001"/>
    <n v="501983.27"/>
    <n v="6895748.6399999997"/>
    <n v="73756.429999999993"/>
    <n v="2684175.06"/>
    <n v="3.024"/>
    <n v="170227.92"/>
    <n v="40057.5"/>
    <n v="0"/>
    <x v="2"/>
    <n v="4"/>
  </r>
  <r>
    <n v="38211"/>
    <n v="3204955"/>
    <x v="68"/>
    <n v="0.32600000000000001"/>
    <n v="1106352.17"/>
    <n v="86861.23"/>
    <n v="1193213.3999999999"/>
    <n v="12762.52"/>
    <n v="343596.55"/>
    <n v="0.46100000000000002"/>
    <n v="29455.57"/>
    <n v="6110.72"/>
    <n v="0"/>
    <x v="2"/>
    <n v="4"/>
  </r>
  <r>
    <n v="38212"/>
    <n v="3205002"/>
    <x v="69"/>
    <n v="14.176"/>
    <n v="48109351.390000001"/>
    <n v="3777131.18"/>
    <n v="51886482.57"/>
    <n v="554974.09"/>
    <n v="11850510.779999999"/>
    <n v="8.4320000000000004"/>
    <n v="1280865.72"/>
    <n v="111681.89"/>
    <n v="0"/>
    <x v="2"/>
    <n v="4"/>
  </r>
  <r>
    <n v="38213"/>
    <n v="3205010"/>
    <x v="70"/>
    <n v="0.72199999999999998"/>
    <n v="2450264.66"/>
    <n v="192373.61"/>
    <n v="2642638.27"/>
    <n v="28265.47"/>
    <n v="416583.62"/>
    <n v="0.997"/>
    <n v="65235.97"/>
    <n v="13200.46"/>
    <n v="0"/>
    <x v="2"/>
    <n v="4"/>
  </r>
  <r>
    <n v="38214"/>
    <n v="3205036"/>
    <x v="71"/>
    <n v="0.498"/>
    <n v="1690071.73"/>
    <n v="132689.85999999999"/>
    <n v="1822761.59"/>
    <n v="19496.13"/>
    <n v="604765.15"/>
    <n v="0.72699999999999998"/>
    <n v="44996.55"/>
    <n v="9629.49"/>
    <n v="0"/>
    <x v="2"/>
    <n v="4"/>
  </r>
  <r>
    <n v="38215"/>
    <n v="3205069"/>
    <x v="72"/>
    <n v="0.75800000000000001"/>
    <n v="2572438.5099999998"/>
    <n v="201965.67"/>
    <n v="2774404.18"/>
    <n v="29674.83"/>
    <n v="1424916.56"/>
    <n v="0.85799999999999998"/>
    <n v="68488.73"/>
    <n v="11362.75"/>
    <n v="0"/>
    <x v="2"/>
    <n v="4"/>
  </r>
  <r>
    <n v="38216"/>
    <n v="2112803"/>
    <x v="73"/>
    <n v="2.9929999999999999"/>
    <n v="10157399.039999999"/>
    <n v="797471.32"/>
    <n v="10954870.359999999"/>
    <n v="117172.51"/>
    <n v="1618394.04"/>
    <n v="1.984"/>
    <n v="270431.09000000003"/>
    <n v="26271.4"/>
    <n v="0"/>
    <x v="2"/>
    <n v="4"/>
  </r>
  <r>
    <n v="38217"/>
    <n v="3205150"/>
    <x v="74"/>
    <n v="0.32800000000000001"/>
    <n v="1113139.6100000001"/>
    <n v="87394.11"/>
    <n v="1200533.72"/>
    <n v="12840.82"/>
    <n v="191293.85"/>
    <n v="0.34399999999999997"/>
    <n v="29636.28"/>
    <n v="4555.3999999999996"/>
    <n v="0"/>
    <x v="2"/>
    <n v="4"/>
  </r>
  <r>
    <n v="38218"/>
    <n v="3205176"/>
    <x v="75"/>
    <n v="0.623"/>
    <n v="2114286.54"/>
    <n v="165995.53"/>
    <n v="2280282.0699999998"/>
    <n v="24389.73"/>
    <n v="492023.74"/>
    <n v="0.55600000000000005"/>
    <n v="56290.87"/>
    <n v="7366.41"/>
    <n v="0"/>
    <x v="2"/>
    <n v="4"/>
  </r>
  <r>
    <n v="38219"/>
    <n v="3205200"/>
    <x v="76"/>
    <n v="5.3819999999999997"/>
    <n v="18264992.199999999"/>
    <n v="1434009.58"/>
    <n v="19699001.780000001"/>
    <n v="210699.11"/>
    <n v="17636597.379999999"/>
    <n v="8.09"/>
    <n v="486288.04"/>
    <n v="107151.09"/>
    <n v="0"/>
    <x v="2"/>
    <n v="4"/>
  </r>
  <r>
    <n v="38220"/>
    <n v="3205309"/>
    <x v="77"/>
    <n v="14.535"/>
    <n v="49327696.369999997"/>
    <n v="3872785.04"/>
    <n v="53200481.409999996"/>
    <n v="569028.53"/>
    <n v="21590629.859999999"/>
    <n v="9.4969999999999999"/>
    <n v="1313302.99"/>
    <n v="125783.26"/>
    <n v="0"/>
    <x v="2"/>
    <n v="4"/>
  </r>
  <r>
    <n v="38221"/>
    <n v="3200102"/>
    <x v="0"/>
    <n v="0.8"/>
    <n v="2761776.67"/>
    <n v="163855.54999999999"/>
    <n v="2925632.22"/>
    <n v="23987.95"/>
    <n v="362748.66"/>
    <n v="0.98499999999999999"/>
    <n v="85556.57"/>
    <n v="0"/>
    <n v="0"/>
    <x v="2"/>
    <n v="5"/>
  </r>
  <r>
    <n v="38222"/>
    <n v="3200169"/>
    <x v="1"/>
    <n v="0.30099999999999999"/>
    <n v="1039118.48"/>
    <n v="61650.67"/>
    <n v="1100769.1499999999"/>
    <n v="9025.4599999999991"/>
    <n v="145483.1"/>
    <n v="0.439"/>
    <n v="32190.66"/>
    <n v="0"/>
    <n v="0"/>
    <x v="2"/>
    <n v="5"/>
  </r>
  <r>
    <n v="38223"/>
    <n v="3200136"/>
    <x v="2"/>
    <n v="0.41599999999999998"/>
    <n v="1436123.87"/>
    <n v="85204.9"/>
    <n v="1521328.77"/>
    <n v="12473.73"/>
    <n v="164257.9"/>
    <n v="0.34799999999999998"/>
    <n v="44489.41"/>
    <n v="0"/>
    <n v="0"/>
    <x v="2"/>
    <n v="5"/>
  </r>
  <r>
    <n v="38224"/>
    <n v="3200201"/>
    <x v="3"/>
    <n v="0.51"/>
    <n v="1760632.63"/>
    <n v="104457.91"/>
    <n v="1865090.54"/>
    <n v="15292.32"/>
    <n v="324052.98"/>
    <n v="0.98"/>
    <n v="54542.31"/>
    <n v="0"/>
    <n v="0"/>
    <x v="2"/>
    <n v="5"/>
  </r>
  <r>
    <n v="38225"/>
    <n v="3200300"/>
    <x v="4"/>
    <n v="0.49"/>
    <n v="1691588.19"/>
    <n v="100361.5"/>
    <n v="1791949.69"/>
    <n v="14692.62"/>
    <n v="375674.72"/>
    <n v="0.56399999999999995"/>
    <n v="52403.39"/>
    <n v="0"/>
    <n v="0"/>
    <x v="2"/>
    <n v="5"/>
  </r>
  <r>
    <n v="38226"/>
    <n v="3200359"/>
    <x v="5"/>
    <n v="0.23100000000000001"/>
    <n v="797463.01"/>
    <n v="47313.26"/>
    <n v="844776.27"/>
    <n v="6926.52"/>
    <n v="72807.899999999994"/>
    <n v="0.32700000000000001"/>
    <n v="24704.46"/>
    <n v="0"/>
    <n v="0"/>
    <x v="2"/>
    <n v="5"/>
  </r>
  <r>
    <n v="38227"/>
    <n v="3200409"/>
    <x v="6"/>
    <n v="1.766"/>
    <n v="6096621.9800000004"/>
    <n v="361711.14"/>
    <n v="6458333.1200000001"/>
    <n v="52953.39"/>
    <n v="429980.5"/>
    <n v="0.90800000000000003"/>
    <n v="188866.12"/>
    <n v="0"/>
    <n v="0"/>
    <x v="2"/>
    <n v="5"/>
  </r>
  <r>
    <n v="38228"/>
    <n v="3200508"/>
    <x v="7"/>
    <n v="0.185"/>
    <n v="638660.86"/>
    <n v="37891.61"/>
    <n v="676552.47"/>
    <n v="5547.21"/>
    <n v="121906.37"/>
    <n v="0.32300000000000001"/>
    <n v="19784.96"/>
    <n v="0"/>
    <n v="0"/>
    <x v="2"/>
    <n v="5"/>
  </r>
  <r>
    <n v="38229"/>
    <n v="3200607"/>
    <x v="8"/>
    <n v="4.9909999999999997"/>
    <n v="17230034.140000001"/>
    <n v="1022253.84"/>
    <n v="18252287.98"/>
    <n v="149654.79999999999"/>
    <n v="1476804.18"/>
    <n v="2.5089999999999999"/>
    <n v="533766.01"/>
    <n v="0"/>
    <n v="0"/>
    <x v="2"/>
    <n v="5"/>
  </r>
  <r>
    <n v="38230"/>
    <n v="3200706"/>
    <x v="9"/>
    <n v="0.373"/>
    <n v="1287678.3799999999"/>
    <n v="76397.649999999994"/>
    <n v="1364076.03"/>
    <n v="11184.38"/>
    <n v="128155.48"/>
    <n v="0.45700000000000002"/>
    <n v="39890.75"/>
    <n v="0"/>
    <n v="0"/>
    <x v="2"/>
    <n v="5"/>
  </r>
  <r>
    <n v="38231"/>
    <n v="3200805"/>
    <x v="10"/>
    <n v="0.64300000000000002"/>
    <n v="2219777.98"/>
    <n v="131698.9"/>
    <n v="2351476.88"/>
    <n v="19280.310000000001"/>
    <n v="709467.73"/>
    <n v="0.996"/>
    <n v="68766.09"/>
    <n v="0"/>
    <n v="0"/>
    <x v="2"/>
    <n v="5"/>
  </r>
  <r>
    <n v="38232"/>
    <n v="3200904"/>
    <x v="11"/>
    <n v="1.036"/>
    <n v="3576500.78"/>
    <n v="212192.95"/>
    <n v="3788693.73"/>
    <n v="31064.39"/>
    <n v="691448.08"/>
    <n v="1.321"/>
    <n v="110795.75"/>
    <n v="0"/>
    <n v="0"/>
    <x v="2"/>
    <n v="5"/>
  </r>
  <r>
    <n v="38233"/>
    <n v="3107109"/>
    <x v="12"/>
    <n v="0.39900000000000002"/>
    <n v="1377436.13"/>
    <n v="81722.960000000006"/>
    <n v="1459159.09"/>
    <n v="11963.99"/>
    <n v="167165.45000000001"/>
    <n v="0.56899999999999995"/>
    <n v="42671.33"/>
    <n v="0"/>
    <n v="0"/>
    <x v="2"/>
    <n v="5"/>
  </r>
  <r>
    <n v="38234"/>
    <n v="3201100"/>
    <x v="13"/>
    <n v="0.17599999999999999"/>
    <n v="607590.88"/>
    <n v="36048.239999999998"/>
    <n v="643639.12"/>
    <n v="5277.35"/>
    <n v="307353.11"/>
    <n v="0.43"/>
    <n v="18822.439999999999"/>
    <n v="0"/>
    <n v="0"/>
    <x v="2"/>
    <n v="5"/>
  </r>
  <r>
    <n v="38235"/>
    <n v="3201159"/>
    <x v="14"/>
    <n v="0.42099999999999999"/>
    <n v="1453384.99"/>
    <n v="86228.99"/>
    <n v="1539613.98"/>
    <n v="12623.66"/>
    <n v="146800.42000000001"/>
    <n v="0.46"/>
    <n v="45024.14"/>
    <n v="0"/>
    <n v="0"/>
    <x v="2"/>
    <n v="5"/>
  </r>
  <r>
    <n v="38236"/>
    <n v="3201209"/>
    <x v="15"/>
    <n v="3.234"/>
    <n v="11164482.140000001"/>
    <n v="662386.09"/>
    <n v="11826868.23"/>
    <n v="96971.27"/>
    <n v="3222348.71"/>
    <n v="4.4820000000000002"/>
    <n v="345862.40000000002"/>
    <n v="0"/>
    <n v="0"/>
    <x v="2"/>
    <n v="5"/>
  </r>
  <r>
    <n v="38237"/>
    <n v="3201308"/>
    <x v="16"/>
    <n v="7.4969999999999999"/>
    <n v="25881299.539999999"/>
    <n v="1535531.39"/>
    <n v="27416830.93"/>
    <n v="224797.03"/>
    <n v="4247208.8899999997"/>
    <n v="6.6040000000000001"/>
    <n v="801771.95"/>
    <n v="0"/>
    <n v="0"/>
    <x v="2"/>
    <n v="5"/>
  </r>
  <r>
    <n v="38238"/>
    <n v="3201407"/>
    <x v="17"/>
    <n v="0.96499999999999997"/>
    <n v="3331393.09"/>
    <n v="197650.75"/>
    <n v="3529043.84"/>
    <n v="28935.46"/>
    <n v="780228.1"/>
    <n v="1.155"/>
    <n v="103202.61"/>
    <n v="0"/>
    <n v="0"/>
    <x v="2"/>
    <n v="5"/>
  </r>
  <r>
    <n v="38239"/>
    <n v="3201506"/>
    <x v="18"/>
    <n v="2.1739999999999999"/>
    <n v="7505128.0700000003"/>
    <n v="445277.48"/>
    <n v="7950405.5499999998"/>
    <n v="65187.24"/>
    <n v="2079858.83"/>
    <n v="2.8220000000000001"/>
    <n v="232499.96"/>
    <n v="0"/>
    <n v="0"/>
    <x v="2"/>
    <n v="5"/>
  </r>
  <r>
    <n v="38240"/>
    <n v="3201605"/>
    <x v="19"/>
    <n v="0.65200000000000002"/>
    <n v="2250847.9900000002"/>
    <n v="133542.28"/>
    <n v="2384390.27"/>
    <n v="19550.18"/>
    <n v="253564.71"/>
    <n v="0.999"/>
    <n v="69728.600000000006"/>
    <n v="0"/>
    <n v="0"/>
    <x v="2"/>
    <n v="5"/>
  </r>
  <r>
    <n v="38241"/>
    <n v="3201704"/>
    <x v="20"/>
    <n v="0.47499999999999998"/>
    <n v="1639804.89"/>
    <n v="97289.22"/>
    <n v="1737094.11"/>
    <n v="14242.84"/>
    <n v="179043.74"/>
    <n v="0.46500000000000002"/>
    <n v="50799.21"/>
    <n v="0"/>
    <n v="0"/>
    <x v="2"/>
    <n v="5"/>
  </r>
  <r>
    <n v="38242"/>
    <n v="3201803"/>
    <x v="21"/>
    <n v="0.186"/>
    <n v="642113.06000000006"/>
    <n v="38096.410000000003"/>
    <n v="680209.47"/>
    <n v="5577.2"/>
    <n v="37141.49"/>
    <n v="0.28299999999999997"/>
    <n v="19891.900000000001"/>
    <n v="0"/>
    <n v="0"/>
    <x v="2"/>
    <n v="5"/>
  </r>
  <r>
    <n v="38243"/>
    <n v="3201902"/>
    <x v="22"/>
    <n v="1.3140000000000001"/>
    <n v="4536218.13"/>
    <n v="269132.75"/>
    <n v="4805350.88"/>
    <n v="39400.199999999997"/>
    <n v="669719.37"/>
    <n v="1.0309999999999999"/>
    <n v="140526.65"/>
    <n v="0"/>
    <n v="0"/>
    <x v="2"/>
    <n v="5"/>
  </r>
  <r>
    <n v="38244"/>
    <n v="3202009"/>
    <x v="23"/>
    <n v="0.26"/>
    <n v="897577.41"/>
    <n v="53253.05"/>
    <n v="950830.46"/>
    <n v="7796.08"/>
    <n v="142371.09"/>
    <n v="0.314"/>
    <n v="27805.89"/>
    <n v="0"/>
    <n v="0"/>
    <x v="2"/>
    <n v="5"/>
  </r>
  <r>
    <n v="38245"/>
    <n v="3202108"/>
    <x v="24"/>
    <n v="0.69899999999999995"/>
    <n v="2413102.35"/>
    <n v="143168.81"/>
    <n v="2556271.16"/>
    <n v="20959.47"/>
    <n v="240414.56"/>
    <n v="0.81599999999999995"/>
    <n v="74755.039999999994"/>
    <n v="0"/>
    <n v="0"/>
    <x v="2"/>
    <n v="5"/>
  </r>
  <r>
    <n v="38246"/>
    <n v="3202207"/>
    <x v="25"/>
    <n v="0.313"/>
    <n v="1080545.1200000001"/>
    <n v="64108.480000000003"/>
    <n v="1144653.6000000001"/>
    <n v="9385.2800000000007"/>
    <n v="202827.82"/>
    <n v="0.73399999999999999"/>
    <n v="33474.01"/>
    <n v="0"/>
    <n v="0"/>
    <x v="2"/>
    <n v="5"/>
  </r>
  <r>
    <n v="38247"/>
    <n v="3202256"/>
    <x v="26"/>
    <n v="0.43"/>
    <n v="1484454.95"/>
    <n v="88072.35"/>
    <n v="1572527.3"/>
    <n v="12893.52"/>
    <n v="176866.5"/>
    <n v="0.46700000000000003"/>
    <n v="45986.65"/>
    <n v="0"/>
    <n v="0"/>
    <x v="2"/>
    <n v="5"/>
  </r>
  <r>
    <n v="38248"/>
    <n v="3202306"/>
    <x v="27"/>
    <n v="0.378"/>
    <n v="1304939.48"/>
    <n v="77421.75"/>
    <n v="1382361.23"/>
    <n v="11334.3"/>
    <n v="559615.69999999995"/>
    <n v="0.998"/>
    <n v="40425.47"/>
    <n v="0"/>
    <n v="0"/>
    <x v="2"/>
    <n v="5"/>
  </r>
  <r>
    <n v="38249"/>
    <n v="3202405"/>
    <x v="28"/>
    <n v="0.90900000000000003"/>
    <n v="3138068.73"/>
    <n v="186180.9"/>
    <n v="3324249.63"/>
    <n v="27256.3"/>
    <n v="2745825.19"/>
    <n v="2.8730000000000002"/>
    <n v="97213.64"/>
    <n v="0"/>
    <n v="0"/>
    <x v="2"/>
    <n v="5"/>
  </r>
  <r>
    <n v="38250"/>
    <n v="3202454"/>
    <x v="29"/>
    <n v="0.35099999999999998"/>
    <n v="1211729.53"/>
    <n v="71891.63"/>
    <n v="1283621.1599999999"/>
    <n v="10524.71"/>
    <n v="378221.1"/>
    <n v="0.86499999999999999"/>
    <n v="37537.94"/>
    <n v="0"/>
    <n v="0"/>
    <x v="2"/>
    <n v="5"/>
  </r>
  <r>
    <n v="38251"/>
    <n v="3202504"/>
    <x v="30"/>
    <n v="0.26700000000000002"/>
    <n v="921742.97"/>
    <n v="54686.78"/>
    <n v="976429.75"/>
    <n v="8005.98"/>
    <n v="202434.36"/>
    <n v="0.46300000000000002"/>
    <n v="28554.51"/>
    <n v="0"/>
    <n v="0"/>
    <x v="2"/>
    <n v="5"/>
  </r>
  <r>
    <n v="38252"/>
    <n v="3202553"/>
    <x v="31"/>
    <n v="0.248"/>
    <n v="856150.79"/>
    <n v="50795.199999999997"/>
    <n v="906945.99"/>
    <n v="7436.26"/>
    <n v="85331.09"/>
    <n v="0.33800000000000002"/>
    <n v="26522.53"/>
    <n v="0"/>
    <n v="0"/>
    <x v="2"/>
    <n v="5"/>
  </r>
  <r>
    <n v="38253"/>
    <n v="3202603"/>
    <x v="32"/>
    <n v="0.34399999999999997"/>
    <n v="1187563.96"/>
    <n v="70457.87"/>
    <n v="1258021.83"/>
    <n v="10314.82"/>
    <n v="415630.25"/>
    <n v="0.55600000000000005"/>
    <n v="36789.32"/>
    <n v="0"/>
    <n v="0"/>
    <x v="2"/>
    <n v="5"/>
  </r>
  <r>
    <n v="38254"/>
    <n v="3202652"/>
    <x v="33"/>
    <n v="0.308"/>
    <n v="1063284.02"/>
    <n v="63084.36"/>
    <n v="1126368.3799999999"/>
    <n v="9235.36"/>
    <n v="196331.81"/>
    <n v="0.55100000000000005"/>
    <n v="32939.279999999999"/>
    <n v="0"/>
    <n v="0"/>
    <x v="2"/>
    <n v="5"/>
  </r>
  <r>
    <n v="38255"/>
    <n v="3202702"/>
    <x v="34"/>
    <n v="0.35499999999999998"/>
    <n v="1225538.3999999999"/>
    <n v="72710.87"/>
    <n v="1298249.27"/>
    <n v="10644.65"/>
    <n v="171474.41"/>
    <n v="0.55500000000000005"/>
    <n v="37965.72"/>
    <n v="0"/>
    <n v="0"/>
    <x v="2"/>
    <n v="5"/>
  </r>
  <r>
    <n v="38256"/>
    <n v="3202801"/>
    <x v="35"/>
    <n v="2.262"/>
    <n v="7808923.5"/>
    <n v="463301.57"/>
    <n v="8272225.0700000003"/>
    <n v="67825.919999999998"/>
    <n v="437490.12"/>
    <n v="1.042"/>
    <n v="241911.19"/>
    <n v="0"/>
    <n v="0"/>
    <x v="2"/>
    <n v="5"/>
  </r>
  <r>
    <n v="38257"/>
    <n v="3202900"/>
    <x v="36"/>
    <n v="0.34599999999999997"/>
    <n v="1194468.3999999999"/>
    <n v="70867.520000000004"/>
    <n v="1265335.92"/>
    <n v="10374.790000000001"/>
    <n v="249735.8"/>
    <n v="0.435"/>
    <n v="37003.21"/>
    <n v="0"/>
    <n v="0"/>
    <x v="2"/>
    <n v="5"/>
  </r>
  <r>
    <n v="38258"/>
    <n v="3203007"/>
    <x v="37"/>
    <n v="0.438"/>
    <n v="1512072.7"/>
    <n v="89710.91"/>
    <n v="1601783.61"/>
    <n v="13133.4"/>
    <n v="364711.84"/>
    <n v="0.89700000000000002"/>
    <n v="46842.21"/>
    <n v="0"/>
    <n v="0"/>
    <x v="2"/>
    <n v="5"/>
  </r>
  <r>
    <n v="38259"/>
    <n v="3203056"/>
    <x v="38"/>
    <n v="0.8"/>
    <n v="2761776.67"/>
    <n v="163855.54999999999"/>
    <n v="2925632.22"/>
    <n v="23987.95"/>
    <n v="435128.65"/>
    <n v="1"/>
    <n v="85556.57"/>
    <n v="0"/>
    <n v="0"/>
    <x v="2"/>
    <n v="5"/>
  </r>
  <r>
    <n v="38260"/>
    <n v="3203106"/>
    <x v="39"/>
    <n v="0.21199999999999999"/>
    <n v="731870.82"/>
    <n v="43421.73"/>
    <n v="775292.55"/>
    <n v="6356.81"/>
    <n v="125624.88"/>
    <n v="0.45800000000000002"/>
    <n v="22672.49"/>
    <n v="0"/>
    <n v="0"/>
    <x v="2"/>
    <n v="5"/>
  </r>
  <r>
    <n v="38261"/>
    <n v="3203130"/>
    <x v="40"/>
    <n v="0.38600000000000001"/>
    <n v="1332557.25"/>
    <n v="79060.31"/>
    <n v="1411617.56"/>
    <n v="11574.18"/>
    <n v="229878.94"/>
    <n v="0.66600000000000004"/>
    <n v="41281.040000000001"/>
    <n v="0"/>
    <n v="0"/>
    <x v="2"/>
    <n v="5"/>
  </r>
  <r>
    <n v="38262"/>
    <n v="3203163"/>
    <x v="41"/>
    <n v="0.372"/>
    <n v="1284226.1499999999"/>
    <n v="76192.850000000006"/>
    <n v="1360419"/>
    <n v="11154.39"/>
    <n v="117687.44"/>
    <n v="0.441"/>
    <n v="39783.81"/>
    <n v="0"/>
    <n v="0"/>
    <x v="2"/>
    <n v="5"/>
  </r>
  <r>
    <n v="38263"/>
    <n v="3203205"/>
    <x v="42"/>
    <n v="5.4"/>
    <n v="18641992.48"/>
    <n v="1106025"/>
    <n v="19748017.48"/>
    <n v="161918.63"/>
    <n v="2820326.15"/>
    <n v="4.0880000000000001"/>
    <n v="577506.80000000005"/>
    <n v="0"/>
    <n v="0"/>
    <x v="2"/>
    <n v="5"/>
  </r>
  <r>
    <n v="38264"/>
    <n v="3203304"/>
    <x v="43"/>
    <n v="0.216"/>
    <n v="745679.69"/>
    <n v="44241"/>
    <n v="789920.69"/>
    <n v="6476.75"/>
    <n v="231142.61"/>
    <n v="0.57599999999999996"/>
    <n v="23100.27"/>
    <n v="0"/>
    <n v="0"/>
    <x v="2"/>
    <n v="5"/>
  </r>
  <r>
    <n v="38265"/>
    <n v="3203320"/>
    <x v="44"/>
    <n v="0.60899999999999999"/>
    <n v="2102402.46"/>
    <n v="124735.05"/>
    <n v="2227137.5099999998"/>
    <n v="18260.82"/>
    <n v="588256.37"/>
    <n v="1.171"/>
    <n v="65129.93"/>
    <n v="0"/>
    <n v="0"/>
    <x v="2"/>
    <n v="5"/>
  </r>
  <r>
    <n v="38266"/>
    <n v="3203346"/>
    <x v="45"/>
    <n v="0.64500000000000002"/>
    <n v="2226682.4300000002"/>
    <n v="132108.54"/>
    <n v="2358790.9700000002"/>
    <n v="19340.28"/>
    <n v="400514.4"/>
    <n v="0.67100000000000004"/>
    <n v="68979.98"/>
    <n v="0"/>
    <n v="0"/>
    <x v="2"/>
    <n v="5"/>
  </r>
  <r>
    <n v="38267"/>
    <n v="3203353"/>
    <x v="46"/>
    <n v="0.45200000000000001"/>
    <n v="1560403.82"/>
    <n v="92578.39"/>
    <n v="1652982.21"/>
    <n v="13553.19"/>
    <n v="210399.8"/>
    <n v="0.46700000000000003"/>
    <n v="48339.46"/>
    <n v="0"/>
    <n v="0"/>
    <x v="2"/>
    <n v="5"/>
  </r>
  <r>
    <n v="38268"/>
    <n v="3203403"/>
    <x v="47"/>
    <n v="0.51400000000000001"/>
    <n v="1774441.5"/>
    <n v="105277.2"/>
    <n v="1879718.7"/>
    <n v="15412.25"/>
    <n v="272585.17"/>
    <n v="0.85599999999999998"/>
    <n v="54970.1"/>
    <n v="0"/>
    <n v="0"/>
    <x v="2"/>
    <n v="5"/>
  </r>
  <r>
    <n v="38269"/>
    <n v="3203502"/>
    <x v="48"/>
    <n v="0.53600000000000003"/>
    <n v="1850390.36"/>
    <n v="109783.2"/>
    <n v="1960173.56"/>
    <n v="16071.92"/>
    <n v="253586.42"/>
    <n v="0.69299999999999995"/>
    <n v="57322.89"/>
    <n v="0"/>
    <n v="0"/>
    <x v="2"/>
    <n v="5"/>
  </r>
  <r>
    <n v="38270"/>
    <n v="3203601"/>
    <x v="49"/>
    <n v="0.27800000000000002"/>
    <n v="959717.4"/>
    <n v="56939.81"/>
    <n v="1016657.21"/>
    <n v="8335.81"/>
    <n v="56558.74"/>
    <n v="0.29799999999999999"/>
    <n v="29730.9"/>
    <n v="0"/>
    <n v="0"/>
    <x v="2"/>
    <n v="5"/>
  </r>
  <r>
    <n v="38271"/>
    <n v="3203700"/>
    <x v="50"/>
    <n v="0.55000000000000004"/>
    <n v="1898721.47"/>
    <n v="112650.67"/>
    <n v="2011372.14"/>
    <n v="16491.71"/>
    <n v="172386.29"/>
    <n v="0.67100000000000004"/>
    <n v="58820.13"/>
    <n v="0"/>
    <n v="0"/>
    <x v="2"/>
    <n v="5"/>
  </r>
  <r>
    <n v="38272"/>
    <n v="3203809"/>
    <x v="51"/>
    <n v="0.29599999999999999"/>
    <n v="1021857.38"/>
    <n v="60626.559999999998"/>
    <n v="1082483.94"/>
    <n v="8875.5400000000009"/>
    <n v="147747.87"/>
    <n v="0.57499999999999996"/>
    <n v="31655.919999999998"/>
    <n v="0"/>
    <n v="0"/>
    <x v="2"/>
    <n v="5"/>
  </r>
  <r>
    <n v="38273"/>
    <n v="3203908"/>
    <x v="52"/>
    <n v="1.268"/>
    <n v="4377416.03"/>
    <n v="259711.05"/>
    <n v="4637127.08"/>
    <n v="38020.89"/>
    <n v="778832.67"/>
    <n v="1.4650000000000001"/>
    <n v="135607.15"/>
    <n v="0"/>
    <n v="0"/>
    <x v="2"/>
    <n v="5"/>
  </r>
  <r>
    <n v="38274"/>
    <n v="3204005"/>
    <x v="53"/>
    <n v="0.47099999999999997"/>
    <n v="1625996"/>
    <n v="96469.94"/>
    <n v="1722465.94"/>
    <n v="14122.9"/>
    <n v="191323.98"/>
    <n v="0.747"/>
    <n v="50371.43"/>
    <n v="0"/>
    <n v="0"/>
    <x v="2"/>
    <n v="5"/>
  </r>
  <r>
    <n v="38275"/>
    <n v="3204054"/>
    <x v="54"/>
    <n v="0.313"/>
    <n v="1080545.1200000001"/>
    <n v="64108.480000000003"/>
    <n v="1144653.6000000001"/>
    <n v="9385.2800000000007"/>
    <n v="260275.07"/>
    <n v="0.86199999999999999"/>
    <n v="33474.01"/>
    <n v="0"/>
    <n v="0"/>
    <x v="2"/>
    <n v="5"/>
  </r>
  <r>
    <n v="38276"/>
    <n v="3204104"/>
    <x v="55"/>
    <n v="0.72599999999999998"/>
    <n v="2506312.33"/>
    <n v="148698.91"/>
    <n v="2655011.2400000002"/>
    <n v="21769.06"/>
    <n v="227862.47"/>
    <n v="0.875"/>
    <n v="77642.58"/>
    <n v="0"/>
    <n v="0"/>
    <x v="2"/>
    <n v="5"/>
  </r>
  <r>
    <n v="38277"/>
    <n v="3204203"/>
    <x v="56"/>
    <n v="0.14599999999999999"/>
    <n v="504024.22"/>
    <n v="29903.65"/>
    <n v="533927.87"/>
    <n v="4377.8"/>
    <n v="357226.48"/>
    <n v="0.73399999999999999"/>
    <n v="15614.07"/>
    <n v="0"/>
    <n v="0"/>
    <x v="2"/>
    <n v="5"/>
  </r>
  <r>
    <n v="38278"/>
    <n v="3204252"/>
    <x v="57"/>
    <n v="0.221"/>
    <n v="762940.82"/>
    <n v="45265.08"/>
    <n v="808205.9"/>
    <n v="6626.67"/>
    <n v="67525.960000000006"/>
    <n v="0.32900000000000001"/>
    <n v="23635"/>
    <n v="0"/>
    <n v="0"/>
    <x v="2"/>
    <n v="5"/>
  </r>
  <r>
    <n v="38279"/>
    <n v="1718402"/>
    <x v="58"/>
    <n v="0.33800000000000002"/>
    <n v="1166850.6399999999"/>
    <n v="69229"/>
    <n v="1236079.6399999999"/>
    <n v="10134.91"/>
    <n v="226374.57"/>
    <n v="0.45100000000000001"/>
    <n v="36147.65"/>
    <n v="0"/>
    <n v="0"/>
    <x v="2"/>
    <n v="5"/>
  </r>
  <r>
    <n v="38280"/>
    <n v="3204351"/>
    <x v="59"/>
    <n v="0.79700000000000004"/>
    <n v="2751419.99"/>
    <n v="163241.10999999999"/>
    <n v="2914661.1"/>
    <n v="23897.99"/>
    <n v="343550.11"/>
    <n v="0.69799999999999995"/>
    <n v="85235.72"/>
    <n v="0"/>
    <n v="0"/>
    <x v="2"/>
    <n v="5"/>
  </r>
  <r>
    <n v="38281"/>
    <n v="3204401"/>
    <x v="60"/>
    <n v="0.27500000000000002"/>
    <n v="949360.73"/>
    <n v="56325.33"/>
    <n v="1005686.06"/>
    <n v="8245.86"/>
    <n v="163471.88"/>
    <n v="0.45"/>
    <n v="29410.07"/>
    <n v="0"/>
    <n v="0"/>
    <x v="2"/>
    <n v="5"/>
  </r>
  <r>
    <n v="38282"/>
    <n v="3204500"/>
    <x v="61"/>
    <n v="0.53800000000000003"/>
    <n v="1857294.8"/>
    <n v="110192.84"/>
    <n v="1967487.64"/>
    <n v="16131.89"/>
    <n v="148057.57"/>
    <n v="0.45600000000000002"/>
    <n v="57536.79"/>
    <n v="0"/>
    <n v="0"/>
    <x v="2"/>
    <n v="5"/>
  </r>
  <r>
    <n v="38283"/>
    <n v="3204559"/>
    <x v="62"/>
    <n v="2.1160000000000001"/>
    <n v="7304899.2300000004"/>
    <n v="433397.94"/>
    <n v="7738297.1699999999"/>
    <n v="63448.12"/>
    <n v="947224.44"/>
    <n v="1.1990000000000001"/>
    <n v="226297.11"/>
    <n v="0"/>
    <n v="0"/>
    <x v="2"/>
    <n v="5"/>
  </r>
  <r>
    <n v="38284"/>
    <n v="3204609"/>
    <x v="63"/>
    <n v="0.68799999999999994"/>
    <n v="2375127.92"/>
    <n v="140915.76"/>
    <n v="2516043.6800000002"/>
    <n v="20629.63"/>
    <n v="442291.14"/>
    <n v="0.82899999999999996"/>
    <n v="73578.649999999994"/>
    <n v="0"/>
    <n v="0"/>
    <x v="2"/>
    <n v="5"/>
  </r>
  <r>
    <n v="38285"/>
    <n v="3204658"/>
    <x v="64"/>
    <n v="0.42399999999999999"/>
    <n v="1463741.64"/>
    <n v="86843.45"/>
    <n v="1550585.09"/>
    <n v="12713.61"/>
    <n v="129760.75"/>
    <n v="0.33700000000000002"/>
    <n v="45344.98"/>
    <n v="0"/>
    <n v="0"/>
    <x v="2"/>
    <n v="5"/>
  </r>
  <r>
    <n v="38286"/>
    <n v="3204708"/>
    <x v="65"/>
    <n v="0.81499999999999995"/>
    <n v="2813559.99"/>
    <n v="166927.84"/>
    <n v="2980487.83"/>
    <n v="24437.72"/>
    <n v="505378.61"/>
    <n v="1.169"/>
    <n v="87160.75"/>
    <n v="0"/>
    <n v="0"/>
    <x v="2"/>
    <n v="5"/>
  </r>
  <r>
    <n v="38287"/>
    <n v="3204807"/>
    <x v="66"/>
    <n v="0.23"/>
    <n v="794010.8"/>
    <n v="47108.46"/>
    <n v="841119.26"/>
    <n v="6896.53"/>
    <n v="122111.07"/>
    <n v="0.436"/>
    <n v="24597.52"/>
    <n v="0"/>
    <n v="0"/>
    <x v="2"/>
    <n v="5"/>
  </r>
  <r>
    <n v="38288"/>
    <n v="3204906"/>
    <x v="67"/>
    <n v="1.8839999999999999"/>
    <n v="6503984"/>
    <n v="385879.85"/>
    <n v="6889863.8499999996"/>
    <n v="56491.61"/>
    <n v="1743568.05"/>
    <n v="3.024"/>
    <n v="201485.7"/>
    <n v="0"/>
    <n v="0"/>
    <x v="2"/>
    <n v="5"/>
  </r>
  <r>
    <n v="38289"/>
    <n v="3204955"/>
    <x v="68"/>
    <n v="0.32600000000000001"/>
    <n v="1125423.97"/>
    <n v="66771.16"/>
    <n v="1192195.1299999999"/>
    <n v="9775.09"/>
    <n v="146835.06"/>
    <n v="0.46100000000000002"/>
    <n v="34864.29"/>
    <n v="0"/>
    <n v="0"/>
    <x v="2"/>
    <n v="5"/>
  </r>
  <r>
    <n v="38290"/>
    <n v="3205002"/>
    <x v="69"/>
    <n v="14.176"/>
    <n v="48938682.43"/>
    <n v="2903520.44"/>
    <n v="51842202.869999997"/>
    <n v="425066.39"/>
    <n v="7156972.6200000001"/>
    <n v="8.4320000000000004"/>
    <n v="1516062.31"/>
    <n v="0"/>
    <n v="0"/>
    <x v="2"/>
    <n v="5"/>
  </r>
  <r>
    <n v="38291"/>
    <n v="3205010"/>
    <x v="70"/>
    <n v="0.72199999999999998"/>
    <n v="2492503.42"/>
    <n v="147879.63"/>
    <n v="2640383.0499999998"/>
    <n v="21649.119999999999"/>
    <n v="271903.26"/>
    <n v="0.997"/>
    <n v="77214.8"/>
    <n v="0"/>
    <n v="0"/>
    <x v="2"/>
    <n v="5"/>
  </r>
  <r>
    <n v="38292"/>
    <n v="3205036"/>
    <x v="71"/>
    <n v="0.498"/>
    <n v="1719205.98"/>
    <n v="102000.09"/>
    <n v="1821206.07"/>
    <n v="14932.5"/>
    <n v="307835.07"/>
    <n v="0.72699999999999998"/>
    <n v="53258.96"/>
    <n v="0"/>
    <n v="0"/>
    <x v="2"/>
    <n v="5"/>
  </r>
  <r>
    <n v="38293"/>
    <n v="3205069"/>
    <x v="72"/>
    <n v="0.75800000000000001"/>
    <n v="2616783.39"/>
    <n v="155253.13"/>
    <n v="2772036.52"/>
    <n v="22728.58"/>
    <n v="508956.25"/>
    <n v="0.85799999999999998"/>
    <n v="81064.84"/>
    <n v="0"/>
    <n v="0"/>
    <x v="2"/>
    <n v="5"/>
  </r>
  <r>
    <n v="38294"/>
    <n v="2112803"/>
    <x v="73"/>
    <n v="2.9929999999999999"/>
    <n v="10332496.92"/>
    <n v="613024.57999999996"/>
    <n v="10945521.5"/>
    <n v="89744.9"/>
    <n v="1025444.11"/>
    <n v="1.984"/>
    <n v="320088.49"/>
    <n v="0"/>
    <n v="0"/>
    <x v="2"/>
    <n v="5"/>
  </r>
  <r>
    <n v="38295"/>
    <n v="3205150"/>
    <x v="74"/>
    <n v="0.32800000000000001"/>
    <n v="1132328.42"/>
    <n v="67180.759999999995"/>
    <n v="1199509.18"/>
    <n v="9835.06"/>
    <n v="109744.86"/>
    <n v="0.34399999999999997"/>
    <n v="35078.19"/>
    <n v="0"/>
    <n v="0"/>
    <x v="2"/>
    <n v="5"/>
  </r>
  <r>
    <n v="38296"/>
    <n v="3205176"/>
    <x v="75"/>
    <n v="0.623"/>
    <n v="2150733.58"/>
    <n v="127602.53"/>
    <n v="2278336.11"/>
    <n v="18680.61"/>
    <n v="291751.21999999997"/>
    <n v="0.55600000000000005"/>
    <n v="66627.17"/>
    <n v="0"/>
    <n v="0"/>
    <x v="2"/>
    <n v="5"/>
  </r>
  <r>
    <n v="38297"/>
    <n v="3205200"/>
    <x v="76"/>
    <n v="5.3819999999999997"/>
    <n v="18579852.48"/>
    <n v="1102338.24"/>
    <n v="19682190.719999999"/>
    <n v="161378.9"/>
    <n v="8066836.1699999999"/>
    <n v="8.09"/>
    <n v="575581.78"/>
    <n v="0"/>
    <n v="0"/>
    <x v="2"/>
    <n v="5"/>
  </r>
  <r>
    <n v="38298"/>
    <n v="3205309"/>
    <x v="77"/>
    <n v="14.535"/>
    <n v="50178029.619999997"/>
    <n v="2977050.8"/>
    <n v="53155080.420000002"/>
    <n v="435830.99"/>
    <n v="7817881"/>
    <n v="9.4969999999999999"/>
    <n v="1554455.83"/>
    <n v="0"/>
    <n v="0"/>
    <x v="2"/>
    <n v="5"/>
  </r>
  <r>
    <n v="38299"/>
    <n v="3200102"/>
    <x v="0"/>
    <n v="0.8"/>
    <n v="2955921.71"/>
    <n v="34404.019999999997"/>
    <n v="2990325.73"/>
    <n v="25964.080000000002"/>
    <n v="320813.34999999998"/>
    <n v="0.98499999999999999"/>
    <n v="67231.509999999995"/>
    <n v="0"/>
    <n v="0"/>
    <x v="2"/>
    <n v="6"/>
  </r>
  <r>
    <n v="38300"/>
    <n v="3200169"/>
    <x v="1"/>
    <n v="0.30099999999999999"/>
    <n v="1112165.55"/>
    <n v="12944.51"/>
    <n v="1125110.06"/>
    <n v="9768.99"/>
    <n v="116564.55"/>
    <n v="0.439"/>
    <n v="25295.85"/>
    <n v="0"/>
    <n v="0"/>
    <x v="2"/>
    <n v="6"/>
  </r>
  <r>
    <n v="38301"/>
    <n v="3200136"/>
    <x v="2"/>
    <n v="0.41599999999999998"/>
    <n v="1537079.31"/>
    <n v="17890.060000000001"/>
    <n v="1554969.37"/>
    <n v="13501.32"/>
    <n v="118849.21"/>
    <n v="0.34799999999999998"/>
    <n v="34960.379999999997"/>
    <n v="0"/>
    <n v="0"/>
    <x v="2"/>
    <n v="6"/>
  </r>
  <r>
    <n v="38302"/>
    <n v="3200201"/>
    <x v="3"/>
    <n v="0.51"/>
    <n v="1884400.09"/>
    <n v="21932.57"/>
    <n v="1906332.66"/>
    <n v="16552.099999999999"/>
    <n v="293226.67"/>
    <n v="0.98"/>
    <n v="42860.09"/>
    <n v="0"/>
    <n v="0"/>
    <x v="2"/>
    <n v="6"/>
  </r>
  <r>
    <n v="38303"/>
    <n v="3200300"/>
    <x v="4"/>
    <n v="0.49"/>
    <n v="1810502.07"/>
    <n v="21072.47"/>
    <n v="1831574.54"/>
    <n v="15903"/>
    <n v="253328.76"/>
    <n v="0.56399999999999995"/>
    <n v="41179.300000000003"/>
    <n v="0"/>
    <n v="0"/>
    <x v="2"/>
    <n v="6"/>
  </r>
  <r>
    <n v="38304"/>
    <n v="3200359"/>
    <x v="5"/>
    <n v="0.23100000000000001"/>
    <n v="853522.43"/>
    <n v="9934.15"/>
    <n v="863456.58"/>
    <n v="7497.13"/>
    <n v="75849.72"/>
    <n v="0.32700000000000001"/>
    <n v="19413.099999999999"/>
    <n v="0"/>
    <n v="0"/>
    <x v="2"/>
    <n v="6"/>
  </r>
  <r>
    <n v="38305"/>
    <n v="3200409"/>
    <x v="6"/>
    <n v="1.766"/>
    <n v="6525197.2300000004"/>
    <n v="75946.91"/>
    <n v="6601144.1399999997"/>
    <n v="57315.71"/>
    <n v="375826.91"/>
    <n v="0.90800000000000003"/>
    <n v="148413.56"/>
    <n v="0"/>
    <n v="0"/>
    <x v="2"/>
    <n v="6"/>
  </r>
  <r>
    <n v="38306"/>
    <n v="3200508"/>
    <x v="7"/>
    <n v="0.185"/>
    <n v="683556.9"/>
    <n v="7955.94"/>
    <n v="691512.84"/>
    <n v="6004.19"/>
    <n v="138453.07"/>
    <n v="0.32300000000000001"/>
    <n v="15547.28"/>
    <n v="0"/>
    <n v="0"/>
    <x v="2"/>
    <n v="6"/>
  </r>
  <r>
    <n v="38307"/>
    <n v="3200607"/>
    <x v="8"/>
    <n v="4.9909999999999997"/>
    <n v="18441256.73"/>
    <n v="214638.09"/>
    <n v="18655894.82"/>
    <n v="161983.43"/>
    <n v="1380460.44"/>
    <n v="2.5089999999999999"/>
    <n v="419440.58"/>
    <n v="0"/>
    <n v="0"/>
    <x v="2"/>
    <n v="6"/>
  </r>
  <r>
    <n v="38308"/>
    <n v="3200706"/>
    <x v="9"/>
    <n v="0.373"/>
    <n v="1378198.51"/>
    <n v="16040.87"/>
    <n v="1394239.38"/>
    <n v="12105.75"/>
    <n v="138649.06"/>
    <n v="0.45700000000000002"/>
    <n v="31346.69"/>
    <n v="0"/>
    <n v="0"/>
    <x v="2"/>
    <n v="6"/>
  </r>
  <r>
    <n v="38309"/>
    <n v="3200805"/>
    <x v="10"/>
    <n v="0.64300000000000002"/>
    <n v="2375822.12"/>
    <n v="27652.23"/>
    <n v="2403474.35"/>
    <n v="20868.63"/>
    <n v="565436.51"/>
    <n v="0.996"/>
    <n v="54037.33"/>
    <n v="0"/>
    <n v="0"/>
    <x v="2"/>
    <n v="6"/>
  </r>
  <r>
    <n v="38310"/>
    <n v="3200904"/>
    <x v="11"/>
    <n v="1.036"/>
    <n v="3827918.66"/>
    <n v="44553.2"/>
    <n v="3872471.86"/>
    <n v="33623.49"/>
    <n v="620638.81999999995"/>
    <n v="1.321"/>
    <n v="87064.81"/>
    <n v="0"/>
    <n v="0"/>
    <x v="2"/>
    <n v="6"/>
  </r>
  <r>
    <n v="38311"/>
    <n v="3107109"/>
    <x v="12"/>
    <n v="0.39900000000000002"/>
    <n v="1474265.98"/>
    <n v="17159"/>
    <n v="1491424.98"/>
    <n v="12949.59"/>
    <n v="159476.92000000001"/>
    <n v="0.56899999999999995"/>
    <n v="33531.71"/>
    <n v="0"/>
    <n v="0"/>
    <x v="2"/>
    <n v="6"/>
  </r>
  <r>
    <n v="38312"/>
    <n v="3201100"/>
    <x v="13"/>
    <n v="0.17599999999999999"/>
    <n v="650302.80000000005"/>
    <n v="7568.87"/>
    <n v="657871.67000000004"/>
    <n v="5712.1"/>
    <n v="289910.92"/>
    <n v="0.43"/>
    <n v="14790.93"/>
    <n v="0"/>
    <n v="0"/>
    <x v="2"/>
    <n v="6"/>
  </r>
  <r>
    <n v="38313"/>
    <n v="3201159"/>
    <x v="14"/>
    <n v="0.42099999999999999"/>
    <n v="1555553.82"/>
    <n v="18105.11"/>
    <n v="1573658.93"/>
    <n v="13663.6"/>
    <n v="136793.19"/>
    <n v="0.46"/>
    <n v="35380.58"/>
    <n v="0"/>
    <n v="0"/>
    <x v="2"/>
    <n v="6"/>
  </r>
  <r>
    <n v="38314"/>
    <n v="3201209"/>
    <x v="15"/>
    <n v="3.234"/>
    <n v="11949313.59"/>
    <n v="139078.25"/>
    <n v="12088391.84"/>
    <n v="104959.81"/>
    <n v="2880875.87"/>
    <n v="4.4820000000000002"/>
    <n v="271783.38"/>
    <n v="0"/>
    <n v="0"/>
    <x v="2"/>
    <n v="6"/>
  </r>
  <r>
    <n v="38315"/>
    <n v="3201308"/>
    <x v="16"/>
    <n v="7.4969999999999999"/>
    <n v="27700681.550000001"/>
    <n v="322408.73"/>
    <n v="28023090.280000001"/>
    <n v="243315.92"/>
    <n v="4024992.78"/>
    <n v="6.6040000000000001"/>
    <n v="630043.28"/>
    <n v="0"/>
    <n v="0"/>
    <x v="2"/>
    <n v="6"/>
  </r>
  <r>
    <n v="38316"/>
    <n v="3201407"/>
    <x v="17"/>
    <n v="0.96499999999999997"/>
    <n v="3565580.56"/>
    <n v="41499.82"/>
    <n v="3607080.38"/>
    <n v="31319.18"/>
    <n v="612072.89"/>
    <n v="1.155"/>
    <n v="81098.009999999995"/>
    <n v="0"/>
    <n v="0"/>
    <x v="2"/>
    <n v="6"/>
  </r>
  <r>
    <n v="38317"/>
    <n v="3201506"/>
    <x v="18"/>
    <n v="2.1739999999999999"/>
    <n v="8032717.2800000003"/>
    <n v="93492.94"/>
    <n v="8126210.2199999997"/>
    <n v="70557.399999999994"/>
    <n v="1891034.07"/>
    <n v="2.8220000000000001"/>
    <n v="182701.62"/>
    <n v="0"/>
    <n v="0"/>
    <x v="2"/>
    <n v="6"/>
  </r>
  <r>
    <n v="38318"/>
    <n v="3201605"/>
    <x v="19"/>
    <n v="0.65200000000000002"/>
    <n v="2409076.2200000002"/>
    <n v="28039.29"/>
    <n v="2437115.5099999998"/>
    <n v="21160.73"/>
    <n v="235060.96"/>
    <n v="0.999"/>
    <n v="54793.68"/>
    <n v="0"/>
    <n v="0"/>
    <x v="2"/>
    <n v="6"/>
  </r>
  <r>
    <n v="38319"/>
    <n v="3201704"/>
    <x v="20"/>
    <n v="0.47499999999999998"/>
    <n v="1755078.55"/>
    <n v="20427.37"/>
    <n v="1775505.92"/>
    <n v="15416.17"/>
    <n v="148030.85999999999"/>
    <n v="0.46500000000000002"/>
    <n v="39918.699999999997"/>
    <n v="0"/>
    <n v="0"/>
    <x v="2"/>
    <n v="6"/>
  </r>
  <r>
    <n v="38320"/>
    <n v="3201803"/>
    <x v="21"/>
    <n v="0.186"/>
    <n v="687251.81"/>
    <n v="7998.95"/>
    <n v="695250.76"/>
    <n v="6036.65"/>
    <n v="43808.52"/>
    <n v="0.28299999999999997"/>
    <n v="15631.33"/>
    <n v="0"/>
    <n v="0"/>
    <x v="2"/>
    <n v="6"/>
  </r>
  <r>
    <n v="38321"/>
    <n v="3201902"/>
    <x v="22"/>
    <n v="1.3140000000000001"/>
    <n v="4855101.45"/>
    <n v="56508.6"/>
    <n v="4911610.05"/>
    <n v="42646.01"/>
    <n v="537237.99"/>
    <n v="1.0309999999999999"/>
    <n v="110427.75"/>
    <n v="0"/>
    <n v="0"/>
    <x v="2"/>
    <n v="6"/>
  </r>
  <r>
    <n v="38322"/>
    <n v="3202009"/>
    <x v="23"/>
    <n v="0.26"/>
    <n v="960674.56"/>
    <n v="11181.3"/>
    <n v="971855.86"/>
    <n v="8438.33"/>
    <n v="132598.32"/>
    <n v="0.314"/>
    <n v="21850.240000000002"/>
    <n v="0"/>
    <n v="0"/>
    <x v="2"/>
    <n v="6"/>
  </r>
  <r>
    <n v="38323"/>
    <n v="3202108"/>
    <x v="24"/>
    <n v="0.69899999999999995"/>
    <n v="2582736.62"/>
    <n v="30060.52"/>
    <n v="2612797.14"/>
    <n v="22686.12"/>
    <n v="213395.04"/>
    <n v="0.81599999999999995"/>
    <n v="58743.53"/>
    <n v="0"/>
    <n v="0"/>
    <x v="2"/>
    <n v="6"/>
  </r>
  <r>
    <n v="38324"/>
    <n v="3202207"/>
    <x v="25"/>
    <n v="0.313"/>
    <n v="1156504.3700000001"/>
    <n v="13460.58"/>
    <n v="1169964.95"/>
    <n v="10158.450000000001"/>
    <n v="191095"/>
    <n v="0.73399999999999999"/>
    <n v="26304.33"/>
    <n v="0"/>
    <n v="0"/>
    <x v="2"/>
    <n v="6"/>
  </r>
  <r>
    <n v="38325"/>
    <n v="3202256"/>
    <x v="26"/>
    <n v="0.43"/>
    <n v="1588807.93"/>
    <n v="18492.2"/>
    <n v="1607300.13"/>
    <n v="13955.69"/>
    <n v="136359.89000000001"/>
    <n v="0.46700000000000003"/>
    <n v="36136.94"/>
    <n v="0"/>
    <n v="0"/>
    <x v="2"/>
    <n v="6"/>
  </r>
  <r>
    <n v="38326"/>
    <n v="3202306"/>
    <x v="27"/>
    <n v="0.378"/>
    <n v="1396673.04"/>
    <n v="16255.9"/>
    <n v="1412928.94"/>
    <n v="12268.03"/>
    <n v="440657.3"/>
    <n v="0.998"/>
    <n v="31766.89"/>
    <n v="0"/>
    <n v="0"/>
    <x v="2"/>
    <n v="6"/>
  </r>
  <r>
    <n v="38327"/>
    <n v="3202405"/>
    <x v="28"/>
    <n v="0.90900000000000003"/>
    <n v="3358666.06"/>
    <n v="39091.57"/>
    <n v="3397757.63"/>
    <n v="29501.69"/>
    <n v="2576977.86"/>
    <n v="2.8730000000000002"/>
    <n v="76391.8"/>
    <n v="0"/>
    <n v="0"/>
    <x v="2"/>
    <n v="6"/>
  </r>
  <r>
    <n v="38328"/>
    <n v="3202454"/>
    <x v="29"/>
    <n v="0.35099999999999998"/>
    <n v="1296910.6599999999"/>
    <n v="15094.77"/>
    <n v="1312005.43"/>
    <n v="11391.74"/>
    <n v="358529.9"/>
    <n v="0.86499999999999999"/>
    <n v="29497.82"/>
    <n v="0"/>
    <n v="0"/>
    <x v="2"/>
    <n v="6"/>
  </r>
  <r>
    <n v="38329"/>
    <n v="3202504"/>
    <x v="30"/>
    <n v="0.26700000000000002"/>
    <n v="986538.88"/>
    <n v="11482.35"/>
    <n v="998021.23"/>
    <n v="8665.51"/>
    <n v="163939.51"/>
    <n v="0.46300000000000002"/>
    <n v="22438.51"/>
    <n v="0"/>
    <n v="0"/>
    <x v="2"/>
    <n v="6"/>
  </r>
  <r>
    <n v="38330"/>
    <n v="3202553"/>
    <x v="31"/>
    <n v="0.248"/>
    <n v="916335.75"/>
    <n v="10665.27"/>
    <n v="927001.02"/>
    <n v="8048.87"/>
    <n v="89659.08"/>
    <n v="0.33800000000000002"/>
    <n v="20841.77"/>
    <n v="0"/>
    <n v="0"/>
    <x v="2"/>
    <n v="6"/>
  </r>
  <r>
    <n v="38331"/>
    <n v="3202603"/>
    <x v="32"/>
    <n v="0.34399999999999997"/>
    <n v="1271046.3400000001"/>
    <n v="14793.74"/>
    <n v="1285840.08"/>
    <n v="11164.56"/>
    <n v="324123.53000000003"/>
    <n v="0.55600000000000005"/>
    <n v="28909.55"/>
    <n v="0"/>
    <n v="0"/>
    <x v="2"/>
    <n v="6"/>
  </r>
  <r>
    <n v="38332"/>
    <n v="3202652"/>
    <x v="33"/>
    <n v="0.308"/>
    <n v="1138029.8799999999"/>
    <n v="13245.56"/>
    <n v="1151275.44"/>
    <n v="9996.17"/>
    <n v="179611.15"/>
    <n v="0.55100000000000005"/>
    <n v="25884.13"/>
    <n v="0"/>
    <n v="0"/>
    <x v="2"/>
    <n v="6"/>
  </r>
  <r>
    <n v="38333"/>
    <n v="3202702"/>
    <x v="34"/>
    <n v="0.35499999999999998"/>
    <n v="1311690.28"/>
    <n v="15266.78"/>
    <n v="1326957.06"/>
    <n v="11521.56"/>
    <n v="121842.46"/>
    <n v="0.55500000000000005"/>
    <n v="29833.98"/>
    <n v="0"/>
    <n v="0"/>
    <x v="2"/>
    <n v="6"/>
  </r>
  <r>
    <n v="38334"/>
    <n v="3202801"/>
    <x v="35"/>
    <n v="2.262"/>
    <n v="8357868.6900000004"/>
    <n v="97277.36"/>
    <n v="8455146.0500000007"/>
    <n v="73413.45"/>
    <n v="394752.33"/>
    <n v="1.042"/>
    <n v="190097.09"/>
    <n v="0"/>
    <n v="0"/>
    <x v="2"/>
    <n v="6"/>
  </r>
  <r>
    <n v="38335"/>
    <n v="3202900"/>
    <x v="36"/>
    <n v="0.34599999999999997"/>
    <n v="1278436.1499999999"/>
    <n v="14879.74"/>
    <n v="1293315.8899999999"/>
    <n v="11229.47"/>
    <n v="171739.47"/>
    <n v="0.435"/>
    <n v="29077.63"/>
    <n v="0"/>
    <n v="0"/>
    <x v="2"/>
    <n v="6"/>
  </r>
  <r>
    <n v="38336"/>
    <n v="3203007"/>
    <x v="37"/>
    <n v="0.438"/>
    <n v="1618367.16"/>
    <n v="18836.2"/>
    <n v="1637203.36"/>
    <n v="14215.34"/>
    <n v="326005.65999999997"/>
    <n v="0.89700000000000002"/>
    <n v="36809.25"/>
    <n v="0"/>
    <n v="0"/>
    <x v="2"/>
    <n v="6"/>
  </r>
  <r>
    <n v="38337"/>
    <n v="3203056"/>
    <x v="38"/>
    <n v="0.8"/>
    <n v="2955921.71"/>
    <n v="34404.019999999997"/>
    <n v="2990325.73"/>
    <n v="25964.080000000002"/>
    <n v="341834.75"/>
    <n v="1"/>
    <n v="67231.509999999995"/>
    <n v="0"/>
    <n v="0"/>
    <x v="2"/>
    <n v="6"/>
  </r>
  <r>
    <n v="38338"/>
    <n v="3203106"/>
    <x v="39"/>
    <n v="0.21199999999999999"/>
    <n v="783319.25"/>
    <n v="9117.07"/>
    <n v="792436.32"/>
    <n v="6880.48"/>
    <n v="98511.25"/>
    <n v="0.45800000000000002"/>
    <n v="17816.349999999999"/>
    <n v="0"/>
    <n v="0"/>
    <x v="2"/>
    <n v="6"/>
  </r>
  <r>
    <n v="38339"/>
    <n v="3203130"/>
    <x v="40"/>
    <n v="0.38600000000000001"/>
    <n v="1426232.24"/>
    <n v="16599.939999999999"/>
    <n v="1442832.18"/>
    <n v="12527.67"/>
    <n v="207079.54"/>
    <n v="0.66600000000000004"/>
    <n v="32439.200000000001"/>
    <n v="0"/>
    <n v="0"/>
    <x v="2"/>
    <n v="6"/>
  </r>
  <r>
    <n v="38340"/>
    <n v="3203163"/>
    <x v="41"/>
    <n v="0.372"/>
    <n v="1374503.62"/>
    <n v="15997.86"/>
    <n v="1390501.48"/>
    <n v="12073.3"/>
    <n v="90138.02"/>
    <n v="0.441"/>
    <n v="31262.65"/>
    <n v="0"/>
    <n v="0"/>
    <x v="2"/>
    <n v="6"/>
  </r>
  <r>
    <n v="38341"/>
    <n v="3203205"/>
    <x v="42"/>
    <n v="5.4"/>
    <n v="19952471.710000001"/>
    <n v="232227.17"/>
    <n v="20184698.879999999"/>
    <n v="175257.56"/>
    <n v="2446270.7999999998"/>
    <n v="4.0880000000000001"/>
    <n v="453812.69"/>
    <n v="0"/>
    <n v="0"/>
    <x v="2"/>
    <n v="6"/>
  </r>
  <r>
    <n v="38342"/>
    <n v="3203304"/>
    <x v="43"/>
    <n v="0.216"/>
    <n v="798098.86"/>
    <n v="9289.1"/>
    <n v="807387.96"/>
    <n v="7010.3"/>
    <n v="212323.57"/>
    <n v="0.57599999999999996"/>
    <n v="18152.509999999998"/>
    <n v="0"/>
    <n v="0"/>
    <x v="2"/>
    <n v="6"/>
  </r>
  <r>
    <n v="38343"/>
    <n v="3203320"/>
    <x v="44"/>
    <n v="0.60899999999999999"/>
    <n v="2250195.42"/>
    <n v="26190.07"/>
    <n v="2276385.4900000002"/>
    <n v="19765.16"/>
    <n v="534679.74"/>
    <n v="1.171"/>
    <n v="51179.98"/>
    <n v="0"/>
    <n v="0"/>
    <x v="2"/>
    <n v="6"/>
  </r>
  <r>
    <n v="38344"/>
    <n v="3203346"/>
    <x v="45"/>
    <n v="0.64500000000000002"/>
    <n v="2383211.9"/>
    <n v="27738.25"/>
    <n v="2410950.15"/>
    <n v="20933.54"/>
    <n v="303672.83"/>
    <n v="0.67100000000000004"/>
    <n v="54205.4"/>
    <n v="0"/>
    <n v="0"/>
    <x v="2"/>
    <n v="6"/>
  </r>
  <r>
    <n v="38345"/>
    <n v="3203353"/>
    <x v="46"/>
    <n v="0.45200000000000001"/>
    <n v="1670095.79"/>
    <n v="19438.259999999998"/>
    <n v="1689534.05"/>
    <n v="14669.71"/>
    <n v="143458.31"/>
    <n v="0.46700000000000003"/>
    <n v="37985.800000000003"/>
    <n v="0"/>
    <n v="0"/>
    <x v="2"/>
    <n v="6"/>
  </r>
  <r>
    <n v="38346"/>
    <n v="3203403"/>
    <x v="47"/>
    <n v="0.51400000000000001"/>
    <n v="1899179.71"/>
    <n v="22104.58"/>
    <n v="1921284.29"/>
    <n v="16681.919999999998"/>
    <n v="247223.09"/>
    <n v="0.85599999999999998"/>
    <n v="43196.24"/>
    <n v="0"/>
    <n v="0"/>
    <x v="2"/>
    <n v="6"/>
  </r>
  <r>
    <n v="38347"/>
    <n v="3203502"/>
    <x v="48"/>
    <n v="0.53600000000000003"/>
    <n v="1980467.56"/>
    <n v="23050.68"/>
    <n v="2003518.24"/>
    <n v="17395.939999999999"/>
    <n v="234595.75"/>
    <n v="0.69299999999999995"/>
    <n v="45045.120000000003"/>
    <n v="0"/>
    <n v="0"/>
    <x v="2"/>
    <n v="6"/>
  </r>
  <r>
    <n v="38348"/>
    <n v="3203601"/>
    <x v="49"/>
    <n v="0.27800000000000002"/>
    <n v="1027182.82"/>
    <n v="11955.41"/>
    <n v="1039138.23"/>
    <n v="9022.52"/>
    <n v="45954.59"/>
    <n v="0.29799999999999999"/>
    <n v="23362.95"/>
    <n v="0"/>
    <n v="0"/>
    <x v="2"/>
    <n v="6"/>
  </r>
  <r>
    <n v="38349"/>
    <n v="3203700"/>
    <x v="50"/>
    <n v="0.55000000000000004"/>
    <n v="2032196.21"/>
    <n v="23652.78"/>
    <n v="2055848.99"/>
    <n v="17850.310000000001"/>
    <n v="159313.14000000001"/>
    <n v="0.67100000000000004"/>
    <n v="46221.66"/>
    <n v="0"/>
    <n v="0"/>
    <x v="2"/>
    <n v="6"/>
  </r>
  <r>
    <n v="38350"/>
    <n v="3203809"/>
    <x v="51"/>
    <n v="0.29599999999999999"/>
    <n v="1093691.03"/>
    <n v="12729.47"/>
    <n v="1106420.5"/>
    <n v="9606.7099999999991"/>
    <n v="119860.49"/>
    <n v="0.57499999999999996"/>
    <n v="24875.66"/>
    <n v="0"/>
    <n v="0"/>
    <x v="2"/>
    <n v="6"/>
  </r>
  <r>
    <n v="38351"/>
    <n v="3203908"/>
    <x v="52"/>
    <n v="1.268"/>
    <n v="4685135.9400000004"/>
    <n v="54530.36"/>
    <n v="4739666.3"/>
    <n v="41153.07"/>
    <n v="662074"/>
    <n v="1.4650000000000001"/>
    <n v="106561.94"/>
    <n v="0"/>
    <n v="0"/>
    <x v="2"/>
    <n v="6"/>
  </r>
  <r>
    <n v="38352"/>
    <n v="3204005"/>
    <x v="53"/>
    <n v="0.47099999999999997"/>
    <n v="1740298.94"/>
    <n v="20255.38"/>
    <n v="1760554.32"/>
    <n v="15286.35"/>
    <n v="154461.92000000001"/>
    <n v="0.747"/>
    <n v="39582.559999999998"/>
    <n v="0"/>
    <n v="0"/>
    <x v="2"/>
    <n v="6"/>
  </r>
  <r>
    <n v="38353"/>
    <n v="3204054"/>
    <x v="54"/>
    <n v="0.313"/>
    <n v="1156504.3700000001"/>
    <n v="13460.58"/>
    <n v="1169964.95"/>
    <n v="10158.450000000001"/>
    <n v="239150.59"/>
    <n v="0.86199999999999999"/>
    <n v="26304.33"/>
    <n v="0"/>
    <n v="0"/>
    <x v="2"/>
    <n v="6"/>
  </r>
  <r>
    <n v="38354"/>
    <n v="3204104"/>
    <x v="55"/>
    <n v="0.72599999999999998"/>
    <n v="2682498.9700000002"/>
    <n v="31221.65"/>
    <n v="2713720.62"/>
    <n v="23562.41"/>
    <n v="216684.26"/>
    <n v="0.875"/>
    <n v="61012.59"/>
    <n v="0"/>
    <n v="0"/>
    <x v="2"/>
    <n v="6"/>
  </r>
  <r>
    <n v="38355"/>
    <n v="3204203"/>
    <x v="56"/>
    <n v="0.14599999999999999"/>
    <n v="539455.72"/>
    <n v="6278.75"/>
    <n v="545734.47"/>
    <n v="4738.45"/>
    <n v="311476.44"/>
    <n v="0.73399999999999999"/>
    <n v="12269.75"/>
    <n v="0"/>
    <n v="0"/>
    <x v="2"/>
    <n v="6"/>
  </r>
  <r>
    <n v="38356"/>
    <n v="3204252"/>
    <x v="57"/>
    <n v="0.221"/>
    <n v="816573.35"/>
    <n v="9504.11"/>
    <n v="826077.46"/>
    <n v="7172.58"/>
    <n v="67605.45"/>
    <n v="0.32900000000000001"/>
    <n v="18572.7"/>
    <n v="0"/>
    <n v="0"/>
    <x v="2"/>
    <n v="6"/>
  </r>
  <r>
    <n v="38357"/>
    <n v="1718402"/>
    <x v="58"/>
    <n v="0.33800000000000002"/>
    <n v="1248876.93"/>
    <n v="14535.7"/>
    <n v="1263412.6299999999"/>
    <n v="10969.83"/>
    <n v="289870.61"/>
    <n v="0.45100000000000001"/>
    <n v="28405.31"/>
    <n v="0"/>
    <n v="0"/>
    <x v="2"/>
    <n v="6"/>
  </r>
  <r>
    <n v="38358"/>
    <n v="3204351"/>
    <x v="59"/>
    <n v="0.79700000000000004"/>
    <n v="2944837.05"/>
    <n v="34275.019999999997"/>
    <n v="2979112.07"/>
    <n v="25866.720000000001"/>
    <n v="282683.32"/>
    <n v="0.69799999999999995"/>
    <n v="66979.39"/>
    <n v="0"/>
    <n v="0"/>
    <x v="2"/>
    <n v="6"/>
  </r>
  <r>
    <n v="38359"/>
    <n v="3204401"/>
    <x v="60"/>
    <n v="0.27500000000000002"/>
    <n v="1016098.09"/>
    <n v="11826.38"/>
    <n v="1027924.47"/>
    <n v="8925.15"/>
    <n v="158784.29999999999"/>
    <n v="0.45"/>
    <n v="23110.83"/>
    <n v="0"/>
    <n v="0"/>
    <x v="2"/>
    <n v="6"/>
  </r>
  <r>
    <n v="38360"/>
    <n v="3204500"/>
    <x v="61"/>
    <n v="0.53800000000000003"/>
    <n v="1987857.38"/>
    <n v="23136.67"/>
    <n v="2010994.05"/>
    <n v="17460.849999999999"/>
    <n v="102698.44"/>
    <n v="0.45600000000000002"/>
    <n v="45213.19"/>
    <n v="0"/>
    <n v="0"/>
    <x v="2"/>
    <n v="6"/>
  </r>
  <r>
    <n v="38361"/>
    <n v="3204559"/>
    <x v="62"/>
    <n v="2.1160000000000001"/>
    <n v="7818412.9800000004"/>
    <n v="90998.64"/>
    <n v="7909411.6200000001"/>
    <n v="68675"/>
    <n v="731651.19"/>
    <n v="1.1990000000000001"/>
    <n v="177827.35"/>
    <n v="0"/>
    <n v="0"/>
    <x v="2"/>
    <n v="6"/>
  </r>
  <r>
    <n v="38362"/>
    <n v="3204609"/>
    <x v="63"/>
    <n v="0.68799999999999994"/>
    <n v="2542092.69"/>
    <n v="29587.46"/>
    <n v="2571680.15"/>
    <n v="22329.11"/>
    <n v="336908.4"/>
    <n v="0.82899999999999996"/>
    <n v="57819.1"/>
    <n v="0"/>
    <n v="0"/>
    <x v="2"/>
    <n v="6"/>
  </r>
  <r>
    <n v="38363"/>
    <n v="3204658"/>
    <x v="64"/>
    <n v="0.42399999999999999"/>
    <n v="1566638.51"/>
    <n v="18234.11"/>
    <n v="1584872.62"/>
    <n v="13760.96"/>
    <n v="125538.35"/>
    <n v="0.33700000000000002"/>
    <n v="35632.699999999997"/>
    <n v="0"/>
    <n v="0"/>
    <x v="2"/>
    <n v="6"/>
  </r>
  <r>
    <n v="38364"/>
    <n v="3204708"/>
    <x v="65"/>
    <n v="0.81499999999999995"/>
    <n v="3011345.28"/>
    <n v="35049.11"/>
    <n v="3046394.39"/>
    <n v="26450.91"/>
    <n v="461605.39"/>
    <n v="1.169"/>
    <n v="68492.11"/>
    <n v="0"/>
    <n v="0"/>
    <x v="2"/>
    <n v="6"/>
  </r>
  <r>
    <n v="38365"/>
    <n v="3204807"/>
    <x v="66"/>
    <n v="0.23"/>
    <n v="849827.47"/>
    <n v="9891.17"/>
    <n v="859718.64"/>
    <n v="7464.67"/>
    <n v="100217.11"/>
    <n v="0.436"/>
    <n v="19329.060000000001"/>
    <n v="0"/>
    <n v="0"/>
    <x v="2"/>
    <n v="6"/>
  </r>
  <r>
    <n v="38366"/>
    <n v="3204906"/>
    <x v="67"/>
    <n v="1.8839999999999999"/>
    <n v="6961195.6600000001"/>
    <n v="81021.47"/>
    <n v="7042217.1299999999"/>
    <n v="61145.42"/>
    <n v="1574301.2"/>
    <n v="3.024"/>
    <n v="158330.20000000001"/>
    <n v="0"/>
    <n v="0"/>
    <x v="2"/>
    <n v="6"/>
  </r>
  <r>
    <n v="38367"/>
    <n v="3204955"/>
    <x v="68"/>
    <n v="0.32600000000000001"/>
    <n v="1204538.1200000001"/>
    <n v="14019.65"/>
    <n v="1218557.77"/>
    <n v="10580.36"/>
    <n v="129169.94"/>
    <n v="0.46100000000000002"/>
    <n v="27396.84"/>
    <n v="0"/>
    <n v="0"/>
    <x v="2"/>
    <n v="6"/>
  </r>
  <r>
    <n v="38368"/>
    <n v="3205002"/>
    <x v="69"/>
    <n v="14.176"/>
    <n v="52378933.130000003"/>
    <n v="609639.30000000005"/>
    <n v="52988572.43"/>
    <n v="460083.56"/>
    <n v="6673435.0700000003"/>
    <n v="8.4320000000000004"/>
    <n v="1191342.3500000001"/>
    <n v="0"/>
    <n v="0"/>
    <x v="2"/>
    <n v="6"/>
  </r>
  <r>
    <n v="38369"/>
    <n v="3205010"/>
    <x v="70"/>
    <n v="0.72199999999999998"/>
    <n v="2667719.36"/>
    <n v="31049.64"/>
    <n v="2698769"/>
    <n v="23432.59"/>
    <n v="261614.29"/>
    <n v="0.997"/>
    <n v="60676.44"/>
    <n v="0"/>
    <n v="0"/>
    <x v="2"/>
    <n v="6"/>
  </r>
  <r>
    <n v="38370"/>
    <n v="3205036"/>
    <x v="71"/>
    <n v="0.498"/>
    <n v="1840061.29"/>
    <n v="21416.5"/>
    <n v="1861477.79"/>
    <n v="16162.64"/>
    <n v="251950.95"/>
    <n v="0.72699999999999998"/>
    <n v="41851.61"/>
    <n v="0"/>
    <n v="0"/>
    <x v="2"/>
    <n v="6"/>
  </r>
  <r>
    <n v="38371"/>
    <n v="3205069"/>
    <x v="72"/>
    <n v="0.75800000000000001"/>
    <n v="2800735.85"/>
    <n v="32597.8"/>
    <n v="2833333.65"/>
    <n v="24600.97"/>
    <n v="406324.88"/>
    <n v="0.85799999999999998"/>
    <n v="63701.85"/>
    <n v="0"/>
    <n v="0"/>
    <x v="2"/>
    <n v="6"/>
  </r>
  <r>
    <n v="38372"/>
    <n v="2112803"/>
    <x v="73"/>
    <n v="2.9929999999999999"/>
    <n v="11058842.189999999"/>
    <n v="128714.07"/>
    <n v="11187556.26"/>
    <n v="97138.13"/>
    <n v="892809.99"/>
    <n v="1.984"/>
    <n v="251529.89"/>
    <n v="0"/>
    <n v="0"/>
    <x v="2"/>
    <n v="6"/>
  </r>
  <r>
    <n v="38373"/>
    <n v="3205150"/>
    <x v="74"/>
    <n v="0.32800000000000001"/>
    <n v="1211927.8999999999"/>
    <n v="14105.64"/>
    <n v="1226033.54"/>
    <n v="10645.27"/>
    <n v="99451.17"/>
    <n v="0.34399999999999997"/>
    <n v="27564.92"/>
    <n v="0"/>
    <n v="0"/>
    <x v="2"/>
    <n v="6"/>
  </r>
  <r>
    <n v="38374"/>
    <n v="3205176"/>
    <x v="75"/>
    <n v="0.623"/>
    <n v="2301924.04"/>
    <n v="26792.15"/>
    <n v="2328716.19"/>
    <n v="20219.53"/>
    <n v="255248.02"/>
    <n v="0.55600000000000005"/>
    <n v="52356.54"/>
    <n v="0"/>
    <n v="0"/>
    <x v="2"/>
    <n v="6"/>
  </r>
  <r>
    <n v="38375"/>
    <n v="3205200"/>
    <x v="76"/>
    <n v="5.3819999999999997"/>
    <n v="19885963.449999999"/>
    <n v="231453.08"/>
    <n v="20117416.530000001"/>
    <n v="174673.37"/>
    <n v="7571039.5899999999"/>
    <n v="8.09"/>
    <n v="452299.98"/>
    <n v="0"/>
    <n v="0"/>
    <x v="2"/>
    <n v="6"/>
  </r>
  <r>
    <n v="38376"/>
    <n v="3205309"/>
    <x v="77"/>
    <n v="14.535"/>
    <n v="53705402.969999999"/>
    <n v="625078.23"/>
    <n v="54330481.200000003"/>
    <n v="471734.94"/>
    <n v="7053599.96"/>
    <n v="9.4969999999999999"/>
    <n v="1221512.5"/>
    <n v="0"/>
    <n v="0"/>
    <x v="2"/>
    <n v="6"/>
  </r>
  <r>
    <n v="38377"/>
    <n v="3200102"/>
    <x v="0"/>
    <n v="0.8"/>
    <n v="2482465.02"/>
    <n v="370340.75"/>
    <n v="2852805.77"/>
    <n v="26762.66"/>
    <n v="281593.59999999998"/>
    <n v="0.98499999999999999"/>
    <n v="71919.78"/>
    <n v="10617.86"/>
    <n v="0"/>
    <x v="2"/>
    <n v="7"/>
  </r>
  <r>
    <n v="38378"/>
    <n v="3200169"/>
    <x v="1"/>
    <n v="0.30099999999999999"/>
    <n v="934027.44"/>
    <n v="139340.69"/>
    <n v="1073368.1299999999"/>
    <n v="10069.450000000001"/>
    <n v="111157.11"/>
    <n v="0.439"/>
    <n v="27059.82"/>
    <n v="4736.76"/>
    <n v="0"/>
    <x v="2"/>
    <n v="7"/>
  </r>
  <r>
    <n v="38379"/>
    <n v="3200136"/>
    <x v="2"/>
    <n v="0.41599999999999998"/>
    <n v="1290881.82"/>
    <n v="192577.18"/>
    <n v="1483459"/>
    <n v="13916.58"/>
    <n v="109859.23"/>
    <n v="0.34799999999999998"/>
    <n v="37398.29"/>
    <n v="3751.98"/>
    <n v="0"/>
    <x v="2"/>
    <n v="7"/>
  </r>
  <r>
    <n v="38380"/>
    <n v="3200201"/>
    <x v="3"/>
    <n v="0.51"/>
    <n v="1582571.48"/>
    <n v="236092.25"/>
    <n v="1818663.73"/>
    <n v="17061.189999999999"/>
    <n v="263013.53999999998"/>
    <n v="0.98"/>
    <n v="45848.86"/>
    <n v="10557.92"/>
    <n v="0"/>
    <x v="2"/>
    <n v="7"/>
  </r>
  <r>
    <n v="38381"/>
    <n v="3200300"/>
    <x v="4"/>
    <n v="0.49"/>
    <n v="1520509.83"/>
    <n v="226833.7"/>
    <n v="1747343.53"/>
    <n v="16392.13"/>
    <n v="252695.56"/>
    <n v="0.56399999999999995"/>
    <n v="44050.87"/>
    <n v="6074.26"/>
    <n v="0"/>
    <x v="2"/>
    <n v="7"/>
  </r>
  <r>
    <n v="38382"/>
    <n v="3200359"/>
    <x v="5"/>
    <n v="0.23100000000000001"/>
    <n v="716811.78"/>
    <n v="106935.9"/>
    <n v="823747.68"/>
    <n v="7727.72"/>
    <n v="74409.259999999995"/>
    <n v="0.32700000000000001"/>
    <n v="20766.84"/>
    <n v="3527.68"/>
    <n v="0"/>
    <x v="2"/>
    <n v="7"/>
  </r>
  <r>
    <n v="38383"/>
    <n v="3200409"/>
    <x v="6"/>
    <n v="1.766"/>
    <n v="5480041.5300000003"/>
    <n v="817527.24"/>
    <n v="6297568.7699999996"/>
    <n v="59078.559999999998"/>
    <n v="317545.56"/>
    <n v="0.90800000000000003"/>
    <n v="158762.91"/>
    <n v="9782.49"/>
    <n v="0"/>
    <x v="2"/>
    <n v="7"/>
  </r>
  <r>
    <n v="38384"/>
    <n v="3200508"/>
    <x v="7"/>
    <n v="0.185"/>
    <n v="574070.05000000005"/>
    <n v="85641.3"/>
    <n v="659711.35"/>
    <n v="6188.86"/>
    <n v="121398.63"/>
    <n v="0.32300000000000001"/>
    <n v="16631.45"/>
    <n v="3479.27"/>
    <n v="0"/>
    <x v="2"/>
    <n v="7"/>
  </r>
  <r>
    <n v="38385"/>
    <n v="3200607"/>
    <x v="8"/>
    <n v="4.9909999999999997"/>
    <n v="15487478.699999999"/>
    <n v="2310463.37"/>
    <n v="17797942.07"/>
    <n v="166965.51999999999"/>
    <n v="1321734.1200000001"/>
    <n v="2.5089999999999999"/>
    <n v="448689.53"/>
    <n v="27045.31"/>
    <n v="0"/>
    <x v="2"/>
    <n v="7"/>
  </r>
  <r>
    <n v="38386"/>
    <n v="3200706"/>
    <x v="9"/>
    <n v="0.373"/>
    <n v="1157449.3400000001"/>
    <n v="172671.35999999999"/>
    <n v="1330120.7"/>
    <n v="12478.09"/>
    <n v="76917.59"/>
    <n v="0.45700000000000002"/>
    <n v="33532.6"/>
    <n v="4929.4399999999996"/>
    <n v="0"/>
    <x v="2"/>
    <n v="7"/>
  </r>
  <r>
    <n v="38387"/>
    <n v="3200805"/>
    <x v="10"/>
    <n v="0.64300000000000002"/>
    <n v="1995281.26"/>
    <n v="297661.38"/>
    <n v="2292942.64"/>
    <n v="21510.49"/>
    <n v="525309.18000000005"/>
    <n v="0.996"/>
    <n v="57805.52"/>
    <n v="10740.76"/>
    <n v="0"/>
    <x v="2"/>
    <n v="7"/>
  </r>
  <r>
    <n v="38388"/>
    <n v="3200904"/>
    <x v="11"/>
    <n v="1.036"/>
    <n v="3214792.19"/>
    <n v="479591.28"/>
    <n v="3694383.47"/>
    <n v="34657.64"/>
    <n v="623189.01"/>
    <n v="1.321"/>
    <n v="93136.12"/>
    <n v="14242.14"/>
    <n v="0"/>
    <x v="2"/>
    <n v="7"/>
  </r>
  <r>
    <n v="38389"/>
    <n v="3107109"/>
    <x v="12"/>
    <n v="0.39900000000000002"/>
    <n v="1238129.42"/>
    <n v="184707.44"/>
    <n v="1422836.86"/>
    <n v="13347.87"/>
    <n v="135630.09"/>
    <n v="0.56899999999999995"/>
    <n v="35869.99"/>
    <n v="6136.7"/>
    <n v="0"/>
    <x v="2"/>
    <n v="7"/>
  </r>
  <r>
    <n v="38390"/>
    <n v="3201100"/>
    <x v="13"/>
    <n v="0.17599999999999999"/>
    <n v="546142.29"/>
    <n v="81474.95"/>
    <n v="627617.24"/>
    <n v="5887.78"/>
    <n v="280139.46000000002"/>
    <n v="0.43"/>
    <n v="15822.35"/>
    <n v="4630.12"/>
    <n v="0"/>
    <x v="2"/>
    <n v="7"/>
  </r>
  <r>
    <n v="38391"/>
    <n v="3201159"/>
    <x v="14"/>
    <n v="0.42099999999999999"/>
    <n v="1306397.23"/>
    <n v="194891.83"/>
    <n v="1501289.06"/>
    <n v="14083.85"/>
    <n v="128665.16"/>
    <n v="0.46"/>
    <n v="37847.79"/>
    <n v="4953.0600000000004"/>
    <n v="0"/>
    <x v="2"/>
    <n v="7"/>
  </r>
  <r>
    <n v="38392"/>
    <n v="3201209"/>
    <x v="15"/>
    <n v="3.234"/>
    <n v="10035364.880000001"/>
    <n v="1497102.5"/>
    <n v="11532467.380000001"/>
    <n v="108188.04"/>
    <n v="2693718.44"/>
    <n v="4.4820000000000002"/>
    <n v="290735.71000000002"/>
    <n v="48311.02"/>
    <n v="0"/>
    <x v="2"/>
    <n v="7"/>
  </r>
  <r>
    <n v="38393"/>
    <n v="3201308"/>
    <x v="16"/>
    <n v="7.4969999999999999"/>
    <n v="23263800.399999999"/>
    <n v="3470555.79"/>
    <n v="26734356.190000001"/>
    <n v="250799.54"/>
    <n v="4042088.57"/>
    <n v="6.6040000000000001"/>
    <n v="673978.24"/>
    <n v="71177.240000000005"/>
    <n v="0"/>
    <x v="2"/>
    <n v="7"/>
  </r>
  <r>
    <n v="38394"/>
    <n v="3201407"/>
    <x v="17"/>
    <n v="0.96499999999999997"/>
    <n v="2994473.43"/>
    <n v="446723.53"/>
    <n v="3441196.96"/>
    <n v="32282.45"/>
    <n v="696327.55"/>
    <n v="1.155"/>
    <n v="86753.24"/>
    <n v="12448.69"/>
    <n v="0"/>
    <x v="2"/>
    <n v="7"/>
  </r>
  <r>
    <n v="38395"/>
    <n v="3201506"/>
    <x v="18"/>
    <n v="2.1739999999999999"/>
    <n v="6746098.7199999997"/>
    <n v="1006401.01"/>
    <n v="7752499.7300000004"/>
    <n v="72727.520000000004"/>
    <n v="1872849.28"/>
    <n v="2.8220000000000001"/>
    <n v="195442"/>
    <n v="30412.29"/>
    <n v="0"/>
    <x v="2"/>
    <n v="7"/>
  </r>
  <r>
    <n v="38396"/>
    <n v="3201605"/>
    <x v="19"/>
    <n v="0.65200000000000002"/>
    <n v="2023209"/>
    <n v="301827.68"/>
    <n v="2325036.6800000002"/>
    <n v="21811.57"/>
    <n v="249066.94"/>
    <n v="0.999"/>
    <n v="58614.63"/>
    <n v="10769.1"/>
    <n v="0"/>
    <x v="2"/>
    <n v="7"/>
  </r>
  <r>
    <n v="38397"/>
    <n v="3201704"/>
    <x v="20"/>
    <n v="0.47499999999999998"/>
    <n v="1473963.6"/>
    <n v="219889.82"/>
    <n v="1693853.42"/>
    <n v="15890.33"/>
    <n v="126434.75"/>
    <n v="0.46500000000000002"/>
    <n v="42702.37"/>
    <n v="5010.38"/>
    <n v="0"/>
    <x v="2"/>
    <n v="7"/>
  </r>
  <r>
    <n v="38398"/>
    <n v="3201803"/>
    <x v="21"/>
    <n v="0.186"/>
    <n v="577173.1"/>
    <n v="86104.23"/>
    <n v="663277.32999999996"/>
    <n v="6222.32"/>
    <n v="41182.980000000003"/>
    <n v="0.28299999999999997"/>
    <n v="16721.349999999999"/>
    <n v="3045.62"/>
    <n v="0"/>
    <x v="2"/>
    <n v="7"/>
  </r>
  <r>
    <n v="38399"/>
    <n v="3201902"/>
    <x v="22"/>
    <n v="1.3140000000000001"/>
    <n v="4077448.81"/>
    <n v="608284.69999999995"/>
    <n v="4685733.51"/>
    <n v="43957.66"/>
    <n v="443460.86"/>
    <n v="1.0309999999999999"/>
    <n v="118128.24"/>
    <n v="11115.53"/>
    <n v="0"/>
    <x v="2"/>
    <n v="7"/>
  </r>
  <r>
    <n v="38400"/>
    <n v="3202009"/>
    <x v="23"/>
    <n v="0.26"/>
    <n v="806801.13"/>
    <n v="120360.73"/>
    <n v="927161.86"/>
    <n v="8697.86"/>
    <n v="117189.98"/>
    <n v="0.314"/>
    <n v="23373.93"/>
    <n v="3381.03"/>
    <n v="0"/>
    <x v="2"/>
    <n v="7"/>
  </r>
  <r>
    <n v="38401"/>
    <n v="3202108"/>
    <x v="24"/>
    <n v="0.69899999999999995"/>
    <n v="2169053.8199999998"/>
    <n v="323585.27"/>
    <n v="2492639.09"/>
    <n v="23383.87"/>
    <n v="184929.85"/>
    <n v="0.81599999999999995"/>
    <n v="62839.91"/>
    <n v="8793.85"/>
    <n v="0"/>
    <x v="2"/>
    <n v="7"/>
  </r>
  <r>
    <n v="38402"/>
    <n v="3202207"/>
    <x v="25"/>
    <n v="0.313"/>
    <n v="971264.44"/>
    <n v="144895.82"/>
    <n v="1116160.26"/>
    <n v="10470.89"/>
    <n v="177974.83"/>
    <n v="0.73399999999999999"/>
    <n v="28138.61"/>
    <n v="7915.45"/>
    <n v="0"/>
    <x v="2"/>
    <n v="7"/>
  </r>
  <r>
    <n v="38403"/>
    <n v="3202256"/>
    <x v="26"/>
    <n v="0.43"/>
    <n v="1334324.96"/>
    <n v="199058.15"/>
    <n v="1533383.11"/>
    <n v="14384.93"/>
    <n v="144695.67999999999"/>
    <n v="0.46700000000000003"/>
    <n v="38656.879999999997"/>
    <n v="5031.3599999999997"/>
    <n v="0"/>
    <x v="2"/>
    <n v="7"/>
  </r>
  <r>
    <n v="38404"/>
    <n v="3202306"/>
    <x v="27"/>
    <n v="0.378"/>
    <n v="1172964.73"/>
    <n v="174986.01"/>
    <n v="1347950.74"/>
    <n v="12645.36"/>
    <n v="393340.88"/>
    <n v="0.998"/>
    <n v="33982.1"/>
    <n v="10755.06"/>
    <n v="0"/>
    <x v="2"/>
    <n v="7"/>
  </r>
  <r>
    <n v="38405"/>
    <n v="3202405"/>
    <x v="28"/>
    <n v="0.90900000000000003"/>
    <n v="2820700.89"/>
    <n v="420799.69"/>
    <n v="3241500.58"/>
    <n v="30409.07"/>
    <n v="2447775.85"/>
    <n v="2.8730000000000002"/>
    <n v="81718.850000000006"/>
    <n v="30965.97"/>
    <n v="0"/>
    <x v="2"/>
    <n v="7"/>
  </r>
  <r>
    <n v="38406"/>
    <n v="3202454"/>
    <x v="29"/>
    <n v="0.35099999999999998"/>
    <n v="1089181.53"/>
    <n v="162487"/>
    <n v="1251668.53"/>
    <n v="11742.12"/>
    <n v="312328.98"/>
    <n v="0.86499999999999999"/>
    <n v="31554.81"/>
    <n v="9320.3700000000008"/>
    <n v="0"/>
    <x v="2"/>
    <n v="7"/>
  </r>
  <r>
    <n v="38407"/>
    <n v="3202504"/>
    <x v="30"/>
    <n v="0.26700000000000002"/>
    <n v="828522.7"/>
    <n v="123601.23"/>
    <n v="952123.93"/>
    <n v="8932.0400000000009"/>
    <n v="169393.09"/>
    <n v="0.46300000000000002"/>
    <n v="24003.23"/>
    <n v="4985.99"/>
    <n v="0"/>
    <x v="2"/>
    <n v="7"/>
  </r>
  <r>
    <n v="38408"/>
    <n v="3202553"/>
    <x v="31"/>
    <n v="0.248"/>
    <n v="769564.17"/>
    <n v="114805.61"/>
    <n v="884369.78"/>
    <n v="8296.42"/>
    <n v="71920.160000000003"/>
    <n v="0.33800000000000002"/>
    <n v="22295.13"/>
    <n v="3648.23"/>
    <n v="0"/>
    <x v="2"/>
    <n v="7"/>
  </r>
  <r>
    <n v="38409"/>
    <n v="3202603"/>
    <x v="32"/>
    <n v="0.34399999999999997"/>
    <n v="1067459.97"/>
    <n v="159246.53"/>
    <n v="1226706.5"/>
    <n v="11507.94"/>
    <n v="251097.91"/>
    <n v="0.55600000000000005"/>
    <n v="30925.51"/>
    <n v="5997.26"/>
    <n v="0"/>
    <x v="2"/>
    <n v="7"/>
  </r>
  <r>
    <n v="38410"/>
    <n v="3202652"/>
    <x v="33"/>
    <n v="0.308"/>
    <n v="955749.04"/>
    <n v="142581.17000000001"/>
    <n v="1098330.21"/>
    <n v="10303.620000000001"/>
    <n v="153408.63"/>
    <n v="0.55100000000000005"/>
    <n v="27689.119999999999"/>
    <n v="5943.34"/>
    <n v="0"/>
    <x v="2"/>
    <n v="7"/>
  </r>
  <r>
    <n v="38411"/>
    <n v="3202702"/>
    <x v="34"/>
    <n v="0.35499999999999998"/>
    <n v="1101593.8500000001"/>
    <n v="164338.73000000001"/>
    <n v="1265932.58"/>
    <n v="11875.93"/>
    <n v="113337.97"/>
    <n v="0.55500000000000005"/>
    <n v="31914.400000000001"/>
    <n v="5984.01"/>
    <n v="0"/>
    <x v="2"/>
    <n v="7"/>
  </r>
  <r>
    <n v="38412"/>
    <n v="3202801"/>
    <x v="35"/>
    <n v="2.262"/>
    <n v="7019169.8700000001"/>
    <n v="1047138.46"/>
    <n v="8066308.3300000001"/>
    <n v="75671.41"/>
    <n v="389097.18"/>
    <n v="1.042"/>
    <n v="203353.18"/>
    <n v="11225.32"/>
    <n v="0"/>
    <x v="2"/>
    <n v="7"/>
  </r>
  <r>
    <n v="38413"/>
    <n v="3202900"/>
    <x v="36"/>
    <n v="0.34599999999999997"/>
    <n v="1073666.1200000001"/>
    <n v="160172.35"/>
    <n v="1233838.47"/>
    <n v="11574.85"/>
    <n v="148719.38"/>
    <n v="0.435"/>
    <n v="31105.31"/>
    <n v="4688.4799999999996"/>
    <n v="0"/>
    <x v="2"/>
    <n v="7"/>
  </r>
  <r>
    <n v="38414"/>
    <n v="3203007"/>
    <x v="37"/>
    <n v="0.438"/>
    <n v="1359149.61"/>
    <n v="202761.56"/>
    <n v="1561911.17"/>
    <n v="14652.55"/>
    <n v="325843.42"/>
    <n v="0.89700000000000002"/>
    <n v="39376.080000000002"/>
    <n v="9668.64"/>
    <n v="0"/>
    <x v="2"/>
    <n v="7"/>
  </r>
  <r>
    <n v="38415"/>
    <n v="3203056"/>
    <x v="38"/>
    <n v="0.8"/>
    <n v="2482465.02"/>
    <n v="370340.75"/>
    <n v="2852805.77"/>
    <n v="26762.66"/>
    <n v="371087.7"/>
    <n v="1"/>
    <n v="71919.78"/>
    <n v="10783.53"/>
    <n v="0"/>
    <x v="2"/>
    <n v="7"/>
  </r>
  <r>
    <n v="38416"/>
    <n v="3203106"/>
    <x v="39"/>
    <n v="0.21199999999999999"/>
    <n v="657853.22"/>
    <n v="98140.3"/>
    <n v="755993.52"/>
    <n v="7092.1"/>
    <n v="91824.72"/>
    <n v="0.45800000000000002"/>
    <n v="19058.75"/>
    <n v="4938.1099999999997"/>
    <n v="0"/>
    <x v="2"/>
    <n v="7"/>
  </r>
  <r>
    <n v="38417"/>
    <n v="3203130"/>
    <x v="40"/>
    <n v="0.38600000000000001"/>
    <n v="1197789.4099999999"/>
    <n v="178689.43"/>
    <n v="1376478.84"/>
    <n v="12912.98"/>
    <n v="206806.43"/>
    <n v="0.66600000000000004"/>
    <n v="34701.300000000003"/>
    <n v="7180.24"/>
    <n v="0"/>
    <x v="2"/>
    <n v="7"/>
  </r>
  <r>
    <n v="38418"/>
    <n v="3203163"/>
    <x v="41"/>
    <n v="0.372"/>
    <n v="1154346.24"/>
    <n v="172208.45"/>
    <n v="1326554.69"/>
    <n v="12444.64"/>
    <n v="93027.32"/>
    <n v="0.441"/>
    <n v="33442.699999999997"/>
    <n v="4752.2299999999996"/>
    <n v="0"/>
    <x v="2"/>
    <n v="7"/>
  </r>
  <r>
    <n v="38419"/>
    <n v="3203205"/>
    <x v="42"/>
    <n v="5.4"/>
    <n v="16756638.949999999"/>
    <n v="2499800.08"/>
    <n v="19256439.030000001"/>
    <n v="180647.93"/>
    <n v="2399927.96"/>
    <n v="4.0880000000000001"/>
    <n v="485458.52"/>
    <n v="44058.83"/>
    <n v="0"/>
    <x v="2"/>
    <n v="7"/>
  </r>
  <r>
    <n v="38420"/>
    <n v="3203304"/>
    <x v="43"/>
    <n v="0.216"/>
    <n v="670265.56000000006"/>
    <n v="99992.01"/>
    <n v="770257.57"/>
    <n v="7225.92"/>
    <n v="166403.85"/>
    <n v="0.57599999999999996"/>
    <n v="19418.34"/>
    <n v="6203.2"/>
    <n v="0"/>
    <x v="2"/>
    <n v="7"/>
  </r>
  <r>
    <n v="38421"/>
    <n v="3203320"/>
    <x v="44"/>
    <n v="0.60899999999999999"/>
    <n v="1889776.48"/>
    <n v="281921.90000000002"/>
    <n v="2171698.38"/>
    <n v="20373.07"/>
    <n v="542851.43000000005"/>
    <n v="1.171"/>
    <n v="54748.93"/>
    <n v="12619.61"/>
    <n v="0"/>
    <x v="2"/>
    <n v="7"/>
  </r>
  <r>
    <n v="38422"/>
    <n v="3203346"/>
    <x v="45"/>
    <n v="0.64500000000000002"/>
    <n v="2001487.45"/>
    <n v="298587.23"/>
    <n v="2300074.6800000002"/>
    <n v="21577.39"/>
    <n v="263877.27"/>
    <n v="0.67100000000000004"/>
    <n v="57985.32"/>
    <n v="7228.38"/>
    <n v="0"/>
    <x v="2"/>
    <n v="7"/>
  </r>
  <r>
    <n v="38423"/>
    <n v="3203353"/>
    <x v="46"/>
    <n v="0.45200000000000001"/>
    <n v="1402592.74"/>
    <n v="209242.5"/>
    <n v="1611835.24"/>
    <n v="15120.9"/>
    <n v="145296.26"/>
    <n v="0.46700000000000003"/>
    <n v="40634.68"/>
    <n v="5037.1400000000003"/>
    <n v="0"/>
    <x v="2"/>
    <n v="7"/>
  </r>
  <r>
    <n v="38424"/>
    <n v="3203403"/>
    <x v="47"/>
    <n v="0.51400000000000001"/>
    <n v="1594983.79"/>
    <n v="237943.93"/>
    <n v="1832927.72"/>
    <n v="17195.009999999998"/>
    <n v="211183.26"/>
    <n v="0.85599999999999998"/>
    <n v="46208.46"/>
    <n v="9230.77"/>
    <n v="0"/>
    <x v="2"/>
    <n v="7"/>
  </r>
  <r>
    <n v="38425"/>
    <n v="3203502"/>
    <x v="48"/>
    <n v="0.53600000000000003"/>
    <n v="1663251.57"/>
    <n v="248128.32"/>
    <n v="1911379.89"/>
    <n v="17930.98"/>
    <n v="205426.39"/>
    <n v="0.69299999999999995"/>
    <n v="48186.25"/>
    <n v="7466.19"/>
    <n v="0"/>
    <x v="2"/>
    <n v="7"/>
  </r>
  <r>
    <n v="38426"/>
    <n v="3203601"/>
    <x v="49"/>
    <n v="0.27800000000000002"/>
    <n v="862656.6"/>
    <n v="128693.39"/>
    <n v="991349.99"/>
    <n v="9300.02"/>
    <n v="50372.639999999999"/>
    <n v="0.29799999999999999"/>
    <n v="24992.12"/>
    <n v="3207.23"/>
    <n v="0"/>
    <x v="2"/>
    <n v="7"/>
  </r>
  <r>
    <n v="38427"/>
    <n v="3203700"/>
    <x v="50"/>
    <n v="0.55000000000000004"/>
    <n v="1706694.73"/>
    <n v="254609.27"/>
    <n v="1961304"/>
    <n v="18399.330000000002"/>
    <n v="133425.62"/>
    <n v="0.67100000000000004"/>
    <n v="49444.85"/>
    <n v="7232.97"/>
    <n v="0"/>
    <x v="2"/>
    <n v="7"/>
  </r>
  <r>
    <n v="38428"/>
    <n v="3203809"/>
    <x v="51"/>
    <n v="0.29599999999999999"/>
    <n v="918512.07"/>
    <n v="137026.1"/>
    <n v="1055538.17"/>
    <n v="9902.18"/>
    <n v="117075.17"/>
    <n v="0.57499999999999996"/>
    <n v="26610.32"/>
    <n v="6196.51"/>
    <n v="0"/>
    <x v="2"/>
    <n v="7"/>
  </r>
  <r>
    <n v="38429"/>
    <n v="3203908"/>
    <x v="52"/>
    <n v="1.268"/>
    <n v="3934707.07"/>
    <n v="586990.09"/>
    <n v="4521697.16"/>
    <n v="42418.81"/>
    <n v="678633.97"/>
    <n v="1.4650000000000001"/>
    <n v="113992.86"/>
    <n v="15787.02"/>
    <n v="0"/>
    <x v="2"/>
    <n v="7"/>
  </r>
  <r>
    <n v="38430"/>
    <n v="3204005"/>
    <x v="53"/>
    <n v="0.47099999999999997"/>
    <n v="1461551.28"/>
    <n v="218038.13"/>
    <n v="1679589.41"/>
    <n v="15756.51"/>
    <n v="176713.28"/>
    <n v="0.747"/>
    <n v="42342.77"/>
    <n v="8052.79"/>
    <n v="0"/>
    <x v="2"/>
    <n v="7"/>
  </r>
  <r>
    <n v="38431"/>
    <n v="3204054"/>
    <x v="54"/>
    <n v="0.313"/>
    <n v="971264.44"/>
    <n v="144895.82"/>
    <n v="1116160.26"/>
    <n v="10470.89"/>
    <n v="269454.49"/>
    <n v="0.86199999999999999"/>
    <n v="28138.61"/>
    <n v="9295.84"/>
    <n v="0"/>
    <x v="2"/>
    <n v="7"/>
  </r>
  <r>
    <n v="38432"/>
    <n v="3204104"/>
    <x v="55"/>
    <n v="0.72599999999999998"/>
    <n v="2252837.0099999998"/>
    <n v="336084.22"/>
    <n v="2588921.23"/>
    <n v="24287.11"/>
    <n v="216589.83"/>
    <n v="0.875"/>
    <n v="65267.199999999997"/>
    <n v="9430.42"/>
    <n v="0"/>
    <x v="2"/>
    <n v="7"/>
  </r>
  <r>
    <n v="38433"/>
    <n v="3204203"/>
    <x v="56"/>
    <n v="0.14599999999999999"/>
    <n v="453049.86"/>
    <n v="67587.19"/>
    <n v="520637.05"/>
    <n v="4884.18"/>
    <n v="289945.09000000003"/>
    <n v="0.73399999999999999"/>
    <n v="13125.36"/>
    <n v="7916.63"/>
    <n v="0"/>
    <x v="2"/>
    <n v="7"/>
  </r>
  <r>
    <n v="38434"/>
    <n v="3204252"/>
    <x v="57"/>
    <n v="0.221"/>
    <n v="685780.95"/>
    <n v="102306.64"/>
    <n v="788087.59"/>
    <n v="7393.18"/>
    <n v="75832.69"/>
    <n v="0.32900000000000001"/>
    <n v="19867.84"/>
    <n v="3541.46"/>
    <n v="0"/>
    <x v="2"/>
    <n v="7"/>
  </r>
  <r>
    <n v="38435"/>
    <n v="1718402"/>
    <x v="58"/>
    <n v="0.33800000000000002"/>
    <n v="1048841.47"/>
    <n v="156468.95000000001"/>
    <n v="1205310.42"/>
    <n v="11307.22"/>
    <n v="221482.18"/>
    <n v="0.45100000000000001"/>
    <n v="30386.11"/>
    <n v="4860.0600000000004"/>
    <n v="0"/>
    <x v="2"/>
    <n v="7"/>
  </r>
  <r>
    <n v="38436"/>
    <n v="3204351"/>
    <x v="59"/>
    <n v="0.79700000000000004"/>
    <n v="2473155.81"/>
    <n v="368951.99"/>
    <n v="2842107.8"/>
    <n v="26662.3"/>
    <n v="291793.09000000003"/>
    <n v="0.69799999999999995"/>
    <n v="71650.080000000002"/>
    <n v="7524.43"/>
    <n v="0"/>
    <x v="2"/>
    <n v="7"/>
  </r>
  <r>
    <n v="38437"/>
    <n v="3204401"/>
    <x v="60"/>
    <n v="0.27500000000000002"/>
    <n v="853347.33"/>
    <n v="127304.64"/>
    <n v="980651.97"/>
    <n v="9199.66"/>
    <n v="126056.07"/>
    <n v="0.45"/>
    <n v="24722.42"/>
    <n v="4845.5"/>
    <n v="0"/>
    <x v="2"/>
    <n v="7"/>
  </r>
  <r>
    <n v="38438"/>
    <n v="3204500"/>
    <x v="61"/>
    <n v="0.53800000000000003"/>
    <n v="1669457.74"/>
    <n v="249054.16"/>
    <n v="1918511.9"/>
    <n v="17997.89"/>
    <n v="99117.36"/>
    <n v="0.45600000000000002"/>
    <n v="48366.05"/>
    <n v="4916.47"/>
    <n v="0"/>
    <x v="2"/>
    <n v="7"/>
  </r>
  <r>
    <n v="38439"/>
    <n v="3204559"/>
    <x v="62"/>
    <n v="2.1160000000000001"/>
    <n v="6566120.0300000003"/>
    <n v="979551.29"/>
    <n v="7545671.3200000003"/>
    <n v="70787.23"/>
    <n v="589229.9"/>
    <n v="1.1990000000000001"/>
    <n v="190227.82"/>
    <n v="12925.11"/>
    <n v="0"/>
    <x v="2"/>
    <n v="7"/>
  </r>
  <r>
    <n v="38440"/>
    <n v="3204609"/>
    <x v="63"/>
    <n v="0.68799999999999994"/>
    <n v="2134919.92"/>
    <n v="318493.03000000003"/>
    <n v="2453412.9500000002"/>
    <n v="23015.88"/>
    <n v="359772.89"/>
    <n v="0.82899999999999996"/>
    <n v="61851.01"/>
    <n v="8938.7900000000009"/>
    <n v="0"/>
    <x v="2"/>
    <n v="7"/>
  </r>
  <r>
    <n v="38441"/>
    <n v="3204658"/>
    <x v="64"/>
    <n v="0.42399999999999999"/>
    <n v="1315706.45"/>
    <n v="196280.61"/>
    <n v="1511987.06"/>
    <n v="14184.21"/>
    <n v="130551.47"/>
    <n v="0.33700000000000002"/>
    <n v="38117.480000000003"/>
    <n v="3635.77"/>
    <n v="0"/>
    <x v="2"/>
    <n v="7"/>
  </r>
  <r>
    <n v="38442"/>
    <n v="3204708"/>
    <x v="65"/>
    <n v="0.81499999999999995"/>
    <n v="2529011.2400000002"/>
    <n v="377284.65"/>
    <n v="2906295.89"/>
    <n v="27264.46"/>
    <n v="417292.56"/>
    <n v="1.169"/>
    <n v="73268.28"/>
    <n v="12596.78"/>
    <n v="0"/>
    <x v="2"/>
    <n v="7"/>
  </r>
  <r>
    <n v="38443"/>
    <n v="3204807"/>
    <x v="66"/>
    <n v="0.23"/>
    <n v="713708.69"/>
    <n v="106472.95"/>
    <n v="820181.64"/>
    <n v="7694.26"/>
    <n v="85993.01"/>
    <n v="0.436"/>
    <n v="20676.93"/>
    <n v="4702"/>
    <n v="0"/>
    <x v="2"/>
    <n v="7"/>
  </r>
  <r>
    <n v="38444"/>
    <n v="3204906"/>
    <x v="67"/>
    <n v="1.8839999999999999"/>
    <n v="5846205.1500000004"/>
    <n v="872152.48"/>
    <n v="6718357.6299999999"/>
    <n v="63026.06"/>
    <n v="1555767.37"/>
    <n v="3.024"/>
    <n v="169371.09"/>
    <n v="32599.39"/>
    <n v="0"/>
    <x v="2"/>
    <n v="7"/>
  </r>
  <r>
    <n v="38445"/>
    <n v="3204955"/>
    <x v="68"/>
    <n v="0.32600000000000001"/>
    <n v="1011604.52"/>
    <n v="150913.85999999999"/>
    <n v="1162518.3799999999"/>
    <n v="10905.78"/>
    <n v="95872.08"/>
    <n v="0.46100000000000002"/>
    <n v="29307.31"/>
    <n v="4973"/>
    <n v="0"/>
    <x v="2"/>
    <n v="7"/>
  </r>
  <r>
    <n v="38446"/>
    <n v="3205002"/>
    <x v="69"/>
    <n v="14.176"/>
    <n v="43989280.329999998"/>
    <n v="6562438.1399999997"/>
    <n v="50551718.469999999"/>
    <n v="474234.27"/>
    <n v="6518721.4299999997"/>
    <n v="8.4320000000000004"/>
    <n v="1274418.51"/>
    <n v="90888.39"/>
    <n v="0"/>
    <x v="2"/>
    <n v="7"/>
  </r>
  <r>
    <n v="38447"/>
    <n v="3205010"/>
    <x v="70"/>
    <n v="0.72199999999999998"/>
    <n v="2240424.69"/>
    <n v="334232.53000000003"/>
    <n v="2574657.2200000002"/>
    <n v="24153.3"/>
    <n v="241889.73"/>
    <n v="0.997"/>
    <n v="64907.6"/>
    <n v="10742.73"/>
    <n v="0"/>
    <x v="2"/>
    <n v="7"/>
  </r>
  <r>
    <n v="38448"/>
    <n v="3205036"/>
    <x v="71"/>
    <n v="0.498"/>
    <n v="1545334.49"/>
    <n v="230537.13"/>
    <n v="1775871.62"/>
    <n v="16659.75"/>
    <n v="223199.74"/>
    <n v="0.72699999999999998"/>
    <n v="44770.07"/>
    <n v="7836.62"/>
    <n v="0"/>
    <x v="2"/>
    <n v="7"/>
  </r>
  <r>
    <n v="38449"/>
    <n v="3205069"/>
    <x v="72"/>
    <n v="0.75800000000000001"/>
    <n v="2352135.59"/>
    <n v="350897.86"/>
    <n v="2703033.45"/>
    <n v="25357.62"/>
    <n v="396793.2"/>
    <n v="0.85799999999999998"/>
    <n v="68143.990000000005"/>
    <n v="9247.18"/>
    <n v="0"/>
    <x v="2"/>
    <n v="7"/>
  </r>
  <r>
    <n v="38450"/>
    <n v="2112803"/>
    <x v="73"/>
    <n v="2.9929999999999999"/>
    <n v="9287522.2799999993"/>
    <n v="1385537.35"/>
    <n v="10673059.630000001"/>
    <n v="100125.79"/>
    <n v="948190.64"/>
    <n v="1.984"/>
    <n v="269069.87"/>
    <n v="21380.06"/>
    <n v="0"/>
    <x v="2"/>
    <n v="7"/>
  </r>
  <r>
    <n v="38451"/>
    <n v="3205150"/>
    <x v="74"/>
    <n v="0.32800000000000001"/>
    <n v="1017810.66"/>
    <n v="151839.70000000001"/>
    <n v="1169650.3600000001"/>
    <n v="10972.69"/>
    <n v="90726.67"/>
    <n v="0.34399999999999997"/>
    <n v="29487.11"/>
    <n v="3707.25"/>
    <n v="0"/>
    <x v="2"/>
    <n v="7"/>
  </r>
  <r>
    <n v="38452"/>
    <n v="3205176"/>
    <x v="75"/>
    <n v="0.623"/>
    <n v="1933219.62"/>
    <n v="288402.88"/>
    <n v="2221622.5"/>
    <n v="20841.419999999998"/>
    <n v="227732.37"/>
    <n v="0.55600000000000005"/>
    <n v="56007.53"/>
    <n v="5994.9"/>
    <n v="0"/>
    <x v="2"/>
    <n v="7"/>
  </r>
  <r>
    <n v="38453"/>
    <n v="3205200"/>
    <x v="76"/>
    <n v="5.3819999999999997"/>
    <n v="16700783.51"/>
    <n v="2491467.42"/>
    <n v="19192250.93"/>
    <n v="180045.77"/>
    <n v="7258418.1799999997"/>
    <n v="8.09"/>
    <n v="483840.32"/>
    <n v="87201.16"/>
    <n v="0"/>
    <x v="2"/>
    <n v="7"/>
  </r>
  <r>
    <n v="38454"/>
    <n v="3205309"/>
    <x v="77"/>
    <n v="14.535"/>
    <n v="45103286.649999999"/>
    <n v="6728628.5999999996"/>
    <n v="51831915.25"/>
    <n v="486244.01"/>
    <n v="6927762.3200000003"/>
    <n v="9.4969999999999999"/>
    <n v="1306692.46"/>
    <n v="102364.24"/>
    <n v="0"/>
    <x v="2"/>
    <n v="7"/>
  </r>
  <r>
    <n v="38455"/>
    <n v="3200102"/>
    <x v="0"/>
    <n v="0.8"/>
    <n v="2360688.7000000002"/>
    <n v="175391.9"/>
    <n v="2536080.6"/>
    <n v="21317.25"/>
    <n v="206981.16"/>
    <n v="0.98499999999999999"/>
    <n v="67640.78"/>
    <n v="0"/>
    <n v="0"/>
    <x v="2"/>
    <n v="8"/>
  </r>
  <r>
    <n v="38456"/>
    <n v="3200169"/>
    <x v="1"/>
    <n v="0.30099999999999999"/>
    <n v="888209.12"/>
    <n v="65991.199999999997"/>
    <n v="954200.32"/>
    <n v="8020.62"/>
    <n v="62124.27"/>
    <n v="0.439"/>
    <n v="25449.84"/>
    <n v="0"/>
    <n v="0"/>
    <x v="2"/>
    <n v="8"/>
  </r>
  <r>
    <n v="38457"/>
    <n v="3200136"/>
    <x v="2"/>
    <n v="0.41599999999999998"/>
    <n v="1227558.1399999999"/>
    <n v="91203.77"/>
    <n v="1318761.9099999999"/>
    <n v="11084.97"/>
    <n v="54041.919999999998"/>
    <n v="0.34799999999999998"/>
    <n v="35173.21"/>
    <n v="0"/>
    <n v="0"/>
    <x v="2"/>
    <n v="8"/>
  </r>
  <r>
    <n v="38458"/>
    <n v="3200201"/>
    <x v="3"/>
    <n v="0.51"/>
    <n v="1504939.05"/>
    <n v="111812.32"/>
    <n v="1616751.37"/>
    <n v="13589.75"/>
    <n v="155385.76999999999"/>
    <n v="0.98"/>
    <n v="43121"/>
    <n v="0"/>
    <n v="0"/>
    <x v="2"/>
    <n v="8"/>
  </r>
  <r>
    <n v="38459"/>
    <n v="3200300"/>
    <x v="4"/>
    <n v="0.49"/>
    <n v="1445921.82"/>
    <n v="107427.52"/>
    <n v="1553349.34"/>
    <n v="13056.82"/>
    <n v="132145.49"/>
    <n v="0.56399999999999995"/>
    <n v="41429.980000000003"/>
    <n v="0"/>
    <n v="0"/>
    <x v="2"/>
    <n v="8"/>
  </r>
  <r>
    <n v="38460"/>
    <n v="3200359"/>
    <x v="5"/>
    <n v="0.23100000000000001"/>
    <n v="681648.87"/>
    <n v="50644.41"/>
    <n v="732293.28"/>
    <n v="6155.36"/>
    <n v="45301.27"/>
    <n v="0.32700000000000001"/>
    <n v="19531.28"/>
    <n v="0"/>
    <n v="0"/>
    <x v="2"/>
    <n v="8"/>
  </r>
  <r>
    <n v="38461"/>
    <n v="3200409"/>
    <x v="6"/>
    <n v="1.766"/>
    <n v="5211220.34"/>
    <n v="387177.61"/>
    <n v="5598397.9500000002"/>
    <n v="47057.83"/>
    <n v="239191.02"/>
    <n v="0.90800000000000003"/>
    <n v="149317.01999999999"/>
    <n v="0"/>
    <n v="0"/>
    <x v="2"/>
    <n v="8"/>
  </r>
  <r>
    <n v="38462"/>
    <n v="3200508"/>
    <x v="7"/>
    <n v="0.185"/>
    <n v="545909.28"/>
    <n v="40559.370000000003"/>
    <n v="586468.65"/>
    <n v="4929.6099999999997"/>
    <n v="78385.990000000005"/>
    <n v="0.32300000000000001"/>
    <n v="15641.93"/>
    <n v="0"/>
    <n v="0"/>
    <x v="2"/>
    <n v="8"/>
  </r>
  <r>
    <n v="38463"/>
    <n v="3200607"/>
    <x v="8"/>
    <n v="4.9909999999999997"/>
    <n v="14727746.74"/>
    <n v="1094226.08"/>
    <n v="15821972.82"/>
    <n v="132993"/>
    <n v="803125.13"/>
    <n v="2.5089999999999999"/>
    <n v="421993.92"/>
    <n v="0"/>
    <n v="0"/>
    <x v="2"/>
    <n v="8"/>
  </r>
  <r>
    <n v="38464"/>
    <n v="3200706"/>
    <x v="9"/>
    <n v="0.373"/>
    <n v="1100671.1100000001"/>
    <n v="81776.479999999996"/>
    <n v="1182447.5900000001"/>
    <n v="9939.17"/>
    <n v="56730.97"/>
    <n v="0.45700000000000002"/>
    <n v="31537.51"/>
    <n v="0"/>
    <n v="0"/>
    <x v="2"/>
    <n v="8"/>
  </r>
  <r>
    <n v="38465"/>
    <n v="3200805"/>
    <x v="10"/>
    <n v="0.64300000000000002"/>
    <n v="1897403.54"/>
    <n v="140971.22"/>
    <n v="2038374.76"/>
    <n v="17133.740000000002"/>
    <n v="324379.74"/>
    <n v="0.996"/>
    <n v="54366.28"/>
    <n v="0"/>
    <n v="0"/>
    <x v="2"/>
    <n v="8"/>
  </r>
  <r>
    <n v="38466"/>
    <n v="3200904"/>
    <x v="11"/>
    <n v="1.036"/>
    <n v="3057091.89"/>
    <n v="227132.5"/>
    <n v="3284224.39"/>
    <n v="27605.84"/>
    <n v="315879.21000000002"/>
    <n v="1.321"/>
    <n v="87594.81"/>
    <n v="0"/>
    <n v="0"/>
    <x v="2"/>
    <n v="8"/>
  </r>
  <r>
    <n v="38467"/>
    <n v="3107109"/>
    <x v="12"/>
    <n v="0.39900000000000002"/>
    <n v="1177393.5"/>
    <n v="87476.72"/>
    <n v="1264870.22"/>
    <n v="10631.98"/>
    <n v="87506.39"/>
    <n v="0.56899999999999995"/>
    <n v="33735.839999999997"/>
    <n v="0"/>
    <n v="0"/>
    <x v="2"/>
    <n v="8"/>
  </r>
  <r>
    <n v="38468"/>
    <n v="3201100"/>
    <x v="13"/>
    <n v="0.17599999999999999"/>
    <n v="519351.54"/>
    <n v="38586.21"/>
    <n v="557937.75"/>
    <n v="4689.8"/>
    <n v="165547.54999999999"/>
    <n v="0.43"/>
    <n v="14880.97"/>
    <n v="0"/>
    <n v="0"/>
    <x v="2"/>
    <n v="8"/>
  </r>
  <r>
    <n v="38469"/>
    <n v="3201159"/>
    <x v="14"/>
    <n v="0.42099999999999999"/>
    <n v="1242312.46"/>
    <n v="92299.97"/>
    <n v="1334612.43"/>
    <n v="11218.2"/>
    <n v="68783.210000000006"/>
    <n v="0.46"/>
    <n v="35595.96"/>
    <n v="0"/>
    <n v="0"/>
    <x v="2"/>
    <n v="8"/>
  </r>
  <r>
    <n v="38470"/>
    <n v="3201209"/>
    <x v="15"/>
    <n v="3.234"/>
    <n v="9543084.1400000006"/>
    <n v="709021.67"/>
    <n v="10252105.810000001"/>
    <n v="86174.99"/>
    <n v="1518226.18"/>
    <n v="4.4820000000000002"/>
    <n v="273437.86"/>
    <n v="0"/>
    <n v="0"/>
    <x v="2"/>
    <n v="8"/>
  </r>
  <r>
    <n v="38471"/>
    <n v="3201308"/>
    <x v="16"/>
    <n v="7.4969999999999999"/>
    <n v="22122604.109999999"/>
    <n v="1643641.15"/>
    <n v="23766245.260000002"/>
    <n v="199769.29"/>
    <n v="2357732.31"/>
    <n v="6.6040000000000001"/>
    <n v="633878.67000000004"/>
    <n v="0"/>
    <n v="0"/>
    <x v="2"/>
    <n v="8"/>
  </r>
  <r>
    <n v="38472"/>
    <n v="3201407"/>
    <x v="17"/>
    <n v="0.96499999999999997"/>
    <n v="2847580.78"/>
    <n v="211566.44"/>
    <n v="3059147.22"/>
    <n v="25713.93"/>
    <n v="383613.77"/>
    <n v="1.155"/>
    <n v="81591.69"/>
    <n v="0"/>
    <n v="0"/>
    <x v="2"/>
    <n v="8"/>
  </r>
  <r>
    <n v="38473"/>
    <n v="3201506"/>
    <x v="18"/>
    <n v="2.1739999999999999"/>
    <n v="6415171.5899999999"/>
    <n v="476627.44"/>
    <n v="6891799.0300000003"/>
    <n v="57929.63"/>
    <n v="1166752.79"/>
    <n v="2.8220000000000001"/>
    <n v="183813.82"/>
    <n v="0"/>
    <n v="0"/>
    <x v="2"/>
    <n v="8"/>
  </r>
  <r>
    <n v="38474"/>
    <n v="3201605"/>
    <x v="19"/>
    <n v="0.65200000000000002"/>
    <n v="1923961.31"/>
    <n v="142944.35"/>
    <n v="2066905.66"/>
    <n v="17373.560000000001"/>
    <n v="150093.66"/>
    <n v="0.999"/>
    <n v="55127.24"/>
    <n v="0"/>
    <n v="0"/>
    <x v="2"/>
    <n v="8"/>
  </r>
  <r>
    <n v="38475"/>
    <n v="3201704"/>
    <x v="20"/>
    <n v="0.47499999999999998"/>
    <n v="1401658.91"/>
    <n v="104138.92"/>
    <n v="1505797.83"/>
    <n v="12657.12"/>
    <n v="79487.44"/>
    <n v="0.46500000000000002"/>
    <n v="40161.71"/>
    <n v="0"/>
    <n v="0"/>
    <x v="2"/>
    <n v="8"/>
  </r>
  <r>
    <n v="38476"/>
    <n v="3201803"/>
    <x v="21"/>
    <n v="0.186"/>
    <n v="548860.12"/>
    <n v="40778.6"/>
    <n v="589638.72"/>
    <n v="4956.26"/>
    <n v="23763.82"/>
    <n v="0.28299999999999997"/>
    <n v="15726.48"/>
    <n v="0"/>
    <n v="0"/>
    <x v="2"/>
    <n v="8"/>
  </r>
  <r>
    <n v="38477"/>
    <n v="3201902"/>
    <x v="22"/>
    <n v="1.3140000000000001"/>
    <n v="3877431.2"/>
    <n v="288081.15999999997"/>
    <n v="4165512.36"/>
    <n v="35013.589999999997"/>
    <n v="291935.93"/>
    <n v="1.0309999999999999"/>
    <n v="111099.98"/>
    <n v="0"/>
    <n v="0"/>
    <x v="2"/>
    <n v="8"/>
  </r>
  <r>
    <n v="38478"/>
    <n v="3202009"/>
    <x v="23"/>
    <n v="0.26"/>
    <n v="767223.83"/>
    <n v="57002.35"/>
    <n v="824226.18"/>
    <n v="6928.11"/>
    <n v="67730.179999999993"/>
    <n v="0.314"/>
    <n v="21983.25"/>
    <n v="0"/>
    <n v="0"/>
    <x v="2"/>
    <n v="8"/>
  </r>
  <r>
    <n v="38479"/>
    <n v="3202108"/>
    <x v="24"/>
    <n v="0.69899999999999995"/>
    <n v="2062651.77"/>
    <n v="153248.67000000001"/>
    <n v="2215900.44"/>
    <n v="18625.95"/>
    <n v="118882.24000000001"/>
    <n v="0.81599999999999995"/>
    <n v="59101.13"/>
    <n v="0"/>
    <n v="0"/>
    <x v="2"/>
    <n v="8"/>
  </r>
  <r>
    <n v="38480"/>
    <n v="3202207"/>
    <x v="25"/>
    <n v="0.313"/>
    <n v="923619.45"/>
    <n v="68622.070000000007"/>
    <n v="992241.52"/>
    <n v="8340.3700000000008"/>
    <n v="116591.3"/>
    <n v="0.73399999999999999"/>
    <n v="26464.46"/>
    <n v="0"/>
    <n v="0"/>
    <x v="2"/>
    <n v="8"/>
  </r>
  <r>
    <n v="38481"/>
    <n v="3202256"/>
    <x v="26"/>
    <n v="0.43"/>
    <n v="1268870.17"/>
    <n v="94273.13"/>
    <n v="1363143.3"/>
    <n v="11458.02"/>
    <n v="123293.77"/>
    <n v="0.46700000000000003"/>
    <n v="36356.92"/>
    <n v="0"/>
    <n v="0"/>
    <x v="2"/>
    <n v="8"/>
  </r>
  <r>
    <n v="38482"/>
    <n v="3202306"/>
    <x v="27"/>
    <n v="0.378"/>
    <n v="1115425.42"/>
    <n v="82872.649999999994"/>
    <n v="1198298.07"/>
    <n v="10072.4"/>
    <n v="202374.62"/>
    <n v="0.998"/>
    <n v="31960.27"/>
    <n v="0"/>
    <n v="0"/>
    <x v="2"/>
    <n v="8"/>
  </r>
  <r>
    <n v="38483"/>
    <n v="3202405"/>
    <x v="28"/>
    <n v="0.90900000000000003"/>
    <n v="2682332.5699999998"/>
    <n v="199289.05"/>
    <n v="2881621.62"/>
    <n v="24221.73"/>
    <n v="1361603.14"/>
    <n v="2.8730000000000002"/>
    <n v="76856.84"/>
    <n v="0"/>
    <n v="0"/>
    <x v="2"/>
    <n v="8"/>
  </r>
  <r>
    <n v="38484"/>
    <n v="3202454"/>
    <x v="29"/>
    <n v="0.35099999999999998"/>
    <n v="1035752.16"/>
    <n v="76953.19"/>
    <n v="1112705.3500000001"/>
    <n v="9352.94"/>
    <n v="208017.54"/>
    <n v="0.86499999999999999"/>
    <n v="29677.39"/>
    <n v="0"/>
    <n v="0"/>
    <x v="2"/>
    <n v="8"/>
  </r>
  <r>
    <n v="38485"/>
    <n v="3202504"/>
    <x v="30"/>
    <n v="0.26700000000000002"/>
    <n v="787879.86"/>
    <n v="58537.06"/>
    <n v="846416.92"/>
    <n v="7114.63"/>
    <n v="74846.179999999993"/>
    <n v="0.46300000000000002"/>
    <n v="22575.11"/>
    <n v="0"/>
    <n v="0"/>
    <x v="2"/>
    <n v="8"/>
  </r>
  <r>
    <n v="38486"/>
    <n v="3202553"/>
    <x v="31"/>
    <n v="0.248"/>
    <n v="731813.5"/>
    <n v="54371.48"/>
    <n v="786184.98"/>
    <n v="6608.35"/>
    <n v="54360.24"/>
    <n v="0.33800000000000002"/>
    <n v="20968.64"/>
    <n v="0"/>
    <n v="0"/>
    <x v="2"/>
    <n v="8"/>
  </r>
  <r>
    <n v="38487"/>
    <n v="3202603"/>
    <x v="32"/>
    <n v="0.34399999999999997"/>
    <n v="1015096.16"/>
    <n v="75418.52"/>
    <n v="1090514.68"/>
    <n v="9166.42"/>
    <n v="123053.53"/>
    <n v="0.55600000000000005"/>
    <n v="29085.54"/>
    <n v="0"/>
    <n v="0"/>
    <x v="2"/>
    <n v="8"/>
  </r>
  <r>
    <n v="38488"/>
    <n v="3202652"/>
    <x v="33"/>
    <n v="0.308"/>
    <n v="908865.17"/>
    <n v="67525.86"/>
    <n v="976391.03"/>
    <n v="8207.14"/>
    <n v="107562.79"/>
    <n v="0.55100000000000005"/>
    <n v="26041.7"/>
    <n v="0"/>
    <n v="0"/>
    <x v="2"/>
    <n v="8"/>
  </r>
  <r>
    <n v="38489"/>
    <n v="3202702"/>
    <x v="34"/>
    <n v="0.35499999999999998"/>
    <n v="1047555.61"/>
    <n v="77830.14"/>
    <n v="1125385.75"/>
    <n v="9459.5300000000007"/>
    <n v="73487.8"/>
    <n v="0.55500000000000005"/>
    <n v="30015.599999999999"/>
    <n v="0"/>
    <n v="0"/>
    <x v="2"/>
    <n v="8"/>
  </r>
  <r>
    <n v="38490"/>
    <n v="3202801"/>
    <x v="35"/>
    <n v="2.262"/>
    <n v="6674847.3300000001"/>
    <n v="495920.53"/>
    <n v="7170767.8600000003"/>
    <n v="60274.53"/>
    <n v="288517.56"/>
    <n v="1.042"/>
    <n v="191254.31"/>
    <n v="0"/>
    <n v="0"/>
    <x v="2"/>
    <n v="8"/>
  </r>
  <r>
    <n v="38491"/>
    <n v="3202900"/>
    <x v="36"/>
    <n v="0.34599999999999997"/>
    <n v="1020997.88"/>
    <n v="75856.97"/>
    <n v="1096854.8500000001"/>
    <n v="9219.7099999999991"/>
    <n v="66634.240000000005"/>
    <n v="0.435"/>
    <n v="29254.639999999999"/>
    <n v="0"/>
    <n v="0"/>
    <x v="2"/>
    <n v="8"/>
  </r>
  <r>
    <n v="38492"/>
    <n v="3203007"/>
    <x v="37"/>
    <n v="0.438"/>
    <n v="1292477.0900000001"/>
    <n v="96027.05"/>
    <n v="1388504.14"/>
    <n v="11671.2"/>
    <n v="213788.85"/>
    <n v="0.89700000000000002"/>
    <n v="37033.33"/>
    <n v="0"/>
    <n v="0"/>
    <x v="2"/>
    <n v="8"/>
  </r>
  <r>
    <n v="38493"/>
    <n v="3203056"/>
    <x v="38"/>
    <n v="0.8"/>
    <n v="2360688.7000000002"/>
    <n v="175391.9"/>
    <n v="2536080.6"/>
    <n v="21317.25"/>
    <n v="236065.85"/>
    <n v="1"/>
    <n v="67640.78"/>
    <n v="0"/>
    <n v="0"/>
    <x v="2"/>
    <n v="8"/>
  </r>
  <r>
    <n v="38494"/>
    <n v="3203106"/>
    <x v="39"/>
    <n v="0.21199999999999999"/>
    <n v="625582.5"/>
    <n v="46478.84"/>
    <n v="672061.34"/>
    <n v="5649.07"/>
    <n v="56166.71"/>
    <n v="0.45800000000000002"/>
    <n v="17924.810000000001"/>
    <n v="0"/>
    <n v="0"/>
    <x v="2"/>
    <n v="8"/>
  </r>
  <r>
    <n v="38495"/>
    <n v="3203130"/>
    <x v="40"/>
    <n v="0.38600000000000001"/>
    <n v="1139032.28"/>
    <n v="84626.57"/>
    <n v="1223658.8500000001"/>
    <n v="10285.57"/>
    <n v="102824.97"/>
    <n v="0.66600000000000004"/>
    <n v="32636.68"/>
    <n v="0"/>
    <n v="0"/>
    <x v="2"/>
    <n v="8"/>
  </r>
  <r>
    <n v="38496"/>
    <n v="3203163"/>
    <x v="41"/>
    <n v="0.372"/>
    <n v="1097720.28"/>
    <n v="81557.23"/>
    <n v="1179277.51"/>
    <n v="9912.52"/>
    <n v="55900.6"/>
    <n v="0.441"/>
    <n v="31452.959999999999"/>
    <n v="0"/>
    <n v="0"/>
    <x v="2"/>
    <n v="8"/>
  </r>
  <r>
    <n v="38497"/>
    <n v="3203205"/>
    <x v="42"/>
    <n v="5.4"/>
    <n v="15934648.84"/>
    <n v="1183895.19"/>
    <n v="17118544.030000001"/>
    <n v="143891.45000000001"/>
    <n v="1424929.56"/>
    <n v="4.0880000000000001"/>
    <n v="456575.27"/>
    <n v="0"/>
    <n v="0"/>
    <x v="2"/>
    <n v="8"/>
  </r>
  <r>
    <n v="38498"/>
    <n v="3203304"/>
    <x v="43"/>
    <n v="0.216"/>
    <n v="637385.96"/>
    <n v="47355.81"/>
    <n v="684741.77"/>
    <n v="5755.66"/>
    <n v="105981.65"/>
    <n v="0.57599999999999996"/>
    <n v="18263.009999999998"/>
    <n v="0"/>
    <n v="0"/>
    <x v="2"/>
    <n v="8"/>
  </r>
  <r>
    <n v="38499"/>
    <n v="3203320"/>
    <x v="44"/>
    <n v="0.60899999999999999"/>
    <n v="1797074.29"/>
    <n v="133517.07"/>
    <n v="1930591.36"/>
    <n v="16227.76"/>
    <n v="359132.11"/>
    <n v="1.171"/>
    <n v="51491.54"/>
    <n v="0"/>
    <n v="0"/>
    <x v="2"/>
    <n v="8"/>
  </r>
  <r>
    <n v="38500"/>
    <n v="3203346"/>
    <x v="45"/>
    <n v="0.64500000000000002"/>
    <n v="1903305.28"/>
    <n v="141409.69"/>
    <n v="2044714.97"/>
    <n v="17187.03"/>
    <n v="134897.60999999999"/>
    <n v="0.67100000000000004"/>
    <n v="54535.38"/>
    <n v="0"/>
    <n v="0"/>
    <x v="2"/>
    <n v="8"/>
  </r>
  <r>
    <n v="38501"/>
    <n v="3203353"/>
    <x v="46"/>
    <n v="0.45200000000000001"/>
    <n v="1333789.1200000001"/>
    <n v="99096.43"/>
    <n v="1432885.55"/>
    <n v="12044.25"/>
    <n v="99704.24"/>
    <n v="0.46700000000000003"/>
    <n v="38217.040000000001"/>
    <n v="0"/>
    <n v="0"/>
    <x v="2"/>
    <n v="8"/>
  </r>
  <r>
    <n v="38502"/>
    <n v="3203403"/>
    <x v="47"/>
    <n v="0.51400000000000001"/>
    <n v="1516742.5"/>
    <n v="112689.29"/>
    <n v="1629431.79"/>
    <n v="13696.33"/>
    <n v="147117.98000000001"/>
    <n v="0.85599999999999998"/>
    <n v="43459.199999999997"/>
    <n v="0"/>
    <n v="0"/>
    <x v="2"/>
    <n v="8"/>
  </r>
  <r>
    <n v="38503"/>
    <n v="3203502"/>
    <x v="48"/>
    <n v="0.53600000000000003"/>
    <n v="1581661.44"/>
    <n v="117512.58"/>
    <n v="1699174.02"/>
    <n v="14282.56"/>
    <n v="146446.14000000001"/>
    <n v="0.69299999999999995"/>
    <n v="45319.32"/>
    <n v="0"/>
    <n v="0"/>
    <x v="2"/>
    <n v="8"/>
  </r>
  <r>
    <n v="38504"/>
    <n v="3203601"/>
    <x v="49"/>
    <n v="0.27800000000000002"/>
    <n v="820339.31"/>
    <n v="60948.68"/>
    <n v="881287.99"/>
    <n v="7407.74"/>
    <n v="36484.879999999997"/>
    <n v="0.29799999999999999"/>
    <n v="23505.17"/>
    <n v="0"/>
    <n v="0"/>
    <x v="2"/>
    <n v="8"/>
  </r>
  <r>
    <n v="38505"/>
    <n v="3203700"/>
    <x v="50"/>
    <n v="0.55000000000000004"/>
    <n v="1622973.51"/>
    <n v="120581.9"/>
    <n v="1743555.41"/>
    <n v="14655.61"/>
    <n v="97985.41"/>
    <n v="0.67100000000000004"/>
    <n v="46503.040000000001"/>
    <n v="0"/>
    <n v="0"/>
    <x v="2"/>
    <n v="8"/>
  </r>
  <r>
    <n v="38506"/>
    <n v="3203809"/>
    <x v="51"/>
    <n v="0.29599999999999999"/>
    <n v="873454.83"/>
    <n v="64894.99"/>
    <n v="938349.82"/>
    <n v="7887.38"/>
    <n v="85984.94"/>
    <n v="0.57499999999999996"/>
    <n v="25027.09"/>
    <n v="0"/>
    <n v="0"/>
    <x v="2"/>
    <n v="8"/>
  </r>
  <r>
    <n v="38507"/>
    <n v="3203908"/>
    <x v="52"/>
    <n v="1.268"/>
    <n v="3741691.6"/>
    <n v="277996.14"/>
    <n v="4019687.74"/>
    <n v="33787.839999999997"/>
    <n v="422058.42"/>
    <n v="1.4650000000000001"/>
    <n v="107210.64"/>
    <n v="0"/>
    <n v="0"/>
    <x v="2"/>
    <n v="8"/>
  </r>
  <r>
    <n v="38508"/>
    <n v="3204005"/>
    <x v="53"/>
    <n v="0.47099999999999997"/>
    <n v="1389855.49"/>
    <n v="103261.97"/>
    <n v="1493117.46"/>
    <n v="12550.53"/>
    <n v="107775.39"/>
    <n v="0.747"/>
    <n v="39823.51"/>
    <n v="0"/>
    <n v="0"/>
    <x v="2"/>
    <n v="8"/>
  </r>
  <r>
    <n v="38509"/>
    <n v="3204054"/>
    <x v="54"/>
    <n v="0.313"/>
    <n v="923619.45"/>
    <n v="68622.070000000007"/>
    <n v="992241.52"/>
    <n v="8340.3700000000008"/>
    <n v="173542.8"/>
    <n v="0.86199999999999999"/>
    <n v="26464.46"/>
    <n v="0"/>
    <n v="0"/>
    <x v="2"/>
    <n v="8"/>
  </r>
  <r>
    <n v="38510"/>
    <n v="3204104"/>
    <x v="55"/>
    <n v="0.72599999999999998"/>
    <n v="2142325.0099999998"/>
    <n v="159168.13"/>
    <n v="2301493.14"/>
    <n v="19345.41"/>
    <n v="137053.46"/>
    <n v="0.875"/>
    <n v="61384.01"/>
    <n v="0"/>
    <n v="0"/>
    <x v="2"/>
    <n v="8"/>
  </r>
  <r>
    <n v="38511"/>
    <n v="3204203"/>
    <x v="56"/>
    <n v="0.14599999999999999"/>
    <n v="430825.71"/>
    <n v="32009.02"/>
    <n v="462834.73"/>
    <n v="3890.4"/>
    <n v="179697.64"/>
    <n v="0.73399999999999999"/>
    <n v="12344.44"/>
    <n v="0"/>
    <n v="0"/>
    <x v="2"/>
    <n v="8"/>
  </r>
  <r>
    <n v="38512"/>
    <n v="3204252"/>
    <x v="57"/>
    <n v="0.221"/>
    <n v="652140.23"/>
    <n v="48452"/>
    <n v="700592.23"/>
    <n v="5888.89"/>
    <n v="35449.69"/>
    <n v="0.32900000000000001"/>
    <n v="18685.77"/>
    <n v="0"/>
    <n v="0"/>
    <x v="2"/>
    <n v="8"/>
  </r>
  <r>
    <n v="38513"/>
    <n v="1718402"/>
    <x v="58"/>
    <n v="0.33800000000000002"/>
    <n v="997390.99"/>
    <n v="74103.08"/>
    <n v="1071494.07"/>
    <n v="9006.5400000000009"/>
    <n v="161088.29"/>
    <n v="0.45100000000000001"/>
    <n v="28578.23"/>
    <n v="0"/>
    <n v="0"/>
    <x v="2"/>
    <n v="8"/>
  </r>
  <r>
    <n v="38514"/>
    <n v="3204351"/>
    <x v="59"/>
    <n v="0.79700000000000004"/>
    <n v="2351836.13"/>
    <n v="174734.11"/>
    <n v="2526570.2400000002"/>
    <n v="21237.31"/>
    <n v="152427.46"/>
    <n v="0.69799999999999995"/>
    <n v="67387.13"/>
    <n v="0"/>
    <n v="0"/>
    <x v="2"/>
    <n v="8"/>
  </r>
  <r>
    <n v="38515"/>
    <n v="3204401"/>
    <x v="60"/>
    <n v="0.27500000000000002"/>
    <n v="811486.73"/>
    <n v="60290.97"/>
    <n v="871777.7"/>
    <n v="7327.81"/>
    <n v="78213.05"/>
    <n v="0.45"/>
    <n v="23251.52"/>
    <n v="0"/>
    <n v="0"/>
    <x v="2"/>
    <n v="8"/>
  </r>
  <r>
    <n v="38516"/>
    <n v="3204500"/>
    <x v="61"/>
    <n v="0.53800000000000003"/>
    <n v="1587563.16"/>
    <n v="117951.05"/>
    <n v="1705514.21"/>
    <n v="14335.85"/>
    <n v="69759.570000000007"/>
    <n v="0.45600000000000002"/>
    <n v="45488.43"/>
    <n v="0"/>
    <n v="0"/>
    <x v="2"/>
    <n v="8"/>
  </r>
  <r>
    <n v="38517"/>
    <n v="3204559"/>
    <x v="62"/>
    <n v="2.1160000000000001"/>
    <n v="6244021.6500000004"/>
    <n v="463911.53"/>
    <n v="6707933.1799999997"/>
    <n v="56384.13"/>
    <n v="419370.21"/>
    <n v="1.1990000000000001"/>
    <n v="178909.87"/>
    <n v="0"/>
    <n v="0"/>
    <x v="2"/>
    <n v="8"/>
  </r>
  <r>
    <n v="38518"/>
    <n v="3204609"/>
    <x v="63"/>
    <n v="0.68799999999999994"/>
    <n v="2030192.31"/>
    <n v="150837.01999999999"/>
    <n v="2181029.33"/>
    <n v="18332.84"/>
    <n v="222612.45"/>
    <n v="0.82899999999999996"/>
    <n v="58171.07"/>
    <n v="0"/>
    <n v="0"/>
    <x v="2"/>
    <n v="8"/>
  </r>
  <r>
    <n v="38519"/>
    <n v="3204658"/>
    <x v="64"/>
    <n v="0.42399999999999999"/>
    <n v="1251165.01"/>
    <n v="92957.7"/>
    <n v="1344122.71"/>
    <n v="11298.14"/>
    <n v="81175.460000000006"/>
    <n v="0.33700000000000002"/>
    <n v="35849.61"/>
    <n v="0"/>
    <n v="0"/>
    <x v="2"/>
    <n v="8"/>
  </r>
  <r>
    <n v="38520"/>
    <n v="3204708"/>
    <x v="65"/>
    <n v="0.81499999999999995"/>
    <n v="2404951.61"/>
    <n v="178680.48"/>
    <n v="2583632.09"/>
    <n v="21716.95"/>
    <n v="277526.46999999997"/>
    <n v="1.169"/>
    <n v="68909.05"/>
    <n v="0"/>
    <n v="0"/>
    <x v="2"/>
    <n v="8"/>
  </r>
  <r>
    <n v="38521"/>
    <n v="3204807"/>
    <x v="66"/>
    <n v="0.23"/>
    <n v="678698"/>
    <n v="50425.17"/>
    <n v="729123.17"/>
    <n v="6128.71"/>
    <n v="76952.81"/>
    <n v="0.436"/>
    <n v="19446.72"/>
    <n v="0"/>
    <n v="0"/>
    <x v="2"/>
    <n v="8"/>
  </r>
  <r>
    <n v="38522"/>
    <n v="3204906"/>
    <x v="67"/>
    <n v="1.8839999999999999"/>
    <n v="5559421.9100000001"/>
    <n v="413047.89"/>
    <n v="5972469.7999999998"/>
    <n v="50202.13"/>
    <n v="1006211.1"/>
    <n v="3.024"/>
    <n v="159294.04"/>
    <n v="0"/>
    <n v="0"/>
    <x v="2"/>
    <n v="8"/>
  </r>
  <r>
    <n v="38523"/>
    <n v="3204955"/>
    <x v="68"/>
    <n v="0.32600000000000001"/>
    <n v="961980.65"/>
    <n v="71472.22"/>
    <n v="1033452.87"/>
    <n v="8686.7800000000007"/>
    <n v="65635.83"/>
    <n v="0.46100000000000002"/>
    <n v="27563.62"/>
    <n v="0"/>
    <n v="0"/>
    <x v="2"/>
    <n v="8"/>
  </r>
  <r>
    <n v="38524"/>
    <n v="3205002"/>
    <x v="69"/>
    <n v="14.176"/>
    <n v="41831404.060000002"/>
    <n v="3107944.12"/>
    <n v="44939348.18"/>
    <n v="377741.7"/>
    <n v="3868150.02"/>
    <n v="8.4320000000000004"/>
    <n v="1198594.6399999999"/>
    <n v="0"/>
    <n v="0"/>
    <x v="2"/>
    <n v="8"/>
  </r>
  <r>
    <n v="38525"/>
    <n v="3205010"/>
    <x v="70"/>
    <n v="0.72199999999999998"/>
    <n v="2130521.54"/>
    <n v="158291.16"/>
    <n v="2288812.7000000002"/>
    <n v="19238.82"/>
    <n v="153321.69"/>
    <n v="0.997"/>
    <n v="61045.81"/>
    <n v="0"/>
    <n v="0"/>
    <x v="2"/>
    <n v="8"/>
  </r>
  <r>
    <n v="38526"/>
    <n v="3205036"/>
    <x v="71"/>
    <n v="0.498"/>
    <n v="1469528.73"/>
    <n v="109181.45"/>
    <n v="1578710.18"/>
    <n v="13269.99"/>
    <n v="120667.52"/>
    <n v="0.72699999999999998"/>
    <n v="42106.39"/>
    <n v="0"/>
    <n v="0"/>
    <x v="2"/>
    <n v="8"/>
  </r>
  <r>
    <n v="38527"/>
    <n v="3205069"/>
    <x v="72"/>
    <n v="0.75800000000000001"/>
    <n v="2236752.56"/>
    <n v="166183.79999999999"/>
    <n v="2402936.36"/>
    <n v="20198.099999999999"/>
    <n v="236948.66"/>
    <n v="0.85799999999999998"/>
    <n v="64089.64"/>
    <n v="0"/>
    <n v="0"/>
    <x v="2"/>
    <n v="8"/>
  </r>
  <r>
    <n v="38528"/>
    <n v="2112803"/>
    <x v="73"/>
    <n v="2.9929999999999999"/>
    <n v="8831926.6799999997"/>
    <n v="656184.87"/>
    <n v="9488111.5500000007"/>
    <n v="79753.17"/>
    <n v="418090.26"/>
    <n v="1.984"/>
    <n v="253061.07"/>
    <n v="0"/>
    <n v="0"/>
    <x v="2"/>
    <n v="8"/>
  </r>
  <r>
    <n v="38529"/>
    <n v="3205150"/>
    <x v="74"/>
    <n v="0.32800000000000001"/>
    <n v="967882.37"/>
    <n v="71910.66"/>
    <n v="1039793.03"/>
    <n v="8740.07"/>
    <n v="46273.3"/>
    <n v="0.34399999999999997"/>
    <n v="27732.720000000001"/>
    <n v="0"/>
    <n v="0"/>
    <x v="2"/>
    <n v="8"/>
  </r>
  <r>
    <n v="38530"/>
    <n v="3205176"/>
    <x v="75"/>
    <n v="0.623"/>
    <n v="1838386.34"/>
    <n v="136586.42000000001"/>
    <n v="1974972.76"/>
    <n v="16600.810000000001"/>
    <n v="162712.54"/>
    <n v="0.55600000000000005"/>
    <n v="52675.26"/>
    <n v="0"/>
    <n v="0"/>
    <x v="2"/>
    <n v="8"/>
  </r>
  <r>
    <n v="38531"/>
    <n v="3205200"/>
    <x v="76"/>
    <n v="5.3819999999999997"/>
    <n v="15881533.33"/>
    <n v="1179948.8600000001"/>
    <n v="17061482.190000001"/>
    <n v="143411.81"/>
    <n v="4042947.5"/>
    <n v="8.09"/>
    <n v="455053.36"/>
    <n v="0"/>
    <n v="0"/>
    <x v="2"/>
    <n v="8"/>
  </r>
  <r>
    <n v="38532"/>
    <n v="3205309"/>
    <x v="77"/>
    <n v="14.535"/>
    <n v="42890763.100000001"/>
    <n v="3186651.17"/>
    <n v="46077414.270000003"/>
    <n v="387307.81"/>
    <n v="3985341.9"/>
    <n v="9.4969999999999999"/>
    <n v="1228948.44"/>
    <n v="0"/>
    <n v="0"/>
    <x v="2"/>
    <n v="8"/>
  </r>
  <r>
    <n v="38533"/>
    <n v="3200102"/>
    <x v="0"/>
    <n v="0.8"/>
    <n v="2336313.11"/>
    <n v="206557.82"/>
    <n v="2542870.9300000002"/>
    <n v="28122.12"/>
    <n v="109409.08"/>
    <n v="0.98499999999999999"/>
    <n v="45065.13"/>
    <n v="0"/>
    <n v="0"/>
    <x v="2"/>
    <n v="9"/>
  </r>
  <r>
    <n v="38534"/>
    <n v="3200169"/>
    <x v="1"/>
    <n v="0.30099999999999999"/>
    <n v="879037.81"/>
    <n v="77717.37"/>
    <n v="956755.18"/>
    <n v="10580.95"/>
    <n v="39780.239999999998"/>
    <n v="0.439"/>
    <n v="16955.759999999998"/>
    <n v="0"/>
    <n v="0"/>
    <x v="2"/>
    <n v="9"/>
  </r>
  <r>
    <n v="38535"/>
    <n v="3200136"/>
    <x v="2"/>
    <n v="0.41599999999999998"/>
    <n v="1214882.82"/>
    <n v="107410.06"/>
    <n v="1322292.8799999999"/>
    <n v="14623.5"/>
    <n v="41234.269999999997"/>
    <n v="0.34799999999999998"/>
    <n v="23433.87"/>
    <n v="0"/>
    <n v="0"/>
    <x v="2"/>
    <n v="9"/>
  </r>
  <r>
    <n v="38536"/>
    <n v="3200201"/>
    <x v="3"/>
    <n v="0.51"/>
    <n v="1489399.6"/>
    <n v="131680.60999999999"/>
    <n v="1621080.21"/>
    <n v="17927.849999999999"/>
    <n v="83581.740000000005"/>
    <n v="0.98"/>
    <n v="28729.02"/>
    <n v="0"/>
    <n v="0"/>
    <x v="2"/>
    <n v="9"/>
  </r>
  <r>
    <n v="38537"/>
    <n v="3200300"/>
    <x v="4"/>
    <n v="0.49"/>
    <n v="1430991.78"/>
    <n v="126516.67"/>
    <n v="1557508.45"/>
    <n v="17224.8"/>
    <n v="72577.88"/>
    <n v="0.56399999999999995"/>
    <n v="27602.39"/>
    <n v="0"/>
    <n v="0"/>
    <x v="2"/>
    <n v="9"/>
  </r>
  <r>
    <n v="38538"/>
    <n v="3200359"/>
    <x v="5"/>
    <n v="0.23100000000000001"/>
    <n v="674610.41"/>
    <n v="59643.59"/>
    <n v="734254"/>
    <n v="8120.26"/>
    <n v="31935.57"/>
    <n v="0.32700000000000001"/>
    <n v="13012.56"/>
    <n v="0"/>
    <n v="0"/>
    <x v="2"/>
    <n v="9"/>
  </r>
  <r>
    <n v="38539"/>
    <n v="3200409"/>
    <x v="6"/>
    <n v="1.766"/>
    <n v="5157411.1900000004"/>
    <n v="455976.44"/>
    <n v="5613387.6299999999"/>
    <n v="62079.58"/>
    <n v="124483.28"/>
    <n v="0.90800000000000003"/>
    <n v="99481.279999999999"/>
    <n v="0"/>
    <n v="0"/>
    <x v="2"/>
    <n v="9"/>
  </r>
  <r>
    <n v="38540"/>
    <n v="3200508"/>
    <x v="7"/>
    <n v="0.185"/>
    <n v="540272.41"/>
    <n v="47766.48"/>
    <n v="588038.89"/>
    <n v="6503.24"/>
    <n v="49922.07"/>
    <n v="0.32300000000000001"/>
    <n v="10421.31"/>
    <n v="0"/>
    <n v="0"/>
    <x v="2"/>
    <n v="9"/>
  </r>
  <r>
    <n v="38541"/>
    <n v="3200607"/>
    <x v="8"/>
    <n v="4.9909999999999997"/>
    <n v="14575673.43"/>
    <n v="1288662.7"/>
    <n v="15864336.130000001"/>
    <n v="175446.88"/>
    <n v="515040.82"/>
    <n v="2.5089999999999999"/>
    <n v="281150.09999999998"/>
    <n v="0"/>
    <n v="0"/>
    <x v="2"/>
    <n v="9"/>
  </r>
  <r>
    <n v="38542"/>
    <n v="3200706"/>
    <x v="9"/>
    <n v="0.373"/>
    <n v="1089306"/>
    <n v="96307.58"/>
    <n v="1185613.58"/>
    <n v="13111.94"/>
    <n v="34368.379999999997"/>
    <n v="0.45700000000000002"/>
    <n v="21011.62"/>
    <n v="0"/>
    <n v="0"/>
    <x v="2"/>
    <n v="9"/>
  </r>
  <r>
    <n v="38543"/>
    <n v="3200805"/>
    <x v="10"/>
    <n v="0.64300000000000002"/>
    <n v="1877811.65"/>
    <n v="166020.87"/>
    <n v="2043832.52"/>
    <n v="22603.15"/>
    <n v="184313.05"/>
    <n v="0.996"/>
    <n v="36221.1"/>
    <n v="0"/>
    <n v="0"/>
    <x v="2"/>
    <n v="9"/>
  </r>
  <r>
    <n v="38544"/>
    <n v="3200904"/>
    <x v="11"/>
    <n v="1.036"/>
    <n v="3025525.48"/>
    <n v="267492.39"/>
    <n v="3293017.87"/>
    <n v="36418.15"/>
    <n v="238133.67"/>
    <n v="1.321"/>
    <n v="58359.35"/>
    <n v="0"/>
    <n v="0"/>
    <x v="2"/>
    <n v="9"/>
  </r>
  <r>
    <n v="38545"/>
    <n v="3107109"/>
    <x v="12"/>
    <n v="0.39900000000000002"/>
    <n v="1165236.1599999999"/>
    <n v="103020.72"/>
    <n v="1268256.8799999999"/>
    <n v="14025.91"/>
    <n v="59962.26"/>
    <n v="0.56899999999999995"/>
    <n v="22476.240000000002"/>
    <n v="0"/>
    <n v="0"/>
    <x v="2"/>
    <n v="9"/>
  </r>
  <r>
    <n v="38546"/>
    <n v="3201100"/>
    <x v="13"/>
    <n v="0.17599999999999999"/>
    <n v="513988.9"/>
    <n v="45442.73"/>
    <n v="559431.63"/>
    <n v="6186.87"/>
    <n v="94685.46"/>
    <n v="0.43"/>
    <n v="9914.33"/>
    <n v="0"/>
    <n v="0"/>
    <x v="2"/>
    <n v="9"/>
  </r>
  <r>
    <n v="38547"/>
    <n v="3201159"/>
    <x v="14"/>
    <n v="0.42099999999999999"/>
    <n v="1229484.76"/>
    <n v="108701.05"/>
    <n v="1338185.81"/>
    <n v="14799.27"/>
    <n v="71623.179999999993"/>
    <n v="0.46"/>
    <n v="23715.53"/>
    <n v="0"/>
    <n v="0"/>
    <x v="2"/>
    <n v="9"/>
  </r>
  <r>
    <n v="38548"/>
    <n v="3201209"/>
    <x v="15"/>
    <n v="3.234"/>
    <n v="9444545.7599999998"/>
    <n v="835010.06"/>
    <n v="10279555.82"/>
    <n v="113683.67"/>
    <n v="1007260.86"/>
    <n v="4.4820000000000002"/>
    <n v="182175.8"/>
    <n v="0"/>
    <n v="0"/>
    <x v="2"/>
    <n v="9"/>
  </r>
  <r>
    <n v="38549"/>
    <n v="3201308"/>
    <x v="16"/>
    <n v="7.4969999999999999"/>
    <n v="21894174.260000002"/>
    <n v="1935705.12"/>
    <n v="23829879.379999999"/>
    <n v="263539.42"/>
    <n v="1310516.8700000001"/>
    <n v="6.6040000000000001"/>
    <n v="422316.63"/>
    <n v="0"/>
    <n v="0"/>
    <x v="2"/>
    <n v="9"/>
  </r>
  <r>
    <n v="38550"/>
    <n v="3201407"/>
    <x v="17"/>
    <n v="0.96499999999999997"/>
    <n v="2818177.71"/>
    <n v="249160.39"/>
    <n v="3067338.1"/>
    <n v="33922.31"/>
    <n v="343950.3"/>
    <n v="1.155"/>
    <n v="54359.82"/>
    <n v="0"/>
    <n v="0"/>
    <x v="2"/>
    <n v="9"/>
  </r>
  <r>
    <n v="38551"/>
    <n v="3201506"/>
    <x v="18"/>
    <n v="2.1739999999999999"/>
    <n v="6348930.8799999999"/>
    <n v="561320.9"/>
    <n v="6910251.7800000003"/>
    <n v="76421.86"/>
    <n v="606600.31000000006"/>
    <n v="2.8220000000000001"/>
    <n v="122464.5"/>
    <n v="0"/>
    <n v="0"/>
    <x v="2"/>
    <n v="9"/>
  </r>
  <r>
    <n v="38552"/>
    <n v="3201605"/>
    <x v="19"/>
    <n v="0.65200000000000002"/>
    <n v="1904095.18"/>
    <n v="168344.63"/>
    <n v="2072439.81"/>
    <n v="22919.53"/>
    <n v="82518.31"/>
    <n v="0.999"/>
    <n v="36728.080000000002"/>
    <n v="0"/>
    <n v="0"/>
    <x v="2"/>
    <n v="9"/>
  </r>
  <r>
    <n v="38553"/>
    <n v="3201704"/>
    <x v="20"/>
    <n v="0.47499999999999998"/>
    <n v="1387185.91"/>
    <n v="122643.72"/>
    <n v="1509829.63"/>
    <n v="16697.509999999998"/>
    <n v="58226.46"/>
    <n v="0.46500000000000002"/>
    <n v="26757.42"/>
    <n v="0"/>
    <n v="0"/>
    <x v="2"/>
    <n v="9"/>
  </r>
  <r>
    <n v="38554"/>
    <n v="3201803"/>
    <x v="21"/>
    <n v="0.186"/>
    <n v="543192.80000000005"/>
    <n v="48024.69"/>
    <n v="591217.49"/>
    <n v="6538.39"/>
    <n v="13418.05"/>
    <n v="0.28299999999999997"/>
    <n v="10477.64"/>
    <n v="0"/>
    <n v="0"/>
    <x v="2"/>
    <n v="9"/>
  </r>
  <r>
    <n v="38555"/>
    <n v="3201902"/>
    <x v="22"/>
    <n v="1.3140000000000001"/>
    <n v="3837394.3"/>
    <n v="339271.25"/>
    <n v="4176665.55"/>
    <n v="46190.58"/>
    <n v="157036.73000000001"/>
    <n v="1.0309999999999999"/>
    <n v="74019.48"/>
    <n v="0"/>
    <n v="0"/>
    <x v="2"/>
    <n v="9"/>
  </r>
  <r>
    <n v="38556"/>
    <n v="3202009"/>
    <x v="23"/>
    <n v="0.26"/>
    <n v="759301.79"/>
    <n v="67131.289999999994"/>
    <n v="826433.08"/>
    <n v="9139.69"/>
    <n v="44543.57"/>
    <n v="0.314"/>
    <n v="14646.17"/>
    <n v="0"/>
    <n v="0"/>
    <x v="2"/>
    <n v="9"/>
  </r>
  <r>
    <n v="38557"/>
    <n v="3202108"/>
    <x v="24"/>
    <n v="0.69899999999999995"/>
    <n v="2041353.56"/>
    <n v="180479.9"/>
    <n v="2221833.46"/>
    <n v="24571.7"/>
    <n v="80793.08"/>
    <n v="0.81599999999999995"/>
    <n v="39375.660000000003"/>
    <n v="0"/>
    <n v="0"/>
    <x v="2"/>
    <n v="9"/>
  </r>
  <r>
    <n v="38558"/>
    <n v="3202207"/>
    <x v="25"/>
    <n v="0.313"/>
    <n v="914082.5"/>
    <n v="80815.75"/>
    <n v="994898.25"/>
    <n v="11002.78"/>
    <n v="71859.33"/>
    <n v="0.73399999999999999"/>
    <n v="17631.73"/>
    <n v="0"/>
    <n v="0"/>
    <x v="2"/>
    <n v="9"/>
  </r>
  <r>
    <n v="38559"/>
    <n v="3202256"/>
    <x v="26"/>
    <n v="0.43"/>
    <n v="1255768.29"/>
    <n v="111024.84"/>
    <n v="1366793.13"/>
    <n v="15115.64"/>
    <n v="53244.92"/>
    <n v="0.46700000000000003"/>
    <n v="24222.51"/>
    <n v="0"/>
    <n v="0"/>
    <x v="2"/>
    <n v="9"/>
  </r>
  <r>
    <n v="38560"/>
    <n v="3202306"/>
    <x v="27"/>
    <n v="0.378"/>
    <n v="1103907.99"/>
    <n v="97598.59"/>
    <n v="1201506.58"/>
    <n v="13287.7"/>
    <n v="141244.24"/>
    <n v="0.998"/>
    <n v="21293.279999999999"/>
    <n v="0"/>
    <n v="0"/>
    <x v="2"/>
    <n v="9"/>
  </r>
  <r>
    <n v="38561"/>
    <n v="3202405"/>
    <x v="28"/>
    <n v="0.90900000000000003"/>
    <n v="2654635.7599999998"/>
    <n v="234701.33"/>
    <n v="2889337.09"/>
    <n v="31953.759999999998"/>
    <n v="973974.51"/>
    <n v="2.8730000000000002"/>
    <n v="51205.26"/>
    <n v="0"/>
    <n v="0"/>
    <x v="2"/>
    <n v="9"/>
  </r>
  <r>
    <n v="38562"/>
    <n v="3202454"/>
    <x v="29"/>
    <n v="0.35099999999999998"/>
    <n v="1025057.37"/>
    <n v="90627.26"/>
    <n v="1115684.6299999999"/>
    <n v="12338.58"/>
    <n v="138270.9"/>
    <n v="0.86499999999999999"/>
    <n v="19772.330000000002"/>
    <n v="0"/>
    <n v="0"/>
    <x v="2"/>
    <n v="9"/>
  </r>
  <r>
    <n v="38563"/>
    <n v="3202504"/>
    <x v="30"/>
    <n v="0.26700000000000002"/>
    <n v="779744.52"/>
    <n v="68938.7"/>
    <n v="848683.22"/>
    <n v="9385.76"/>
    <n v="47549.5"/>
    <n v="0.46300000000000002"/>
    <n v="15040.49"/>
    <n v="0"/>
    <n v="0"/>
    <x v="2"/>
    <n v="9"/>
  </r>
  <r>
    <n v="38564"/>
    <n v="3202553"/>
    <x v="31"/>
    <n v="0.248"/>
    <n v="724257.06"/>
    <n v="64032.92"/>
    <n v="788289.98"/>
    <n v="8717.86"/>
    <n v="25905.21"/>
    <n v="0.33800000000000002"/>
    <n v="13970.19"/>
    <n v="0"/>
    <n v="0"/>
    <x v="2"/>
    <n v="9"/>
  </r>
  <r>
    <n v="38565"/>
    <n v="3202603"/>
    <x v="32"/>
    <n v="0.34399999999999997"/>
    <n v="1004614.65"/>
    <n v="88819.86"/>
    <n v="1093434.51"/>
    <n v="12092.51"/>
    <n v="64510.23"/>
    <n v="0.55600000000000005"/>
    <n v="19378.009999999998"/>
    <n v="0"/>
    <n v="0"/>
    <x v="2"/>
    <n v="9"/>
  </r>
  <r>
    <n v="38566"/>
    <n v="3202652"/>
    <x v="33"/>
    <n v="0.308"/>
    <n v="899480.55"/>
    <n v="79524.77"/>
    <n v="979005.32"/>
    <n v="10827.02"/>
    <n v="80395.240000000005"/>
    <n v="0.55100000000000005"/>
    <n v="17350.080000000002"/>
    <n v="0"/>
    <n v="0"/>
    <x v="2"/>
    <n v="9"/>
  </r>
  <r>
    <n v="38567"/>
    <n v="3202702"/>
    <x v="34"/>
    <n v="0.35499999999999998"/>
    <n v="1036738.95"/>
    <n v="91660.03"/>
    <n v="1128398.98"/>
    <n v="12479.19"/>
    <n v="35824.57"/>
    <n v="0.55500000000000005"/>
    <n v="19997.650000000001"/>
    <n v="0"/>
    <n v="0"/>
    <x v="2"/>
    <n v="9"/>
  </r>
  <r>
    <n v="38568"/>
    <n v="3202801"/>
    <x v="35"/>
    <n v="2.262"/>
    <n v="6605925.3099999996"/>
    <n v="584042.29"/>
    <n v="7189967.5999999996"/>
    <n v="79515.3"/>
    <n v="172467.8"/>
    <n v="1.042"/>
    <n v="127421.66"/>
    <n v="0"/>
    <n v="0"/>
    <x v="2"/>
    <n v="9"/>
  </r>
  <r>
    <n v="38569"/>
    <n v="3202900"/>
    <x v="36"/>
    <n v="0.34599999999999997"/>
    <n v="1010455.41"/>
    <n v="89336.23"/>
    <n v="1099791.6399999999"/>
    <n v="12162.82"/>
    <n v="50732.63"/>
    <n v="0.435"/>
    <n v="19490.669999999998"/>
    <n v="0"/>
    <n v="0"/>
    <x v="2"/>
    <n v="9"/>
  </r>
  <r>
    <n v="38570"/>
    <n v="3203007"/>
    <x v="37"/>
    <n v="0.438"/>
    <n v="1279131.45"/>
    <n v="113090.42"/>
    <n v="1392221.87"/>
    <n v="15396.86"/>
    <n v="171744"/>
    <n v="0.89700000000000002"/>
    <n v="24673.16"/>
    <n v="0"/>
    <n v="0"/>
    <x v="2"/>
    <n v="9"/>
  </r>
  <r>
    <n v="38571"/>
    <n v="3203056"/>
    <x v="38"/>
    <n v="0.8"/>
    <n v="2336313.11"/>
    <n v="206557.82"/>
    <n v="2542870.9300000002"/>
    <n v="28122.12"/>
    <n v="152423.31"/>
    <n v="1"/>
    <n v="45065.13"/>
    <n v="0"/>
    <n v="0"/>
    <x v="2"/>
    <n v="9"/>
  </r>
  <r>
    <n v="38572"/>
    <n v="3203106"/>
    <x v="39"/>
    <n v="0.21199999999999999"/>
    <n v="619122.94999999995"/>
    <n v="54737.8"/>
    <n v="673860.75"/>
    <n v="7452.36"/>
    <n v="28863.62"/>
    <n v="0.45800000000000002"/>
    <n v="11942.26"/>
    <n v="0"/>
    <n v="0"/>
    <x v="2"/>
    <n v="9"/>
  </r>
  <r>
    <n v="38573"/>
    <n v="3203130"/>
    <x v="40"/>
    <n v="0.38600000000000001"/>
    <n v="1127271.07"/>
    <n v="99664.16"/>
    <n v="1226935.23"/>
    <n v="13568.92"/>
    <n v="68919.570000000007"/>
    <n v="0.66600000000000004"/>
    <n v="21743.93"/>
    <n v="0"/>
    <n v="0"/>
    <x v="2"/>
    <n v="9"/>
  </r>
  <r>
    <n v="38574"/>
    <n v="3203163"/>
    <x v="41"/>
    <n v="0.372"/>
    <n v="1086385.6200000001"/>
    <n v="96049.4"/>
    <n v="1182435.02"/>
    <n v="13076.79"/>
    <n v="38632.080000000002"/>
    <n v="0.441"/>
    <n v="20955.29"/>
    <n v="0"/>
    <n v="0"/>
    <x v="2"/>
    <n v="9"/>
  </r>
  <r>
    <n v="38575"/>
    <n v="3203205"/>
    <x v="42"/>
    <n v="5.4"/>
    <n v="15770113.539999999"/>
    <n v="1394265.37"/>
    <n v="17164378.91"/>
    <n v="189824.31"/>
    <n v="969452.32"/>
    <n v="4.0880000000000001"/>
    <n v="304189.65000000002"/>
    <n v="0"/>
    <n v="0"/>
    <x v="2"/>
    <n v="9"/>
  </r>
  <r>
    <n v="38576"/>
    <n v="3203304"/>
    <x v="43"/>
    <n v="0.216"/>
    <n v="630804.55000000005"/>
    <n v="55770.63"/>
    <n v="686575.18"/>
    <n v="7592.97"/>
    <n v="70666.7"/>
    <n v="0.57599999999999996"/>
    <n v="12167.59"/>
    <n v="0"/>
    <n v="0"/>
    <x v="2"/>
    <n v="9"/>
  </r>
  <r>
    <n v="38577"/>
    <n v="3203320"/>
    <x v="44"/>
    <n v="0.60899999999999999"/>
    <n v="1778518.37"/>
    <n v="157242.18"/>
    <n v="1935760.55"/>
    <n v="21407.96"/>
    <n v="244297.99"/>
    <n v="1.171"/>
    <n v="34305.83"/>
    <n v="0"/>
    <n v="0"/>
    <x v="2"/>
    <n v="9"/>
  </r>
  <r>
    <n v="38578"/>
    <n v="3203346"/>
    <x v="45"/>
    <n v="0.64500000000000002"/>
    <n v="1883652.45"/>
    <n v="166537.24"/>
    <n v="2050189.69"/>
    <n v="22673.46"/>
    <n v="89154.74"/>
    <n v="0.67100000000000004"/>
    <n v="36333.760000000002"/>
    <n v="0"/>
    <n v="0"/>
    <x v="2"/>
    <n v="9"/>
  </r>
  <r>
    <n v="38579"/>
    <n v="3203353"/>
    <x v="46"/>
    <n v="0.45200000000000001"/>
    <n v="1320016.8999999999"/>
    <n v="116705.18"/>
    <n v="1436722.08"/>
    <n v="15889"/>
    <n v="49608.29"/>
    <n v="0.46700000000000003"/>
    <n v="25461.8"/>
    <n v="0"/>
    <n v="0"/>
    <x v="2"/>
    <n v="9"/>
  </r>
  <r>
    <n v="38580"/>
    <n v="3203403"/>
    <x v="47"/>
    <n v="0.51400000000000001"/>
    <n v="1501081.19"/>
    <n v="132713.39000000001"/>
    <n v="1633794.58"/>
    <n v="18068.46"/>
    <n v="89820.35"/>
    <n v="0.85599999999999998"/>
    <n v="28954.35"/>
    <n v="0"/>
    <n v="0"/>
    <x v="2"/>
    <n v="9"/>
  </r>
  <r>
    <n v="38581"/>
    <n v="3203502"/>
    <x v="48"/>
    <n v="0.53600000000000003"/>
    <n v="1565329.79"/>
    <n v="138393.75"/>
    <n v="1703723.54"/>
    <n v="18841.82"/>
    <n v="73049.149999999994"/>
    <n v="0.69299999999999995"/>
    <n v="30193.64"/>
    <n v="0"/>
    <n v="0"/>
    <x v="2"/>
    <n v="9"/>
  </r>
  <r>
    <n v="38582"/>
    <n v="3203601"/>
    <x v="49"/>
    <n v="0.27800000000000002"/>
    <n v="811868.8"/>
    <n v="71778.850000000006"/>
    <n v="883647.65"/>
    <n v="9772.44"/>
    <n v="17546.48"/>
    <n v="0.29799999999999999"/>
    <n v="15660.13"/>
    <n v="0"/>
    <n v="0"/>
    <x v="2"/>
    <n v="9"/>
  </r>
  <r>
    <n v="38583"/>
    <n v="3203700"/>
    <x v="50"/>
    <n v="0.55000000000000004"/>
    <n v="1606215.27"/>
    <n v="142008.5"/>
    <n v="1748223.77"/>
    <n v="19333.96"/>
    <n v="51028.2"/>
    <n v="0.67100000000000004"/>
    <n v="30982.28"/>
    <n v="0"/>
    <n v="0"/>
    <x v="2"/>
    <n v="9"/>
  </r>
  <r>
    <n v="38584"/>
    <n v="3203809"/>
    <x v="51"/>
    <n v="0.29599999999999999"/>
    <n v="864435.85"/>
    <n v="76426.399999999994"/>
    <n v="940862.25"/>
    <n v="10405.18"/>
    <n v="34012.51"/>
    <n v="0.57499999999999996"/>
    <n v="16674.099999999999"/>
    <n v="0"/>
    <n v="0"/>
    <x v="2"/>
    <n v="9"/>
  </r>
  <r>
    <n v="38585"/>
    <n v="3203908"/>
    <x v="52"/>
    <n v="1.268"/>
    <n v="3703056.29"/>
    <n v="327394.18"/>
    <n v="4030450.47"/>
    <n v="44573.56"/>
    <n v="266378.77"/>
    <n v="1.4650000000000001"/>
    <n v="71428.240000000005"/>
    <n v="0"/>
    <n v="0"/>
    <x v="2"/>
    <n v="9"/>
  </r>
  <r>
    <n v="38586"/>
    <n v="3204005"/>
    <x v="53"/>
    <n v="0.47099999999999997"/>
    <n v="1375504.33"/>
    <n v="121610.92"/>
    <n v="1497115.25"/>
    <n v="16556.900000000001"/>
    <n v="61627.75"/>
    <n v="0.747"/>
    <n v="26532.1"/>
    <n v="0"/>
    <n v="0"/>
    <x v="2"/>
    <n v="9"/>
  </r>
  <r>
    <n v="38587"/>
    <n v="3204054"/>
    <x v="54"/>
    <n v="0.313"/>
    <n v="914082.5"/>
    <n v="80815.75"/>
    <n v="994898.25"/>
    <n v="11002.78"/>
    <n v="110169.77"/>
    <n v="0.86199999999999999"/>
    <n v="17631.73"/>
    <n v="0"/>
    <n v="0"/>
    <x v="2"/>
    <n v="9"/>
  </r>
  <r>
    <n v="38588"/>
    <n v="3204104"/>
    <x v="55"/>
    <n v="0.72599999999999998"/>
    <n v="2120204.16"/>
    <n v="187451.24"/>
    <n v="2307655.4"/>
    <n v="25520.82"/>
    <n v="95750.07"/>
    <n v="0.875"/>
    <n v="40896.61"/>
    <n v="0"/>
    <n v="0"/>
    <x v="2"/>
    <n v="9"/>
  </r>
  <r>
    <n v="38589"/>
    <n v="3204203"/>
    <x v="56"/>
    <n v="0.14599999999999999"/>
    <n v="426377.18"/>
    <n v="37696.800000000003"/>
    <n v="464073.98"/>
    <n v="5132.29"/>
    <n v="110239.27"/>
    <n v="0.73399999999999999"/>
    <n v="8224.39"/>
    <n v="0"/>
    <n v="0"/>
    <x v="2"/>
    <n v="9"/>
  </r>
  <r>
    <n v="38590"/>
    <n v="3204252"/>
    <x v="57"/>
    <n v="0.221"/>
    <n v="645406.5"/>
    <n v="57061.599999999999"/>
    <n v="702468.1"/>
    <n v="7768.74"/>
    <n v="19596.060000000001"/>
    <n v="0.32900000000000001"/>
    <n v="12449.24"/>
    <n v="0"/>
    <n v="0"/>
    <x v="2"/>
    <n v="9"/>
  </r>
  <r>
    <n v="38591"/>
    <n v="1718402"/>
    <x v="58"/>
    <n v="0.33800000000000002"/>
    <n v="987092.28"/>
    <n v="87270.69"/>
    <n v="1074362.97"/>
    <n v="11881.6"/>
    <n v="102014.75"/>
    <n v="0.45100000000000001"/>
    <n v="19040.02"/>
    <n v="0"/>
    <n v="0"/>
    <x v="2"/>
    <n v="9"/>
  </r>
  <r>
    <n v="38592"/>
    <n v="3204351"/>
    <x v="59"/>
    <n v="0.79700000000000004"/>
    <n v="2327551.96"/>
    <n v="205783.25"/>
    <n v="2533335.21"/>
    <n v="28016.66"/>
    <n v="98978.8"/>
    <n v="0.69799999999999995"/>
    <n v="44896.14"/>
    <n v="0"/>
    <n v="0"/>
    <x v="2"/>
    <n v="9"/>
  </r>
  <r>
    <n v="38593"/>
    <n v="3204401"/>
    <x v="60"/>
    <n v="0.27500000000000002"/>
    <n v="803107.63"/>
    <n v="71004.240000000005"/>
    <n v="874111.87"/>
    <n v="9666.98"/>
    <n v="44068.01"/>
    <n v="0.45"/>
    <n v="15491.14"/>
    <n v="0"/>
    <n v="0"/>
    <x v="2"/>
    <n v="9"/>
  </r>
  <r>
    <n v="38594"/>
    <n v="3204500"/>
    <x v="61"/>
    <n v="0.53800000000000003"/>
    <n v="1571170.59"/>
    <n v="138910.15"/>
    <n v="1710080.74"/>
    <n v="18912.13"/>
    <n v="37787.43"/>
    <n v="0.45600000000000002"/>
    <n v="30306.3"/>
    <n v="0"/>
    <n v="0"/>
    <x v="2"/>
    <n v="9"/>
  </r>
  <r>
    <n v="38595"/>
    <n v="3204559"/>
    <x v="62"/>
    <n v="2.1160000000000001"/>
    <n v="6179548.1900000004"/>
    <n v="546345.44999999995"/>
    <n v="6725893.6399999997"/>
    <n v="74383.009999999995"/>
    <n v="339872.08"/>
    <n v="1.1990000000000001"/>
    <n v="119197.28"/>
    <n v="0"/>
    <n v="0"/>
    <x v="2"/>
    <n v="9"/>
  </r>
  <r>
    <n v="38596"/>
    <n v="3204609"/>
    <x v="63"/>
    <n v="0.68799999999999994"/>
    <n v="2009229.26"/>
    <n v="177639.75"/>
    <n v="2186869.0099999998"/>
    <n v="24185.02"/>
    <n v="133200.04"/>
    <n v="0.82899999999999996"/>
    <n v="38756.01"/>
    <n v="0"/>
    <n v="0"/>
    <x v="2"/>
    <n v="9"/>
  </r>
  <r>
    <n v="38597"/>
    <n v="3204658"/>
    <x v="64"/>
    <n v="0.42399999999999999"/>
    <n v="1238245.98"/>
    <n v="109475.65"/>
    <n v="1347721.63"/>
    <n v="14904.72"/>
    <n v="20526.27"/>
    <n v="0.33700000000000002"/>
    <n v="23884.52"/>
    <n v="0"/>
    <n v="0"/>
    <x v="2"/>
    <n v="9"/>
  </r>
  <r>
    <n v="38598"/>
    <n v="3204708"/>
    <x v="65"/>
    <n v="0.81499999999999995"/>
    <n v="2380118.98"/>
    <n v="210430.78"/>
    <n v="2590549.7599999998"/>
    <n v="28649.41"/>
    <n v="150117.43"/>
    <n v="1.169"/>
    <n v="45910.1"/>
    <n v="0"/>
    <n v="0"/>
    <x v="2"/>
    <n v="9"/>
  </r>
  <r>
    <n v="38599"/>
    <n v="3204807"/>
    <x v="66"/>
    <n v="0.23"/>
    <n v="671690.03"/>
    <n v="59385.38"/>
    <n v="731075.41"/>
    <n v="8085.11"/>
    <n v="40511.46"/>
    <n v="0.436"/>
    <n v="12956.23"/>
    <n v="0"/>
    <n v="0"/>
    <x v="2"/>
    <n v="9"/>
  </r>
  <r>
    <n v="38600"/>
    <n v="3204906"/>
    <x v="67"/>
    <n v="1.8839999999999999"/>
    <n v="5502017.3899999997"/>
    <n v="486443.71"/>
    <n v="5988461.0999999996"/>
    <n v="66227.59"/>
    <n v="612029.61"/>
    <n v="3.024"/>
    <n v="106128.39"/>
    <n v="0"/>
    <n v="0"/>
    <x v="2"/>
    <n v="9"/>
  </r>
  <r>
    <n v="38601"/>
    <n v="3204955"/>
    <x v="68"/>
    <n v="0.32600000000000001"/>
    <n v="952047.6"/>
    <n v="84172.31"/>
    <n v="1036219.91"/>
    <n v="11459.76"/>
    <n v="32665.66"/>
    <n v="0.46100000000000002"/>
    <n v="18364.04"/>
    <n v="0"/>
    <n v="0"/>
    <x v="2"/>
    <n v="9"/>
  </r>
  <r>
    <n v="38602"/>
    <n v="3205002"/>
    <x v="69"/>
    <n v="14.176"/>
    <n v="41399468.380000003"/>
    <n v="3660204.85"/>
    <n v="45059673.229999997"/>
    <n v="498323.98"/>
    <n v="2302763.0299999998"/>
    <n v="8.4320000000000004"/>
    <n v="798554.16"/>
    <n v="0"/>
    <n v="0"/>
    <x v="2"/>
    <n v="9"/>
  </r>
  <r>
    <n v="38603"/>
    <n v="3205010"/>
    <x v="70"/>
    <n v="0.72199999999999998"/>
    <n v="2108522.58"/>
    <n v="186418.45"/>
    <n v="2294941.0299999998"/>
    <n v="25380.21"/>
    <n v="100395.14"/>
    <n v="0.997"/>
    <n v="40671.279999999999"/>
    <n v="0"/>
    <n v="0"/>
    <x v="2"/>
    <n v="9"/>
  </r>
  <r>
    <n v="38604"/>
    <n v="3205036"/>
    <x v="71"/>
    <n v="0.498"/>
    <n v="1454354.93"/>
    <n v="128582.26"/>
    <n v="1582937.19"/>
    <n v="17506.02"/>
    <n v="96341"/>
    <n v="0.72699999999999998"/>
    <n v="28053.05"/>
    <n v="0"/>
    <n v="0"/>
    <x v="2"/>
    <n v="9"/>
  </r>
  <r>
    <n v="38605"/>
    <n v="3205069"/>
    <x v="72"/>
    <n v="0.75800000000000001"/>
    <n v="2213656.65"/>
    <n v="195713.57"/>
    <n v="2409370.2200000002"/>
    <n v="26645.71"/>
    <n v="131390.81"/>
    <n v="0.85799999999999998"/>
    <n v="42699.21"/>
    <n v="0"/>
    <n v="0"/>
    <x v="2"/>
    <n v="9"/>
  </r>
  <r>
    <n v="38606"/>
    <n v="2112803"/>
    <x v="73"/>
    <n v="2.9929999999999999"/>
    <n v="8740731.4399999995"/>
    <n v="772784.49"/>
    <n v="9513515.9299999997"/>
    <n v="105211.88"/>
    <n v="248318.52"/>
    <n v="1.984"/>
    <n v="168599.93"/>
    <n v="0"/>
    <n v="0"/>
    <x v="2"/>
    <n v="9"/>
  </r>
  <r>
    <n v="38607"/>
    <n v="3205150"/>
    <x v="74"/>
    <n v="0.32800000000000001"/>
    <n v="957888.39"/>
    <n v="84688.72"/>
    <n v="1042577.11"/>
    <n v="11530.07"/>
    <n v="41496.54"/>
    <n v="0.34399999999999997"/>
    <n v="18476.7"/>
    <n v="0"/>
    <n v="0"/>
    <x v="2"/>
    <n v="9"/>
  </r>
  <r>
    <n v="38608"/>
    <n v="3205176"/>
    <x v="75"/>
    <n v="0.623"/>
    <n v="1819403.83"/>
    <n v="160856.93"/>
    <n v="1980260.76"/>
    <n v="21900.1"/>
    <n v="110343.38"/>
    <n v="0.55600000000000005"/>
    <n v="35094.47"/>
    <n v="0"/>
    <n v="0"/>
    <x v="2"/>
    <n v="9"/>
  </r>
  <r>
    <n v="38609"/>
    <n v="3205200"/>
    <x v="76"/>
    <n v="5.3819999999999997"/>
    <n v="15717546.5"/>
    <n v="1389617.83"/>
    <n v="17107164.329999998"/>
    <n v="189191.57"/>
    <n v="2516744.87"/>
    <n v="8.09"/>
    <n v="303175.69"/>
    <n v="0"/>
    <n v="0"/>
    <x v="2"/>
    <n v="9"/>
  </r>
  <r>
    <n v="38610"/>
    <n v="3205309"/>
    <x v="77"/>
    <n v="14.535"/>
    <n v="42447888.789999999"/>
    <n v="3752897.78"/>
    <n v="46200786.57"/>
    <n v="510943.78"/>
    <n v="2403603.12"/>
    <n v="9.4969999999999999"/>
    <n v="818777.16"/>
    <n v="0"/>
    <n v="0"/>
    <x v="2"/>
    <n v="9"/>
  </r>
  <r>
    <n v="38611"/>
    <n v="3200102"/>
    <x v="0"/>
    <n v="0.8"/>
    <n v="2469906.1800000002"/>
    <n v="200220.69"/>
    <n v="2670126.87"/>
    <n v="28701.02"/>
    <n v="63589.58"/>
    <n v="0.98499999999999999"/>
    <n v="65143.5"/>
    <n v="2321.33"/>
    <n v="0"/>
    <x v="2"/>
    <n v="10"/>
  </r>
  <r>
    <n v="38612"/>
    <n v="3200169"/>
    <x v="1"/>
    <n v="0.30099999999999999"/>
    <n v="929302.2"/>
    <n v="75333.039999999994"/>
    <n v="1004635.24"/>
    <n v="10798.76"/>
    <n v="31292.19"/>
    <n v="0.439"/>
    <n v="24510.240000000002"/>
    <n v="1035.57"/>
    <n v="0"/>
    <x v="2"/>
    <n v="10"/>
  </r>
  <r>
    <n v="38613"/>
    <n v="3200136"/>
    <x v="2"/>
    <n v="0.41599999999999998"/>
    <n v="1284351.19"/>
    <n v="104114.75"/>
    <n v="1388465.94"/>
    <n v="14924.53"/>
    <n v="15819.41"/>
    <n v="0.34799999999999998"/>
    <n v="33874.620000000003"/>
    <n v="820.28"/>
    <n v="0"/>
    <x v="2"/>
    <n v="10"/>
  </r>
  <r>
    <n v="38614"/>
    <n v="3200201"/>
    <x v="3"/>
    <n v="0.51"/>
    <n v="1574565.16"/>
    <n v="127640.67"/>
    <n v="1702205.83"/>
    <n v="18296.900000000001"/>
    <n v="62342.49"/>
    <n v="0.98"/>
    <n v="41528.99"/>
    <n v="2308.2199999999998"/>
    <n v="0"/>
    <x v="2"/>
    <n v="10"/>
  </r>
  <r>
    <n v="38615"/>
    <n v="3200300"/>
    <x v="4"/>
    <n v="0.49"/>
    <n v="1512817.54"/>
    <n v="122635.19"/>
    <n v="1635452.73"/>
    <n v="17579.38"/>
    <n v="58189.38"/>
    <n v="0.56399999999999995"/>
    <n v="39900.400000000001"/>
    <n v="1327.98"/>
    <n v="0"/>
    <x v="2"/>
    <n v="10"/>
  </r>
  <r>
    <n v="38616"/>
    <n v="3200359"/>
    <x v="5"/>
    <n v="0.23100000000000001"/>
    <n v="713185.4"/>
    <n v="57813.74"/>
    <n v="770999.14"/>
    <n v="8287.42"/>
    <n v="18322.16"/>
    <n v="0.32700000000000001"/>
    <n v="18810.189999999999"/>
    <n v="771.24"/>
    <n v="0"/>
    <x v="2"/>
    <n v="10"/>
  </r>
  <r>
    <n v="38617"/>
    <n v="3200409"/>
    <x v="6"/>
    <n v="1.766"/>
    <n v="5452317.8899999997"/>
    <n v="441987.2"/>
    <n v="5894305.0899999999"/>
    <n v="63357.51"/>
    <n v="84009.09"/>
    <n v="0.90800000000000003"/>
    <n v="143804.28"/>
    <n v="2138.69"/>
    <n v="0"/>
    <x v="2"/>
    <n v="10"/>
  </r>
  <r>
    <n v="38618"/>
    <n v="3200508"/>
    <x v="7"/>
    <n v="0.185"/>
    <n v="571165.81999999995"/>
    <n v="46301.05"/>
    <n v="617466.87"/>
    <n v="6637.11"/>
    <n v="27947.48"/>
    <n v="0.32300000000000001"/>
    <n v="15064.43"/>
    <n v="760.66"/>
    <n v="0"/>
    <x v="2"/>
    <n v="10"/>
  </r>
  <r>
    <n v="38619"/>
    <n v="3200607"/>
    <x v="8"/>
    <n v="4.9909999999999997"/>
    <n v="15409127.18"/>
    <n v="1249126.8500000001"/>
    <n v="16658254.029999999"/>
    <n v="179058.5"/>
    <n v="335897.91"/>
    <n v="2.5089999999999999"/>
    <n v="406414.03"/>
    <n v="5912.77"/>
    <n v="0"/>
    <x v="2"/>
    <n v="10"/>
  </r>
  <r>
    <n v="38620"/>
    <n v="3200706"/>
    <x v="9"/>
    <n v="0.373"/>
    <n v="1151593.77"/>
    <n v="93352.92"/>
    <n v="1244946.69"/>
    <n v="13381.85"/>
    <n v="30506.54"/>
    <n v="0.45700000000000002"/>
    <n v="30373.16"/>
    <n v="1077.7"/>
    <n v="0"/>
    <x v="2"/>
    <n v="10"/>
  </r>
  <r>
    <n v="38621"/>
    <n v="3200805"/>
    <x v="10"/>
    <n v="0.64300000000000002"/>
    <n v="1985187.1"/>
    <n v="160927.39000000001"/>
    <n v="2146114.4900000002"/>
    <n v="23068.45"/>
    <n v="115883.93"/>
    <n v="0.996"/>
    <n v="52359.1"/>
    <n v="2348.1999999999998"/>
    <n v="0"/>
    <x v="2"/>
    <n v="10"/>
  </r>
  <r>
    <n v="38622"/>
    <n v="3200904"/>
    <x v="11"/>
    <n v="1.036"/>
    <n v="3198528.48"/>
    <n v="259285.79"/>
    <n v="3457814.27"/>
    <n v="37167.82"/>
    <n v="160661.14000000001"/>
    <n v="1.321"/>
    <n v="84360.84"/>
    <n v="3113.68"/>
    <n v="0"/>
    <x v="2"/>
    <n v="10"/>
  </r>
  <r>
    <n v="38623"/>
    <n v="3107109"/>
    <x v="12"/>
    <n v="0.39900000000000002"/>
    <n v="1231865.72"/>
    <n v="99860.06"/>
    <n v="1331725.78"/>
    <n v="14314.63"/>
    <n v="39928.07"/>
    <n v="0.56899999999999995"/>
    <n v="32490.32"/>
    <n v="1341.63"/>
    <n v="0"/>
    <x v="2"/>
    <n v="10"/>
  </r>
  <r>
    <n v="38624"/>
    <n v="3201100"/>
    <x v="13"/>
    <n v="0.17599999999999999"/>
    <n v="543379.36"/>
    <n v="44048.55"/>
    <n v="587427.91"/>
    <n v="6314.22"/>
    <n v="82794.990000000005"/>
    <n v="0.43"/>
    <n v="14331.57"/>
    <n v="1012.26"/>
    <n v="0"/>
    <x v="2"/>
    <n v="10"/>
  </r>
  <r>
    <n v="38625"/>
    <n v="3201159"/>
    <x v="14"/>
    <n v="0.42099999999999999"/>
    <n v="1299788.1100000001"/>
    <n v="105366.15"/>
    <n v="1405154.26"/>
    <n v="15103.91"/>
    <n v="35568.26"/>
    <n v="0.46"/>
    <n v="34281.760000000002"/>
    <n v="1082.8599999999999"/>
    <n v="0"/>
    <x v="2"/>
    <n v="10"/>
  </r>
  <r>
    <n v="38626"/>
    <n v="3201209"/>
    <x v="15"/>
    <n v="3.234"/>
    <n v="9984595.7400000002"/>
    <n v="809392.14"/>
    <n v="10793987.880000001"/>
    <n v="116023.88"/>
    <n v="817318.25"/>
    <n v="4.4820000000000002"/>
    <n v="263342.61"/>
    <n v="10561.98"/>
    <n v="0"/>
    <x v="2"/>
    <n v="10"/>
  </r>
  <r>
    <n v="38627"/>
    <n v="3201308"/>
    <x v="16"/>
    <n v="7.4969999999999999"/>
    <n v="23146108.300000001"/>
    <n v="1876318.19"/>
    <n v="25022426.489999998"/>
    <n v="268964.46000000002"/>
    <n v="1149506.1599999999"/>
    <n v="6.6040000000000001"/>
    <n v="610476.06000000006"/>
    <n v="15561.1"/>
    <n v="0"/>
    <x v="2"/>
    <n v="10"/>
  </r>
  <r>
    <n v="38628"/>
    <n v="3201407"/>
    <x v="17"/>
    <n v="0.96499999999999997"/>
    <n v="2979324.32"/>
    <n v="241516.21"/>
    <n v="3220840.53"/>
    <n v="34620.61"/>
    <n v="209580.56"/>
    <n v="1.155"/>
    <n v="78579.360000000001"/>
    <n v="2721.59"/>
    <n v="0"/>
    <x v="2"/>
    <n v="10"/>
  </r>
  <r>
    <n v="38629"/>
    <n v="3201506"/>
    <x v="18"/>
    <n v="2.1739999999999999"/>
    <n v="6711970.0300000003"/>
    <n v="544099.74"/>
    <n v="7256069.7699999996"/>
    <n v="77995.03"/>
    <n v="473880.46"/>
    <n v="2.8220000000000001"/>
    <n v="177027.47"/>
    <n v="6648.88"/>
    <n v="0"/>
    <x v="2"/>
    <n v="10"/>
  </r>
  <r>
    <n v="38630"/>
    <n v="3201605"/>
    <x v="19"/>
    <n v="0.65200000000000002"/>
    <n v="2012973.54"/>
    <n v="163179.85999999999"/>
    <n v="2176153.4"/>
    <n v="23391.33"/>
    <n v="68019.570000000007"/>
    <n v="0.999"/>
    <n v="53091.95"/>
    <n v="2354.39"/>
    <n v="0"/>
    <x v="2"/>
    <n v="10"/>
  </r>
  <r>
    <n v="38631"/>
    <n v="3201704"/>
    <x v="20"/>
    <n v="0.47499999999999998"/>
    <n v="1466506.8"/>
    <n v="118881.03"/>
    <n v="1585387.83"/>
    <n v="17041.23"/>
    <n v="31825.79"/>
    <n v="0.46500000000000002"/>
    <n v="38678.959999999999"/>
    <n v="1095.3900000000001"/>
    <n v="0"/>
    <x v="2"/>
    <n v="10"/>
  </r>
  <r>
    <n v="38632"/>
    <n v="3201803"/>
    <x v="21"/>
    <n v="0.186"/>
    <n v="574253.19999999995"/>
    <n v="46551.32"/>
    <n v="620804.52"/>
    <n v="6672.99"/>
    <n v="16472.13"/>
    <n v="0.28299999999999997"/>
    <n v="15145.87"/>
    <n v="665.85"/>
    <n v="0"/>
    <x v="2"/>
    <n v="10"/>
  </r>
  <r>
    <n v="38633"/>
    <n v="3201902"/>
    <x v="22"/>
    <n v="1.3140000000000001"/>
    <n v="4056820.89"/>
    <n v="328862.49"/>
    <n v="4385683.38"/>
    <n v="47141.43"/>
    <n v="114670.49"/>
    <n v="1.0309999999999999"/>
    <n v="106998.2"/>
    <n v="2430.13"/>
    <n v="0"/>
    <x v="2"/>
    <n v="10"/>
  </r>
  <r>
    <n v="38634"/>
    <n v="3202009"/>
    <x v="23"/>
    <n v="0.26"/>
    <n v="802719.51"/>
    <n v="65071.73"/>
    <n v="867791.24"/>
    <n v="9327.83"/>
    <n v="38784.18"/>
    <n v="0.314"/>
    <n v="21171.63"/>
    <n v="739.18"/>
    <n v="0"/>
    <x v="2"/>
    <n v="10"/>
  </r>
  <r>
    <n v="38635"/>
    <n v="3202108"/>
    <x v="24"/>
    <n v="0.69899999999999995"/>
    <n v="2158080.5299999998"/>
    <n v="174942.84"/>
    <n v="2333023.37"/>
    <n v="25077.52"/>
    <n v="55855.16"/>
    <n v="0.81599999999999995"/>
    <n v="56919.14"/>
    <n v="1922.55"/>
    <n v="0"/>
    <x v="2"/>
    <n v="10"/>
  </r>
  <r>
    <n v="38636"/>
    <n v="3202207"/>
    <x v="25"/>
    <n v="0.313"/>
    <n v="966350.76"/>
    <n v="78336.34"/>
    <n v="1044687.1"/>
    <n v="11229.28"/>
    <n v="42850.64"/>
    <n v="0.73399999999999999"/>
    <n v="25487.39"/>
    <n v="1730.51"/>
    <n v="0"/>
    <x v="2"/>
    <n v="10"/>
  </r>
  <r>
    <n v="38637"/>
    <n v="3202256"/>
    <x v="26"/>
    <n v="0.43"/>
    <n v="1327574.6100000001"/>
    <n v="107618.63"/>
    <n v="1435193.24"/>
    <n v="15426.8"/>
    <n v="34058.14"/>
    <n v="0.46700000000000003"/>
    <n v="35014.629999999997"/>
    <n v="1099.98"/>
    <n v="0"/>
    <x v="2"/>
    <n v="10"/>
  </r>
  <r>
    <n v="38638"/>
    <n v="3202306"/>
    <x v="27"/>
    <n v="0.378"/>
    <n v="1167030.6599999999"/>
    <n v="94604.27"/>
    <n v="1261634.93"/>
    <n v="13561.23"/>
    <n v="103429.68"/>
    <n v="0.998"/>
    <n v="30780.31"/>
    <n v="2351.3200000000002"/>
    <n v="0"/>
    <x v="2"/>
    <n v="10"/>
  </r>
  <r>
    <n v="38639"/>
    <n v="3202405"/>
    <x v="28"/>
    <n v="0.90900000000000003"/>
    <n v="2806430.87"/>
    <n v="227500.75"/>
    <n v="3033931.62"/>
    <n v="32611.54"/>
    <n v="715725.45"/>
    <n v="2.8730000000000002"/>
    <n v="74019.31"/>
    <n v="6769.93"/>
    <n v="0"/>
    <x v="2"/>
    <n v="10"/>
  </r>
  <r>
    <n v="38640"/>
    <n v="3202454"/>
    <x v="29"/>
    <n v="0.35099999999999998"/>
    <n v="1083671.3600000001"/>
    <n v="87846.83"/>
    <n v="1171518.19"/>
    <n v="12592.57"/>
    <n v="97823.28"/>
    <n v="0.86499999999999999"/>
    <n v="28581.71"/>
    <n v="2037.66"/>
    <n v="0"/>
    <x v="2"/>
    <n v="10"/>
  </r>
  <r>
    <n v="38641"/>
    <n v="3202504"/>
    <x v="30"/>
    <n v="0.26700000000000002"/>
    <n v="824331.17"/>
    <n v="66823.66"/>
    <n v="891154.83"/>
    <n v="9578.9699999999993"/>
    <n v="34937.35"/>
    <n v="0.46300000000000002"/>
    <n v="21741.64"/>
    <n v="1090.06"/>
    <n v="0"/>
    <x v="2"/>
    <n v="10"/>
  </r>
  <r>
    <n v="38642"/>
    <n v="3202553"/>
    <x v="31"/>
    <n v="0.248"/>
    <n v="765670.91"/>
    <n v="62068.41"/>
    <n v="827739.32"/>
    <n v="8897.32"/>
    <n v="16048.41"/>
    <n v="0.33800000000000002"/>
    <n v="20194.48"/>
    <n v="797.59"/>
    <n v="0"/>
    <x v="2"/>
    <n v="10"/>
  </r>
  <r>
    <n v="38643"/>
    <n v="3202603"/>
    <x v="32"/>
    <n v="0.34399999999999997"/>
    <n v="1062059.6599999999"/>
    <n v="86094.88"/>
    <n v="1148154.54"/>
    <n v="12341.44"/>
    <n v="38546.29"/>
    <n v="0.55600000000000005"/>
    <n v="28011.7"/>
    <n v="1311.15"/>
    <n v="0"/>
    <x v="2"/>
    <n v="10"/>
  </r>
  <r>
    <n v="38644"/>
    <n v="3202652"/>
    <x v="33"/>
    <n v="0.308"/>
    <n v="950913.85"/>
    <n v="77084.97"/>
    <n v="1027998.82"/>
    <n v="11049.89"/>
    <n v="55742.85"/>
    <n v="0.55100000000000005"/>
    <n v="25080.25"/>
    <n v="1299.3599999999999"/>
    <n v="0"/>
    <x v="2"/>
    <n v="10"/>
  </r>
  <r>
    <n v="38645"/>
    <n v="3202702"/>
    <x v="34"/>
    <n v="0.35499999999999998"/>
    <n v="1096020.8600000001"/>
    <n v="88847.94"/>
    <n v="1184868.8"/>
    <n v="12736.08"/>
    <n v="42378.54"/>
    <n v="0.55500000000000005"/>
    <n v="28907.43"/>
    <n v="1308.25"/>
    <n v="0"/>
    <x v="2"/>
    <n v="10"/>
  </r>
  <r>
    <n v="38646"/>
    <n v="3202801"/>
    <x v="35"/>
    <n v="2.262"/>
    <n v="6983659.7199999997"/>
    <n v="566124.01"/>
    <n v="7549783.7300000004"/>
    <n v="81152.14"/>
    <n v="120168.07"/>
    <n v="1.042"/>
    <n v="184193.25"/>
    <n v="2454.13"/>
    <n v="0"/>
    <x v="2"/>
    <n v="10"/>
  </r>
  <r>
    <n v="38647"/>
    <n v="3202900"/>
    <x v="36"/>
    <n v="0.34599999999999997"/>
    <n v="1068234.3999999999"/>
    <n v="86595.46"/>
    <n v="1154829.8600000001"/>
    <n v="12413.19"/>
    <n v="29784.19"/>
    <n v="0.435"/>
    <n v="28174.560000000001"/>
    <n v="1025.02"/>
    <n v="0"/>
    <x v="2"/>
    <n v="10"/>
  </r>
  <r>
    <n v="38648"/>
    <n v="3203007"/>
    <x v="37"/>
    <n v="0.438"/>
    <n v="1352273.64"/>
    <n v="109620.84"/>
    <n v="1461894.48"/>
    <n v="15713.81"/>
    <n v="96721.58"/>
    <n v="0.89700000000000002"/>
    <n v="35666.07"/>
    <n v="2113.8000000000002"/>
    <n v="0"/>
    <x v="2"/>
    <n v="10"/>
  </r>
  <r>
    <n v="38649"/>
    <n v="3203056"/>
    <x v="38"/>
    <n v="0.8"/>
    <n v="2469906.1800000002"/>
    <n v="200220.69"/>
    <n v="2670126.87"/>
    <n v="28701.02"/>
    <n v="103707.65"/>
    <n v="1"/>
    <n v="65143.5"/>
    <n v="2357.5500000000002"/>
    <n v="0"/>
    <x v="2"/>
    <n v="10"/>
  </r>
  <r>
    <n v="38650"/>
    <n v="3203106"/>
    <x v="39"/>
    <n v="0.21199999999999999"/>
    <n v="654525.14"/>
    <n v="53058.5"/>
    <n v="707583.64"/>
    <n v="7605.77"/>
    <n v="20834.419999999998"/>
    <n v="0.45800000000000002"/>
    <n v="17263.03"/>
    <n v="1079.5899999999999"/>
    <n v="0"/>
    <x v="2"/>
    <n v="10"/>
  </r>
  <r>
    <n v="38651"/>
    <n v="3203130"/>
    <x v="40"/>
    <n v="0.38600000000000001"/>
    <n v="1191729.73"/>
    <n v="96606.5"/>
    <n v="1288336.23"/>
    <n v="13848.24"/>
    <n v="47457.95"/>
    <n v="0.66600000000000004"/>
    <n v="31431.74"/>
    <n v="1569.78"/>
    <n v="0"/>
    <x v="2"/>
    <n v="10"/>
  </r>
  <r>
    <n v="38652"/>
    <n v="3203163"/>
    <x v="41"/>
    <n v="0.372"/>
    <n v="1148506.3700000001"/>
    <n v="93102.6"/>
    <n v="1241608.97"/>
    <n v="13345.98"/>
    <n v="19635.91"/>
    <n v="0.441"/>
    <n v="30291.72"/>
    <n v="1038.96"/>
    <n v="0"/>
    <x v="2"/>
    <n v="10"/>
  </r>
  <r>
    <n v="38653"/>
    <n v="3203205"/>
    <x v="42"/>
    <n v="5.4"/>
    <n v="16671866.720000001"/>
    <n v="1351489.68"/>
    <n v="18023356.399999999"/>
    <n v="193731.9"/>
    <n v="631660.93999999994"/>
    <n v="4.0880000000000001"/>
    <n v="439718.64"/>
    <n v="9632.35"/>
    <n v="0"/>
    <x v="2"/>
    <n v="10"/>
  </r>
  <r>
    <n v="38654"/>
    <n v="3203304"/>
    <x v="43"/>
    <n v="0.216"/>
    <n v="666874.68999999994"/>
    <n v="54059.6"/>
    <n v="720934.29"/>
    <n v="7749.28"/>
    <n v="38000.129999999997"/>
    <n v="0.57599999999999996"/>
    <n v="17588.75"/>
    <n v="1356.17"/>
    <n v="0"/>
    <x v="2"/>
    <n v="10"/>
  </r>
  <r>
    <n v="38655"/>
    <n v="3203320"/>
    <x v="44"/>
    <n v="0.60899999999999999"/>
    <n v="1880216.06"/>
    <n v="152418"/>
    <n v="2032634.06"/>
    <n v="21848.65"/>
    <n v="179145.38"/>
    <n v="1.171"/>
    <n v="49590.49"/>
    <n v="2758.96"/>
    <n v="0"/>
    <x v="2"/>
    <n v="10"/>
  </r>
  <r>
    <n v="38656"/>
    <n v="3203346"/>
    <x v="45"/>
    <n v="0.64500000000000002"/>
    <n v="1991361.85"/>
    <n v="161427.92000000001"/>
    <n v="2152789.77"/>
    <n v="23140.2"/>
    <n v="70075.539999999994"/>
    <n v="0.67100000000000004"/>
    <n v="52521.95"/>
    <n v="1580.3"/>
    <n v="0"/>
    <x v="2"/>
    <n v="10"/>
  </r>
  <r>
    <n v="38657"/>
    <n v="3203353"/>
    <x v="46"/>
    <n v="0.45200000000000001"/>
    <n v="1395496.99"/>
    <n v="113124.71"/>
    <n v="1508621.7"/>
    <n v="16216.08"/>
    <n v="34278.6"/>
    <n v="0.46700000000000003"/>
    <n v="36806.080000000002"/>
    <n v="1101.24"/>
    <n v="0"/>
    <x v="2"/>
    <n v="10"/>
  </r>
  <r>
    <n v="38658"/>
    <n v="3203403"/>
    <x v="47"/>
    <n v="0.51400000000000001"/>
    <n v="1586914.72"/>
    <n v="128641.8"/>
    <n v="1715556.52"/>
    <n v="18440.41"/>
    <n v="92136.23"/>
    <n v="0.85599999999999998"/>
    <n v="41854.699999999997"/>
    <n v="2018.08"/>
    <n v="0"/>
    <x v="2"/>
    <n v="10"/>
  </r>
  <r>
    <n v="38659"/>
    <n v="3203502"/>
    <x v="48"/>
    <n v="0.53600000000000003"/>
    <n v="1654837.13"/>
    <n v="134147.89000000001"/>
    <n v="1788985.02"/>
    <n v="19229.689999999999"/>
    <n v="45413.19"/>
    <n v="0.69299999999999995"/>
    <n v="43646.15"/>
    <n v="1632.29"/>
    <n v="0"/>
    <x v="2"/>
    <n v="10"/>
  </r>
  <r>
    <n v="38660"/>
    <n v="3203601"/>
    <x v="49"/>
    <n v="0.27800000000000002"/>
    <n v="858292.39"/>
    <n v="69576.67"/>
    <n v="927869.06"/>
    <n v="9973.61"/>
    <n v="19106.28"/>
    <n v="0.29799999999999999"/>
    <n v="22637.37"/>
    <n v="701.18"/>
    <n v="0"/>
    <x v="2"/>
    <n v="10"/>
  </r>
  <r>
    <n v="38661"/>
    <n v="3203700"/>
    <x v="50"/>
    <n v="0.55000000000000004"/>
    <n v="1698060.51"/>
    <n v="137651.74"/>
    <n v="1835712.25"/>
    <n v="19731.95"/>
    <n v="51330.81"/>
    <n v="0.67100000000000004"/>
    <n v="44786.16"/>
    <n v="1581.31"/>
    <n v="0"/>
    <x v="2"/>
    <n v="10"/>
  </r>
  <r>
    <n v="38662"/>
    <n v="3203809"/>
    <x v="51"/>
    <n v="0.29599999999999999"/>
    <n v="913865.28"/>
    <n v="74081.649999999994"/>
    <n v="987946.93"/>
    <n v="10619.38"/>
    <n v="33161.22"/>
    <n v="0.57499999999999996"/>
    <n v="24103.1"/>
    <n v="1354.71"/>
    <n v="0"/>
    <x v="2"/>
    <n v="10"/>
  </r>
  <r>
    <n v="38663"/>
    <n v="3203908"/>
    <x v="52"/>
    <n v="1.268"/>
    <n v="3914801.3"/>
    <n v="317349.8"/>
    <n v="4232151.0999999996"/>
    <n v="45491.12"/>
    <n v="191785.66"/>
    <n v="1.4650000000000001"/>
    <n v="103252.45"/>
    <n v="3451.43"/>
    <n v="0"/>
    <x v="2"/>
    <n v="10"/>
  </r>
  <r>
    <n v="38664"/>
    <n v="3204005"/>
    <x v="53"/>
    <n v="0.47099999999999997"/>
    <n v="1454157.26"/>
    <n v="117879.93"/>
    <n v="1572037.19"/>
    <n v="16897.73"/>
    <n v="44778.13"/>
    <n v="0.747"/>
    <n v="38353.24"/>
    <n v="1760.54"/>
    <n v="0"/>
    <x v="2"/>
    <n v="10"/>
  </r>
  <r>
    <n v="38665"/>
    <n v="3204054"/>
    <x v="54"/>
    <n v="0.313"/>
    <n v="966350.76"/>
    <n v="78336.34"/>
    <n v="1044687.1"/>
    <n v="11229.28"/>
    <n v="76341.06"/>
    <n v="0.86199999999999999"/>
    <n v="25487.39"/>
    <n v="2032.3"/>
    <n v="0"/>
    <x v="2"/>
    <n v="10"/>
  </r>
  <r>
    <n v="38666"/>
    <n v="3204104"/>
    <x v="55"/>
    <n v="0.72599999999999998"/>
    <n v="2241439.85"/>
    <n v="181700.28"/>
    <n v="2423140.13"/>
    <n v="26046.18"/>
    <n v="77181.649999999994"/>
    <n v="0.875"/>
    <n v="59117.73"/>
    <n v="2061.7199999999998"/>
    <n v="0"/>
    <x v="2"/>
    <n v="10"/>
  </r>
  <r>
    <n v="38667"/>
    <n v="3204203"/>
    <x v="56"/>
    <n v="0.14599999999999999"/>
    <n v="450757.9"/>
    <n v="36540.28"/>
    <n v="487298.18"/>
    <n v="5237.9399999999996"/>
    <n v="78383.14"/>
    <n v="0.73399999999999999"/>
    <n v="11888.69"/>
    <n v="1730.77"/>
    <n v="0"/>
    <x v="2"/>
    <n v="10"/>
  </r>
  <r>
    <n v="38668"/>
    <n v="3204252"/>
    <x v="57"/>
    <n v="0.221"/>
    <n v="682311.59"/>
    <n v="55310.97"/>
    <n v="737622.56"/>
    <n v="7928.66"/>
    <n v="19986.62"/>
    <n v="0.32900000000000001"/>
    <n v="17995.900000000001"/>
    <n v="774.25"/>
    <n v="0"/>
    <x v="2"/>
    <n v="10"/>
  </r>
  <r>
    <n v="38669"/>
    <n v="1718402"/>
    <x v="58"/>
    <n v="0.33800000000000002"/>
    <n v="1043535.36"/>
    <n v="84593.24"/>
    <n v="1128128.6000000001"/>
    <n v="12126.18"/>
    <n v="99032.69"/>
    <n v="0.45100000000000001"/>
    <n v="27523.13"/>
    <n v="1062.53"/>
    <n v="0"/>
    <x v="2"/>
    <n v="10"/>
  </r>
  <r>
    <n v="38670"/>
    <n v="3204351"/>
    <x v="59"/>
    <n v="0.79700000000000004"/>
    <n v="2460644.04"/>
    <n v="199469.86"/>
    <n v="2660113.9"/>
    <n v="28593.39"/>
    <n v="60359.34"/>
    <n v="0.69799999999999995"/>
    <n v="64899.22"/>
    <n v="1645.03"/>
    <n v="0"/>
    <x v="2"/>
    <n v="10"/>
  </r>
  <r>
    <n v="38671"/>
    <n v="3204401"/>
    <x v="60"/>
    <n v="0.27500000000000002"/>
    <n v="849030.25"/>
    <n v="68825.850000000006"/>
    <n v="917856.1"/>
    <n v="9865.98"/>
    <n v="46362.49"/>
    <n v="0.45"/>
    <n v="22393.08"/>
    <n v="1059.3499999999999"/>
    <n v="0"/>
    <x v="2"/>
    <n v="10"/>
  </r>
  <r>
    <n v="38672"/>
    <n v="3204500"/>
    <x v="61"/>
    <n v="0.53800000000000003"/>
    <n v="1661011.9"/>
    <n v="134648.43"/>
    <n v="1795660.33"/>
    <n v="19301.439999999999"/>
    <n v="27180.880000000001"/>
    <n v="0.45600000000000002"/>
    <n v="43809.01"/>
    <n v="1074.8599999999999"/>
    <n v="0"/>
    <x v="2"/>
    <n v="10"/>
  </r>
  <r>
    <n v="38673"/>
    <n v="3204559"/>
    <x v="62"/>
    <n v="2.1160000000000001"/>
    <n v="6532901.8499999996"/>
    <n v="529583.74"/>
    <n v="7062485.5899999999"/>
    <n v="75914.2"/>
    <n v="205580.35"/>
    <n v="1.1990000000000001"/>
    <n v="172304.57"/>
    <n v="2825.75"/>
    <n v="0"/>
    <x v="2"/>
    <n v="10"/>
  </r>
  <r>
    <n v="38674"/>
    <n v="3204609"/>
    <x v="63"/>
    <n v="0.68799999999999994"/>
    <n v="2124119.31"/>
    <n v="172189.8"/>
    <n v="2296309.11"/>
    <n v="24682.880000000001"/>
    <n v="85005.119999999995"/>
    <n v="0.82899999999999996"/>
    <n v="56023.41"/>
    <n v="1954.24"/>
    <n v="0"/>
    <x v="2"/>
    <n v="10"/>
  </r>
  <r>
    <n v="38675"/>
    <n v="3204658"/>
    <x v="64"/>
    <n v="0.42399999999999999"/>
    <n v="1309050.27"/>
    <n v="106116.97"/>
    <n v="1415167.24"/>
    <n v="15211.54"/>
    <n v="32125.52"/>
    <n v="0.33700000000000002"/>
    <n v="34526.06"/>
    <n v="794.87"/>
    <n v="0"/>
    <x v="2"/>
    <n v="10"/>
  </r>
  <r>
    <n v="38676"/>
    <n v="3204708"/>
    <x v="65"/>
    <n v="0.81499999999999995"/>
    <n v="2516216.9300000002"/>
    <n v="203974.83"/>
    <n v="2720191.76"/>
    <n v="29239.17"/>
    <n v="121536.16"/>
    <n v="1.169"/>
    <n v="66364.94"/>
    <n v="2753.97"/>
    <n v="0"/>
    <x v="2"/>
    <n v="10"/>
  </r>
  <r>
    <n v="38677"/>
    <n v="3204807"/>
    <x v="66"/>
    <n v="0.23"/>
    <n v="710098.04"/>
    <n v="57563.47"/>
    <n v="767661.51"/>
    <n v="8251.5400000000009"/>
    <n v="29222.240000000002"/>
    <n v="0.436"/>
    <n v="18728.759999999998"/>
    <n v="1027.97"/>
    <n v="0"/>
    <x v="2"/>
    <n v="10"/>
  </r>
  <r>
    <n v="38678"/>
    <n v="3204906"/>
    <x v="67"/>
    <n v="1.8839999999999999"/>
    <n v="5816629.0700000003"/>
    <n v="471519.72"/>
    <n v="6288148.79"/>
    <n v="67590.91"/>
    <n v="488472.02"/>
    <n v="3.024"/>
    <n v="153412.95000000001"/>
    <n v="7127.03"/>
    <n v="0"/>
    <x v="2"/>
    <n v="10"/>
  </r>
  <r>
    <n v="38679"/>
    <n v="3204955"/>
    <x v="68"/>
    <n v="0.32600000000000001"/>
    <n v="1006486.8"/>
    <n v="81589.95"/>
    <n v="1088076.75"/>
    <n v="11695.67"/>
    <n v="19257.650000000001"/>
    <n v="0.46100000000000002"/>
    <n v="26545.98"/>
    <n v="1087.22"/>
    <n v="0"/>
    <x v="2"/>
    <n v="10"/>
  </r>
  <r>
    <n v="38680"/>
    <n v="3205002"/>
    <x v="69"/>
    <n v="14.176"/>
    <n v="43766737.5"/>
    <n v="3547910.68"/>
    <n v="47314648.18"/>
    <n v="508582.12"/>
    <n v="1685958.02"/>
    <n v="8.4320000000000004"/>
    <n v="1154342.8700000001"/>
    <n v="19870.45"/>
    <n v="0"/>
    <x v="2"/>
    <n v="10"/>
  </r>
  <r>
    <n v="38681"/>
    <n v="3205010"/>
    <x v="70"/>
    <n v="0.72199999999999998"/>
    <n v="2229090.33"/>
    <n v="180699.16"/>
    <n v="2409789.4900000002"/>
    <n v="25902.67"/>
    <n v="64172.57"/>
    <n v="0.997"/>
    <n v="58792.01"/>
    <n v="2348.63"/>
    <n v="0"/>
    <x v="2"/>
    <n v="10"/>
  </r>
  <r>
    <n v="38682"/>
    <n v="3205036"/>
    <x v="71"/>
    <n v="0.498"/>
    <n v="1537516.6"/>
    <n v="124637.39"/>
    <n v="1662153.99"/>
    <n v="17866.39"/>
    <n v="58403.040000000001"/>
    <n v="0.72699999999999998"/>
    <n v="40551.83"/>
    <n v="1713.28"/>
    <n v="0"/>
    <x v="2"/>
    <n v="10"/>
  </r>
  <r>
    <n v="38683"/>
    <n v="3205069"/>
    <x v="72"/>
    <n v="0.75800000000000001"/>
    <n v="2340236.11"/>
    <n v="189709.13"/>
    <n v="2529945.2400000002"/>
    <n v="27194.22"/>
    <n v="103902.39999999999"/>
    <n v="0.85799999999999998"/>
    <n v="61723.47"/>
    <n v="2021.66"/>
    <n v="0"/>
    <x v="2"/>
    <n v="10"/>
  </r>
  <r>
    <n v="38684"/>
    <n v="2112803"/>
    <x v="73"/>
    <n v="2.9929999999999999"/>
    <n v="9240536.4800000004"/>
    <n v="749075.68"/>
    <n v="9989612.1600000001"/>
    <n v="107377.7"/>
    <n v="195075.78"/>
    <n v="1.984"/>
    <n v="243718.13"/>
    <n v="4674.21"/>
    <n v="0"/>
    <x v="2"/>
    <n v="10"/>
  </r>
  <r>
    <n v="38685"/>
    <n v="3205150"/>
    <x v="74"/>
    <n v="0.32800000000000001"/>
    <n v="1012661.51"/>
    <n v="82090.47"/>
    <n v="1094751.98"/>
    <n v="11767.42"/>
    <n v="18036.34"/>
    <n v="0.34399999999999997"/>
    <n v="26708.84"/>
    <n v="810.5"/>
    <n v="0"/>
    <x v="2"/>
    <n v="10"/>
  </r>
  <r>
    <n v="38686"/>
    <n v="3205176"/>
    <x v="75"/>
    <n v="0.623"/>
    <n v="1923439.43"/>
    <n v="155921.88"/>
    <n v="2079361.31"/>
    <n v="22350.92"/>
    <n v="64547.18"/>
    <n v="0.55600000000000005"/>
    <n v="50730.5"/>
    <n v="1310.6300000000001"/>
    <n v="0"/>
    <x v="2"/>
    <n v="10"/>
  </r>
  <r>
    <n v="38687"/>
    <n v="3205200"/>
    <x v="76"/>
    <n v="5.3819999999999997"/>
    <n v="16616293.800000001"/>
    <n v="1346984.71"/>
    <n v="17963278.510000002"/>
    <n v="193086.13"/>
    <n v="1891543.54"/>
    <n v="8.09"/>
    <n v="438252.91"/>
    <n v="19064.330000000002"/>
    <n v="0"/>
    <x v="2"/>
    <n v="10"/>
  </r>
  <r>
    <n v="38688"/>
    <n v="3205309"/>
    <x v="77"/>
    <n v="14.535"/>
    <n v="44875108.009999998"/>
    <n v="3637759.56"/>
    <n v="48512867.57"/>
    <n v="521461.7"/>
    <n v="1824815.15"/>
    <n v="9.4969999999999999"/>
    <n v="1183576"/>
    <n v="22379.360000000001"/>
    <n v="0"/>
    <x v="2"/>
    <n v="10"/>
  </r>
  <r>
    <n v="38689"/>
    <n v="3200102"/>
    <x v="0"/>
    <n v="0.8"/>
    <n v="2735057.18"/>
    <n v="0"/>
    <n v="2735057.18"/>
    <n v="20870"/>
    <n v="63082.3"/>
    <n v="0.98499999999999999"/>
    <n v="60655.23"/>
    <n v="0"/>
    <n v="0"/>
    <x v="2"/>
    <n v="11"/>
  </r>
  <r>
    <n v="38690"/>
    <n v="3200169"/>
    <x v="1"/>
    <n v="0.30099999999999999"/>
    <n v="1029065.28"/>
    <n v="0"/>
    <n v="1029065.28"/>
    <n v="7852.34"/>
    <n v="17428.61"/>
    <n v="0.439"/>
    <n v="22821.53"/>
    <n v="0"/>
    <n v="0"/>
    <x v="2"/>
    <n v="11"/>
  </r>
  <r>
    <n v="38691"/>
    <n v="3200136"/>
    <x v="2"/>
    <n v="0.41599999999999998"/>
    <n v="1422229.74"/>
    <n v="0"/>
    <n v="1422229.74"/>
    <n v="10852.4"/>
    <n v="19154.53"/>
    <n v="0.34799999999999998"/>
    <n v="31540.720000000001"/>
    <n v="0"/>
    <n v="0"/>
    <x v="2"/>
    <n v="11"/>
  </r>
  <r>
    <n v="38692"/>
    <n v="3200201"/>
    <x v="3"/>
    <n v="0.51"/>
    <n v="1743598.94"/>
    <n v="0"/>
    <n v="1743598.94"/>
    <n v="13304.63"/>
    <n v="47585.35"/>
    <n v="0.98"/>
    <n v="38667.71"/>
    <n v="0"/>
    <n v="0"/>
    <x v="2"/>
    <n v="11"/>
  </r>
  <r>
    <n v="38693"/>
    <n v="3200300"/>
    <x v="4"/>
    <n v="0.49"/>
    <n v="1675222.48"/>
    <n v="0"/>
    <n v="1675222.48"/>
    <n v="12782.88"/>
    <n v="32835.480000000003"/>
    <n v="0.56399999999999995"/>
    <n v="37151.33"/>
    <n v="0"/>
    <n v="0"/>
    <x v="2"/>
    <n v="11"/>
  </r>
  <r>
    <n v="38694"/>
    <n v="3200359"/>
    <x v="5"/>
    <n v="0.23100000000000001"/>
    <n v="789747.74"/>
    <n v="0"/>
    <n v="789747.74"/>
    <n v="6026.21"/>
    <n v="12861.81"/>
    <n v="0.32700000000000001"/>
    <n v="17514.2"/>
    <n v="0"/>
    <n v="0"/>
    <x v="2"/>
    <n v="11"/>
  </r>
  <r>
    <n v="38695"/>
    <n v="3200409"/>
    <x v="6"/>
    <n v="1.766"/>
    <n v="6037638.7199999997"/>
    <n v="0"/>
    <n v="6037638.7199999997"/>
    <n v="46070.53"/>
    <n v="72035.66"/>
    <n v="0.90800000000000003"/>
    <n v="133896.43"/>
    <n v="0"/>
    <n v="0"/>
    <x v="2"/>
    <n v="11"/>
  </r>
  <r>
    <n v="38696"/>
    <n v="3200508"/>
    <x v="7"/>
    <n v="0.185"/>
    <n v="632481.98"/>
    <n v="0"/>
    <n v="632481.98"/>
    <n v="4826.1899999999996"/>
    <n v="39854.22"/>
    <n v="0.32300000000000001"/>
    <n v="14026.52"/>
    <n v="0"/>
    <n v="0"/>
    <x v="2"/>
    <n v="11"/>
  </r>
  <r>
    <n v="38697"/>
    <n v="3200607"/>
    <x v="8"/>
    <n v="4.9909999999999997"/>
    <n v="17063337.960000001"/>
    <n v="0"/>
    <n v="17063337.960000001"/>
    <n v="130202.71"/>
    <n v="310042.90999999997"/>
    <n v="2.5089999999999999"/>
    <n v="378412.84"/>
    <n v="0"/>
    <n v="0"/>
    <x v="2"/>
    <n v="11"/>
  </r>
  <r>
    <n v="38698"/>
    <n v="3200706"/>
    <x v="9"/>
    <n v="0.373"/>
    <n v="1275220.4099999999"/>
    <n v="0"/>
    <n v="1275220.4099999999"/>
    <n v="9730.64"/>
    <n v="24194.1"/>
    <n v="0.45700000000000002"/>
    <n v="28280.5"/>
    <n v="0"/>
    <n v="0"/>
    <x v="2"/>
    <n v="11"/>
  </r>
  <r>
    <n v="38699"/>
    <n v="3200805"/>
    <x v="10"/>
    <n v="0.64300000000000002"/>
    <n v="2198302.2000000002"/>
    <n v="0"/>
    <n v="2198302.2000000002"/>
    <n v="16774.259999999998"/>
    <n v="78280.259999999995"/>
    <n v="0.996"/>
    <n v="48751.64"/>
    <n v="0"/>
    <n v="0"/>
    <x v="2"/>
    <n v="11"/>
  </r>
  <r>
    <n v="38700"/>
    <n v="3200904"/>
    <x v="11"/>
    <n v="1.036"/>
    <n v="3541899.07"/>
    <n v="0"/>
    <n v="3541899.07"/>
    <n v="27026.65"/>
    <n v="122587.56"/>
    <n v="1.321"/>
    <n v="78548.53"/>
    <n v="0"/>
    <n v="0"/>
    <x v="2"/>
    <n v="11"/>
  </r>
  <r>
    <n v="38701"/>
    <n v="3107109"/>
    <x v="12"/>
    <n v="0.39900000000000002"/>
    <n v="1364109.77"/>
    <n v="0"/>
    <n v="1364109.77"/>
    <n v="10408.91"/>
    <n v="31015.919999999998"/>
    <n v="0.56899999999999995"/>
    <n v="30251.8"/>
    <n v="0"/>
    <n v="0"/>
    <x v="2"/>
    <n v="11"/>
  </r>
  <r>
    <n v="38702"/>
    <n v="3201100"/>
    <x v="13"/>
    <n v="0.17599999999999999"/>
    <n v="601712.59"/>
    <n v="0"/>
    <n v="601712.59"/>
    <n v="4591.3999999999996"/>
    <n v="69846.81"/>
    <n v="0.43"/>
    <n v="13344.15"/>
    <n v="0"/>
    <n v="0"/>
    <x v="2"/>
    <n v="11"/>
  </r>
  <r>
    <n v="38703"/>
    <n v="3201159"/>
    <x v="14"/>
    <n v="0.42099999999999999"/>
    <n v="1439323.83"/>
    <n v="0"/>
    <n v="1439323.83"/>
    <n v="10982.84"/>
    <n v="23471.57"/>
    <n v="0.46"/>
    <n v="31919.82"/>
    <n v="0"/>
    <n v="0"/>
    <x v="2"/>
    <n v="11"/>
  </r>
  <r>
    <n v="38704"/>
    <n v="3201209"/>
    <x v="15"/>
    <n v="3.234"/>
    <n v="11056468.67"/>
    <n v="0"/>
    <n v="11056468.67"/>
    <n v="84366.98"/>
    <n v="622350.68999999994"/>
    <n v="4.4820000000000002"/>
    <n v="245198.78"/>
    <n v="0"/>
    <n v="0"/>
    <x v="2"/>
    <n v="11"/>
  </r>
  <r>
    <n v="38705"/>
    <n v="3201308"/>
    <x v="16"/>
    <n v="7.4969999999999999"/>
    <n v="25630904.559999999"/>
    <n v="0"/>
    <n v="25630904.559999999"/>
    <n v="195577.99"/>
    <n v="739260.06"/>
    <n v="6.6040000000000001"/>
    <n v="568415.36"/>
    <n v="0"/>
    <n v="0"/>
    <x v="2"/>
    <n v="11"/>
  </r>
  <r>
    <n v="38706"/>
    <n v="3201407"/>
    <x v="17"/>
    <n v="0.96499999999999997"/>
    <n v="3299162.71"/>
    <n v="0"/>
    <n v="3299162.71"/>
    <n v="25174.44"/>
    <n v="202009.36"/>
    <n v="1.155"/>
    <n v="73165.38"/>
    <n v="0"/>
    <n v="0"/>
    <x v="2"/>
    <n v="11"/>
  </r>
  <r>
    <n v="38707"/>
    <n v="3201506"/>
    <x v="18"/>
    <n v="2.1739999999999999"/>
    <n v="7432517.8799999999"/>
    <n v="0"/>
    <n v="7432517.8799999999"/>
    <n v="56714.23"/>
    <n v="332186.87"/>
    <n v="2.8220000000000001"/>
    <n v="164830.6"/>
    <n v="0"/>
    <n v="0"/>
    <x v="2"/>
    <n v="11"/>
  </r>
  <r>
    <n v="38708"/>
    <n v="3201605"/>
    <x v="19"/>
    <n v="0.65200000000000002"/>
    <n v="2229071.59"/>
    <n v="0"/>
    <n v="2229071.59"/>
    <n v="17009.05"/>
    <n v="38779.99"/>
    <n v="0.999"/>
    <n v="49434.02"/>
    <n v="0"/>
    <n v="0"/>
    <x v="2"/>
    <n v="11"/>
  </r>
  <r>
    <n v="38709"/>
    <n v="3201704"/>
    <x v="20"/>
    <n v="0.47499999999999998"/>
    <n v="1623940.2"/>
    <n v="0"/>
    <n v="1623940.2"/>
    <n v="12391.56"/>
    <n v="24311.51"/>
    <n v="0.46500000000000002"/>
    <n v="36014.04"/>
    <n v="0"/>
    <n v="0"/>
    <x v="2"/>
    <n v="11"/>
  </r>
  <r>
    <n v="38710"/>
    <n v="3201803"/>
    <x v="21"/>
    <n v="0.186"/>
    <n v="635900.79"/>
    <n v="0"/>
    <n v="635900.79"/>
    <n v="4852.28"/>
    <n v="9311.43"/>
    <n v="0.28299999999999997"/>
    <n v="14102.34"/>
    <n v="0"/>
    <n v="0"/>
    <x v="2"/>
    <n v="11"/>
  </r>
  <r>
    <n v="38711"/>
    <n v="3201902"/>
    <x v="22"/>
    <n v="1.3140000000000001"/>
    <n v="4492331.43"/>
    <n v="0"/>
    <n v="4492331.43"/>
    <n v="34278.980000000003"/>
    <n v="78333"/>
    <n v="1.0309999999999999"/>
    <n v="99626.22"/>
    <n v="0"/>
    <n v="0"/>
    <x v="2"/>
    <n v="11"/>
  </r>
  <r>
    <n v="38712"/>
    <n v="3202009"/>
    <x v="23"/>
    <n v="0.26"/>
    <n v="888893.6"/>
    <n v="0"/>
    <n v="888893.6"/>
    <n v="6782.75"/>
    <n v="22518.25"/>
    <n v="0.314"/>
    <n v="19712.95"/>
    <n v="0"/>
    <n v="0"/>
    <x v="2"/>
    <n v="11"/>
  </r>
  <r>
    <n v="38713"/>
    <n v="3202108"/>
    <x v="24"/>
    <n v="0.69899999999999995"/>
    <n v="2389756.21"/>
    <n v="0"/>
    <n v="2389756.21"/>
    <n v="18235.16"/>
    <n v="49846.879999999997"/>
    <n v="0.81599999999999995"/>
    <n v="52997.51"/>
    <n v="0"/>
    <n v="0"/>
    <x v="2"/>
    <n v="11"/>
  </r>
  <r>
    <n v="38714"/>
    <n v="3202207"/>
    <x v="25"/>
    <n v="0.313"/>
    <n v="1070091.1200000001"/>
    <n v="0"/>
    <n v="1070091.1200000001"/>
    <n v="8165.39"/>
    <n v="38188.910000000003"/>
    <n v="0.73399999999999999"/>
    <n v="23731.360000000001"/>
    <n v="0"/>
    <n v="0"/>
    <x v="2"/>
    <n v="11"/>
  </r>
  <r>
    <n v="38715"/>
    <n v="3202256"/>
    <x v="26"/>
    <n v="0.43"/>
    <n v="1470093.23"/>
    <n v="0"/>
    <n v="1470093.23"/>
    <n v="11217.63"/>
    <n v="17973.45"/>
    <n v="0.46700000000000003"/>
    <n v="32602.19"/>
    <n v="0"/>
    <n v="0"/>
    <x v="2"/>
    <n v="11"/>
  </r>
  <r>
    <n v="38716"/>
    <n v="3202306"/>
    <x v="27"/>
    <n v="0.378"/>
    <n v="1292314.52"/>
    <n v="0"/>
    <n v="1292314.52"/>
    <n v="9861.08"/>
    <n v="80640.62"/>
    <n v="0.998"/>
    <n v="28659.599999999999"/>
    <n v="0"/>
    <n v="0"/>
    <x v="2"/>
    <n v="11"/>
  </r>
  <r>
    <n v="38717"/>
    <n v="3202405"/>
    <x v="28"/>
    <n v="0.90900000000000003"/>
    <n v="3107708.71"/>
    <n v="0"/>
    <n v="3107708.71"/>
    <n v="23713.54"/>
    <n v="602350.18999999994"/>
    <n v="2.8730000000000002"/>
    <n v="68919.509999999995"/>
    <n v="0"/>
    <n v="0"/>
    <x v="2"/>
    <n v="11"/>
  </r>
  <r>
    <n v="38718"/>
    <n v="3202454"/>
    <x v="29"/>
    <n v="0.35099999999999998"/>
    <n v="1200006.3400000001"/>
    <n v="0"/>
    <n v="1200006.3400000001"/>
    <n v="9156.7099999999991"/>
    <n v="56916.45"/>
    <n v="0.86499999999999999"/>
    <n v="26612.48"/>
    <n v="0"/>
    <n v="0"/>
    <x v="2"/>
    <n v="11"/>
  </r>
  <r>
    <n v="38719"/>
    <n v="3202504"/>
    <x v="30"/>
    <n v="0.26700000000000002"/>
    <n v="912825.33"/>
    <n v="0"/>
    <n v="912825.33"/>
    <n v="6965.36"/>
    <n v="19683.27"/>
    <n v="0.46300000000000002"/>
    <n v="20243.68"/>
    <n v="0"/>
    <n v="0"/>
    <x v="2"/>
    <n v="11"/>
  </r>
  <r>
    <n v="38720"/>
    <n v="3202553"/>
    <x v="31"/>
    <n v="0.248"/>
    <n v="847867.74"/>
    <n v="0"/>
    <n v="847867.74"/>
    <n v="6469.7"/>
    <n v="18706.509999999998"/>
    <n v="0.33800000000000002"/>
    <n v="18803.12"/>
    <n v="0"/>
    <n v="0"/>
    <x v="2"/>
    <n v="11"/>
  </r>
  <r>
    <n v="38721"/>
    <n v="3202603"/>
    <x v="32"/>
    <n v="0.34399999999999997"/>
    <n v="1176074.58"/>
    <n v="0"/>
    <n v="1176074.58"/>
    <n v="8974.1"/>
    <n v="39142.35"/>
    <n v="0.55600000000000005"/>
    <n v="26081.75"/>
    <n v="0"/>
    <n v="0"/>
    <x v="2"/>
    <n v="11"/>
  </r>
  <r>
    <n v="38722"/>
    <n v="3202652"/>
    <x v="33"/>
    <n v="0.308"/>
    <n v="1052997.02"/>
    <n v="0"/>
    <n v="1052997.02"/>
    <n v="8034.95"/>
    <n v="40193.67"/>
    <n v="0.55100000000000005"/>
    <n v="23352.26"/>
    <n v="0"/>
    <n v="0"/>
    <x v="2"/>
    <n v="11"/>
  </r>
  <r>
    <n v="38723"/>
    <n v="3202702"/>
    <x v="34"/>
    <n v="0.35499999999999998"/>
    <n v="1213681.6399999999"/>
    <n v="0"/>
    <n v="1213681.6399999999"/>
    <n v="9261.06"/>
    <n v="22762.27"/>
    <n v="0.55500000000000005"/>
    <n v="26915.759999999998"/>
    <n v="0"/>
    <n v="0"/>
    <x v="2"/>
    <n v="11"/>
  </r>
  <r>
    <n v="38724"/>
    <n v="3202801"/>
    <x v="35"/>
    <n v="2.262"/>
    <n v="7733374.1699999999"/>
    <n v="0"/>
    <n v="7733374.1699999999"/>
    <n v="59009.93"/>
    <n v="97869.87"/>
    <n v="1.042"/>
    <n v="171502.67"/>
    <n v="0"/>
    <n v="0"/>
    <x v="2"/>
    <n v="11"/>
  </r>
  <r>
    <n v="38725"/>
    <n v="3202900"/>
    <x v="36"/>
    <n v="0.34599999999999997"/>
    <n v="1182912.22"/>
    <n v="0"/>
    <n v="1182912.22"/>
    <n v="9026.2800000000007"/>
    <n v="16152.59"/>
    <n v="0.435"/>
    <n v="26233.39"/>
    <n v="0"/>
    <n v="0"/>
    <x v="2"/>
    <n v="11"/>
  </r>
  <r>
    <n v="38726"/>
    <n v="3203007"/>
    <x v="37"/>
    <n v="0.438"/>
    <n v="1497443.78"/>
    <n v="0"/>
    <n v="1497443.78"/>
    <n v="11426.33"/>
    <n v="74407.13"/>
    <n v="0.89700000000000002"/>
    <n v="33208.74"/>
    <n v="0"/>
    <n v="0"/>
    <x v="2"/>
    <n v="11"/>
  </r>
  <r>
    <n v="38727"/>
    <n v="3203056"/>
    <x v="38"/>
    <n v="0.8"/>
    <n v="2735057.18"/>
    <n v="0"/>
    <n v="2735057.18"/>
    <n v="20870"/>
    <n v="58308.28"/>
    <n v="1"/>
    <n v="60655.23"/>
    <n v="0"/>
    <n v="0"/>
    <x v="2"/>
    <n v="11"/>
  </r>
  <r>
    <n v="38728"/>
    <n v="3203106"/>
    <x v="39"/>
    <n v="0.21199999999999999"/>
    <n v="724790.15"/>
    <n v="0"/>
    <n v="724790.15"/>
    <n v="5530.55"/>
    <n v="13332.05"/>
    <n v="0.45800000000000002"/>
    <n v="16073.64"/>
    <n v="0"/>
    <n v="0"/>
    <x v="2"/>
    <n v="11"/>
  </r>
  <r>
    <n v="38729"/>
    <n v="3203130"/>
    <x v="40"/>
    <n v="0.38600000000000001"/>
    <n v="1319665.1000000001"/>
    <n v="0"/>
    <n v="1319665.1000000001"/>
    <n v="10069.780000000001"/>
    <n v="40373.67"/>
    <n v="0.66600000000000004"/>
    <n v="29266.15"/>
    <n v="0"/>
    <n v="0"/>
    <x v="2"/>
    <n v="11"/>
  </r>
  <r>
    <n v="38730"/>
    <n v="3203163"/>
    <x v="41"/>
    <n v="0.372"/>
    <n v="1271801.56"/>
    <n v="0"/>
    <n v="1271801.56"/>
    <n v="9704.5499999999993"/>
    <n v="9787.42"/>
    <n v="0.441"/>
    <n v="28204.68"/>
    <n v="0"/>
    <n v="0"/>
    <x v="2"/>
    <n v="11"/>
  </r>
  <r>
    <n v="38731"/>
    <n v="3203205"/>
    <x v="42"/>
    <n v="5.4"/>
    <n v="18461635.98"/>
    <n v="0"/>
    <n v="18461635.98"/>
    <n v="140872.5"/>
    <n v="437795.87"/>
    <n v="4.0880000000000001"/>
    <n v="409422.83"/>
    <n v="0"/>
    <n v="0"/>
    <x v="2"/>
    <n v="11"/>
  </r>
  <r>
    <n v="38732"/>
    <n v="3203304"/>
    <x v="43"/>
    <n v="0.216"/>
    <n v="738465.44"/>
    <n v="0"/>
    <n v="738465.44"/>
    <n v="5634.9"/>
    <n v="30133.24"/>
    <n v="0.57599999999999996"/>
    <n v="16376.91"/>
    <n v="0"/>
    <n v="0"/>
    <x v="2"/>
    <n v="11"/>
  </r>
  <r>
    <n v="38733"/>
    <n v="3203320"/>
    <x v="44"/>
    <n v="0.60899999999999999"/>
    <n v="2082062.28"/>
    <n v="0"/>
    <n v="2082062.28"/>
    <n v="15887.29"/>
    <n v="148008.18"/>
    <n v="1.171"/>
    <n v="46173.8"/>
    <n v="0"/>
    <n v="0"/>
    <x v="2"/>
    <n v="11"/>
  </r>
  <r>
    <n v="38734"/>
    <n v="3203346"/>
    <x v="45"/>
    <n v="0.64500000000000002"/>
    <n v="2205139.85"/>
    <n v="0"/>
    <n v="2205139.85"/>
    <n v="16826.439999999999"/>
    <n v="29091.63"/>
    <n v="0.67100000000000004"/>
    <n v="48903.28"/>
    <n v="0"/>
    <n v="0"/>
    <x v="2"/>
    <n v="11"/>
  </r>
  <r>
    <n v="38735"/>
    <n v="3203353"/>
    <x v="46"/>
    <n v="0.45200000000000001"/>
    <n v="1545307.31"/>
    <n v="0"/>
    <n v="1545307.31"/>
    <n v="11791.55"/>
    <n v="26305.7"/>
    <n v="0.46700000000000003"/>
    <n v="34270.21"/>
    <n v="0"/>
    <n v="0"/>
    <x v="2"/>
    <n v="11"/>
  </r>
  <r>
    <n v="38736"/>
    <n v="3203403"/>
    <x v="47"/>
    <n v="0.51400000000000001"/>
    <n v="1757274.26"/>
    <n v="0"/>
    <n v="1757274.26"/>
    <n v="13408.98"/>
    <n v="43726.11"/>
    <n v="0.85599999999999998"/>
    <n v="38970.99"/>
    <n v="0"/>
    <n v="0"/>
    <x v="2"/>
    <n v="11"/>
  </r>
  <r>
    <n v="38737"/>
    <n v="3203502"/>
    <x v="48"/>
    <n v="0.53600000000000003"/>
    <n v="1832488.3"/>
    <n v="0"/>
    <n v="1832488.3"/>
    <n v="13982.9"/>
    <n v="38465.019999999997"/>
    <n v="0.69299999999999995"/>
    <n v="40639.01"/>
    <n v="0"/>
    <n v="0"/>
    <x v="2"/>
    <n v="11"/>
  </r>
  <r>
    <n v="38738"/>
    <n v="3203601"/>
    <x v="49"/>
    <n v="0.27800000000000002"/>
    <n v="950432.36"/>
    <n v="0"/>
    <n v="950432.36"/>
    <n v="7252.33"/>
    <n v="24077.39"/>
    <n v="0.29799999999999999"/>
    <n v="21077.69"/>
    <n v="0"/>
    <n v="0"/>
    <x v="2"/>
    <n v="11"/>
  </r>
  <r>
    <n v="38739"/>
    <n v="3203700"/>
    <x v="50"/>
    <n v="0.55000000000000004"/>
    <n v="1880351.79"/>
    <n v="0"/>
    <n v="1880351.79"/>
    <n v="14348.13"/>
    <n v="17946.759999999998"/>
    <n v="0.67100000000000004"/>
    <n v="41700.47"/>
    <n v="0"/>
    <n v="0"/>
    <x v="2"/>
    <n v="11"/>
  </r>
  <r>
    <n v="38740"/>
    <n v="3203809"/>
    <x v="51"/>
    <n v="0.29599999999999999"/>
    <n v="1011971.16"/>
    <n v="0"/>
    <n v="1011971.16"/>
    <n v="7721.9"/>
    <n v="26400.7"/>
    <n v="0.57499999999999996"/>
    <n v="22442.44"/>
    <n v="0"/>
    <n v="0"/>
    <x v="2"/>
    <n v="11"/>
  </r>
  <r>
    <n v="38741"/>
    <n v="3203908"/>
    <x v="52"/>
    <n v="1.268"/>
    <n v="4335065.6399999997"/>
    <n v="0"/>
    <n v="4335065.6399999997"/>
    <n v="33078.949999999997"/>
    <n v="133047.21"/>
    <n v="1.4650000000000001"/>
    <n v="96138.55"/>
    <n v="0"/>
    <n v="0"/>
    <x v="2"/>
    <n v="11"/>
  </r>
  <r>
    <n v="38742"/>
    <n v="3204005"/>
    <x v="53"/>
    <n v="0.47099999999999997"/>
    <n v="1610264.91"/>
    <n v="0"/>
    <n v="1610264.91"/>
    <n v="12287.21"/>
    <n v="20901.34"/>
    <n v="0.747"/>
    <n v="35710.769999999997"/>
    <n v="0"/>
    <n v="0"/>
    <x v="2"/>
    <n v="11"/>
  </r>
  <r>
    <n v="38743"/>
    <n v="3204054"/>
    <x v="54"/>
    <n v="0.313"/>
    <n v="1070091.1200000001"/>
    <n v="0"/>
    <n v="1070091.1200000001"/>
    <n v="8165.39"/>
    <n v="60716.5"/>
    <n v="0.86199999999999999"/>
    <n v="23731.360000000001"/>
    <n v="0"/>
    <n v="0"/>
    <x v="2"/>
    <n v="11"/>
  </r>
  <r>
    <n v="38744"/>
    <n v="3204104"/>
    <x v="55"/>
    <n v="0.72599999999999998"/>
    <n v="2482064.38"/>
    <n v="0"/>
    <n v="2482064.38"/>
    <n v="18939.53"/>
    <n v="62536.94"/>
    <n v="0.875"/>
    <n v="55044.62"/>
    <n v="0"/>
    <n v="0"/>
    <x v="2"/>
    <n v="11"/>
  </r>
  <r>
    <n v="38745"/>
    <n v="3204203"/>
    <x v="56"/>
    <n v="0.14599999999999999"/>
    <n v="499147.93"/>
    <n v="0"/>
    <n v="499147.93"/>
    <n v="3808.78"/>
    <n v="79404.2"/>
    <n v="0.73399999999999999"/>
    <n v="11069.58"/>
    <n v="0"/>
    <n v="0"/>
    <x v="2"/>
    <n v="11"/>
  </r>
  <r>
    <n v="38746"/>
    <n v="3204252"/>
    <x v="57"/>
    <n v="0.221"/>
    <n v="755559.55"/>
    <n v="0"/>
    <n v="755559.55"/>
    <n v="5765.34"/>
    <n v="15752.37"/>
    <n v="0.32900000000000001"/>
    <n v="16756.009999999998"/>
    <n v="0"/>
    <n v="0"/>
    <x v="2"/>
    <n v="11"/>
  </r>
  <r>
    <n v="38747"/>
    <n v="1718402"/>
    <x v="58"/>
    <n v="0.33800000000000002"/>
    <n v="1155561.6299999999"/>
    <n v="0"/>
    <n v="1155561.6299999999"/>
    <n v="8817.58"/>
    <n v="72757.08"/>
    <n v="0.45100000000000001"/>
    <n v="25626.84"/>
    <n v="0"/>
    <n v="0"/>
    <x v="2"/>
    <n v="11"/>
  </r>
  <r>
    <n v="38748"/>
    <n v="3204351"/>
    <x v="59"/>
    <n v="0.79700000000000004"/>
    <n v="2724800.7"/>
    <n v="0"/>
    <n v="2724800.7"/>
    <n v="20791.740000000002"/>
    <n v="51685.01"/>
    <n v="0.69799999999999995"/>
    <n v="60427.78"/>
    <n v="0"/>
    <n v="0"/>
    <x v="2"/>
    <n v="11"/>
  </r>
  <r>
    <n v="38749"/>
    <n v="3204401"/>
    <x v="60"/>
    <n v="0.27500000000000002"/>
    <n v="940175.92"/>
    <n v="0"/>
    <n v="940175.92"/>
    <n v="7174.06"/>
    <n v="27744.65"/>
    <n v="0.45"/>
    <n v="20850.240000000002"/>
    <n v="0"/>
    <n v="0"/>
    <x v="2"/>
    <n v="11"/>
  </r>
  <r>
    <n v="38750"/>
    <n v="3204500"/>
    <x v="61"/>
    <n v="0.53800000000000003"/>
    <n v="1839325.95"/>
    <n v="0"/>
    <n v="1839325.95"/>
    <n v="14035.08"/>
    <n v="27668.37"/>
    <n v="0.45600000000000002"/>
    <n v="40790.639999999999"/>
    <n v="0"/>
    <n v="0"/>
    <x v="2"/>
    <n v="11"/>
  </r>
  <r>
    <n v="38751"/>
    <n v="3204559"/>
    <x v="62"/>
    <n v="2.1160000000000001"/>
    <n v="7234226.2300000004"/>
    <n v="0"/>
    <n v="7234226.2300000004"/>
    <n v="55201.15"/>
    <n v="165209.66"/>
    <n v="1.1990000000000001"/>
    <n v="160433.09"/>
    <n v="0"/>
    <n v="0"/>
    <x v="2"/>
    <n v="11"/>
  </r>
  <r>
    <n v="38752"/>
    <n v="3204609"/>
    <x v="63"/>
    <n v="0.68799999999999994"/>
    <n v="2352149.17"/>
    <n v="0"/>
    <n v="2352149.17"/>
    <n v="17948.2"/>
    <n v="51840.06"/>
    <n v="0.82899999999999996"/>
    <n v="52163.5"/>
    <n v="0"/>
    <n v="0"/>
    <x v="2"/>
    <n v="11"/>
  </r>
  <r>
    <n v="38753"/>
    <n v="3204658"/>
    <x v="64"/>
    <n v="0.42399999999999999"/>
    <n v="1449580.32"/>
    <n v="0"/>
    <n v="1449580.32"/>
    <n v="11061.1"/>
    <n v="21158.2"/>
    <n v="0.33700000000000002"/>
    <n v="32147.27"/>
    <n v="0"/>
    <n v="0"/>
    <x v="2"/>
    <n v="11"/>
  </r>
  <r>
    <n v="38754"/>
    <n v="3204708"/>
    <x v="65"/>
    <n v="0.81499999999999995"/>
    <n v="2786339.5"/>
    <n v="0"/>
    <n v="2786339.5"/>
    <n v="21261.31"/>
    <n v="81297.009999999995"/>
    <n v="1.169"/>
    <n v="61792.52"/>
    <n v="0"/>
    <n v="0"/>
    <x v="2"/>
    <n v="11"/>
  </r>
  <r>
    <n v="38755"/>
    <n v="3204807"/>
    <x v="66"/>
    <n v="0.23"/>
    <n v="786328.95"/>
    <n v="0"/>
    <n v="786328.95"/>
    <n v="6000.13"/>
    <n v="14793.15"/>
    <n v="0.436"/>
    <n v="17438.38"/>
    <n v="0"/>
    <n v="0"/>
    <x v="2"/>
    <n v="11"/>
  </r>
  <r>
    <n v="38756"/>
    <n v="3204906"/>
    <x v="67"/>
    <n v="1.8839999999999999"/>
    <n v="6441059.6600000001"/>
    <n v="0"/>
    <n v="6441059.6600000001"/>
    <n v="49148.85"/>
    <n v="356442.51"/>
    <n v="3.024"/>
    <n v="142843.07"/>
    <n v="0"/>
    <n v="0"/>
    <x v="2"/>
    <n v="11"/>
  </r>
  <r>
    <n v="38757"/>
    <n v="3204955"/>
    <x v="68"/>
    <n v="0.32600000000000001"/>
    <n v="1114535.81"/>
    <n v="0"/>
    <n v="1114535.81"/>
    <n v="8504.5300000000007"/>
    <n v="20910.25"/>
    <n v="0.46100000000000002"/>
    <n v="24717.01"/>
    <n v="0"/>
    <n v="0"/>
    <x v="2"/>
    <n v="11"/>
  </r>
  <r>
    <n v="38758"/>
    <n v="3205002"/>
    <x v="69"/>
    <n v="14.176"/>
    <n v="48465213.200000003"/>
    <n v="0"/>
    <n v="48465213.200000003"/>
    <n v="369816.41"/>
    <n v="1306995.78"/>
    <n v="8.4320000000000004"/>
    <n v="1074810.74"/>
    <n v="0"/>
    <n v="0"/>
    <x v="2"/>
    <n v="11"/>
  </r>
  <r>
    <n v="38759"/>
    <n v="3205010"/>
    <x v="70"/>
    <n v="0.72199999999999998"/>
    <n v="2468389.09"/>
    <n v="0"/>
    <n v="2468389.09"/>
    <n v="18835.18"/>
    <n v="40532.46"/>
    <n v="0.997"/>
    <n v="54741.35"/>
    <n v="0"/>
    <n v="0"/>
    <x v="2"/>
    <n v="11"/>
  </r>
  <r>
    <n v="38760"/>
    <n v="3205036"/>
    <x v="71"/>
    <n v="0.498"/>
    <n v="1702573.08"/>
    <n v="0"/>
    <n v="1702573.08"/>
    <n v="12991.58"/>
    <n v="63119.51"/>
    <n v="0.72699999999999998"/>
    <n v="37757.879999999997"/>
    <n v="0"/>
    <n v="0"/>
    <x v="2"/>
    <n v="11"/>
  </r>
  <r>
    <n v="38761"/>
    <n v="3205069"/>
    <x v="72"/>
    <n v="0.75800000000000001"/>
    <n v="2591466.67"/>
    <n v="0"/>
    <n v="2591466.67"/>
    <n v="19774.330000000002"/>
    <n v="65820.42"/>
    <n v="0.85799999999999998"/>
    <n v="57470.83"/>
    <n v="0"/>
    <n v="0"/>
    <x v="2"/>
    <n v="11"/>
  </r>
  <r>
    <n v="38762"/>
    <n v="2112803"/>
    <x v="73"/>
    <n v="2.9929999999999999"/>
    <n v="10232532.67"/>
    <n v="0"/>
    <n v="10232532.67"/>
    <n v="78079.89"/>
    <n v="147069.01"/>
    <n v="1.984"/>
    <n v="226926.39"/>
    <n v="0"/>
    <n v="0"/>
    <x v="2"/>
    <n v="11"/>
  </r>
  <r>
    <n v="38763"/>
    <n v="3205150"/>
    <x v="74"/>
    <n v="0.32800000000000001"/>
    <n v="1121373.42"/>
    <n v="0"/>
    <n v="1121373.42"/>
    <n v="8556.7000000000007"/>
    <n v="14199.99"/>
    <n v="0.34399999999999997"/>
    <n v="24868.65"/>
    <n v="0"/>
    <n v="0"/>
    <x v="2"/>
    <n v="11"/>
  </r>
  <r>
    <n v="38764"/>
    <n v="3205176"/>
    <x v="75"/>
    <n v="0.623"/>
    <n v="2129925.7999999998"/>
    <n v="0"/>
    <n v="2129925.7999999998"/>
    <n v="16252.51"/>
    <n v="38488.54"/>
    <n v="0.55600000000000005"/>
    <n v="47235.26"/>
    <n v="0"/>
    <n v="0"/>
    <x v="2"/>
    <n v="11"/>
  </r>
  <r>
    <n v="38765"/>
    <n v="3205200"/>
    <x v="76"/>
    <n v="5.3819999999999997"/>
    <n v="18400097.18"/>
    <n v="0"/>
    <n v="18400097.18"/>
    <n v="140402.93"/>
    <n v="1381485.94"/>
    <n v="8.09"/>
    <n v="408058.08"/>
    <n v="0"/>
    <n v="0"/>
    <x v="2"/>
    <n v="11"/>
  </r>
  <r>
    <n v="38766"/>
    <n v="3205309"/>
    <x v="77"/>
    <n v="14.535"/>
    <n v="49692570.219999999"/>
    <n v="0"/>
    <n v="49692570.219999999"/>
    <n v="379181.82"/>
    <n v="1398580.82"/>
    <n v="9.4969999999999999"/>
    <n v="1102029.78"/>
    <n v="0"/>
    <n v="0"/>
    <x v="2"/>
    <n v="11"/>
  </r>
  <r>
    <n v="38767"/>
    <n v="3200102"/>
    <x v="0"/>
    <n v="0.8"/>
    <n v="2725816.22"/>
    <n v="0"/>
    <n v="2725816.22"/>
    <n v="29651.94"/>
    <n v="55466.69"/>
    <n v="0.98499999999999999"/>
    <n v="58073.38"/>
    <n v="0"/>
    <n v="0"/>
    <x v="2"/>
    <n v="12"/>
  </r>
  <r>
    <n v="38768"/>
    <n v="3200169"/>
    <x v="1"/>
    <n v="0.30099999999999999"/>
    <n v="1025588.37"/>
    <n v="0"/>
    <n v="1025588.37"/>
    <n v="11156.54"/>
    <n v="21483.81"/>
    <n v="0.439"/>
    <n v="21850.11"/>
    <n v="0"/>
    <n v="0"/>
    <x v="2"/>
    <n v="12"/>
  </r>
  <r>
    <n v="38769"/>
    <n v="3200136"/>
    <x v="2"/>
    <n v="0.41599999999999998"/>
    <n v="1417424.44"/>
    <n v="0"/>
    <n v="1417424.44"/>
    <n v="15419.01"/>
    <n v="12457.54"/>
    <n v="0.34799999999999998"/>
    <n v="30198.15"/>
    <n v="0"/>
    <n v="0"/>
    <x v="2"/>
    <n v="12"/>
  </r>
  <r>
    <n v="38770"/>
    <n v="3200201"/>
    <x v="3"/>
    <n v="0.51"/>
    <n v="1737707.82"/>
    <n v="0"/>
    <n v="1737707.82"/>
    <n v="18903.11"/>
    <n v="68505.179999999993"/>
    <n v="0.98"/>
    <n v="37021.78"/>
    <n v="0"/>
    <n v="0"/>
    <x v="2"/>
    <n v="12"/>
  </r>
  <r>
    <n v="38771"/>
    <n v="3200300"/>
    <x v="4"/>
    <n v="0.49"/>
    <n v="1669562.42"/>
    <n v="0"/>
    <n v="1669562.42"/>
    <n v="18161.82"/>
    <n v="44357.71"/>
    <n v="0.56399999999999995"/>
    <n v="35569.949999999997"/>
    <n v="0"/>
    <n v="0"/>
    <x v="2"/>
    <n v="12"/>
  </r>
  <r>
    <n v="38772"/>
    <n v="3200359"/>
    <x v="5"/>
    <n v="0.23100000000000001"/>
    <n v="787079.44"/>
    <n v="0"/>
    <n v="787079.44"/>
    <n v="8562"/>
    <n v="14995.79"/>
    <n v="0.32700000000000001"/>
    <n v="16768.689999999999"/>
    <n v="0"/>
    <n v="0"/>
    <x v="2"/>
    <n v="12"/>
  </r>
  <r>
    <n v="38773"/>
    <n v="3200409"/>
    <x v="6"/>
    <n v="1.766"/>
    <n v="6017239.3099999996"/>
    <n v="0"/>
    <n v="6017239.3099999996"/>
    <n v="65456.67"/>
    <n v="98767.7"/>
    <n v="0.90800000000000003"/>
    <n v="128196.99"/>
    <n v="0"/>
    <n v="0"/>
    <x v="2"/>
    <n v="12"/>
  </r>
  <r>
    <n v="38774"/>
    <n v="3200508"/>
    <x v="7"/>
    <n v="0.185"/>
    <n v="630345.01"/>
    <n v="0"/>
    <n v="630345.01"/>
    <n v="6857.01"/>
    <n v="43917.64"/>
    <n v="0.32300000000000001"/>
    <n v="13429.47"/>
    <n v="0"/>
    <n v="0"/>
    <x v="2"/>
    <n v="12"/>
  </r>
  <r>
    <n v="38775"/>
    <n v="3200607"/>
    <x v="8"/>
    <n v="4.9909999999999997"/>
    <n v="17005685.91"/>
    <n v="0"/>
    <n v="17005685.91"/>
    <n v="184991.07"/>
    <n v="340273.34"/>
    <n v="2.5089999999999999"/>
    <n v="362305.31"/>
    <n v="0"/>
    <n v="0"/>
    <x v="2"/>
    <n v="12"/>
  </r>
  <r>
    <n v="38776"/>
    <n v="3200706"/>
    <x v="9"/>
    <n v="0.373"/>
    <n v="1270911.83"/>
    <n v="0"/>
    <n v="1270911.83"/>
    <n v="13825.22"/>
    <n v="29924.29"/>
    <n v="0.45700000000000002"/>
    <n v="27076.720000000001"/>
    <n v="0"/>
    <n v="0"/>
    <x v="2"/>
    <n v="12"/>
  </r>
  <r>
    <n v="38777"/>
    <n v="3200805"/>
    <x v="10"/>
    <n v="0.64300000000000002"/>
    <n v="2190874.7799999998"/>
    <n v="0"/>
    <n v="2190874.7799999998"/>
    <n v="23832.75"/>
    <n v="107904.52"/>
    <n v="0.996"/>
    <n v="46676.480000000003"/>
    <n v="0"/>
    <n v="0"/>
    <x v="2"/>
    <n v="12"/>
  </r>
  <r>
    <n v="38778"/>
    <n v="3200904"/>
    <x v="11"/>
    <n v="1.036"/>
    <n v="3529932.01"/>
    <n v="0"/>
    <n v="3529932.01"/>
    <n v="38399.269999999997"/>
    <n v="117989.07"/>
    <n v="1.321"/>
    <n v="75205.03"/>
    <n v="0"/>
    <n v="0"/>
    <x v="2"/>
    <n v="12"/>
  </r>
  <r>
    <n v="38779"/>
    <n v="3107109"/>
    <x v="12"/>
    <n v="0.39900000000000002"/>
    <n v="1359500.85"/>
    <n v="0"/>
    <n v="1359500.85"/>
    <n v="14788.91"/>
    <n v="35210.54"/>
    <n v="0.56899999999999995"/>
    <n v="28964.1"/>
    <n v="0"/>
    <n v="0"/>
    <x v="2"/>
    <n v="12"/>
  </r>
  <r>
    <n v="38780"/>
    <n v="3201100"/>
    <x v="13"/>
    <n v="0.17599999999999999"/>
    <n v="599679.55000000005"/>
    <n v="0"/>
    <n v="599679.55000000005"/>
    <n v="6523.43"/>
    <n v="99052.91"/>
    <n v="0.43"/>
    <n v="12776.15"/>
    <n v="0"/>
    <n v="0"/>
    <x v="2"/>
    <n v="12"/>
  </r>
  <r>
    <n v="38781"/>
    <n v="3201159"/>
    <x v="14"/>
    <n v="0.42099999999999999"/>
    <n v="1434460.79"/>
    <n v="0"/>
    <n v="1434460.79"/>
    <n v="15604.34"/>
    <n v="20557.88"/>
    <n v="0.46"/>
    <n v="30561.119999999999"/>
    <n v="0"/>
    <n v="0"/>
    <x v="2"/>
    <n v="12"/>
  </r>
  <r>
    <n v="38782"/>
    <n v="3201209"/>
    <x v="15"/>
    <n v="3.234"/>
    <n v="11019112.039999999"/>
    <n v="0"/>
    <n v="11019112.039999999"/>
    <n v="119867.98"/>
    <n v="768243.5"/>
    <n v="4.4820000000000002"/>
    <n v="234761.65"/>
    <n v="0"/>
    <n v="0"/>
    <x v="2"/>
    <n v="12"/>
  </r>
  <r>
    <n v="38783"/>
    <n v="3201308"/>
    <x v="16"/>
    <n v="7.4969999999999999"/>
    <n v="25544305.23"/>
    <n v="0"/>
    <n v="25544305.23"/>
    <n v="277875.78000000003"/>
    <n v="847364.78"/>
    <n v="6.6040000000000001"/>
    <n v="544220.18000000005"/>
    <n v="0"/>
    <n v="0"/>
    <x v="2"/>
    <n v="12"/>
  </r>
  <r>
    <n v="38784"/>
    <n v="3201407"/>
    <x v="17"/>
    <n v="0.96499999999999997"/>
    <n v="3288015.8"/>
    <n v="0"/>
    <n v="3288015.8"/>
    <n v="35767.660000000003"/>
    <n v="236458.6"/>
    <n v="1.155"/>
    <n v="70051.02"/>
    <n v="0"/>
    <n v="0"/>
    <x v="2"/>
    <n v="12"/>
  </r>
  <r>
    <n v="38785"/>
    <n v="3201506"/>
    <x v="18"/>
    <n v="2.1739999999999999"/>
    <n v="7407405.5800000001"/>
    <n v="0"/>
    <n v="7407405.5800000001"/>
    <n v="80579.16"/>
    <n v="409128.51"/>
    <n v="2.8220000000000001"/>
    <n v="157814.42000000001"/>
    <n v="0"/>
    <n v="0"/>
    <x v="2"/>
    <n v="12"/>
  </r>
  <r>
    <n v="38786"/>
    <n v="3201605"/>
    <x v="19"/>
    <n v="0.65200000000000002"/>
    <n v="2221540.21"/>
    <n v="0"/>
    <n v="2221540.21"/>
    <n v="24166.33"/>
    <n v="50010.06"/>
    <n v="0.999"/>
    <n v="47329.81"/>
    <n v="0"/>
    <n v="0"/>
    <x v="2"/>
    <n v="12"/>
  </r>
  <r>
    <n v="38787"/>
    <n v="3201704"/>
    <x v="20"/>
    <n v="0.47499999999999998"/>
    <n v="1618453.38"/>
    <n v="0"/>
    <n v="1618453.38"/>
    <n v="17605.84"/>
    <n v="29483.62"/>
    <n v="0.46500000000000002"/>
    <n v="34481.07"/>
    <n v="0"/>
    <n v="0"/>
    <x v="2"/>
    <n v="12"/>
  </r>
  <r>
    <n v="38788"/>
    <n v="3201803"/>
    <x v="21"/>
    <n v="0.186"/>
    <n v="633752.26"/>
    <n v="0"/>
    <n v="633752.26"/>
    <n v="6894.08"/>
    <n v="7653.72"/>
    <n v="0.28299999999999997"/>
    <n v="13502.06"/>
    <n v="0"/>
    <n v="0"/>
    <x v="2"/>
    <n v="12"/>
  </r>
  <r>
    <n v="38789"/>
    <n v="3201902"/>
    <x v="22"/>
    <n v="1.3140000000000001"/>
    <n v="4477153.12"/>
    <n v="0"/>
    <n v="4477153.12"/>
    <n v="48703.32"/>
    <n v="80090.429999999993"/>
    <n v="1.0309999999999999"/>
    <n v="95385.53"/>
    <n v="0"/>
    <n v="0"/>
    <x v="2"/>
    <n v="12"/>
  </r>
  <r>
    <n v="38790"/>
    <n v="3202009"/>
    <x v="23"/>
    <n v="0.26"/>
    <n v="885890.28"/>
    <n v="0"/>
    <n v="885890.28"/>
    <n v="9636.8799999999992"/>
    <n v="17736.560000000001"/>
    <n v="0.314"/>
    <n v="18873.849999999999"/>
    <n v="0"/>
    <n v="0"/>
    <x v="2"/>
    <n v="12"/>
  </r>
  <r>
    <n v="38791"/>
    <n v="3202108"/>
    <x v="24"/>
    <n v="0.69899999999999995"/>
    <n v="2381681.9300000002"/>
    <n v="0"/>
    <n v="2381681.9300000002"/>
    <n v="25908.39"/>
    <n v="36837.599999999999"/>
    <n v="0.81599999999999995"/>
    <n v="50741.62"/>
    <n v="0"/>
    <n v="0"/>
    <x v="2"/>
    <n v="12"/>
  </r>
  <r>
    <n v="38792"/>
    <n v="3202207"/>
    <x v="25"/>
    <n v="0.313"/>
    <n v="1066475.6000000001"/>
    <n v="0"/>
    <n v="1066475.6000000001"/>
    <n v="11601.32"/>
    <n v="33449.160000000003"/>
    <n v="0.73399999999999999"/>
    <n v="22721.21"/>
    <n v="0"/>
    <n v="0"/>
    <x v="2"/>
    <n v="12"/>
  </r>
  <r>
    <n v="38793"/>
    <n v="3202256"/>
    <x v="26"/>
    <n v="0.43"/>
    <n v="1465126.22"/>
    <n v="0"/>
    <n v="1465126.22"/>
    <n v="15937.92"/>
    <n v="21885.05"/>
    <n v="0.46700000000000003"/>
    <n v="31214.45"/>
    <n v="0"/>
    <n v="0"/>
    <x v="2"/>
    <n v="12"/>
  </r>
  <r>
    <n v="38794"/>
    <n v="3202306"/>
    <x v="27"/>
    <n v="0.378"/>
    <n v="1287948.17"/>
    <n v="0"/>
    <n v="1287948.17"/>
    <n v="14010.54"/>
    <n v="88096.93"/>
    <n v="0.998"/>
    <n v="27439.67"/>
    <n v="0"/>
    <n v="0"/>
    <x v="2"/>
    <n v="12"/>
  </r>
  <r>
    <n v="38795"/>
    <n v="3202405"/>
    <x v="28"/>
    <n v="0.90900000000000003"/>
    <n v="3097208.67"/>
    <n v="0"/>
    <n v="3097208.67"/>
    <n v="33692.019999999997"/>
    <n v="663899.86"/>
    <n v="2.8730000000000002"/>
    <n v="65985.88"/>
    <n v="0"/>
    <n v="0"/>
    <x v="2"/>
    <n v="12"/>
  </r>
  <r>
    <n v="38796"/>
    <n v="3202454"/>
    <x v="29"/>
    <n v="0.35099999999999998"/>
    <n v="1195951.8700000001"/>
    <n v="0"/>
    <n v="1195951.8700000001"/>
    <n v="13009.79"/>
    <n v="60304.31"/>
    <n v="0.86499999999999999"/>
    <n v="25479.7"/>
    <n v="0"/>
    <n v="0"/>
    <x v="2"/>
    <n v="12"/>
  </r>
  <r>
    <n v="38797"/>
    <n v="3202504"/>
    <x v="30"/>
    <n v="0.26700000000000002"/>
    <n v="909741.18"/>
    <n v="0"/>
    <n v="909741.18"/>
    <n v="9896.34"/>
    <n v="52811.45"/>
    <n v="0.46300000000000002"/>
    <n v="19381.990000000002"/>
    <n v="0"/>
    <n v="0"/>
    <x v="2"/>
    <n v="12"/>
  </r>
  <r>
    <n v="38798"/>
    <n v="3202553"/>
    <x v="31"/>
    <n v="0.248"/>
    <n v="845003.03"/>
    <n v="0"/>
    <n v="845003.03"/>
    <n v="9192.1"/>
    <n v="16582.060000000001"/>
    <n v="0.33800000000000002"/>
    <n v="18002.75"/>
    <n v="0"/>
    <n v="0"/>
    <x v="2"/>
    <n v="12"/>
  </r>
  <r>
    <n v="38799"/>
    <n v="3202603"/>
    <x v="32"/>
    <n v="0.34399999999999997"/>
    <n v="1172100.99"/>
    <n v="0"/>
    <n v="1172100.99"/>
    <n v="12750.34"/>
    <n v="45043.42"/>
    <n v="0.55600000000000005"/>
    <n v="24971.55"/>
    <n v="0"/>
    <n v="0"/>
    <x v="2"/>
    <n v="12"/>
  </r>
  <r>
    <n v="38800"/>
    <n v="3202652"/>
    <x v="33"/>
    <n v="0.308"/>
    <n v="1049439.24"/>
    <n v="0"/>
    <n v="1049439.24"/>
    <n v="11416"/>
    <n v="39754.58"/>
    <n v="0.55100000000000005"/>
    <n v="22358.25"/>
    <n v="0"/>
    <n v="0"/>
    <x v="2"/>
    <n v="12"/>
  </r>
  <r>
    <n v="38801"/>
    <n v="3202702"/>
    <x v="34"/>
    <n v="0.35499999999999998"/>
    <n v="1209580.94"/>
    <n v="0"/>
    <n v="1209580.94"/>
    <n v="13158.05"/>
    <n v="24876.14"/>
    <n v="0.55500000000000005"/>
    <n v="25770.06"/>
    <n v="0"/>
    <n v="0"/>
    <x v="2"/>
    <n v="12"/>
  </r>
  <r>
    <n v="38802"/>
    <n v="3202801"/>
    <x v="35"/>
    <n v="2.262"/>
    <n v="7707245.3600000003"/>
    <n v="0"/>
    <n v="7707245.3600000003"/>
    <n v="83840.87"/>
    <n v="124468.76"/>
    <n v="1.042"/>
    <n v="164202.49"/>
    <n v="0"/>
    <n v="0"/>
    <x v="2"/>
    <n v="12"/>
  </r>
  <r>
    <n v="38803"/>
    <n v="3202900"/>
    <x v="36"/>
    <n v="0.34599999999999997"/>
    <n v="1178915.49"/>
    <n v="0"/>
    <n v="1178915.49"/>
    <n v="12824.47"/>
    <n v="34148.19"/>
    <n v="0.435"/>
    <n v="25116.74"/>
    <n v="0"/>
    <n v="0"/>
    <x v="2"/>
    <n v="12"/>
  </r>
  <r>
    <n v="38804"/>
    <n v="3203007"/>
    <x v="37"/>
    <n v="0.438"/>
    <n v="1492384.37"/>
    <n v="0"/>
    <n v="1492384.37"/>
    <n v="16234.44"/>
    <n v="62435.88"/>
    <n v="0.89700000000000002"/>
    <n v="31795.17"/>
    <n v="0"/>
    <n v="0"/>
    <x v="2"/>
    <n v="12"/>
  </r>
  <r>
    <n v="38805"/>
    <n v="3203056"/>
    <x v="38"/>
    <n v="0.8"/>
    <n v="2725816.22"/>
    <n v="0"/>
    <n v="2725816.22"/>
    <n v="29651.94"/>
    <n v="69180.570000000007"/>
    <n v="1"/>
    <n v="58073.38"/>
    <n v="0"/>
    <n v="0"/>
    <x v="2"/>
    <n v="12"/>
  </r>
  <r>
    <n v="38806"/>
    <n v="3203106"/>
    <x v="39"/>
    <n v="0.21199999999999999"/>
    <n v="722341.31"/>
    <n v="0"/>
    <n v="722341.31"/>
    <n v="7857.77"/>
    <n v="19500.89"/>
    <n v="0.45800000000000002"/>
    <n v="15389.45"/>
    <n v="0"/>
    <n v="0"/>
    <x v="2"/>
    <n v="12"/>
  </r>
  <r>
    <n v="38807"/>
    <n v="3203130"/>
    <x v="40"/>
    <n v="0.38600000000000001"/>
    <n v="1315206.31"/>
    <n v="0"/>
    <n v="1315206.31"/>
    <n v="14307.06"/>
    <n v="35991.800000000003"/>
    <n v="0.66600000000000004"/>
    <n v="28020.41"/>
    <n v="0"/>
    <n v="0"/>
    <x v="2"/>
    <n v="12"/>
  </r>
  <r>
    <n v="38808"/>
    <n v="3203163"/>
    <x v="41"/>
    <n v="0.372"/>
    <n v="1267504.52"/>
    <n v="0"/>
    <n v="1267504.52"/>
    <n v="13788.15"/>
    <n v="11439.8"/>
    <n v="0.441"/>
    <n v="27004.12"/>
    <n v="0"/>
    <n v="0"/>
    <x v="2"/>
    <n v="12"/>
  </r>
  <r>
    <n v="38809"/>
    <n v="3203205"/>
    <x v="42"/>
    <n v="5.4"/>
    <n v="18399259.48"/>
    <n v="0"/>
    <n v="18399259.48"/>
    <n v="200150.62"/>
    <n v="516697.97"/>
    <n v="4.0880000000000001"/>
    <n v="391995.33"/>
    <n v="0"/>
    <n v="0"/>
    <x v="2"/>
    <n v="12"/>
  </r>
  <r>
    <n v="38810"/>
    <n v="3203304"/>
    <x v="43"/>
    <n v="0.216"/>
    <n v="735970.41"/>
    <n v="0"/>
    <n v="735970.41"/>
    <n v="8006.02"/>
    <n v="25953.49"/>
    <n v="0.57599999999999996"/>
    <n v="15679.81"/>
    <n v="0"/>
    <n v="0"/>
    <x v="2"/>
    <n v="12"/>
  </r>
  <r>
    <n v="38811"/>
    <n v="3203320"/>
    <x v="44"/>
    <n v="0.60899999999999999"/>
    <n v="2075027.58"/>
    <n v="0"/>
    <n v="2075027.58"/>
    <n v="22572.54"/>
    <n v="168287.29"/>
    <n v="1.171"/>
    <n v="44208.36"/>
    <n v="0"/>
    <n v="0"/>
    <x v="2"/>
    <n v="12"/>
  </r>
  <r>
    <n v="38812"/>
    <n v="3203346"/>
    <x v="45"/>
    <n v="0.64500000000000002"/>
    <n v="2197689.35"/>
    <n v="0"/>
    <n v="2197689.35"/>
    <n v="23906.880000000001"/>
    <n v="34405.730000000003"/>
    <n v="0.67100000000000004"/>
    <n v="46821.66"/>
    <n v="0"/>
    <n v="0"/>
    <x v="2"/>
    <n v="12"/>
  </r>
  <r>
    <n v="38813"/>
    <n v="3203353"/>
    <x v="46"/>
    <n v="0.45200000000000001"/>
    <n v="1540086.16"/>
    <n v="0"/>
    <n v="1540086.16"/>
    <n v="16753.349999999999"/>
    <n v="25166.02"/>
    <n v="0.46700000000000003"/>
    <n v="32811.46"/>
    <n v="0"/>
    <n v="0"/>
    <x v="2"/>
    <n v="12"/>
  </r>
  <r>
    <n v="38814"/>
    <n v="3203403"/>
    <x v="47"/>
    <n v="0.51400000000000001"/>
    <n v="1751336.9"/>
    <n v="0"/>
    <n v="1751336.9"/>
    <n v="19051.37"/>
    <n v="74691.820000000007"/>
    <n v="0.85599999999999998"/>
    <n v="37312.15"/>
    <n v="0"/>
    <n v="0"/>
    <x v="2"/>
    <n v="12"/>
  </r>
  <r>
    <n v="38815"/>
    <n v="3203502"/>
    <x v="48"/>
    <n v="0.53600000000000003"/>
    <n v="1826296.87"/>
    <n v="0"/>
    <n v="1826296.87"/>
    <n v="19866.8"/>
    <n v="51046.96"/>
    <n v="0.69299999999999995"/>
    <n v="38909.160000000003"/>
    <n v="0"/>
    <n v="0"/>
    <x v="2"/>
    <n v="12"/>
  </r>
  <r>
    <n v="38816"/>
    <n v="3203601"/>
    <x v="49"/>
    <n v="0.27800000000000002"/>
    <n v="947221.16"/>
    <n v="0"/>
    <n v="947221.16"/>
    <n v="10304.049999999999"/>
    <n v="9820.6299999999992"/>
    <n v="0.29799999999999999"/>
    <n v="20180.5"/>
    <n v="0"/>
    <n v="0"/>
    <x v="2"/>
    <n v="12"/>
  </r>
  <r>
    <n v="38817"/>
    <n v="3203700"/>
    <x v="50"/>
    <n v="0.55000000000000004"/>
    <n v="1873998.65"/>
    <n v="0"/>
    <n v="1873998.65"/>
    <n v="20385.71"/>
    <n v="34369.53"/>
    <n v="0.67100000000000004"/>
    <n v="39925.449999999997"/>
    <n v="0"/>
    <n v="0"/>
    <x v="2"/>
    <n v="12"/>
  </r>
  <r>
    <n v="38818"/>
    <n v="3203809"/>
    <x v="51"/>
    <n v="0.29599999999999999"/>
    <n v="1008551.98"/>
    <n v="0"/>
    <n v="1008551.98"/>
    <n v="10971.22"/>
    <n v="31701.47"/>
    <n v="0.57499999999999996"/>
    <n v="21487.15"/>
    <n v="0"/>
    <n v="0"/>
    <x v="2"/>
    <n v="12"/>
  </r>
  <r>
    <n v="38819"/>
    <n v="3203908"/>
    <x v="52"/>
    <n v="1.268"/>
    <n v="4320418.6900000004"/>
    <n v="0"/>
    <n v="4320418.6900000004"/>
    <n v="46998.33"/>
    <n v="139824.68"/>
    <n v="1.4650000000000001"/>
    <n v="92046.31"/>
    <n v="0"/>
    <n v="0"/>
    <x v="2"/>
    <n v="12"/>
  </r>
  <r>
    <n v="38820"/>
    <n v="3204005"/>
    <x v="53"/>
    <n v="0.47099999999999997"/>
    <n v="1604824.31"/>
    <n v="0"/>
    <n v="1604824.31"/>
    <n v="17457.580000000002"/>
    <n v="32388.05"/>
    <n v="0.747"/>
    <n v="34190.699999999997"/>
    <n v="0"/>
    <n v="0"/>
    <x v="2"/>
    <n v="12"/>
  </r>
  <r>
    <n v="38821"/>
    <n v="3204054"/>
    <x v="54"/>
    <n v="0.313"/>
    <n v="1066475.6000000001"/>
    <n v="0"/>
    <n v="1066475.6000000001"/>
    <n v="11601.32"/>
    <n v="60062.239999999998"/>
    <n v="0.86199999999999999"/>
    <n v="22721.21"/>
    <n v="0"/>
    <n v="0"/>
    <x v="2"/>
    <n v="12"/>
  </r>
  <r>
    <n v="38822"/>
    <n v="3204104"/>
    <x v="55"/>
    <n v="0.72599999999999998"/>
    <n v="2473678.21"/>
    <n v="0"/>
    <n v="2473678.21"/>
    <n v="26909.14"/>
    <n v="63633.02"/>
    <n v="0.875"/>
    <n v="52701.59"/>
    <n v="0"/>
    <n v="0"/>
    <x v="2"/>
    <n v="12"/>
  </r>
  <r>
    <n v="38823"/>
    <n v="3204203"/>
    <x v="56"/>
    <n v="0.14599999999999999"/>
    <n v="497461.46"/>
    <n v="0"/>
    <n v="497461.46"/>
    <n v="5411.48"/>
    <n v="93494.89"/>
    <n v="0.73399999999999999"/>
    <n v="10598.39"/>
    <n v="0"/>
    <n v="0"/>
    <x v="2"/>
    <n v="12"/>
  </r>
  <r>
    <n v="38824"/>
    <n v="3204252"/>
    <x v="57"/>
    <n v="0.221"/>
    <n v="753006.74"/>
    <n v="0"/>
    <n v="753006.74"/>
    <n v="8191.35"/>
    <n v="16446.59"/>
    <n v="0.32900000000000001"/>
    <n v="16042.77"/>
    <n v="0"/>
    <n v="0"/>
    <x v="2"/>
    <n v="12"/>
  </r>
  <r>
    <n v="38825"/>
    <n v="1718402"/>
    <x v="58"/>
    <n v="0.33800000000000002"/>
    <n v="1151657.3400000001"/>
    <n v="0"/>
    <n v="1151657.3400000001"/>
    <n v="12527.95"/>
    <n v="89085.28"/>
    <n v="0.45100000000000001"/>
    <n v="24536"/>
    <n v="0"/>
    <n v="0"/>
    <x v="2"/>
    <n v="12"/>
  </r>
  <r>
    <n v="38826"/>
    <n v="3204351"/>
    <x v="59"/>
    <n v="0.79700000000000004"/>
    <n v="2715594.4"/>
    <n v="0"/>
    <n v="2715594.4"/>
    <n v="29540.75"/>
    <n v="37332"/>
    <n v="0.69799999999999995"/>
    <n v="57855.61"/>
    <n v="0"/>
    <n v="0"/>
    <x v="2"/>
    <n v="12"/>
  </r>
  <r>
    <n v="38827"/>
    <n v="3204401"/>
    <x v="60"/>
    <n v="0.27500000000000002"/>
    <n v="936999.34"/>
    <n v="0"/>
    <n v="936999.34"/>
    <n v="10192.86"/>
    <n v="31430.43"/>
    <n v="0.45"/>
    <n v="19962.73"/>
    <n v="0"/>
    <n v="0"/>
    <x v="2"/>
    <n v="12"/>
  </r>
  <r>
    <n v="38828"/>
    <n v="3204500"/>
    <x v="61"/>
    <n v="0.53800000000000003"/>
    <n v="1833111.41"/>
    <n v="0"/>
    <n v="1833111.41"/>
    <n v="19940.93"/>
    <n v="22201.09"/>
    <n v="0.45600000000000002"/>
    <n v="39054.35"/>
    <n v="0"/>
    <n v="0"/>
    <x v="2"/>
    <n v="12"/>
  </r>
  <r>
    <n v="38829"/>
    <n v="3204559"/>
    <x v="62"/>
    <n v="2.1160000000000001"/>
    <n v="7209783.8799999999"/>
    <n v="0"/>
    <n v="7209783.8799999999"/>
    <n v="78429.39"/>
    <n v="165695.17000000001"/>
    <n v="1.1990000000000001"/>
    <n v="153604.09"/>
    <n v="0"/>
    <n v="0"/>
    <x v="2"/>
    <n v="12"/>
  </r>
  <r>
    <n v="38830"/>
    <n v="3204609"/>
    <x v="63"/>
    <n v="0.68799999999999994"/>
    <n v="2344201.9500000002"/>
    <n v="0"/>
    <n v="2344201.9500000002"/>
    <n v="25500.67"/>
    <n v="53382.23"/>
    <n v="0.82899999999999996"/>
    <n v="49943.11"/>
    <n v="0"/>
    <n v="0"/>
    <x v="2"/>
    <n v="12"/>
  </r>
  <r>
    <n v="38831"/>
    <n v="3204658"/>
    <x v="64"/>
    <n v="0.42399999999999999"/>
    <n v="1444682.59"/>
    <n v="0"/>
    <n v="1444682.59"/>
    <n v="15715.53"/>
    <n v="20026.88"/>
    <n v="0.33700000000000002"/>
    <n v="30778.89"/>
    <n v="0"/>
    <n v="0"/>
    <x v="2"/>
    <n v="12"/>
  </r>
  <r>
    <n v="38832"/>
    <n v="3204708"/>
    <x v="65"/>
    <n v="0.81499999999999995"/>
    <n v="2776925.26"/>
    <n v="0"/>
    <n v="2776925.26"/>
    <n v="30207.919999999998"/>
    <n v="87902.64"/>
    <n v="1.169"/>
    <n v="59162.25"/>
    <n v="0"/>
    <n v="0"/>
    <x v="2"/>
    <n v="12"/>
  </r>
  <r>
    <n v="38833"/>
    <n v="3204807"/>
    <x v="66"/>
    <n v="0.23"/>
    <n v="783672.16"/>
    <n v="0"/>
    <n v="783672.16"/>
    <n v="8524.93"/>
    <n v="26539.32"/>
    <n v="0.436"/>
    <n v="16696.099999999999"/>
    <n v="0"/>
    <n v="0"/>
    <x v="2"/>
    <n v="12"/>
  </r>
  <r>
    <n v="38834"/>
    <n v="3204906"/>
    <x v="67"/>
    <n v="1.8839999999999999"/>
    <n v="6419297.1799999997"/>
    <n v="0"/>
    <n v="6419297.1799999997"/>
    <n v="69830.33"/>
    <n v="404330.41"/>
    <n v="3.024"/>
    <n v="136762.82"/>
    <n v="0"/>
    <n v="0"/>
    <x v="2"/>
    <n v="12"/>
  </r>
  <r>
    <n v="38835"/>
    <n v="3204955"/>
    <x v="68"/>
    <n v="0.32600000000000001"/>
    <n v="1110770.1200000001"/>
    <n v="0"/>
    <n v="1110770.1200000001"/>
    <n v="12083.17"/>
    <n v="24252.51"/>
    <n v="0.46100000000000002"/>
    <n v="23664.9"/>
    <n v="0"/>
    <n v="0"/>
    <x v="2"/>
    <n v="12"/>
  </r>
  <r>
    <n v="38836"/>
    <n v="3205002"/>
    <x v="69"/>
    <n v="14.176"/>
    <n v="48301463.369999997"/>
    <n v="0"/>
    <n v="48301463.369999997"/>
    <n v="525432.44999999995"/>
    <n v="1401303.89"/>
    <n v="8.4320000000000004"/>
    <n v="1029060.33"/>
    <n v="0"/>
    <n v="0"/>
    <x v="2"/>
    <n v="12"/>
  </r>
  <r>
    <n v="38837"/>
    <n v="3205010"/>
    <x v="70"/>
    <n v="0.72199999999999998"/>
    <n v="2460049.13"/>
    <n v="0"/>
    <n v="2460049.13"/>
    <n v="26760.880000000001"/>
    <n v="48952.66"/>
    <n v="0.997"/>
    <n v="52411.23"/>
    <n v="0"/>
    <n v="0"/>
    <x v="2"/>
    <n v="12"/>
  </r>
  <r>
    <n v="38838"/>
    <n v="3205036"/>
    <x v="71"/>
    <n v="0.498"/>
    <n v="1696820.6"/>
    <n v="0"/>
    <n v="1696820.6"/>
    <n v="18458.34"/>
    <n v="68903.77"/>
    <n v="0.72699999999999998"/>
    <n v="36150.68"/>
    <n v="0"/>
    <n v="0"/>
    <x v="2"/>
    <n v="12"/>
  </r>
  <r>
    <n v="38839"/>
    <n v="3205069"/>
    <x v="72"/>
    <n v="0.75800000000000001"/>
    <n v="2582710.86"/>
    <n v="0"/>
    <n v="2582710.86"/>
    <n v="28095.22"/>
    <n v="55622.34"/>
    <n v="0.85799999999999998"/>
    <n v="55024.53"/>
    <n v="0"/>
    <n v="0"/>
    <x v="2"/>
    <n v="12"/>
  </r>
  <r>
    <n v="38840"/>
    <n v="2112803"/>
    <x v="73"/>
    <n v="2.9929999999999999"/>
    <n v="10197959.939999999"/>
    <n v="0"/>
    <n v="10197959.939999999"/>
    <n v="110935.34"/>
    <n v="146791.20000000001"/>
    <n v="1.984"/>
    <n v="217267.04"/>
    <n v="0"/>
    <n v="0"/>
    <x v="2"/>
    <n v="12"/>
  </r>
  <r>
    <n v="38841"/>
    <n v="3205150"/>
    <x v="74"/>
    <n v="0.32800000000000001"/>
    <n v="1117584.6399999999"/>
    <n v="0"/>
    <n v="1117584.6399999999"/>
    <n v="12157.3"/>
    <n v="16493.96"/>
    <n v="0.34399999999999997"/>
    <n v="23810.09"/>
    <n v="0"/>
    <n v="0"/>
    <x v="2"/>
    <n v="12"/>
  </r>
  <r>
    <n v="38842"/>
    <n v="3205176"/>
    <x v="75"/>
    <n v="0.623"/>
    <n v="2122729.4"/>
    <n v="0"/>
    <n v="2122729.4"/>
    <n v="23091.45"/>
    <n v="25857.94"/>
    <n v="0.55600000000000005"/>
    <n v="45224.65"/>
    <n v="0"/>
    <n v="0"/>
    <x v="2"/>
    <n v="12"/>
  </r>
  <r>
    <n v="38843"/>
    <n v="3205200"/>
    <x v="76"/>
    <n v="5.3819999999999997"/>
    <n v="18337928.609999999"/>
    <n v="0"/>
    <n v="18337928.609999999"/>
    <n v="199483.45"/>
    <n v="1581658.46"/>
    <n v="8.09"/>
    <n v="390688.67"/>
    <n v="0"/>
    <n v="0"/>
    <x v="2"/>
    <n v="12"/>
  </r>
  <r>
    <n v="38844"/>
    <n v="3205309"/>
    <x v="77"/>
    <n v="14.535"/>
    <n v="49524673.329999998"/>
    <n v="0"/>
    <n v="49524673.329999998"/>
    <n v="538738.76"/>
    <n v="1493463.66"/>
    <n v="9.4969999999999999"/>
    <n v="1055120.75"/>
    <n v="0"/>
    <n v="0"/>
    <x v="2"/>
    <n v="12"/>
  </r>
  <r>
    <n v="36193"/>
    <n v="3200102"/>
    <x v="0"/>
    <n v="0.76100000000000001"/>
    <n v="2390864.64"/>
    <n v="0"/>
    <n v="2390864.64"/>
    <n v="22863.27"/>
    <n v="97022.35"/>
    <n v="0.76100000000000001"/>
    <n v="42923.11"/>
    <n v="0"/>
    <n v="0"/>
    <x v="3"/>
    <n v="2"/>
  </r>
  <r>
    <n v="36194"/>
    <n v="3200169"/>
    <x v="1"/>
    <n v="0.28899999999999998"/>
    <n v="907963.05"/>
    <n v="0"/>
    <n v="907963.05"/>
    <n v="8682.6299999999992"/>
    <n v="35813.56"/>
    <n v="0.28899999999999998"/>
    <n v="16300.62"/>
    <n v="0"/>
    <n v="0"/>
    <x v="3"/>
    <n v="2"/>
  </r>
  <r>
    <n v="36195"/>
    <n v="3200136"/>
    <x v="2"/>
    <n v="0.40400000000000003"/>
    <n v="1269263.22"/>
    <n v="0"/>
    <n v="1269263.22"/>
    <n v="12137.66"/>
    <n v="48892.44"/>
    <n v="0.40400000000000003"/>
    <n v="22787.040000000001"/>
    <n v="0"/>
    <n v="0"/>
    <x v="3"/>
    <n v="2"/>
  </r>
  <r>
    <n v="36196"/>
    <n v="3200201"/>
    <x v="3"/>
    <n v="0.498"/>
    <n v="1564586.84"/>
    <n v="0"/>
    <n v="1564586.84"/>
    <n v="14961.77"/>
    <n v="77996.7"/>
    <n v="0.498"/>
    <n v="28088.97"/>
    <n v="0"/>
    <n v="0"/>
    <x v="3"/>
    <n v="2"/>
  </r>
  <r>
    <n v="36197"/>
    <n v="3200300"/>
    <x v="4"/>
    <n v="0.46700000000000003"/>
    <n v="1467192.89"/>
    <n v="0"/>
    <n v="1467192.89"/>
    <n v="14030.42"/>
    <n v="124294.44"/>
    <n v="0.46700000000000003"/>
    <n v="26340.46"/>
    <n v="0"/>
    <n v="0"/>
    <x v="3"/>
    <n v="2"/>
  </r>
  <r>
    <n v="36198"/>
    <n v="3200359"/>
    <x v="5"/>
    <n v="0.22600000000000001"/>
    <n v="710033.37"/>
    <n v="0"/>
    <n v="710033.37"/>
    <n v="6789.88"/>
    <n v="20000.98"/>
    <n v="0.22600000000000001"/>
    <n v="12747.2"/>
    <n v="0"/>
    <n v="0"/>
    <x v="3"/>
    <n v="2"/>
  </r>
  <r>
    <n v="36199"/>
    <n v="3200409"/>
    <x v="6"/>
    <n v="3.1480000000000001"/>
    <n v="9890199.5600000005"/>
    <n v="0"/>
    <n v="9890199.5600000005"/>
    <n v="94577.62"/>
    <n v="157294.82"/>
    <n v="3.1480000000000001"/>
    <n v="177558.38"/>
    <n v="0"/>
    <n v="0"/>
    <x v="3"/>
    <n v="2"/>
  </r>
  <r>
    <n v="36200"/>
    <n v="3200508"/>
    <x v="7"/>
    <n v="0.185"/>
    <n v="581222.03"/>
    <n v="0"/>
    <n v="581222.03"/>
    <n v="5558.09"/>
    <n v="53923.67"/>
    <n v="0.185"/>
    <n v="10434.65"/>
    <n v="0"/>
    <n v="0"/>
    <x v="3"/>
    <n v="2"/>
  </r>
  <r>
    <n v="36201"/>
    <n v="3200607"/>
    <x v="8"/>
    <n v="2.9220000000000002"/>
    <n v="9180166.1699999999"/>
    <n v="0"/>
    <n v="9180166.1699999999"/>
    <n v="87787.74"/>
    <n v="519858.4"/>
    <n v="2.9220000000000002"/>
    <n v="164811.17000000001"/>
    <n v="0"/>
    <n v="0"/>
    <x v="3"/>
    <n v="2"/>
  </r>
  <r>
    <n v="36202"/>
    <n v="3200706"/>
    <x v="9"/>
    <n v="0.35399999999999998"/>
    <n v="1112176.18"/>
    <n v="0"/>
    <n v="1112176.18"/>
    <n v="10635.48"/>
    <n v="33990.33"/>
    <n v="0.35399999999999998"/>
    <n v="19966.849999999999"/>
    <n v="0"/>
    <n v="0"/>
    <x v="3"/>
    <n v="2"/>
  </r>
  <r>
    <n v="36203"/>
    <n v="3200805"/>
    <x v="10"/>
    <n v="0.60699999999999998"/>
    <n v="1907036.57"/>
    <n v="0"/>
    <n v="1907036.57"/>
    <n v="18236.54"/>
    <n v="248069.85"/>
    <n v="0.60699999999999998"/>
    <n v="34236.949999999997"/>
    <n v="0"/>
    <n v="0"/>
    <x v="3"/>
    <n v="2"/>
  </r>
  <r>
    <n v="36204"/>
    <n v="3200904"/>
    <x v="11"/>
    <n v="1.0289999999999999"/>
    <n v="3232851.11"/>
    <n v="0"/>
    <n v="3232851.11"/>
    <n v="30914.98"/>
    <n v="241021.72"/>
    <n v="1.0289999999999999"/>
    <n v="58039.25"/>
    <n v="0"/>
    <n v="0"/>
    <x v="3"/>
    <n v="2"/>
  </r>
  <r>
    <n v="36205"/>
    <n v="3107109"/>
    <x v="12"/>
    <n v="0.39500000000000002"/>
    <n v="1240987.56"/>
    <n v="0"/>
    <n v="1240987.56"/>
    <n v="11867.27"/>
    <n v="40782.58"/>
    <n v="0.39500000000000002"/>
    <n v="22279.4"/>
    <n v="0"/>
    <n v="0"/>
    <x v="3"/>
    <n v="2"/>
  </r>
  <r>
    <n v="36206"/>
    <n v="3201100"/>
    <x v="13"/>
    <n v="0.17599999999999999"/>
    <n v="552946.35"/>
    <n v="0"/>
    <n v="552946.35"/>
    <n v="5287.69"/>
    <n v="177249.27"/>
    <n v="0.17599999999999999"/>
    <n v="9927.0300000000007"/>
    <n v="0"/>
    <n v="0"/>
    <x v="3"/>
    <n v="2"/>
  </r>
  <r>
    <n v="36207"/>
    <n v="3201159"/>
    <x v="14"/>
    <n v="0.42099999999999999"/>
    <n v="1322672.81"/>
    <n v="0"/>
    <n v="1322672.81"/>
    <n v="12648.4"/>
    <n v="34497.81"/>
    <n v="0.42099999999999999"/>
    <n v="23745.9"/>
    <n v="0"/>
    <n v="0"/>
    <x v="3"/>
    <n v="2"/>
  </r>
  <r>
    <n v="36208"/>
    <n v="3201209"/>
    <x v="15"/>
    <n v="3.1120000000000001"/>
    <n v="9777096.8900000006"/>
    <n v="0"/>
    <n v="9777096.8900000006"/>
    <n v="93496.04"/>
    <n v="1126288.02"/>
    <n v="3.1120000000000001"/>
    <n v="175527.85"/>
    <n v="0"/>
    <n v="0"/>
    <x v="3"/>
    <n v="2"/>
  </r>
  <r>
    <n v="36209"/>
    <n v="3201308"/>
    <x v="16"/>
    <n v="7.2990000000000004"/>
    <n v="22931564.969999999"/>
    <n v="0"/>
    <n v="22931564.969999999"/>
    <n v="219289.08"/>
    <n v="3189517.75"/>
    <n v="7.2990000000000004"/>
    <n v="411689.52"/>
    <n v="0"/>
    <n v="0"/>
    <x v="3"/>
    <n v="2"/>
  </r>
  <r>
    <n v="36210"/>
    <n v="3201407"/>
    <x v="17"/>
    <n v="0.89900000000000002"/>
    <n v="2824424.84"/>
    <n v="0"/>
    <n v="2824424.84"/>
    <n v="27009.3"/>
    <n v="318450.45"/>
    <n v="0.89900000000000002"/>
    <n v="50706.79"/>
    <n v="0"/>
    <n v="0"/>
    <x v="3"/>
    <n v="2"/>
  </r>
  <r>
    <n v="36211"/>
    <n v="3201506"/>
    <x v="18"/>
    <n v="2.2320000000000002"/>
    <n v="7012365.1200000001"/>
    <n v="0"/>
    <n v="7012365.1200000001"/>
    <n v="67057.570000000007"/>
    <n v="625763.02"/>
    <n v="2.2320000000000002"/>
    <n v="125892.73"/>
    <n v="0"/>
    <n v="0"/>
    <x v="3"/>
    <n v="2"/>
  </r>
  <r>
    <n v="36212"/>
    <n v="3201605"/>
    <x v="19"/>
    <n v="0.79400000000000004"/>
    <n v="2494542.0699999998"/>
    <n v="0"/>
    <n v="2494542.0699999998"/>
    <n v="23854.71"/>
    <n v="84328.28"/>
    <n v="0.79400000000000004"/>
    <n v="44784.42"/>
    <n v="0"/>
    <n v="0"/>
    <x v="3"/>
    <n v="2"/>
  </r>
  <r>
    <n v="36213"/>
    <n v="3201704"/>
    <x v="20"/>
    <n v="0.46"/>
    <n v="1445200.67"/>
    <n v="0"/>
    <n v="1445200.67"/>
    <n v="13820.11"/>
    <n v="65926.600000000006"/>
    <n v="0.46"/>
    <n v="25945.63"/>
    <n v="0"/>
    <n v="0"/>
    <x v="3"/>
    <n v="2"/>
  </r>
  <r>
    <n v="36214"/>
    <n v="3201803"/>
    <x v="21"/>
    <n v="0.182"/>
    <n v="571796.80000000005"/>
    <n v="0"/>
    <n v="571796.80000000005"/>
    <n v="5467.96"/>
    <n v="7996.6"/>
    <n v="0.182"/>
    <n v="10265.450000000001"/>
    <n v="0"/>
    <n v="0"/>
    <x v="3"/>
    <n v="2"/>
  </r>
  <r>
    <n v="36215"/>
    <n v="3201902"/>
    <x v="22"/>
    <n v="1.268"/>
    <n v="3983727.15"/>
    <n v="0"/>
    <n v="3983727.15"/>
    <n v="38095.43"/>
    <n v="191426.65"/>
    <n v="1.268"/>
    <n v="71519.7"/>
    <n v="0"/>
    <n v="0"/>
    <x v="3"/>
    <n v="2"/>
  </r>
  <r>
    <n v="36216"/>
    <n v="3202009"/>
    <x v="23"/>
    <n v="0.27"/>
    <n v="848269.97"/>
    <n v="0"/>
    <n v="848269.97"/>
    <n v="8111.8"/>
    <n v="62781.88"/>
    <n v="0.27"/>
    <n v="15228.96"/>
    <n v="0"/>
    <n v="0"/>
    <x v="3"/>
    <n v="2"/>
  </r>
  <r>
    <n v="36217"/>
    <n v="3202108"/>
    <x v="24"/>
    <n v="0.69399999999999995"/>
    <n v="2180368.0099999998"/>
    <n v="0"/>
    <n v="2180368.0099999998"/>
    <n v="20850.34"/>
    <n v="65470.55"/>
    <n v="0.69399999999999995"/>
    <n v="39144.06"/>
    <n v="0"/>
    <n v="0"/>
    <x v="3"/>
    <n v="2"/>
  </r>
  <r>
    <n v="36218"/>
    <n v="3202207"/>
    <x v="25"/>
    <n v="0.28599999999999998"/>
    <n v="898537.84"/>
    <n v="0"/>
    <n v="898537.84"/>
    <n v="8592.5"/>
    <n v="67325.440000000002"/>
    <n v="0.28599999999999998"/>
    <n v="16131.42"/>
    <n v="0"/>
    <n v="0"/>
    <x v="3"/>
    <n v="2"/>
  </r>
  <r>
    <n v="36219"/>
    <n v="3202256"/>
    <x v="26"/>
    <n v="0.438"/>
    <n v="1376082.41"/>
    <n v="0"/>
    <n v="1376082.41"/>
    <n v="13159.15"/>
    <n v="63424.34"/>
    <n v="0.438"/>
    <n v="24704.76"/>
    <n v="0"/>
    <n v="0"/>
    <x v="3"/>
    <n v="2"/>
  </r>
  <r>
    <n v="36220"/>
    <n v="3202306"/>
    <x v="27"/>
    <n v="0.35899999999999999"/>
    <n v="1127884.8799999999"/>
    <n v="0"/>
    <n v="1127884.8799999999"/>
    <n v="10785.69"/>
    <n v="188825.93"/>
    <n v="0.35899999999999999"/>
    <n v="20248.87"/>
    <n v="0"/>
    <n v="0"/>
    <x v="3"/>
    <n v="2"/>
  </r>
  <r>
    <n v="36221"/>
    <n v="3202405"/>
    <x v="28"/>
    <n v="0.81200000000000006"/>
    <n v="2551093.4"/>
    <n v="0"/>
    <n v="2551093.4"/>
    <n v="24395.5"/>
    <n v="1272873.4099999999"/>
    <n v="0.81200000000000006"/>
    <n v="45799.68"/>
    <n v="0"/>
    <n v="0"/>
    <x v="3"/>
    <n v="2"/>
  </r>
  <r>
    <n v="36222"/>
    <n v="3202454"/>
    <x v="29"/>
    <n v="0.372"/>
    <n v="1168727.53"/>
    <n v="0"/>
    <n v="1168727.53"/>
    <n v="11176.26"/>
    <n v="147702.49"/>
    <n v="0.372"/>
    <n v="20982.12"/>
    <n v="0"/>
    <n v="0"/>
    <x v="3"/>
    <n v="2"/>
  </r>
  <r>
    <n v="36223"/>
    <n v="3202504"/>
    <x v="30"/>
    <n v="0.23100000000000001"/>
    <n v="725742.09"/>
    <n v="0"/>
    <n v="725742.09"/>
    <n v="6940.1"/>
    <n v="58549.04"/>
    <n v="0.23100000000000001"/>
    <n v="13029.22"/>
    <n v="0"/>
    <n v="0"/>
    <x v="3"/>
    <n v="2"/>
  </r>
  <r>
    <n v="36224"/>
    <n v="3202553"/>
    <x v="31"/>
    <n v="0.24299999999999999"/>
    <n v="763443"/>
    <n v="0"/>
    <n v="763443"/>
    <n v="7300.62"/>
    <n v="36723.24"/>
    <n v="0.24299999999999999"/>
    <n v="13706.06"/>
    <n v="0"/>
    <n v="0"/>
    <x v="3"/>
    <n v="2"/>
  </r>
  <r>
    <n v="36225"/>
    <n v="3202603"/>
    <x v="32"/>
    <n v="0.315"/>
    <n v="989648.29"/>
    <n v="0"/>
    <n v="989648.29"/>
    <n v="9463.77"/>
    <n v="198287.81"/>
    <n v="0.315"/>
    <n v="17767.12"/>
    <n v="0"/>
    <n v="0"/>
    <x v="3"/>
    <n v="2"/>
  </r>
  <r>
    <n v="36226"/>
    <n v="3202652"/>
    <x v="33"/>
    <n v="0.29899999999999999"/>
    <n v="939380.44"/>
    <n v="0"/>
    <n v="939380.44"/>
    <n v="8983.07"/>
    <n v="59318.41"/>
    <n v="0.29899999999999999"/>
    <n v="16864.66"/>
    <n v="0"/>
    <n v="0"/>
    <x v="3"/>
    <n v="2"/>
  </r>
  <r>
    <n v="36227"/>
    <n v="3202702"/>
    <x v="34"/>
    <n v="0.31900000000000001"/>
    <n v="1002215.27"/>
    <n v="0"/>
    <n v="1002215.27"/>
    <n v="9583.9500000000007"/>
    <n v="47203.46"/>
    <n v="0.31900000000000001"/>
    <n v="17992.73"/>
    <n v="0"/>
    <n v="0"/>
    <x v="3"/>
    <n v="2"/>
  </r>
  <r>
    <n v="36228"/>
    <n v="3202801"/>
    <x v="35"/>
    <n v="2.4550000000000001"/>
    <n v="7712973.2800000003"/>
    <n v="0"/>
    <n v="7712973.2800000003"/>
    <n v="73757.320000000007"/>
    <n v="150402.81"/>
    <n v="2.4550000000000001"/>
    <n v="138470.72"/>
    <n v="0"/>
    <n v="0"/>
    <x v="3"/>
    <n v="2"/>
  </r>
  <r>
    <n v="36229"/>
    <n v="3202900"/>
    <x v="36"/>
    <n v="0.34799999999999998"/>
    <n v="1093325.75"/>
    <n v="0"/>
    <n v="1093325.75"/>
    <n v="10455.209999999999"/>
    <n v="70049.67"/>
    <n v="0.34799999999999998"/>
    <n v="19628.43"/>
    <n v="0"/>
    <n v="0"/>
    <x v="3"/>
    <n v="2"/>
  </r>
  <r>
    <n v="36230"/>
    <n v="3203007"/>
    <x v="37"/>
    <n v="0.496"/>
    <n v="1558303.35"/>
    <n v="0"/>
    <n v="1558303.35"/>
    <n v="14901.68"/>
    <n v="103341.6"/>
    <n v="0.496"/>
    <n v="27976.16"/>
    <n v="0"/>
    <n v="0"/>
    <x v="3"/>
    <n v="2"/>
  </r>
  <r>
    <n v="36231"/>
    <n v="3203056"/>
    <x v="38"/>
    <n v="0.871"/>
    <n v="2736456.11"/>
    <n v="0"/>
    <n v="2736456.11"/>
    <n v="26168.080000000002"/>
    <n v="100883.1"/>
    <n v="0.871"/>
    <n v="49127.49"/>
    <n v="0"/>
    <n v="0"/>
    <x v="3"/>
    <n v="2"/>
  </r>
  <r>
    <n v="36232"/>
    <n v="3203106"/>
    <x v="39"/>
    <n v="0.21"/>
    <n v="659765.53"/>
    <n v="0"/>
    <n v="659765.53"/>
    <n v="6309.18"/>
    <n v="30152.61"/>
    <n v="0.21"/>
    <n v="11844.75"/>
    <n v="0"/>
    <n v="0"/>
    <x v="3"/>
    <n v="2"/>
  </r>
  <r>
    <n v="36233"/>
    <n v="3203130"/>
    <x v="40"/>
    <n v="0.36199999999999999"/>
    <n v="1137310.1200000001"/>
    <n v="0"/>
    <n v="1137310.1200000001"/>
    <n v="10875.83"/>
    <n v="55569.43"/>
    <n v="0.36199999999999999"/>
    <n v="20418.09"/>
    <n v="0"/>
    <n v="0"/>
    <x v="3"/>
    <n v="2"/>
  </r>
  <r>
    <n v="36234"/>
    <n v="3203163"/>
    <x v="41"/>
    <n v="0.373"/>
    <n v="1171869.25"/>
    <n v="0"/>
    <n v="1171869.25"/>
    <n v="11206.31"/>
    <n v="50807.360000000001"/>
    <n v="0.373"/>
    <n v="21038.53"/>
    <n v="0"/>
    <n v="0"/>
    <x v="3"/>
    <n v="2"/>
  </r>
  <r>
    <n v="36235"/>
    <n v="3203205"/>
    <x v="42"/>
    <n v="4.9790000000000001"/>
    <n v="15642726.67"/>
    <n v="0"/>
    <n v="15642726.67"/>
    <n v="149587.66"/>
    <n v="821325.52"/>
    <n v="4.9790000000000001"/>
    <n v="280833.28000000003"/>
    <n v="0"/>
    <n v="0"/>
    <x v="3"/>
    <n v="2"/>
  </r>
  <r>
    <n v="36236"/>
    <n v="3203304"/>
    <x v="43"/>
    <n v="0.27600000000000002"/>
    <n v="867120.41"/>
    <n v="0"/>
    <n v="867120.41"/>
    <n v="8292.07"/>
    <n v="48278.68"/>
    <n v="0.27600000000000002"/>
    <n v="15567.38"/>
    <n v="0"/>
    <n v="0"/>
    <x v="3"/>
    <n v="2"/>
  </r>
  <r>
    <n v="36237"/>
    <n v="3203320"/>
    <x v="44"/>
    <n v="0.65800000000000003"/>
    <n v="2067265.34"/>
    <n v="0"/>
    <n v="2067265.34"/>
    <n v="19768.77"/>
    <n v="224569.63"/>
    <n v="0.65800000000000003"/>
    <n v="37113.54"/>
    <n v="0"/>
    <n v="0"/>
    <x v="3"/>
    <n v="2"/>
  </r>
  <r>
    <n v="36238"/>
    <n v="3203346"/>
    <x v="45"/>
    <n v="0.61099999999999999"/>
    <n v="1919603.51"/>
    <n v="0"/>
    <n v="1919603.51"/>
    <n v="18356.71"/>
    <n v="121782.48"/>
    <n v="0.61099999999999999"/>
    <n v="34462.57"/>
    <n v="0"/>
    <n v="0"/>
    <x v="3"/>
    <n v="2"/>
  </r>
  <r>
    <n v="36239"/>
    <n v="3203353"/>
    <x v="46"/>
    <n v="0.436"/>
    <n v="1369798.93"/>
    <n v="0"/>
    <n v="1369798.93"/>
    <n v="13099.06"/>
    <n v="97964.89"/>
    <n v="0.436"/>
    <n v="24591.95"/>
    <n v="0"/>
    <n v="0"/>
    <x v="3"/>
    <n v="2"/>
  </r>
  <r>
    <n v="36240"/>
    <n v="3203403"/>
    <x v="47"/>
    <n v="0.495"/>
    <n v="1555161.62"/>
    <n v="0"/>
    <n v="1555161.62"/>
    <n v="14871.64"/>
    <n v="113514.78"/>
    <n v="0.495"/>
    <n v="27919.759999999998"/>
    <n v="0"/>
    <n v="0"/>
    <x v="3"/>
    <n v="2"/>
  </r>
  <r>
    <n v="36241"/>
    <n v="3203502"/>
    <x v="48"/>
    <n v="0.52100000000000002"/>
    <n v="1636846.86"/>
    <n v="0"/>
    <n v="1636846.86"/>
    <n v="15652.78"/>
    <n v="76196.14"/>
    <n v="0.52100000000000002"/>
    <n v="29386.25"/>
    <n v="0"/>
    <n v="0"/>
    <x v="3"/>
    <n v="2"/>
  </r>
  <r>
    <n v="36242"/>
    <n v="3203601"/>
    <x v="49"/>
    <n v="0.28299999999999997"/>
    <n v="889112.61"/>
    <n v="0"/>
    <n v="889112.61"/>
    <n v="8502.3700000000008"/>
    <n v="17931.330000000002"/>
    <n v="0.28299999999999997"/>
    <n v="15962.2"/>
    <n v="0"/>
    <n v="0"/>
    <x v="3"/>
    <n v="2"/>
  </r>
  <r>
    <n v="36243"/>
    <n v="3203700"/>
    <x v="50"/>
    <n v="0.54600000000000004"/>
    <n v="1715390.38"/>
    <n v="0"/>
    <n v="1715390.38"/>
    <n v="16403.87"/>
    <n v="37913.17"/>
    <n v="0.54600000000000004"/>
    <n v="30796.34"/>
    <n v="0"/>
    <n v="0"/>
    <x v="3"/>
    <n v="2"/>
  </r>
  <r>
    <n v="36244"/>
    <n v="3203809"/>
    <x v="51"/>
    <n v="0.28100000000000003"/>
    <n v="882829.13"/>
    <n v="0"/>
    <n v="882829.13"/>
    <n v="8442.2800000000007"/>
    <n v="39256.879999999997"/>
    <n v="0.28100000000000003"/>
    <n v="15849.4"/>
    <n v="0"/>
    <n v="0"/>
    <x v="3"/>
    <n v="2"/>
  </r>
  <r>
    <n v="36245"/>
    <n v="3203908"/>
    <x v="52"/>
    <n v="1.3109999999999999"/>
    <n v="4118822.01"/>
    <n v="0"/>
    <n v="4118822.01"/>
    <n v="39387.31"/>
    <n v="198323.71"/>
    <n v="1.3109999999999999"/>
    <n v="73945.05"/>
    <n v="0"/>
    <n v="0"/>
    <x v="3"/>
    <n v="2"/>
  </r>
  <r>
    <n v="36246"/>
    <n v="3204005"/>
    <x v="53"/>
    <n v="0.436"/>
    <n v="1369798.93"/>
    <n v="0"/>
    <n v="1369798.93"/>
    <n v="13099.06"/>
    <n v="46821.74"/>
    <n v="0.436"/>
    <n v="24591.95"/>
    <n v="0"/>
    <n v="0"/>
    <x v="3"/>
    <n v="2"/>
  </r>
  <r>
    <n v="36247"/>
    <n v="3204054"/>
    <x v="54"/>
    <n v="0.307"/>
    <n v="964514.37"/>
    <n v="0"/>
    <n v="964514.37"/>
    <n v="9223.42"/>
    <n v="71520.36"/>
    <n v="0.307"/>
    <n v="17315.89"/>
    <n v="0"/>
    <n v="0"/>
    <x v="3"/>
    <n v="2"/>
  </r>
  <r>
    <n v="36248"/>
    <n v="3204104"/>
    <x v="55"/>
    <n v="0.73199999999999998"/>
    <n v="2299754.15"/>
    <n v="0"/>
    <n v="2299754.15"/>
    <n v="21992"/>
    <n v="71149.73"/>
    <n v="0.73199999999999998"/>
    <n v="41287.4"/>
    <n v="0"/>
    <n v="0"/>
    <x v="3"/>
    <n v="2"/>
  </r>
  <r>
    <n v="36249"/>
    <n v="3204203"/>
    <x v="56"/>
    <n v="0.14199999999999999"/>
    <n v="446127.16"/>
    <n v="0"/>
    <n v="446127.16"/>
    <n v="4266.21"/>
    <n v="182665.03"/>
    <n v="0.14199999999999999"/>
    <n v="8009.3"/>
    <n v="0"/>
    <n v="0"/>
    <x v="3"/>
    <n v="2"/>
  </r>
  <r>
    <n v="36250"/>
    <n v="3204252"/>
    <x v="57"/>
    <n v="0.20899999999999999"/>
    <n v="656623.81999999995"/>
    <n v="0"/>
    <n v="656623.81999999995"/>
    <n v="6279.14"/>
    <n v="23398.62"/>
    <n v="0.20899999999999999"/>
    <n v="11788.35"/>
    <n v="0"/>
    <n v="0"/>
    <x v="3"/>
    <n v="2"/>
  </r>
  <r>
    <n v="36251"/>
    <n v="1718402"/>
    <x v="58"/>
    <n v="0.32"/>
    <n v="1005357"/>
    <n v="0"/>
    <n v="1005357"/>
    <n v="9613.99"/>
    <n v="120010.35"/>
    <n v="0.32"/>
    <n v="18049.13"/>
    <n v="0"/>
    <n v="0"/>
    <x v="3"/>
    <n v="2"/>
  </r>
  <r>
    <n v="36252"/>
    <n v="3204351"/>
    <x v="59"/>
    <n v="0.85399999999999998"/>
    <n v="2683046.5099999998"/>
    <n v="0"/>
    <n v="2683046.5099999998"/>
    <n v="25657.33"/>
    <n v="113289.24"/>
    <n v="0.85399999999999998"/>
    <n v="48168.63"/>
    <n v="0"/>
    <n v="0"/>
    <x v="3"/>
    <n v="2"/>
  </r>
  <r>
    <n v="36253"/>
    <n v="3204401"/>
    <x v="60"/>
    <n v="0.25"/>
    <n v="785435.19"/>
    <n v="0"/>
    <n v="785435.19"/>
    <n v="7510.93"/>
    <n v="38082.21"/>
    <n v="0.25"/>
    <n v="14100.89"/>
    <n v="0"/>
    <n v="0"/>
    <x v="3"/>
    <n v="2"/>
  </r>
  <r>
    <n v="36254"/>
    <n v="3204500"/>
    <x v="61"/>
    <n v="0.54500000000000004"/>
    <n v="1712248.66"/>
    <n v="0"/>
    <n v="1712248.66"/>
    <n v="16373.83"/>
    <n v="49504.160000000003"/>
    <n v="0.54500000000000004"/>
    <n v="30739.94"/>
    <n v="0"/>
    <n v="0"/>
    <x v="3"/>
    <n v="2"/>
  </r>
  <r>
    <n v="36255"/>
    <n v="3204559"/>
    <x v="62"/>
    <n v="2.2349999999999999"/>
    <n v="7021790.3499999996"/>
    <n v="0"/>
    <n v="7021790.3499999996"/>
    <n v="67147.710000000006"/>
    <n v="343686.06"/>
    <n v="2.2349999999999999"/>
    <n v="126061.94"/>
    <n v="0"/>
    <n v="0"/>
    <x v="3"/>
    <n v="2"/>
  </r>
  <r>
    <n v="36256"/>
    <n v="3204609"/>
    <x v="63"/>
    <n v="0.65100000000000002"/>
    <n v="2045273.16"/>
    <n v="0"/>
    <n v="2045273.16"/>
    <n v="19558.46"/>
    <n v="141398.98000000001"/>
    <n v="0.65100000000000002"/>
    <n v="36718.71"/>
    <n v="0"/>
    <n v="0"/>
    <x v="3"/>
    <n v="2"/>
  </r>
  <r>
    <n v="36257"/>
    <n v="3204658"/>
    <x v="64"/>
    <n v="0.42299999999999999"/>
    <n v="1328956.3"/>
    <n v="0"/>
    <n v="1328956.3"/>
    <n v="12708.49"/>
    <n v="34707.120000000003"/>
    <n v="0.42299999999999999"/>
    <n v="23858.7"/>
    <n v="0"/>
    <n v="0"/>
    <x v="3"/>
    <n v="2"/>
  </r>
  <r>
    <n v="36258"/>
    <n v="3204708"/>
    <x v="65"/>
    <n v="0.85199999999999998"/>
    <n v="2676763.0499999998"/>
    <n v="0"/>
    <n v="2676763.0499999998"/>
    <n v="25597.25"/>
    <n v="121611.87"/>
    <n v="0.85199999999999998"/>
    <n v="48055.83"/>
    <n v="0"/>
    <n v="0"/>
    <x v="3"/>
    <n v="2"/>
  </r>
  <r>
    <n v="36259"/>
    <n v="3204807"/>
    <x v="66"/>
    <n v="0.22600000000000001"/>
    <n v="710033.37"/>
    <n v="0"/>
    <n v="710033.37"/>
    <n v="6789.88"/>
    <n v="54470.39"/>
    <n v="0.22600000000000001"/>
    <n v="12747.2"/>
    <n v="0"/>
    <n v="0"/>
    <x v="3"/>
    <n v="2"/>
  </r>
  <r>
    <n v="36260"/>
    <n v="3204906"/>
    <x v="67"/>
    <n v="1.901"/>
    <n v="5972448.9699999997"/>
    <n v="0"/>
    <n v="5972448.9699999997"/>
    <n v="57113.1"/>
    <n v="639057.28"/>
    <n v="1.901"/>
    <n v="107223.15"/>
    <n v="0"/>
    <n v="0"/>
    <x v="3"/>
    <n v="2"/>
  </r>
  <r>
    <n v="36261"/>
    <n v="3204955"/>
    <x v="68"/>
    <n v="0.312"/>
    <n v="980223.08"/>
    <n v="0"/>
    <n v="980223.08"/>
    <n v="9373.64"/>
    <n v="51308.25"/>
    <n v="0.312"/>
    <n v="17597.91"/>
    <n v="0"/>
    <n v="0"/>
    <x v="3"/>
    <n v="2"/>
  </r>
  <r>
    <n v="36262"/>
    <n v="3205002"/>
    <x v="69"/>
    <n v="15.625"/>
    <n v="49089697.630000003"/>
    <n v="0"/>
    <n v="49089697.630000003"/>
    <n v="469433.06"/>
    <n v="2213784.41"/>
    <n v="15.625"/>
    <n v="881305.49"/>
    <n v="0"/>
    <n v="0"/>
    <x v="3"/>
    <n v="2"/>
  </r>
  <r>
    <n v="36263"/>
    <n v="3205010"/>
    <x v="70"/>
    <n v="0.72199999999999998"/>
    <n v="2268336.77"/>
    <n v="0"/>
    <n v="2268336.77"/>
    <n v="21691.56"/>
    <n v="73465.52"/>
    <n v="0.72199999999999998"/>
    <n v="40723.360000000001"/>
    <n v="0"/>
    <n v="0"/>
    <x v="3"/>
    <n v="2"/>
  </r>
  <r>
    <n v="36264"/>
    <n v="3205036"/>
    <x v="71"/>
    <n v="0.49099999999999999"/>
    <n v="1542594.66"/>
    <n v="0"/>
    <n v="1542594.66"/>
    <n v="14751.46"/>
    <n v="98610.65"/>
    <n v="0.49099999999999999"/>
    <n v="27694.15"/>
    <n v="0"/>
    <n v="0"/>
    <x v="3"/>
    <n v="2"/>
  </r>
  <r>
    <n v="36265"/>
    <n v="3205069"/>
    <x v="72"/>
    <n v="0.68700000000000006"/>
    <n v="2158375.84"/>
    <n v="0"/>
    <n v="2158375.84"/>
    <n v="20640.03"/>
    <n v="213328.04"/>
    <n v="0.68700000000000006"/>
    <n v="38749.24"/>
    <n v="0"/>
    <n v="0"/>
    <x v="3"/>
    <n v="2"/>
  </r>
  <r>
    <n v="36266"/>
    <n v="2112803"/>
    <x v="73"/>
    <n v="2.9870000000000001"/>
    <n v="9384379.3100000005"/>
    <n v="0"/>
    <n v="9384379.3100000005"/>
    <n v="89740.58"/>
    <n v="433082.2"/>
    <n v="2.9870000000000001"/>
    <n v="168477.41"/>
    <n v="0"/>
    <n v="0"/>
    <x v="3"/>
    <n v="2"/>
  </r>
  <r>
    <n v="36267"/>
    <n v="3205150"/>
    <x v="74"/>
    <n v="0.31900000000000001"/>
    <n v="1002215.27"/>
    <n v="0"/>
    <n v="1002215.27"/>
    <n v="9583.9500000000007"/>
    <n v="38857.339999999997"/>
    <n v="0.31900000000000001"/>
    <n v="17992.73"/>
    <n v="0"/>
    <n v="0"/>
    <x v="3"/>
    <n v="2"/>
  </r>
  <r>
    <n v="36268"/>
    <n v="3205176"/>
    <x v="75"/>
    <n v="0.65800000000000003"/>
    <n v="2067265.34"/>
    <n v="0"/>
    <n v="2067265.34"/>
    <n v="19768.77"/>
    <n v="75423.8"/>
    <n v="0.65800000000000003"/>
    <n v="37113.54"/>
    <n v="0"/>
    <n v="0"/>
    <x v="3"/>
    <n v="2"/>
  </r>
  <r>
    <n v="36269"/>
    <n v="3205200"/>
    <x v="76"/>
    <n v="5.056"/>
    <n v="15884640.73"/>
    <n v="0"/>
    <n v="15884640.73"/>
    <n v="151901.03"/>
    <n v="2997620.9"/>
    <n v="5.056"/>
    <n v="285176.36"/>
    <n v="0"/>
    <n v="0"/>
    <x v="3"/>
    <n v="2"/>
  </r>
  <r>
    <n v="36270"/>
    <n v="3205309"/>
    <x v="77"/>
    <n v="14.782"/>
    <n v="46441210.32"/>
    <n v="0"/>
    <n v="46441210.32"/>
    <n v="444106.21"/>
    <n v="3344463.66"/>
    <n v="14.782"/>
    <n v="833757.31"/>
    <n v="0"/>
    <n v="0"/>
    <x v="3"/>
    <n v="2"/>
  </r>
  <r>
    <n v="36271"/>
    <n v="3200102"/>
    <x v="0"/>
    <n v="0.76100000000000001"/>
    <n v="2472516.54"/>
    <n v="0"/>
    <n v="2472516.54"/>
    <n v="28334.75"/>
    <n v="255467.8"/>
    <n v="0.76100000000000001"/>
    <n v="53785.69"/>
    <n v="0"/>
    <n v="128342.69"/>
    <x v="3"/>
    <n v="3"/>
  </r>
  <r>
    <n v="36272"/>
    <n v="3200169"/>
    <x v="1"/>
    <n v="0.28899999999999998"/>
    <n v="938971.44"/>
    <n v="0"/>
    <n v="938971.44"/>
    <n v="10760.5"/>
    <n v="66712.53"/>
    <n v="0.28899999999999998"/>
    <n v="20425.84"/>
    <n v="0"/>
    <n v="48739.87"/>
    <x v="3"/>
    <n v="3"/>
  </r>
  <r>
    <n v="36273"/>
    <n v="3200136"/>
    <x v="2"/>
    <n v="0.40400000000000003"/>
    <n v="1312610.6299999999"/>
    <n v="0"/>
    <n v="1312610.6299999999"/>
    <n v="15042.36"/>
    <n v="62049.25"/>
    <n v="0.40400000000000003"/>
    <n v="28553.77"/>
    <n v="0"/>
    <n v="68134.62"/>
    <x v="3"/>
    <n v="3"/>
  </r>
  <r>
    <n v="36274"/>
    <n v="3200201"/>
    <x v="3"/>
    <n v="0.498"/>
    <n v="1618020.02"/>
    <n v="0"/>
    <n v="1618020.02"/>
    <n v="18542.32"/>
    <n v="165141.54"/>
    <n v="0.498"/>
    <n v="35197.47"/>
    <n v="0"/>
    <n v="83987.73"/>
    <x v="3"/>
    <n v="3"/>
  </r>
  <r>
    <n v="36275"/>
    <n v="3200300"/>
    <x v="4"/>
    <n v="0.46700000000000003"/>
    <n v="1517299.9"/>
    <n v="0"/>
    <n v="1517299.9"/>
    <n v="17388.080000000002"/>
    <n v="212087.91"/>
    <n v="0.46700000000000003"/>
    <n v="33006.47"/>
    <n v="0"/>
    <n v="78759.570000000007"/>
    <x v="3"/>
    <n v="3"/>
  </r>
  <r>
    <n v="36276"/>
    <n v="3200359"/>
    <x v="5"/>
    <n v="0.22600000000000001"/>
    <n v="734282.18"/>
    <n v="0"/>
    <n v="734282.18"/>
    <n v="8414.7900000000009"/>
    <n v="25036.29"/>
    <n v="0.22600000000000001"/>
    <n v="15973.15"/>
    <n v="0"/>
    <n v="38114.910000000003"/>
    <x v="3"/>
    <n v="3"/>
  </r>
  <r>
    <n v="36277"/>
    <n v="3200409"/>
    <x v="6"/>
    <n v="3.1480000000000001"/>
    <n v="10227965.869999999"/>
    <n v="0"/>
    <n v="10227965.869999999"/>
    <n v="117211.29"/>
    <n v="281244.06"/>
    <n v="3.1480000000000001"/>
    <n v="222493.26"/>
    <n v="0"/>
    <n v="530910.37"/>
    <x v="3"/>
    <n v="3"/>
  </r>
  <r>
    <n v="36278"/>
    <n v="3200508"/>
    <x v="7"/>
    <n v="0.185"/>
    <n v="601071.68000000005"/>
    <n v="0"/>
    <n v="601071.68000000005"/>
    <n v="6888.21"/>
    <n v="112892.25"/>
    <n v="0.185"/>
    <n v="13075.37"/>
    <n v="0"/>
    <n v="31200.26"/>
    <x v="3"/>
    <n v="3"/>
  </r>
  <r>
    <n v="36279"/>
    <n v="3200607"/>
    <x v="8"/>
    <n v="2.9220000000000002"/>
    <n v="9493683.6999999993"/>
    <n v="0"/>
    <n v="9493683.6999999993"/>
    <n v="108796.5"/>
    <n v="646384.81999999995"/>
    <n v="2.9220000000000002"/>
    <n v="206520.11"/>
    <n v="0"/>
    <n v="492795.46"/>
    <x v="3"/>
    <n v="3"/>
  </r>
  <r>
    <n v="36280"/>
    <n v="3200706"/>
    <x v="9"/>
    <n v="0.35399999999999998"/>
    <n v="1150158.81"/>
    <n v="0"/>
    <n v="1150158.81"/>
    <n v="13180.68"/>
    <n v="54943.08"/>
    <n v="0.35399999999999998"/>
    <n v="25019.89"/>
    <n v="0"/>
    <n v="59702.12"/>
    <x v="3"/>
    <n v="3"/>
  </r>
  <r>
    <n v="36281"/>
    <n v="3200805"/>
    <x v="10"/>
    <n v="0.60699999999999998"/>
    <n v="1972164.98"/>
    <n v="0"/>
    <n v="1972164.98"/>
    <n v="22600.78"/>
    <n v="433177.18"/>
    <n v="0.60699999999999998"/>
    <n v="42901.33"/>
    <n v="0"/>
    <n v="102370.58"/>
    <x v="3"/>
    <n v="3"/>
  </r>
  <r>
    <n v="36282"/>
    <n v="3200904"/>
    <x v="11"/>
    <n v="1.0289999999999999"/>
    <n v="3343258.21"/>
    <n v="0"/>
    <n v="3343258.21"/>
    <n v="38313.35"/>
    <n v="459603.51"/>
    <n v="1.0289999999999999"/>
    <n v="72727.31"/>
    <n v="0"/>
    <n v="173540.9"/>
    <x v="3"/>
    <n v="3"/>
  </r>
  <r>
    <n v="36283"/>
    <n v="3107109"/>
    <x v="12"/>
    <n v="0.39500000000000002"/>
    <n v="1283369.27"/>
    <n v="0"/>
    <n v="1283369.27"/>
    <n v="14707.26"/>
    <n v="56610.9"/>
    <n v="0.39500000000000002"/>
    <n v="27917.68"/>
    <n v="0"/>
    <n v="66616.77"/>
    <x v="3"/>
    <n v="3"/>
  </r>
  <r>
    <n v="36284"/>
    <n v="3201100"/>
    <x v="13"/>
    <n v="0.17599999999999999"/>
    <n v="571830.38"/>
    <n v="0"/>
    <n v="571830.38"/>
    <n v="6553.11"/>
    <n v="295677.03999999998"/>
    <n v="0.17599999999999999"/>
    <n v="12439.26"/>
    <n v="0"/>
    <n v="29682.41"/>
    <x v="3"/>
    <n v="3"/>
  </r>
  <r>
    <n v="36285"/>
    <n v="3201159"/>
    <x v="14"/>
    <n v="0.42099999999999999"/>
    <n v="1367844.24"/>
    <n v="0"/>
    <n v="1367844.24"/>
    <n v="15675.33"/>
    <n v="101382.14"/>
    <n v="0.42099999999999999"/>
    <n v="29755.29"/>
    <n v="0"/>
    <n v="71001.67"/>
    <x v="3"/>
    <n v="3"/>
  </r>
  <r>
    <n v="36286"/>
    <n v="3201209"/>
    <x v="15"/>
    <n v="3.1120000000000001"/>
    <n v="10111000.560000001"/>
    <n v="0"/>
    <n v="10111000.560000001"/>
    <n v="115870.88"/>
    <n v="1736042.4"/>
    <n v="3.1120000000000001"/>
    <n v="219948.86"/>
    <n v="0"/>
    <n v="524838.97"/>
    <x v="3"/>
    <n v="3"/>
  </r>
  <r>
    <n v="36287"/>
    <n v="3201308"/>
    <x v="16"/>
    <n v="7.2990000000000004"/>
    <n v="23714715.010000002"/>
    <n v="0"/>
    <n v="23714715.010000002"/>
    <n v="271767.84999999998"/>
    <n v="4198103.5"/>
    <n v="7.2990000000000004"/>
    <n v="515876.2"/>
    <n v="0"/>
    <n v="1230976.74"/>
    <x v="3"/>
    <n v="3"/>
  </r>
  <r>
    <n v="36288"/>
    <n v="3201407"/>
    <x v="17"/>
    <n v="0.89900000000000002"/>
    <n v="2920883.55"/>
    <n v="0"/>
    <n v="2920883.55"/>
    <n v="33472.980000000003"/>
    <n v="481354.58"/>
    <n v="0.89900000000000002"/>
    <n v="63539.21"/>
    <n v="0"/>
    <n v="151616.4"/>
    <x v="3"/>
    <n v="3"/>
  </r>
  <r>
    <n v="36289"/>
    <n v="3201506"/>
    <x v="18"/>
    <n v="2.2320000000000002"/>
    <n v="7251848.7400000002"/>
    <n v="0"/>
    <n v="7251848.7400000002"/>
    <n v="83105.33"/>
    <n v="1009762.93"/>
    <n v="2.2320000000000002"/>
    <n v="157752.53"/>
    <n v="0"/>
    <n v="376426.92"/>
    <x v="3"/>
    <n v="3"/>
  </r>
  <r>
    <n v="36290"/>
    <n v="3201605"/>
    <x v="19"/>
    <n v="0.79400000000000004"/>
    <n v="2579734.71"/>
    <n v="0"/>
    <n v="2579734.71"/>
    <n v="29563.46"/>
    <n v="131359.19"/>
    <n v="0.79400000000000004"/>
    <n v="56118.05"/>
    <n v="0"/>
    <n v="133908.14000000001"/>
    <x v="3"/>
    <n v="3"/>
  </r>
  <r>
    <n v="36291"/>
    <n v="3201704"/>
    <x v="20"/>
    <n v="0.46"/>
    <n v="1494556.65"/>
    <n v="0"/>
    <n v="1494556.65"/>
    <n v="17127.439999999999"/>
    <n v="150124.45000000001"/>
    <n v="0.46"/>
    <n v="32511.72"/>
    <n v="0"/>
    <n v="77579.02"/>
    <x v="3"/>
    <n v="3"/>
  </r>
  <r>
    <n v="36292"/>
    <n v="3201803"/>
    <x v="21"/>
    <n v="0.182"/>
    <n v="591324.56999999995"/>
    <n v="0"/>
    <n v="591324.56999999995"/>
    <n v="6776.51"/>
    <n v="34867.910000000003"/>
    <n v="0.182"/>
    <n v="12863.34"/>
    <n v="0"/>
    <n v="30694.31"/>
    <x v="3"/>
    <n v="3"/>
  </r>
  <r>
    <n v="36293"/>
    <n v="3201902"/>
    <x v="22"/>
    <n v="1.268"/>
    <n v="4119777.87"/>
    <n v="0"/>
    <n v="4119777.87"/>
    <n v="47212.17"/>
    <n v="453756.49"/>
    <n v="1.268"/>
    <n v="89619.26"/>
    <n v="0"/>
    <n v="213848.27"/>
    <x v="3"/>
    <n v="3"/>
  </r>
  <r>
    <n v="36294"/>
    <n v="3202009"/>
    <x v="23"/>
    <n v="0.27"/>
    <n v="877239.77"/>
    <n v="0"/>
    <n v="877239.77"/>
    <n v="10053.06"/>
    <n v="128752.58"/>
    <n v="0.27"/>
    <n v="19082.97"/>
    <n v="0"/>
    <n v="45535.51"/>
    <x v="3"/>
    <n v="3"/>
  </r>
  <r>
    <n v="36295"/>
    <n v="3202108"/>
    <x v="24"/>
    <n v="0.69399999999999995"/>
    <n v="2254831.1"/>
    <n v="0"/>
    <n v="2254831.1"/>
    <n v="25840.1"/>
    <n v="117420.32"/>
    <n v="0.69399999999999995"/>
    <n v="49050.29"/>
    <n v="0"/>
    <n v="117043.14"/>
    <x v="3"/>
    <n v="3"/>
  </r>
  <r>
    <n v="36296"/>
    <n v="3202207"/>
    <x v="25"/>
    <n v="0.28599999999999998"/>
    <n v="929224.33"/>
    <n v="0"/>
    <n v="929224.33"/>
    <n v="10648.8"/>
    <n v="116849.13"/>
    <n v="0.28599999999999998"/>
    <n v="20213.810000000001"/>
    <n v="0"/>
    <n v="48233.919999999998"/>
    <x v="3"/>
    <n v="3"/>
  </r>
  <r>
    <n v="36297"/>
    <n v="3202256"/>
    <x v="26"/>
    <n v="0.438"/>
    <n v="1423077.84"/>
    <n v="0"/>
    <n v="1423077.84"/>
    <n v="16308.3"/>
    <n v="118663.21"/>
    <n v="0.438"/>
    <n v="30956.82"/>
    <n v="0"/>
    <n v="73868.72"/>
    <x v="3"/>
    <n v="3"/>
  </r>
  <r>
    <n v="36298"/>
    <n v="3202306"/>
    <x v="27"/>
    <n v="0.35899999999999999"/>
    <n v="1166403.98"/>
    <n v="0"/>
    <n v="1166403.98"/>
    <n v="13366.85"/>
    <n v="296257.46000000002"/>
    <n v="0.35899999999999999"/>
    <n v="25373.279999999999"/>
    <n v="0"/>
    <n v="60545.37"/>
    <x v="3"/>
    <n v="3"/>
  </r>
  <r>
    <n v="36299"/>
    <n v="3202405"/>
    <x v="28"/>
    <n v="0.81200000000000006"/>
    <n v="2638217.38"/>
    <n v="0"/>
    <n v="2638217.38"/>
    <n v="30233.66"/>
    <n v="1961958.53"/>
    <n v="0.81200000000000006"/>
    <n v="57390.26"/>
    <n v="0"/>
    <n v="136943.84"/>
    <x v="3"/>
    <n v="3"/>
  </r>
  <r>
    <n v="36300"/>
    <n v="3202454"/>
    <x v="29"/>
    <n v="0.372"/>
    <n v="1208641.44"/>
    <n v="0"/>
    <n v="1208641.44"/>
    <n v="13850.89"/>
    <n v="342149.75"/>
    <n v="0.372"/>
    <n v="26292.09"/>
    <n v="0"/>
    <n v="62737.82"/>
    <x v="3"/>
    <n v="3"/>
  </r>
  <r>
    <n v="36301"/>
    <n v="3202504"/>
    <x v="30"/>
    <n v="0.23100000000000001"/>
    <n v="750527.36"/>
    <n v="0"/>
    <n v="750527.36"/>
    <n v="8600.9599999999991"/>
    <n v="84013.1"/>
    <n v="0.23100000000000001"/>
    <n v="16326.54"/>
    <n v="0"/>
    <n v="38958.160000000003"/>
    <x v="3"/>
    <n v="3"/>
  </r>
  <r>
    <n v="36302"/>
    <n v="3202553"/>
    <x v="31"/>
    <n v="0.24299999999999999"/>
    <n v="789515.76"/>
    <n v="0"/>
    <n v="789515.76"/>
    <n v="9047.76"/>
    <n v="48489.24"/>
    <n v="0.24299999999999999"/>
    <n v="17174.669999999998"/>
    <n v="0"/>
    <n v="40981.96"/>
    <x v="3"/>
    <n v="3"/>
  </r>
  <r>
    <n v="36303"/>
    <n v="3202603"/>
    <x v="32"/>
    <n v="0.315"/>
    <n v="1023446.39"/>
    <n v="0"/>
    <n v="1023446.39"/>
    <n v="11728.58"/>
    <n v="155961.01999999999"/>
    <n v="0.315"/>
    <n v="22263.46"/>
    <n v="0"/>
    <n v="53124.77"/>
    <x v="3"/>
    <n v="3"/>
  </r>
  <r>
    <n v="36304"/>
    <n v="3202652"/>
    <x v="33"/>
    <n v="0.29899999999999999"/>
    <n v="971461.84"/>
    <n v="0"/>
    <n v="971461.84"/>
    <n v="11132.84"/>
    <n v="125922.3"/>
    <n v="0.29899999999999999"/>
    <n v="21132.62"/>
    <n v="0"/>
    <n v="50426.37"/>
    <x v="3"/>
    <n v="3"/>
  </r>
  <r>
    <n v="36305"/>
    <n v="3202702"/>
    <x v="34"/>
    <n v="0.31900000000000001"/>
    <n v="1036442.55"/>
    <n v="0"/>
    <n v="1036442.55"/>
    <n v="11877.51"/>
    <n v="74118.36"/>
    <n v="0.31900000000000001"/>
    <n v="22546.17"/>
    <n v="0"/>
    <n v="53799.37"/>
    <x v="3"/>
    <n v="3"/>
  </r>
  <r>
    <n v="36306"/>
    <n v="3202801"/>
    <x v="35"/>
    <n v="2.4550000000000001"/>
    <n v="7976383.7800000003"/>
    <n v="0"/>
    <n v="7976383.7800000003"/>
    <n v="91408.42"/>
    <n v="245447.27"/>
    <n v="2.4550000000000001"/>
    <n v="173513.64"/>
    <n v="0"/>
    <n v="414035.88"/>
    <x v="3"/>
    <n v="3"/>
  </r>
  <r>
    <n v="36307"/>
    <n v="3202900"/>
    <x v="36"/>
    <n v="0.34799999999999998"/>
    <n v="1130664.5900000001"/>
    <n v="0"/>
    <n v="1130664.5900000001"/>
    <n v="12957.28"/>
    <n v="150185.01"/>
    <n v="0.34799999999999998"/>
    <n v="24595.82"/>
    <n v="0"/>
    <n v="58690.22"/>
    <x v="3"/>
    <n v="3"/>
  </r>
  <r>
    <n v="36308"/>
    <n v="3203007"/>
    <x v="37"/>
    <n v="0.496"/>
    <n v="1611521.93"/>
    <n v="0"/>
    <n v="1611521.93"/>
    <n v="18467.849999999999"/>
    <n v="227523.55"/>
    <n v="0.496"/>
    <n v="35056.120000000003"/>
    <n v="0"/>
    <n v="83650.429999999993"/>
    <x v="3"/>
    <n v="3"/>
  </r>
  <r>
    <n v="36309"/>
    <n v="3203056"/>
    <x v="38"/>
    <n v="0.871"/>
    <n v="2829910.51"/>
    <n v="0"/>
    <n v="2829910.51"/>
    <n v="32430.44"/>
    <n v="237982.71"/>
    <n v="0.871"/>
    <n v="61560.24"/>
    <n v="0"/>
    <n v="146894.20000000001"/>
    <x v="3"/>
    <n v="3"/>
  </r>
  <r>
    <n v="36310"/>
    <n v="3203106"/>
    <x v="39"/>
    <n v="0.21"/>
    <n v="682297.58"/>
    <n v="0"/>
    <n v="682297.58"/>
    <n v="7819.05"/>
    <n v="43828.62"/>
    <n v="0.21"/>
    <n v="14842.31"/>
    <n v="0"/>
    <n v="35416.51"/>
    <x v="3"/>
    <n v="3"/>
  </r>
  <r>
    <n v="36311"/>
    <n v="3203130"/>
    <x v="40"/>
    <n v="0.36199999999999999"/>
    <n v="1176151.1000000001"/>
    <n v="0"/>
    <n v="1176151.1000000001"/>
    <n v="13478.55"/>
    <n v="140950.24"/>
    <n v="0.36199999999999999"/>
    <n v="25585.31"/>
    <n v="0"/>
    <n v="61051.32"/>
    <x v="3"/>
    <n v="3"/>
  </r>
  <r>
    <n v="36312"/>
    <n v="3203163"/>
    <x v="41"/>
    <n v="0.373"/>
    <n v="1211890.5"/>
    <n v="0"/>
    <n v="1211890.5"/>
    <n v="13888.12"/>
    <n v="126157.66"/>
    <n v="0.373"/>
    <n v="26362.77"/>
    <n v="0"/>
    <n v="62906.47"/>
    <x v="3"/>
    <n v="3"/>
  </r>
  <r>
    <n v="36313"/>
    <n v="3203205"/>
    <x v="42"/>
    <n v="4.9790000000000001"/>
    <n v="16176951.09"/>
    <n v="0"/>
    <n v="16176951.09"/>
    <n v="185385.96"/>
    <n v="1569821.01"/>
    <n v="4.9790000000000001"/>
    <n v="351904.04"/>
    <n v="0"/>
    <n v="839708.62"/>
    <x v="3"/>
    <n v="3"/>
  </r>
  <r>
    <n v="36314"/>
    <n v="3203304"/>
    <x v="43"/>
    <n v="0.27600000000000002"/>
    <n v="896733.99"/>
    <n v="0"/>
    <n v="896733.99"/>
    <n v="10276.469999999999"/>
    <n v="103417.21"/>
    <n v="0.27600000000000002"/>
    <n v="19507.03"/>
    <n v="0"/>
    <n v="46547.41"/>
    <x v="3"/>
    <n v="3"/>
  </r>
  <r>
    <n v="36315"/>
    <n v="3203320"/>
    <x v="44"/>
    <n v="0.65800000000000003"/>
    <n v="2137865.8199999998"/>
    <n v="0"/>
    <n v="2137865.8199999998"/>
    <n v="24499.69"/>
    <n v="333502.58"/>
    <n v="0.65800000000000003"/>
    <n v="46505.9"/>
    <n v="0"/>
    <n v="110971.74"/>
    <x v="3"/>
    <n v="3"/>
  </r>
  <r>
    <n v="36316"/>
    <n v="3203346"/>
    <x v="45"/>
    <n v="0.61099999999999999"/>
    <n v="1985161.09"/>
    <n v="0"/>
    <n v="1985161.09"/>
    <n v="22749.71"/>
    <n v="192209.48"/>
    <n v="0.61099999999999999"/>
    <n v="43184.05"/>
    <n v="0"/>
    <n v="103045.18"/>
    <x v="3"/>
    <n v="3"/>
  </r>
  <r>
    <n v="36317"/>
    <n v="3203353"/>
    <x v="46"/>
    <n v="0.436"/>
    <n v="1416579.77"/>
    <n v="0"/>
    <n v="1416579.77"/>
    <n v="16233.84"/>
    <n v="204659.78"/>
    <n v="0.436"/>
    <n v="30815.45"/>
    <n v="0"/>
    <n v="73531.42"/>
    <x v="3"/>
    <n v="3"/>
  </r>
  <r>
    <n v="36318"/>
    <n v="3203403"/>
    <x v="47"/>
    <n v="0.495"/>
    <n v="1608272.89"/>
    <n v="0"/>
    <n v="1608272.89"/>
    <n v="18430.62"/>
    <n v="170178.61"/>
    <n v="0.495"/>
    <n v="34985.440000000002"/>
    <n v="0"/>
    <n v="83481.78"/>
    <x v="3"/>
    <n v="3"/>
  </r>
  <r>
    <n v="36319"/>
    <n v="3203502"/>
    <x v="48"/>
    <n v="0.52100000000000002"/>
    <n v="1692747.85"/>
    <n v="0"/>
    <n v="1692747.85"/>
    <n v="19398.689999999999"/>
    <n v="116837.19"/>
    <n v="0.52100000000000002"/>
    <n v="36823.050000000003"/>
    <n v="0"/>
    <n v="87866.68"/>
    <x v="3"/>
    <n v="3"/>
  </r>
  <r>
    <n v="36320"/>
    <n v="3203601"/>
    <x v="49"/>
    <n v="0.28299999999999997"/>
    <n v="919477.23"/>
    <n v="0"/>
    <n v="919477.23"/>
    <n v="10537.1"/>
    <n v="27444.080000000002"/>
    <n v="0.28299999999999997"/>
    <n v="20001.78"/>
    <n v="0"/>
    <n v="47727.97"/>
    <x v="3"/>
    <n v="3"/>
  </r>
  <r>
    <n v="36321"/>
    <n v="3203700"/>
    <x v="50"/>
    <n v="0.54600000000000004"/>
    <n v="1773973.74"/>
    <n v="0"/>
    <n v="1773973.74"/>
    <n v="20329.53"/>
    <n v="79189.740000000005"/>
    <n v="0.54600000000000004"/>
    <n v="38590"/>
    <n v="0"/>
    <n v="92082.93"/>
    <x v="3"/>
    <n v="3"/>
  </r>
  <r>
    <n v="36322"/>
    <n v="3203809"/>
    <x v="51"/>
    <n v="0.28100000000000003"/>
    <n v="912979.16"/>
    <n v="0"/>
    <n v="912979.16"/>
    <n v="10462.629999999999"/>
    <n v="77349.11"/>
    <n v="0.28100000000000003"/>
    <n v="19860.43"/>
    <n v="0"/>
    <n v="47390.67"/>
    <x v="3"/>
    <n v="3"/>
  </r>
  <r>
    <n v="36323"/>
    <n v="3203908"/>
    <x v="52"/>
    <n v="1.3109999999999999"/>
    <n v="4259486.41"/>
    <n v="0"/>
    <n v="4259486.41"/>
    <n v="48813.21"/>
    <n v="371417.88"/>
    <n v="1.3109999999999999"/>
    <n v="92658.4"/>
    <n v="0"/>
    <n v="221100.22"/>
    <x v="3"/>
    <n v="3"/>
  </r>
  <r>
    <n v="36324"/>
    <n v="3204005"/>
    <x v="53"/>
    <n v="0.436"/>
    <n v="1416579.77"/>
    <n v="0"/>
    <n v="1416579.77"/>
    <n v="16233.84"/>
    <n v="89877.83"/>
    <n v="0.436"/>
    <n v="30815.45"/>
    <n v="0"/>
    <n v="73531.42"/>
    <x v="3"/>
    <n v="3"/>
  </r>
  <r>
    <n v="36325"/>
    <n v="3204054"/>
    <x v="54"/>
    <n v="0.307"/>
    <n v="997454.13"/>
    <n v="0"/>
    <n v="997454.13"/>
    <n v="11430.71"/>
    <n v="127460.55"/>
    <n v="0.307"/>
    <n v="21698.04"/>
    <n v="0"/>
    <n v="51775.57"/>
    <x v="3"/>
    <n v="3"/>
  </r>
  <r>
    <n v="36326"/>
    <n v="3204104"/>
    <x v="55"/>
    <n v="0.73199999999999998"/>
    <n v="2378294.48"/>
    <n v="0"/>
    <n v="2378294.48"/>
    <n v="27254.98"/>
    <n v="89089.57"/>
    <n v="0.73199999999999998"/>
    <n v="51736.04"/>
    <n v="0"/>
    <n v="123451.84"/>
    <x v="3"/>
    <n v="3"/>
  </r>
  <r>
    <n v="36327"/>
    <n v="3204203"/>
    <x v="56"/>
    <n v="0.14199999999999999"/>
    <n v="461363.16"/>
    <n v="0"/>
    <n v="461363.16"/>
    <n v="5287.17"/>
    <n v="281739.19"/>
    <n v="0.14199999999999999"/>
    <n v="10036.23"/>
    <n v="0"/>
    <n v="23948.31"/>
    <x v="3"/>
    <n v="3"/>
  </r>
  <r>
    <n v="36328"/>
    <n v="3204252"/>
    <x v="57"/>
    <n v="0.20899999999999999"/>
    <n v="679048.55"/>
    <n v="0"/>
    <n v="679048.55"/>
    <n v="7781.82"/>
    <n v="31053.77"/>
    <n v="0.20899999999999999"/>
    <n v="14771.63"/>
    <n v="0"/>
    <n v="35247.86"/>
    <x v="3"/>
    <n v="3"/>
  </r>
  <r>
    <n v="36329"/>
    <n v="1718402"/>
    <x v="58"/>
    <n v="0.32"/>
    <n v="1039691.58"/>
    <n v="0"/>
    <n v="1039691.58"/>
    <n v="11914.74"/>
    <n v="203033.97"/>
    <n v="0.32"/>
    <n v="22616.85"/>
    <n v="0"/>
    <n v="53968.02"/>
    <x v="3"/>
    <n v="3"/>
  </r>
  <r>
    <n v="36330"/>
    <n v="3204351"/>
    <x v="59"/>
    <n v="0.85399999999999998"/>
    <n v="2774676.9"/>
    <n v="0"/>
    <n v="2774676.9"/>
    <n v="31797.47"/>
    <n v="254246.91"/>
    <n v="0.85399999999999998"/>
    <n v="60358.720000000001"/>
    <n v="0"/>
    <n v="144027.15"/>
    <x v="3"/>
    <n v="3"/>
  </r>
  <r>
    <n v="36331"/>
    <n v="3204401"/>
    <x v="60"/>
    <n v="0.25"/>
    <n v="812259.05"/>
    <n v="0"/>
    <n v="812259.05"/>
    <n v="9308.39"/>
    <n v="79579.09"/>
    <n v="0.25"/>
    <n v="17669.41"/>
    <n v="0"/>
    <n v="42162.51"/>
    <x v="3"/>
    <n v="3"/>
  </r>
  <r>
    <n v="36332"/>
    <n v="3204500"/>
    <x v="61"/>
    <n v="0.54500000000000004"/>
    <n v="1770724.73"/>
    <n v="0"/>
    <n v="1770724.73"/>
    <n v="20292.3"/>
    <n v="124943.45"/>
    <n v="0.54500000000000004"/>
    <n v="38519.32"/>
    <n v="0"/>
    <n v="91914.28"/>
    <x v="3"/>
    <n v="3"/>
  </r>
  <r>
    <n v="36333"/>
    <n v="3204559"/>
    <x v="62"/>
    <n v="2.2349999999999999"/>
    <n v="7261595.8499999996"/>
    <n v="0"/>
    <n v="7261595.8499999996"/>
    <n v="83217.03"/>
    <n v="753649.05"/>
    <n v="2.2349999999999999"/>
    <n v="157964.56"/>
    <n v="0"/>
    <n v="376932.87"/>
    <x v="3"/>
    <n v="3"/>
  </r>
  <r>
    <n v="36334"/>
    <n v="3204609"/>
    <x v="63"/>
    <n v="0.65100000000000002"/>
    <n v="2115122.5299999998"/>
    <n v="0"/>
    <n v="2115122.5299999998"/>
    <n v="24239.06"/>
    <n v="280421.77"/>
    <n v="0.65100000000000002"/>
    <n v="46011.15"/>
    <n v="0"/>
    <n v="109791.18"/>
    <x v="3"/>
    <n v="3"/>
  </r>
  <r>
    <n v="36335"/>
    <n v="3204658"/>
    <x v="64"/>
    <n v="0.42299999999999999"/>
    <n v="1374342.3"/>
    <n v="0"/>
    <n v="1374342.3"/>
    <n v="15749.8"/>
    <n v="54308.3"/>
    <n v="0.42299999999999999"/>
    <n v="29896.65"/>
    <n v="0"/>
    <n v="71338.97"/>
    <x v="3"/>
    <n v="3"/>
  </r>
  <r>
    <n v="36336"/>
    <n v="3204708"/>
    <x v="65"/>
    <n v="0.85199999999999998"/>
    <n v="2768178.81"/>
    <n v="0"/>
    <n v="2768178.81"/>
    <n v="31723"/>
    <n v="257571.57"/>
    <n v="0.85199999999999998"/>
    <n v="60217.36"/>
    <n v="0"/>
    <n v="143689.85"/>
    <x v="3"/>
    <n v="3"/>
  </r>
  <r>
    <n v="36337"/>
    <n v="3204807"/>
    <x v="66"/>
    <n v="0.22600000000000001"/>
    <n v="734282.18"/>
    <n v="0"/>
    <n v="734282.18"/>
    <n v="8414.7900000000009"/>
    <n v="103641.36"/>
    <n v="0.22600000000000001"/>
    <n v="15973.15"/>
    <n v="0"/>
    <n v="38114.910000000003"/>
    <x v="3"/>
    <n v="3"/>
  </r>
  <r>
    <n v="36338"/>
    <n v="3204906"/>
    <x v="67"/>
    <n v="1.901"/>
    <n v="6176417.75"/>
    <n v="0"/>
    <n v="6176417.75"/>
    <n v="70781.02"/>
    <n v="839880.1"/>
    <n v="1.901"/>
    <n v="134358.23000000001"/>
    <n v="0"/>
    <n v="320603.75"/>
    <x v="3"/>
    <n v="3"/>
  </r>
  <r>
    <n v="36339"/>
    <n v="3204955"/>
    <x v="68"/>
    <n v="0.312"/>
    <n v="1013699.29"/>
    <n v="0"/>
    <n v="1013699.29"/>
    <n v="11616.87"/>
    <n v="88676.92"/>
    <n v="0.312"/>
    <n v="22051.43"/>
    <n v="0"/>
    <n v="52618.82"/>
    <x v="3"/>
    <n v="3"/>
  </r>
  <r>
    <n v="36340"/>
    <n v="3205002"/>
    <x v="69"/>
    <n v="15.625"/>
    <n v="50766190.170000002"/>
    <n v="0"/>
    <n v="50766190.170000002"/>
    <n v="581774.56999999995"/>
    <n v="3729605.37"/>
    <n v="15.625"/>
    <n v="1104338.3600000001"/>
    <n v="0"/>
    <n v="2635157.08"/>
    <x v="3"/>
    <n v="3"/>
  </r>
  <r>
    <n v="36341"/>
    <n v="3205010"/>
    <x v="70"/>
    <n v="0.72199999999999998"/>
    <n v="2345804.11"/>
    <n v="0"/>
    <n v="2345804.11"/>
    <n v="26882.639999999999"/>
    <n v="136929.9"/>
    <n v="0.72199999999999998"/>
    <n v="51029.26"/>
    <n v="0"/>
    <n v="121765.34"/>
    <x v="3"/>
    <n v="3"/>
  </r>
  <r>
    <n v="36342"/>
    <n v="3205036"/>
    <x v="71"/>
    <n v="0.49099999999999999"/>
    <n v="1595276.75"/>
    <n v="0"/>
    <n v="1595276.75"/>
    <n v="18281.68"/>
    <n v="196549.76000000001"/>
    <n v="0.49099999999999999"/>
    <n v="34702.730000000003"/>
    <n v="0"/>
    <n v="82807.179999999993"/>
    <x v="3"/>
    <n v="3"/>
  </r>
  <r>
    <n v="36343"/>
    <n v="3205069"/>
    <x v="72"/>
    <n v="0.68700000000000006"/>
    <n v="2232087.84"/>
    <n v="0"/>
    <n v="2232087.84"/>
    <n v="25579.46"/>
    <n v="415090.68"/>
    <n v="0.68700000000000006"/>
    <n v="48555.55"/>
    <n v="0"/>
    <n v="115862.59"/>
    <x v="3"/>
    <n v="3"/>
  </r>
  <r>
    <n v="36344"/>
    <n v="2112803"/>
    <x v="73"/>
    <n v="2.9870000000000001"/>
    <n v="9704871.0199999996"/>
    <n v="0"/>
    <n v="9704871.0199999996"/>
    <n v="111216.68"/>
    <n v="486971.96"/>
    <n v="2.9870000000000001"/>
    <n v="211114.15"/>
    <n v="0"/>
    <n v="503757.71"/>
    <x v="3"/>
    <n v="3"/>
  </r>
  <r>
    <n v="36345"/>
    <n v="3205150"/>
    <x v="74"/>
    <n v="0.31900000000000001"/>
    <n v="1036442.55"/>
    <n v="0"/>
    <n v="1036442.55"/>
    <n v="11877.51"/>
    <n v="76608.06"/>
    <n v="0.31900000000000001"/>
    <n v="22546.17"/>
    <n v="0"/>
    <n v="53799.37"/>
    <x v="3"/>
    <n v="3"/>
  </r>
  <r>
    <n v="36346"/>
    <n v="3205176"/>
    <x v="75"/>
    <n v="0.65800000000000003"/>
    <n v="2137865.8199999998"/>
    <n v="0"/>
    <n v="2137865.8199999998"/>
    <n v="24499.69"/>
    <n v="145508.26999999999"/>
    <n v="0.65800000000000003"/>
    <n v="46505.9"/>
    <n v="0"/>
    <n v="110971.74"/>
    <x v="3"/>
    <n v="3"/>
  </r>
  <r>
    <n v="36347"/>
    <n v="3205200"/>
    <x v="76"/>
    <n v="5.056"/>
    <n v="16427126.9"/>
    <n v="0"/>
    <n v="16427126.9"/>
    <n v="188252.94"/>
    <n v="4597695.16"/>
    <n v="5.056"/>
    <n v="357346.23"/>
    <n v="0"/>
    <n v="852694.67"/>
    <x v="3"/>
    <n v="3"/>
  </r>
  <r>
    <n v="36348"/>
    <n v="3205309"/>
    <x v="77"/>
    <n v="14.782"/>
    <n v="48027252.609999999"/>
    <n v="0"/>
    <n v="48027252.609999999"/>
    <n v="550386.67000000004"/>
    <n v="6358098.1100000003"/>
    <n v="14.782"/>
    <n v="1044757.12"/>
    <n v="0"/>
    <n v="2492985.0499999998"/>
    <x v="3"/>
    <n v="3"/>
  </r>
  <r>
    <n v="36349"/>
    <n v="3200102"/>
    <x v="0"/>
    <n v="0.76100000000000001"/>
    <n v="2794906.64"/>
    <n v="0"/>
    <n v="2794906.64"/>
    <n v="30206.880000000001"/>
    <n v="893578.76"/>
    <n v="0.98499999999999999"/>
    <n v="51246.720000000001"/>
    <n v="0"/>
    <n v="15348.38"/>
    <x v="3"/>
    <n v="4"/>
  </r>
  <r>
    <n v="36350"/>
    <n v="3200169"/>
    <x v="1"/>
    <n v="0.28899999999999998"/>
    <n v="1061403.42"/>
    <n v="0"/>
    <n v="1061403.42"/>
    <n v="11471.47"/>
    <n v="217186.4"/>
    <n v="0.439"/>
    <n v="19461.64"/>
    <n v="0"/>
    <n v="5828.75"/>
    <x v="3"/>
    <n v="4"/>
  </r>
  <r>
    <n v="36351"/>
    <n v="3200136"/>
    <x v="2"/>
    <n v="0.40400000000000003"/>
    <n v="1483761.19"/>
    <n v="0"/>
    <n v="1483761.19"/>
    <n v="16036.24"/>
    <n v="295274.92"/>
    <n v="0.34799999999999998"/>
    <n v="27205.88"/>
    <n v="0"/>
    <n v="8148.15"/>
    <x v="3"/>
    <n v="4"/>
  </r>
  <r>
    <n v="36352"/>
    <n v="3200201"/>
    <x v="3"/>
    <n v="0.498"/>
    <n v="1828992.78"/>
    <n v="0"/>
    <n v="1828992.78"/>
    <n v="19767.439999999999"/>
    <n v="797494.98"/>
    <n v="0.98"/>
    <n v="33535.97"/>
    <n v="0"/>
    <n v="10044.01"/>
    <x v="3"/>
    <n v="4"/>
  </r>
  <r>
    <n v="36353"/>
    <n v="3200300"/>
    <x v="4"/>
    <n v="0.46700000000000003"/>
    <n v="1715139.8"/>
    <n v="0"/>
    <n v="1715139.8"/>
    <n v="18536.939999999999"/>
    <n v="918138.85"/>
    <n v="0.56399999999999995"/>
    <n v="31448.39"/>
    <n v="0"/>
    <n v="9418.7800000000007"/>
    <x v="3"/>
    <n v="4"/>
  </r>
  <r>
    <n v="36354"/>
    <n v="3200359"/>
    <x v="5"/>
    <n v="0.22600000000000001"/>
    <n v="830024.84"/>
    <n v="0"/>
    <n v="830024.84"/>
    <n v="8970.77"/>
    <n v="140053.06"/>
    <n v="0.32700000000000001"/>
    <n v="15219.13"/>
    <n v="0"/>
    <n v="4558.13"/>
    <x v="3"/>
    <n v="4"/>
  </r>
  <r>
    <n v="36355"/>
    <n v="3200409"/>
    <x v="6"/>
    <n v="3.1480000000000001"/>
    <n v="11561584.82"/>
    <n v="0"/>
    <n v="11561584.82"/>
    <n v="124955.65"/>
    <n v="975273.52"/>
    <n v="0.90800000000000003"/>
    <n v="211990.39999999999"/>
    <n v="0"/>
    <n v="63491.07"/>
    <x v="3"/>
    <n v="4"/>
  </r>
  <r>
    <n v="36356"/>
    <n v="3200508"/>
    <x v="7"/>
    <n v="0.185"/>
    <n v="679445.1"/>
    <n v="0"/>
    <n v="679445.1"/>
    <n v="7343.33"/>
    <n v="356154.47"/>
    <n v="0.32300000000000001"/>
    <n v="12458.14"/>
    <n v="0"/>
    <n v="3731.21"/>
    <x v="3"/>
    <n v="4"/>
  </r>
  <r>
    <n v="36357"/>
    <n v="3200607"/>
    <x v="8"/>
    <n v="2.9220000000000002"/>
    <n v="10731559.99"/>
    <n v="0"/>
    <n v="10731559.99"/>
    <n v="115984.88"/>
    <n v="3236996.27"/>
    <n v="2.5089999999999999"/>
    <n v="196771.26"/>
    <n v="0"/>
    <n v="58932.94"/>
    <x v="3"/>
    <n v="4"/>
  </r>
  <r>
    <n v="36358"/>
    <n v="3200706"/>
    <x v="9"/>
    <n v="0.35399999999999998"/>
    <n v="1300127.3999999999"/>
    <n v="0"/>
    <n v="1300127.3999999999"/>
    <n v="14051.56"/>
    <n v="271953.01"/>
    <n v="0.45700000000000002"/>
    <n v="23838.81"/>
    <n v="0"/>
    <n v="7139.72"/>
    <x v="3"/>
    <n v="4"/>
  </r>
  <r>
    <n v="36359"/>
    <n v="3200805"/>
    <x v="10"/>
    <n v="0.60699999999999998"/>
    <n v="2229314.4900000002"/>
    <n v="0"/>
    <n v="2229314.4900000002"/>
    <n v="24094.05"/>
    <n v="1395612.04"/>
    <n v="0.997"/>
    <n v="40876.17"/>
    <n v="0"/>
    <n v="12242.4"/>
    <x v="3"/>
    <n v="4"/>
  </r>
  <r>
    <n v="36360"/>
    <n v="3200904"/>
    <x v="11"/>
    <n v="1.0289999999999999"/>
    <n v="3779183.84"/>
    <n v="0"/>
    <n v="3779183.84"/>
    <n v="40844.78"/>
    <n v="1524335.38"/>
    <n v="1.321"/>
    <n v="69294.19"/>
    <n v="0"/>
    <n v="20753.59"/>
    <x v="3"/>
    <n v="4"/>
  </r>
  <r>
    <n v="36361"/>
    <n v="3107109"/>
    <x v="12"/>
    <n v="0.39500000000000002"/>
    <n v="1450707.13"/>
    <n v="0"/>
    <n v="1450707.13"/>
    <n v="15679"/>
    <n v="315619.96999999997"/>
    <n v="0.56899999999999995"/>
    <n v="26599.82"/>
    <n v="0"/>
    <n v="7966.64"/>
    <x v="3"/>
    <n v="4"/>
  </r>
  <r>
    <n v="36362"/>
    <n v="3201100"/>
    <x v="13"/>
    <n v="0.17599999999999999"/>
    <n v="646391.01"/>
    <n v="0"/>
    <n v="646391.01"/>
    <n v="6986.08"/>
    <n v="990894.22"/>
    <n v="0.43"/>
    <n v="11852.07"/>
    <n v="0"/>
    <n v="3549.69"/>
    <x v="3"/>
    <n v="4"/>
  </r>
  <r>
    <n v="36363"/>
    <n v="3201159"/>
    <x v="14"/>
    <n v="0.42099999999999999"/>
    <n v="1546196.7"/>
    <n v="0"/>
    <n v="1546196.7"/>
    <n v="16711.03"/>
    <n v="350265.56"/>
    <n v="0.46"/>
    <n v="28350.68"/>
    <n v="0"/>
    <n v="8491.02"/>
    <x v="3"/>
    <n v="4"/>
  </r>
  <r>
    <n v="36364"/>
    <n v="3201209"/>
    <x v="15"/>
    <n v="3.1120000000000001"/>
    <n v="11429368.470000001"/>
    <n v="0"/>
    <n v="11429368.470000001"/>
    <n v="123526.68"/>
    <n v="7170549.0800000001"/>
    <n v="4.4820000000000002"/>
    <n v="209566.12"/>
    <n v="0"/>
    <n v="62764.99"/>
    <x v="3"/>
    <n v="4"/>
  </r>
  <r>
    <n v="36365"/>
    <n v="3201308"/>
    <x v="16"/>
    <n v="7.2990000000000004"/>
    <n v="26806863.920000002"/>
    <n v="0"/>
    <n v="26806863.920000002"/>
    <n v="289724.03999999998"/>
    <n v="10934107.1"/>
    <n v="6.6040000000000001"/>
    <n v="491524.13"/>
    <n v="0"/>
    <n v="147211.34"/>
    <x v="3"/>
    <n v="4"/>
  </r>
  <r>
    <n v="36366"/>
    <n v="3201407"/>
    <x v="17"/>
    <n v="0.89900000000000002"/>
    <n v="3301735.96"/>
    <n v="0"/>
    <n v="3301735.96"/>
    <n v="35684.6"/>
    <n v="2060198.99"/>
    <n v="1.155"/>
    <n v="60539.83"/>
    <n v="0"/>
    <n v="18131.66"/>
    <x v="3"/>
    <n v="4"/>
  </r>
  <r>
    <n v="36367"/>
    <n v="3201506"/>
    <x v="18"/>
    <n v="2.2320000000000002"/>
    <n v="8197413.3700000001"/>
    <n v="0"/>
    <n v="8197413.3700000001"/>
    <n v="88596.25"/>
    <n v="4750080.18"/>
    <n v="2.8220000000000001"/>
    <n v="150305.76999999999"/>
    <n v="0"/>
    <n v="45016.54"/>
    <x v="3"/>
    <n v="4"/>
  </r>
  <r>
    <n v="36368"/>
    <n v="3201605"/>
    <x v="19"/>
    <n v="0.79400000000000004"/>
    <n v="2916104.93"/>
    <n v="0"/>
    <n v="2916104.93"/>
    <n v="31516.77"/>
    <n v="433609.72"/>
    <n v="0.999"/>
    <n v="53468.99"/>
    <n v="0"/>
    <n v="16013.95"/>
    <x v="3"/>
    <n v="4"/>
  </r>
  <r>
    <n v="36369"/>
    <n v="3201704"/>
    <x v="20"/>
    <n v="0.46"/>
    <n v="1689431.09"/>
    <n v="0"/>
    <n v="1689431.09"/>
    <n v="18259.080000000002"/>
    <n v="388403.07"/>
    <n v="0.46500000000000002"/>
    <n v="30976.99"/>
    <n v="0"/>
    <n v="9277.6"/>
    <x v="3"/>
    <n v="4"/>
  </r>
  <r>
    <n v="36370"/>
    <n v="3201803"/>
    <x v="21"/>
    <n v="0.182"/>
    <n v="668427.1"/>
    <n v="0"/>
    <n v="668427.1"/>
    <n v="7224.25"/>
    <n v="87583.73"/>
    <n v="0.28299999999999997"/>
    <n v="12256.12"/>
    <n v="0"/>
    <n v="3670.7"/>
    <x v="3"/>
    <n v="4"/>
  </r>
  <r>
    <n v="36371"/>
    <n v="3201902"/>
    <x v="22"/>
    <n v="1.268"/>
    <n v="4656953.47"/>
    <n v="0"/>
    <n v="4656953.47"/>
    <n v="50331.56"/>
    <n v="1586329.31"/>
    <n v="1.0309999999999999"/>
    <n v="85388.76"/>
    <n v="0"/>
    <n v="25573.91"/>
    <x v="3"/>
    <n v="4"/>
  </r>
  <r>
    <n v="36372"/>
    <n v="3202009"/>
    <x v="23"/>
    <n v="0.27"/>
    <n v="991622.58"/>
    <n v="0"/>
    <n v="991622.58"/>
    <n v="10717.29"/>
    <n v="462450.5"/>
    <n v="0.314"/>
    <n v="18182.150000000001"/>
    <n v="0"/>
    <n v="5445.55"/>
    <x v="3"/>
    <n v="4"/>
  </r>
  <r>
    <n v="36373"/>
    <n v="3202108"/>
    <x v="24"/>
    <n v="0.69399999999999995"/>
    <n v="2548837.31"/>
    <n v="0"/>
    <n v="2548837.31"/>
    <n v="27547.4"/>
    <n v="391718.35"/>
    <n v="0.81599999999999995"/>
    <n v="46734.86"/>
    <n v="0"/>
    <n v="13997.08"/>
    <x v="3"/>
    <n v="4"/>
  </r>
  <r>
    <n v="36374"/>
    <n v="3202207"/>
    <x v="25"/>
    <n v="0.28599999999999998"/>
    <n v="1050385.4099999999"/>
    <n v="0"/>
    <n v="1050385.4099999999"/>
    <n v="11352.39"/>
    <n v="446851.52"/>
    <n v="0.73399999999999999"/>
    <n v="19259.61"/>
    <n v="0"/>
    <n v="5768.25"/>
    <x v="3"/>
    <n v="4"/>
  </r>
  <r>
    <n v="36375"/>
    <n v="3202256"/>
    <x v="26"/>
    <n v="0.438"/>
    <n v="1608632.19"/>
    <n v="0"/>
    <n v="1608632.19"/>
    <n v="17385.82"/>
    <n v="417184.95"/>
    <n v="0.46700000000000003"/>
    <n v="29495.49"/>
    <n v="0"/>
    <n v="8833.89"/>
    <x v="3"/>
    <n v="4"/>
  </r>
  <r>
    <n v="36376"/>
    <n v="3202306"/>
    <x v="27"/>
    <n v="0.35899999999999999"/>
    <n v="1318490.78"/>
    <n v="0"/>
    <n v="1318490.78"/>
    <n v="14250.02"/>
    <n v="1260991.8700000001"/>
    <n v="0.998"/>
    <n v="24175.53"/>
    <n v="0"/>
    <n v="7240.56"/>
    <x v="3"/>
    <n v="4"/>
  </r>
  <r>
    <n v="36377"/>
    <n v="3202405"/>
    <x v="28"/>
    <n v="0.81200000000000006"/>
    <n v="2982213.1"/>
    <n v="0"/>
    <n v="2982213.1"/>
    <n v="32231.25"/>
    <n v="7604546.3799999999"/>
    <n v="2.8730000000000002"/>
    <n v="54681.13"/>
    <n v="0"/>
    <n v="16376.98"/>
    <x v="3"/>
    <n v="4"/>
  </r>
  <r>
    <n v="36378"/>
    <n v="3202454"/>
    <x v="29"/>
    <n v="0.372"/>
    <n v="1366235.55"/>
    <n v="0"/>
    <n v="1366235.55"/>
    <n v="14766.04"/>
    <n v="957888.8"/>
    <n v="0.86499999999999999"/>
    <n v="25050.959999999999"/>
    <n v="0"/>
    <n v="7502.76"/>
    <x v="3"/>
    <n v="4"/>
  </r>
  <r>
    <n v="36379"/>
    <n v="3202504"/>
    <x v="30"/>
    <n v="0.23100000000000001"/>
    <n v="848388.21"/>
    <n v="0"/>
    <n v="848388.21"/>
    <n v="9169.24"/>
    <n v="526269.6"/>
    <n v="0.46300000000000002"/>
    <n v="15555.83"/>
    <n v="0"/>
    <n v="4658.97"/>
    <x v="3"/>
    <n v="4"/>
  </r>
  <r>
    <n v="36380"/>
    <n v="3202553"/>
    <x v="31"/>
    <n v="0.24299999999999999"/>
    <n v="892460.32"/>
    <n v="0"/>
    <n v="892460.32"/>
    <n v="9645.56"/>
    <n v="170565.52"/>
    <n v="0.33800000000000002"/>
    <n v="16363.93"/>
    <n v="0"/>
    <n v="4900.99"/>
    <x v="3"/>
    <n v="4"/>
  </r>
  <r>
    <n v="36381"/>
    <n v="3202603"/>
    <x v="32"/>
    <n v="0.315"/>
    <n v="1156893.03"/>
    <n v="0"/>
    <n v="1156893.03"/>
    <n v="12503.5"/>
    <n v="980073.56"/>
    <n v="0.55600000000000005"/>
    <n v="21212.51"/>
    <n v="0"/>
    <n v="6353.14"/>
    <x v="3"/>
    <n v="4"/>
  </r>
  <r>
    <n v="36382"/>
    <n v="3202652"/>
    <x v="33"/>
    <n v="0.29899999999999999"/>
    <n v="1098130.21"/>
    <n v="0"/>
    <n v="1098130.21"/>
    <n v="11868.41"/>
    <n v="434001.9"/>
    <n v="0.55100000000000005"/>
    <n v="20135.05"/>
    <n v="0"/>
    <n v="6030.44"/>
    <x v="3"/>
    <n v="4"/>
  </r>
  <r>
    <n v="36383"/>
    <n v="3202702"/>
    <x v="34"/>
    <n v="0.31900000000000001"/>
    <n v="1171583.72"/>
    <n v="0"/>
    <n v="1171583.72"/>
    <n v="12662.28"/>
    <n v="346433.56"/>
    <n v="0.55500000000000005"/>
    <n v="21481.88"/>
    <n v="0"/>
    <n v="6433.82"/>
    <x v="3"/>
    <n v="4"/>
  </r>
  <r>
    <n v="36384"/>
    <n v="3202801"/>
    <x v="35"/>
    <n v="2.4550000000000001"/>
    <n v="9016420.1899999995"/>
    <n v="0"/>
    <n v="9016420.1899999995"/>
    <n v="97447.94"/>
    <n v="755225.19"/>
    <n v="1.0409999999999999"/>
    <n v="165322.89000000001"/>
    <n v="0"/>
    <n v="49514.16"/>
    <x v="3"/>
    <n v="4"/>
  </r>
  <r>
    <n v="36385"/>
    <n v="3202900"/>
    <x v="36"/>
    <n v="0.34799999999999998"/>
    <n v="1278091.3400000001"/>
    <n v="0"/>
    <n v="1278091.3400000001"/>
    <n v="13813.39"/>
    <n v="433446.11"/>
    <n v="0.435"/>
    <n v="23434.76"/>
    <n v="0"/>
    <n v="7018.71"/>
    <x v="3"/>
    <n v="4"/>
  </r>
  <r>
    <n v="36386"/>
    <n v="3203007"/>
    <x v="37"/>
    <n v="0.496"/>
    <n v="1821647.44"/>
    <n v="0"/>
    <n v="1821647.44"/>
    <n v="19688.060000000001"/>
    <n v="720161.49"/>
    <n v="0.89700000000000002"/>
    <n v="33401.279999999999"/>
    <n v="0"/>
    <n v="10003.68"/>
    <x v="3"/>
    <n v="4"/>
  </r>
  <r>
    <n v="36387"/>
    <n v="3203056"/>
    <x v="38"/>
    <n v="0.871"/>
    <n v="3198901.02"/>
    <n v="0"/>
    <n v="3198901.02"/>
    <n v="34573.18"/>
    <n v="1065947.49"/>
    <n v="1"/>
    <n v="58654.27"/>
    <n v="0"/>
    <n v="17566.939999999999"/>
    <x v="3"/>
    <n v="4"/>
  </r>
  <r>
    <n v="36388"/>
    <n v="3203106"/>
    <x v="39"/>
    <n v="0.21"/>
    <n v="771262"/>
    <n v="0"/>
    <n v="771262"/>
    <n v="8335.67"/>
    <n v="237831.11"/>
    <n v="0.45800000000000002"/>
    <n v="14141.68"/>
    <n v="0"/>
    <n v="4235.43"/>
    <x v="3"/>
    <n v="4"/>
  </r>
  <r>
    <n v="36389"/>
    <n v="3203130"/>
    <x v="40"/>
    <n v="0.36199999999999999"/>
    <n v="1329508.8"/>
    <n v="0"/>
    <n v="1329508.8"/>
    <n v="14369.11"/>
    <n v="631466.80000000005"/>
    <n v="0.66600000000000004"/>
    <n v="24377.55"/>
    <n v="0"/>
    <n v="7301.07"/>
    <x v="3"/>
    <n v="4"/>
  </r>
  <r>
    <n v="36390"/>
    <n v="3203163"/>
    <x v="41"/>
    <n v="0.373"/>
    <n v="1369908.24"/>
    <n v="0"/>
    <n v="1369908.24"/>
    <n v="14805.74"/>
    <n v="345849.77"/>
    <n v="0.441"/>
    <n v="25118.3"/>
    <n v="0"/>
    <n v="7522.92"/>
    <x v="3"/>
    <n v="4"/>
  </r>
  <r>
    <n v="36391"/>
    <n v="3203205"/>
    <x v="42"/>
    <n v="4.9790000000000001"/>
    <n v="18286255.030000001"/>
    <n v="0"/>
    <n v="18286255.030000001"/>
    <n v="197634.75"/>
    <n v="5909479.1100000003"/>
    <n v="4.0880000000000001"/>
    <n v="335292.31"/>
    <n v="0"/>
    <n v="100419.96"/>
    <x v="3"/>
    <n v="4"/>
  </r>
  <r>
    <n v="36392"/>
    <n v="3203304"/>
    <x v="43"/>
    <n v="0.27600000000000002"/>
    <n v="1013658.66"/>
    <n v="0"/>
    <n v="1013658.66"/>
    <n v="10955.45"/>
    <n v="405985.07"/>
    <n v="0.57599999999999996"/>
    <n v="18586.2"/>
    <n v="0"/>
    <n v="5566.56"/>
    <x v="3"/>
    <n v="4"/>
  </r>
  <r>
    <n v="36393"/>
    <n v="3203320"/>
    <x v="44"/>
    <n v="0.65800000000000003"/>
    <n v="2416620.9500000002"/>
    <n v="0"/>
    <n v="2416620.9500000002"/>
    <n v="26118.43"/>
    <n v="1094685.8400000001"/>
    <n v="1.171"/>
    <n v="44310.58"/>
    <n v="0"/>
    <n v="13271"/>
    <x v="3"/>
    <n v="4"/>
  </r>
  <r>
    <n v="36394"/>
    <n v="3203346"/>
    <x v="45"/>
    <n v="0.61099999999999999"/>
    <n v="2244005.16"/>
    <n v="0"/>
    <n v="2244005.16"/>
    <n v="24252.83"/>
    <n v="930309.23"/>
    <n v="0.67100000000000004"/>
    <n v="41145.53"/>
    <n v="0"/>
    <n v="12323.08"/>
    <x v="3"/>
    <n v="4"/>
  </r>
  <r>
    <n v="36395"/>
    <n v="3203353"/>
    <x v="46"/>
    <n v="0.436"/>
    <n v="1601286.85"/>
    <n v="0"/>
    <n v="1601286.85"/>
    <n v="17306.439999999999"/>
    <n v="668154.93999999994"/>
    <n v="0.46700000000000003"/>
    <n v="29360.81"/>
    <n v="0"/>
    <n v="8793.5499999999993"/>
    <x v="3"/>
    <n v="4"/>
  </r>
  <r>
    <n v="36396"/>
    <n v="3203403"/>
    <x v="47"/>
    <n v="0.495"/>
    <n v="1817974.75"/>
    <n v="0"/>
    <n v="1817974.75"/>
    <n v="19648.36"/>
    <n v="677507.23"/>
    <n v="0.85599999999999998"/>
    <n v="33333.94"/>
    <n v="0"/>
    <n v="9983.51"/>
    <x v="3"/>
    <n v="4"/>
  </r>
  <r>
    <n v="36397"/>
    <n v="3203502"/>
    <x v="48"/>
    <n v="0.52100000000000002"/>
    <n v="1913464.31"/>
    <n v="0"/>
    <n v="1913464.31"/>
    <n v="20680.400000000001"/>
    <n v="524136.01"/>
    <n v="0.69299999999999995"/>
    <n v="35084.82"/>
    <n v="0"/>
    <n v="10507.89"/>
    <x v="3"/>
    <n v="4"/>
  </r>
  <r>
    <n v="36398"/>
    <n v="3203601"/>
    <x v="49"/>
    <n v="0.28299999999999997"/>
    <n v="1039367.38"/>
    <n v="0"/>
    <n v="1039367.38"/>
    <n v="11233.31"/>
    <n v="101220.57"/>
    <n v="0.29799999999999999"/>
    <n v="19057.59"/>
    <n v="0"/>
    <n v="5707.74"/>
    <x v="3"/>
    <n v="4"/>
  </r>
  <r>
    <n v="36399"/>
    <n v="3203700"/>
    <x v="50"/>
    <n v="0.54600000000000004"/>
    <n v="2005281.22"/>
    <n v="0"/>
    <n v="2005281.22"/>
    <n v="21672.74"/>
    <n v="401128.52"/>
    <n v="0.67100000000000004"/>
    <n v="36768.35"/>
    <n v="0"/>
    <n v="11012.11"/>
    <x v="3"/>
    <n v="4"/>
  </r>
  <r>
    <n v="36400"/>
    <n v="3203809"/>
    <x v="51"/>
    <n v="0.28100000000000003"/>
    <n v="1032022.03"/>
    <n v="0"/>
    <n v="1032022.03"/>
    <n v="11153.92"/>
    <n v="286404.55"/>
    <n v="0.57499999999999996"/>
    <n v="18922.900000000001"/>
    <n v="0"/>
    <n v="5667.4"/>
    <x v="3"/>
    <n v="4"/>
  </r>
  <r>
    <n v="36401"/>
    <n v="3203908"/>
    <x v="52"/>
    <n v="1.3109999999999999"/>
    <n v="4814878.5599999996"/>
    <n v="0"/>
    <n v="4814878.5599999996"/>
    <n v="52038.39"/>
    <n v="1508389.13"/>
    <n v="1.4650000000000001"/>
    <n v="88284.44"/>
    <n v="0"/>
    <n v="26441.17"/>
    <x v="3"/>
    <n v="4"/>
  </r>
  <r>
    <n v="36402"/>
    <n v="3204005"/>
    <x v="53"/>
    <n v="0.436"/>
    <n v="1601286.85"/>
    <n v="0"/>
    <n v="1601286.85"/>
    <n v="17306.439999999999"/>
    <n v="367785.1"/>
    <n v="0.747"/>
    <n v="29360.81"/>
    <n v="0"/>
    <n v="8793.5499999999993"/>
    <x v="3"/>
    <n v="4"/>
  </r>
  <r>
    <n v="36403"/>
    <n v="3204054"/>
    <x v="54"/>
    <n v="0.307"/>
    <n v="1127511.6000000001"/>
    <n v="0"/>
    <n v="1127511.6000000001"/>
    <n v="12185.95"/>
    <n v="552881.49"/>
    <n v="0.86199999999999999"/>
    <n v="20673.78"/>
    <n v="0"/>
    <n v="6191.79"/>
    <x v="3"/>
    <n v="4"/>
  </r>
  <r>
    <n v="36404"/>
    <n v="3204104"/>
    <x v="55"/>
    <n v="0.73199999999999998"/>
    <n v="2688399.02"/>
    <n v="0"/>
    <n v="2688399.02"/>
    <n v="29055.759999999998"/>
    <n v="452851.85"/>
    <n v="0.875"/>
    <n v="49293.83"/>
    <n v="0"/>
    <n v="14763.49"/>
    <x v="3"/>
    <n v="4"/>
  </r>
  <r>
    <n v="36405"/>
    <n v="3204203"/>
    <x v="56"/>
    <n v="0.14199999999999999"/>
    <n v="521520.03"/>
    <n v="0"/>
    <n v="521520.03"/>
    <n v="5636.5"/>
    <n v="967789.55"/>
    <n v="0.73399999999999999"/>
    <n v="9562.4599999999991"/>
    <n v="0"/>
    <n v="2863.96"/>
    <x v="3"/>
    <n v="4"/>
  </r>
  <r>
    <n v="36406"/>
    <n v="3204252"/>
    <x v="57"/>
    <n v="0.20899999999999999"/>
    <n v="767589.34"/>
    <n v="0"/>
    <n v="767589.34"/>
    <n v="8295.98"/>
    <n v="110334"/>
    <n v="0.32900000000000001"/>
    <n v="14074.33"/>
    <n v="0"/>
    <n v="4215.26"/>
    <x v="3"/>
    <n v="4"/>
  </r>
  <r>
    <n v="36407"/>
    <n v="1718402"/>
    <x v="58"/>
    <n v="0.32"/>
    <n v="1175256.43"/>
    <n v="0"/>
    <n v="1175256.43"/>
    <n v="12701.97"/>
    <n v="551387.27"/>
    <n v="0.45100000000000001"/>
    <n v="21549.21"/>
    <n v="0"/>
    <n v="6453.98"/>
    <x v="3"/>
    <n v="4"/>
  </r>
  <r>
    <n v="36408"/>
    <n v="3204351"/>
    <x v="59"/>
    <n v="0.85399999999999998"/>
    <n v="3136465.52"/>
    <n v="0"/>
    <n v="3136465.52"/>
    <n v="33898.39"/>
    <n v="1122000.94"/>
    <n v="0.69799999999999995"/>
    <n v="57509.47"/>
    <n v="0"/>
    <n v="17224.07"/>
    <x v="3"/>
    <n v="4"/>
  </r>
  <r>
    <n v="36409"/>
    <n v="3204401"/>
    <x v="60"/>
    <n v="0.25"/>
    <n v="918169.06"/>
    <n v="0"/>
    <n v="918169.06"/>
    <n v="9923.42"/>
    <n v="362529.06"/>
    <n v="0.45"/>
    <n v="16835.32"/>
    <n v="0"/>
    <n v="5042.17"/>
    <x v="3"/>
    <n v="4"/>
  </r>
  <r>
    <n v="36410"/>
    <n v="3204500"/>
    <x v="61"/>
    <n v="0.54500000000000004"/>
    <n v="2001608.55"/>
    <n v="0"/>
    <n v="2001608.55"/>
    <n v="21633.05"/>
    <n v="302748.77"/>
    <n v="0.45600000000000002"/>
    <n v="36701"/>
    <n v="0"/>
    <n v="10991.94"/>
    <x v="3"/>
    <n v="4"/>
  </r>
  <r>
    <n v="36411"/>
    <n v="3204559"/>
    <x v="62"/>
    <n v="2.2349999999999999"/>
    <n v="8208431.4100000001"/>
    <n v="0"/>
    <n v="8208431.4100000001"/>
    <n v="88715.34"/>
    <n v="2134021.06"/>
    <n v="1.1990000000000001"/>
    <n v="150507.79999999999"/>
    <n v="0"/>
    <n v="45077.04"/>
    <x v="3"/>
    <n v="4"/>
  </r>
  <r>
    <n v="36412"/>
    <n v="3204609"/>
    <x v="63"/>
    <n v="0.65100000000000002"/>
    <n v="2390912.25"/>
    <n v="0"/>
    <n v="2390912.25"/>
    <n v="25840.57"/>
    <n v="1114850.1100000001"/>
    <n v="0.82899999999999996"/>
    <n v="43839.19"/>
    <n v="0"/>
    <n v="13129.82"/>
    <x v="3"/>
    <n v="4"/>
  </r>
  <r>
    <n v="36413"/>
    <n v="3204658"/>
    <x v="64"/>
    <n v="0.42299999999999999"/>
    <n v="1553542.08"/>
    <n v="0"/>
    <n v="1553542.08"/>
    <n v="16790.419999999998"/>
    <n v="359730.01"/>
    <n v="0.33700000000000002"/>
    <n v="28485.37"/>
    <n v="0"/>
    <n v="8531.36"/>
    <x v="3"/>
    <n v="4"/>
  </r>
  <r>
    <n v="36414"/>
    <n v="3204708"/>
    <x v="65"/>
    <n v="0.85199999999999998"/>
    <n v="3129120.16"/>
    <n v="0"/>
    <n v="3129120.16"/>
    <n v="33819"/>
    <n v="1225453.3700000001"/>
    <n v="1.169"/>
    <n v="57374.79"/>
    <n v="0"/>
    <n v="17183.73"/>
    <x v="3"/>
    <n v="4"/>
  </r>
  <r>
    <n v="36415"/>
    <n v="3204807"/>
    <x v="66"/>
    <n v="0.22600000000000001"/>
    <n v="830024.84"/>
    <n v="0"/>
    <n v="830024.84"/>
    <n v="8970.77"/>
    <n v="308054.25"/>
    <n v="0.436"/>
    <n v="15219.13"/>
    <n v="0"/>
    <n v="4558.13"/>
    <x v="3"/>
    <n v="4"/>
  </r>
  <r>
    <n v="36416"/>
    <n v="3204906"/>
    <x v="67"/>
    <n v="1.901"/>
    <n v="6981757.5300000003"/>
    <n v="0"/>
    <n v="6981757.5300000003"/>
    <n v="75457.649999999994"/>
    <n v="3252887.57"/>
    <n v="3.0249999999999999"/>
    <n v="128015.8"/>
    <n v="0"/>
    <n v="38340.699999999997"/>
    <x v="3"/>
    <n v="4"/>
  </r>
  <r>
    <n v="36417"/>
    <n v="3204955"/>
    <x v="68"/>
    <n v="0.312"/>
    <n v="1145875"/>
    <n v="0"/>
    <n v="1145875"/>
    <n v="12384.42"/>
    <n v="413793.65"/>
    <n v="0.46100000000000002"/>
    <n v="21010.49"/>
    <n v="0"/>
    <n v="6292.63"/>
    <x v="3"/>
    <n v="4"/>
  </r>
  <r>
    <n v="36418"/>
    <n v="3205002"/>
    <x v="69"/>
    <n v="15.625"/>
    <n v="57385566.350000001"/>
    <n v="0"/>
    <n v="57385566.350000001"/>
    <n v="620213.48"/>
    <n v="14044667.880000001"/>
    <n v="8.4320000000000004"/>
    <n v="1052207.76"/>
    <n v="0"/>
    <n v="315135.93"/>
    <x v="3"/>
    <n v="4"/>
  </r>
  <r>
    <n v="36419"/>
    <n v="3205010"/>
    <x v="70"/>
    <n v="0.72199999999999998"/>
    <n v="2651672.2599999998"/>
    <n v="0"/>
    <n v="2651672.2599999998"/>
    <n v="28658.82"/>
    <n v="526949.68999999994"/>
    <n v="0.997"/>
    <n v="48620.42"/>
    <n v="0"/>
    <n v="14561.8"/>
    <x v="3"/>
    <n v="4"/>
  </r>
  <r>
    <n v="36420"/>
    <n v="3205036"/>
    <x v="71"/>
    <n v="0.49099999999999999"/>
    <n v="1803284.05"/>
    <n v="0"/>
    <n v="1803284.05"/>
    <n v="19489.59"/>
    <n v="694034.47"/>
    <n v="0.72699999999999998"/>
    <n v="33064.57"/>
    <n v="0"/>
    <n v="9902.83"/>
    <x v="3"/>
    <n v="4"/>
  </r>
  <r>
    <n v="36421"/>
    <n v="3205069"/>
    <x v="72"/>
    <n v="0.68700000000000006"/>
    <n v="2523128.58"/>
    <n v="0"/>
    <n v="2523128.58"/>
    <n v="27269.55"/>
    <n v="1599963.37"/>
    <n v="0.85799999999999998"/>
    <n v="46263.47"/>
    <n v="0"/>
    <n v="13855.9"/>
    <x v="3"/>
    <n v="4"/>
  </r>
  <r>
    <n v="36422"/>
    <n v="2112803"/>
    <x v="73"/>
    <n v="2.9870000000000001"/>
    <n v="10970283.939999999"/>
    <n v="0"/>
    <n v="10970283.939999999"/>
    <n v="118564.97"/>
    <n v="2498623.86"/>
    <n v="1.984"/>
    <n v="201148.45"/>
    <n v="0"/>
    <n v="60243.91"/>
    <x v="3"/>
    <n v="4"/>
  </r>
  <r>
    <n v="36423"/>
    <n v="3205150"/>
    <x v="74"/>
    <n v="0.31900000000000001"/>
    <n v="1171583.72"/>
    <n v="0"/>
    <n v="1171583.72"/>
    <n v="12662.28"/>
    <n v="258218.37"/>
    <n v="0.34399999999999997"/>
    <n v="21481.88"/>
    <n v="0"/>
    <n v="6433.82"/>
    <x v="3"/>
    <n v="4"/>
  </r>
  <r>
    <n v="36424"/>
    <n v="3205176"/>
    <x v="75"/>
    <n v="0.65800000000000003"/>
    <n v="2416620.9500000002"/>
    <n v="0"/>
    <n v="2416620.9500000002"/>
    <n v="26118.43"/>
    <n v="694298.45"/>
    <n v="0.55600000000000005"/>
    <n v="44310.58"/>
    <n v="0"/>
    <n v="13271"/>
    <x v="3"/>
    <n v="4"/>
  </r>
  <r>
    <n v="36425"/>
    <n v="3205200"/>
    <x v="76"/>
    <n v="5.056"/>
    <n v="18569051.079999998"/>
    <n v="0"/>
    <n v="18569051.079999998"/>
    <n v="200691.16"/>
    <n v="18157707.16"/>
    <n v="8.09"/>
    <n v="340477.59"/>
    <n v="0"/>
    <n v="101972.95"/>
    <x v="3"/>
    <n v="4"/>
  </r>
  <r>
    <n v="36426"/>
    <n v="3205309"/>
    <x v="77"/>
    <n v="14.782"/>
    <n v="54289500.159999996"/>
    <n v="0"/>
    <n v="54289500.159999996"/>
    <n v="586751.72"/>
    <n v="21572087.670000002"/>
    <n v="9.4969999999999999"/>
    <n v="995439.01"/>
    <n v="0"/>
    <n v="298133.71999999997"/>
    <x v="3"/>
    <n v="4"/>
  </r>
  <r>
    <n v="36427"/>
    <n v="3200102"/>
    <x v="0"/>
    <n v="0.76100000000000001"/>
    <n v="2783213.02"/>
    <n v="0"/>
    <n v="2783213.02"/>
    <n v="27163.79"/>
    <n v="461933.46"/>
    <n v="0.98499999999999999"/>
    <n v="51076.01"/>
    <n v="0"/>
    <n v="0"/>
    <x v="3"/>
    <n v="5"/>
  </r>
  <r>
    <n v="36428"/>
    <n v="3200169"/>
    <x v="1"/>
    <n v="0.28899999999999998"/>
    <n v="1056962.6399999999"/>
    <n v="0"/>
    <n v="1056962.6399999999"/>
    <n v="10315.82"/>
    <n v="167373.19"/>
    <n v="0.439"/>
    <n v="19396.810000000001"/>
    <n v="0"/>
    <n v="0"/>
    <x v="3"/>
    <n v="5"/>
  </r>
  <r>
    <n v="36429"/>
    <n v="3200136"/>
    <x v="2"/>
    <n v="0.40400000000000003"/>
    <n v="1477553.3"/>
    <n v="0"/>
    <n v="1477553.3"/>
    <n v="14420.73"/>
    <n v="222565.7"/>
    <n v="0.34799999999999998"/>
    <n v="27115.25"/>
    <n v="0"/>
    <n v="0"/>
    <x v="3"/>
    <n v="5"/>
  </r>
  <r>
    <n v="36430"/>
    <n v="3200201"/>
    <x v="3"/>
    <n v="0.498"/>
    <n v="1821340.44"/>
    <n v="0"/>
    <n v="1821340.44"/>
    <n v="17776.04"/>
    <n v="441732.96"/>
    <n v="0.98"/>
    <n v="33424.25"/>
    <n v="0"/>
    <n v="0"/>
    <x v="3"/>
    <n v="5"/>
  </r>
  <r>
    <n v="36431"/>
    <n v="3200300"/>
    <x v="4"/>
    <n v="0.46700000000000003"/>
    <n v="1707963.83"/>
    <n v="0"/>
    <n v="1707963.83"/>
    <n v="16669.5"/>
    <n v="407704.18"/>
    <n v="0.56399999999999995"/>
    <n v="31343.62"/>
    <n v="0"/>
    <n v="0"/>
    <x v="3"/>
    <n v="5"/>
  </r>
  <r>
    <n v="36432"/>
    <n v="3200359"/>
    <x v="5"/>
    <n v="0.22600000000000001"/>
    <n v="826552.07"/>
    <n v="0"/>
    <n v="826552.07"/>
    <n v="8067.04"/>
    <n v="115669.8"/>
    <n v="0.32700000000000001"/>
    <n v="15168.43"/>
    <n v="0"/>
    <n v="0"/>
    <x v="3"/>
    <n v="5"/>
  </r>
  <r>
    <n v="36433"/>
    <n v="3200409"/>
    <x v="6"/>
    <n v="3.1480000000000001"/>
    <n v="11513212.26"/>
    <n v="0"/>
    <n v="11513212.26"/>
    <n v="112367.44"/>
    <n v="550085"/>
    <n v="0.90800000000000003"/>
    <n v="211284.19"/>
    <n v="0"/>
    <n v="0"/>
    <x v="3"/>
    <n v="5"/>
  </r>
  <r>
    <n v="36434"/>
    <n v="3200508"/>
    <x v="7"/>
    <n v="0.185"/>
    <n v="676602.37"/>
    <n v="0"/>
    <n v="676602.37"/>
    <n v="6603.55"/>
    <n v="197078.84"/>
    <n v="0.32300000000000001"/>
    <n v="12416.63"/>
    <n v="0"/>
    <n v="0"/>
    <x v="3"/>
    <n v="5"/>
  </r>
  <r>
    <n v="36435"/>
    <n v="3200607"/>
    <x v="8"/>
    <n v="2.9220000000000002"/>
    <n v="10686660.18"/>
    <n v="0"/>
    <n v="10686660.18"/>
    <n v="104300.4"/>
    <n v="2118737.37"/>
    <n v="2.5089999999999999"/>
    <n v="196115.76"/>
    <n v="0"/>
    <n v="0"/>
    <x v="3"/>
    <n v="5"/>
  </r>
  <r>
    <n v="36436"/>
    <n v="3200706"/>
    <x v="9"/>
    <n v="0.35399999999999998"/>
    <n v="1294687.78"/>
    <n v="0"/>
    <n v="1294687.78"/>
    <n v="12635.98"/>
    <n v="169504.04"/>
    <n v="0.45700000000000002"/>
    <n v="23759.4"/>
    <n v="0"/>
    <n v="0"/>
    <x v="3"/>
    <n v="5"/>
  </r>
  <r>
    <n v="36437"/>
    <n v="3200805"/>
    <x v="10"/>
    <n v="0.60699999999999998"/>
    <n v="2219987.2400000002"/>
    <n v="0"/>
    <n v="2219987.2400000002"/>
    <n v="21666.78"/>
    <n v="825218.81"/>
    <n v="0.997"/>
    <n v="40739.99"/>
    <n v="0"/>
    <n v="0"/>
    <x v="3"/>
    <n v="5"/>
  </r>
  <r>
    <n v="36438"/>
    <n v="3200904"/>
    <x v="11"/>
    <n v="1.0289999999999999"/>
    <n v="3763372.1"/>
    <n v="0"/>
    <n v="3763372.1"/>
    <n v="36730.019999999997"/>
    <n v="1023025.52"/>
    <n v="1.321"/>
    <n v="69063.350000000006"/>
    <n v="0"/>
    <n v="0"/>
    <x v="3"/>
    <n v="5"/>
  </r>
  <r>
    <n v="36439"/>
    <n v="3107109"/>
    <x v="12"/>
    <n v="0.39500000000000002"/>
    <n v="1444637.5"/>
    <n v="0"/>
    <n v="1444637.5"/>
    <n v="14099.47"/>
    <n v="210775.09"/>
    <n v="0.56899999999999995"/>
    <n v="26511.200000000001"/>
    <n v="0"/>
    <n v="0"/>
    <x v="3"/>
    <n v="5"/>
  </r>
  <r>
    <n v="36440"/>
    <n v="3201100"/>
    <x v="13"/>
    <n v="0.17599999999999999"/>
    <n v="643686.56999999995"/>
    <n v="0"/>
    <n v="643686.56999999995"/>
    <n v="6282.3"/>
    <n v="494564.62"/>
    <n v="0.43"/>
    <n v="11812.58"/>
    <n v="0"/>
    <n v="0"/>
    <x v="3"/>
    <n v="5"/>
  </r>
  <r>
    <n v="36441"/>
    <n v="3201159"/>
    <x v="14"/>
    <n v="0.42099999999999999"/>
    <n v="1539727.56"/>
    <n v="0"/>
    <n v="1539727.56"/>
    <n v="15027.54"/>
    <n v="204608.38"/>
    <n v="0.46"/>
    <n v="28256.240000000002"/>
    <n v="0"/>
    <n v="0"/>
    <x v="3"/>
    <n v="5"/>
  </r>
  <r>
    <n v="36442"/>
    <n v="3201209"/>
    <x v="15"/>
    <n v="3.1120000000000001"/>
    <n v="11381549.130000001"/>
    <n v="0"/>
    <n v="11381549.130000001"/>
    <n v="111082.43"/>
    <n v="4169108.4"/>
    <n v="4.4820000000000002"/>
    <n v="208867.98"/>
    <n v="0"/>
    <n v="0"/>
    <x v="3"/>
    <n v="5"/>
  </r>
  <r>
    <n v="36443"/>
    <n v="3201308"/>
    <x v="16"/>
    <n v="7.2990000000000004"/>
    <n v="26694706.620000001"/>
    <n v="0"/>
    <n v="26694706.620000001"/>
    <n v="260536.83"/>
    <n v="6137158.1600000001"/>
    <n v="6.6040000000000001"/>
    <n v="489886.69"/>
    <n v="0"/>
    <n v="0"/>
    <x v="3"/>
    <n v="5"/>
  </r>
  <r>
    <n v="36444"/>
    <n v="3201407"/>
    <x v="17"/>
    <n v="0.89900000000000002"/>
    <n v="3287921.82"/>
    <n v="0"/>
    <n v="3287921.82"/>
    <n v="32089.69"/>
    <n v="1077668.3999999999"/>
    <n v="1.155"/>
    <n v="60338.15"/>
    <n v="0"/>
    <n v="0"/>
    <x v="3"/>
    <n v="5"/>
  </r>
  <r>
    <n v="36445"/>
    <n v="3201506"/>
    <x v="18"/>
    <n v="2.2320000000000002"/>
    <n v="8163116.2199999997"/>
    <n v="0"/>
    <n v="8163116.2199999997"/>
    <n v="79670.94"/>
    <n v="3203137.97"/>
    <n v="2.8220000000000001"/>
    <n v="149805.06"/>
    <n v="0"/>
    <n v="0"/>
    <x v="3"/>
    <n v="5"/>
  </r>
  <r>
    <n v="36446"/>
    <n v="3201605"/>
    <x v="19"/>
    <n v="0.79400000000000004"/>
    <n v="2903904.24"/>
    <n v="0"/>
    <n v="2903904.24"/>
    <n v="28341.72"/>
    <n v="316153.71999999997"/>
    <n v="0.999"/>
    <n v="53290.86"/>
    <n v="0"/>
    <n v="0"/>
    <x v="3"/>
    <n v="5"/>
  </r>
  <r>
    <n v="36447"/>
    <n v="3201704"/>
    <x v="20"/>
    <n v="0.46"/>
    <n v="1682362.68"/>
    <n v="0"/>
    <n v="1682362.68"/>
    <n v="16419.64"/>
    <n v="226433.82"/>
    <n v="0.46500000000000002"/>
    <n v="30873.8"/>
    <n v="0"/>
    <n v="0"/>
    <x v="3"/>
    <n v="5"/>
  </r>
  <r>
    <n v="36448"/>
    <n v="3201803"/>
    <x v="21"/>
    <n v="0.182"/>
    <n v="665630.46"/>
    <n v="0"/>
    <n v="665630.46"/>
    <n v="6496.47"/>
    <n v="57902.95"/>
    <n v="0.28299999999999997"/>
    <n v="12215.29"/>
    <n v="0"/>
    <n v="0"/>
    <x v="3"/>
    <n v="5"/>
  </r>
  <r>
    <n v="36449"/>
    <n v="3201902"/>
    <x v="22"/>
    <n v="1.268"/>
    <n v="4637469.22"/>
    <n v="0"/>
    <n v="4637469.22"/>
    <n v="45261.09"/>
    <n v="835741.89"/>
    <n v="1.0309999999999999"/>
    <n v="85104.3"/>
    <n v="0"/>
    <n v="0"/>
    <x v="3"/>
    <n v="5"/>
  </r>
  <r>
    <n v="36450"/>
    <n v="3202009"/>
    <x v="23"/>
    <n v="0.27"/>
    <n v="987473.72"/>
    <n v="0"/>
    <n v="987473.72"/>
    <n v="9637.61"/>
    <n v="185784.53"/>
    <n v="0.314"/>
    <n v="18121.580000000002"/>
    <n v="0"/>
    <n v="0"/>
    <x v="3"/>
    <n v="5"/>
  </r>
  <r>
    <n v="36451"/>
    <n v="3202108"/>
    <x v="24"/>
    <n v="0.69399999999999995"/>
    <n v="2538173.23"/>
    <n v="0"/>
    <n v="2538173.23"/>
    <n v="24772.240000000002"/>
    <n v="299882.64"/>
    <n v="0.81599999999999995"/>
    <n v="46579.17"/>
    <n v="0"/>
    <n v="0"/>
    <x v="3"/>
    <n v="5"/>
  </r>
  <r>
    <n v="36452"/>
    <n v="3202207"/>
    <x v="25"/>
    <n v="0.28599999999999998"/>
    <n v="1045990.73"/>
    <n v="0"/>
    <n v="1045990.73"/>
    <n v="10208.73"/>
    <n v="282210.62"/>
    <n v="0.73399999999999999"/>
    <n v="19195.45"/>
    <n v="0"/>
    <n v="0"/>
    <x v="3"/>
    <n v="5"/>
  </r>
  <r>
    <n v="36453"/>
    <n v="3202256"/>
    <x v="26"/>
    <n v="0.438"/>
    <n v="1601901.81"/>
    <n v="0"/>
    <n v="1601901.81"/>
    <n v="15634.35"/>
    <n v="287006.84000000003"/>
    <n v="0.46700000000000003"/>
    <n v="29397.23"/>
    <n v="0"/>
    <n v="0"/>
    <x v="3"/>
    <n v="5"/>
  </r>
  <r>
    <n v="36454"/>
    <n v="3202306"/>
    <x v="27"/>
    <n v="0.35899999999999999"/>
    <n v="1312974.33"/>
    <n v="0"/>
    <n v="1312974.33"/>
    <n v="12814.46"/>
    <n v="644551.71"/>
    <n v="0.998"/>
    <n v="24094.98"/>
    <n v="0"/>
    <n v="0"/>
    <x v="3"/>
    <n v="5"/>
  </r>
  <r>
    <n v="36455"/>
    <n v="3202405"/>
    <x v="28"/>
    <n v="0.81200000000000006"/>
    <n v="2969735.84"/>
    <n v="0"/>
    <n v="2969735.84"/>
    <n v="28984.23"/>
    <n v="4144332.68"/>
    <n v="2.8730000000000002"/>
    <n v="54498.97"/>
    <n v="0"/>
    <n v="0"/>
    <x v="3"/>
    <n v="5"/>
  </r>
  <r>
    <n v="36456"/>
    <n v="3202454"/>
    <x v="29"/>
    <n v="0.372"/>
    <n v="1360519.39"/>
    <n v="0"/>
    <n v="1360519.39"/>
    <n v="13278.49"/>
    <n v="593242.59"/>
    <n v="0.86499999999999999"/>
    <n v="24967.51"/>
    <n v="0"/>
    <n v="0"/>
    <x v="3"/>
    <n v="5"/>
  </r>
  <r>
    <n v="36457"/>
    <n v="3202504"/>
    <x v="30"/>
    <n v="0.23100000000000001"/>
    <n v="844838.66"/>
    <n v="0"/>
    <n v="844838.66"/>
    <n v="8245.51"/>
    <n v="304533.05"/>
    <n v="0.46300000000000002"/>
    <n v="15504.02"/>
    <n v="0"/>
    <n v="0"/>
    <x v="3"/>
    <n v="5"/>
  </r>
  <r>
    <n v="36458"/>
    <n v="3202553"/>
    <x v="31"/>
    <n v="0.24299999999999999"/>
    <n v="888726.37"/>
    <n v="0"/>
    <n v="888726.37"/>
    <n v="8673.85"/>
    <n v="149108.92000000001"/>
    <n v="0.33800000000000002"/>
    <n v="16309.42"/>
    <n v="0"/>
    <n v="0"/>
    <x v="3"/>
    <n v="5"/>
  </r>
  <r>
    <n v="36459"/>
    <n v="3202603"/>
    <x v="32"/>
    <n v="0.315"/>
    <n v="1152052.71"/>
    <n v="0"/>
    <n v="1152052.71"/>
    <n v="11243.88"/>
    <n v="452151.29"/>
    <n v="0.55600000000000005"/>
    <n v="21141.84"/>
    <n v="0"/>
    <n v="0"/>
    <x v="3"/>
    <n v="5"/>
  </r>
  <r>
    <n v="36460"/>
    <n v="3202652"/>
    <x v="33"/>
    <n v="0.29899999999999999"/>
    <n v="1093535.7"/>
    <n v="0"/>
    <n v="1093535.7"/>
    <n v="10672.77"/>
    <n v="315184.77"/>
    <n v="0.55100000000000005"/>
    <n v="20067.97"/>
    <n v="0"/>
    <n v="0"/>
    <x v="3"/>
    <n v="5"/>
  </r>
  <r>
    <n v="36461"/>
    <n v="3202702"/>
    <x v="34"/>
    <n v="0.31900000000000001"/>
    <n v="1166681.8899999999"/>
    <n v="0"/>
    <n v="1166681.8899999999"/>
    <n v="11386.66"/>
    <n v="212030.85"/>
    <n v="0.55500000000000005"/>
    <n v="21410.31"/>
    <n v="0"/>
    <n v="0"/>
    <x v="3"/>
    <n v="5"/>
  </r>
  <r>
    <n v="36462"/>
    <n v="3202801"/>
    <x v="35"/>
    <n v="2.4550000000000001"/>
    <n v="8978696.3599999994"/>
    <n v="0"/>
    <n v="8978696.3599999994"/>
    <n v="87630.9"/>
    <n v="512686.54"/>
    <n v="1.0409999999999999"/>
    <n v="164772.14000000001"/>
    <n v="0"/>
    <n v="0"/>
    <x v="3"/>
    <n v="5"/>
  </r>
  <r>
    <n v="36463"/>
    <n v="3202900"/>
    <x v="36"/>
    <n v="0.34799999999999998"/>
    <n v="1272743.94"/>
    <n v="0"/>
    <n v="1272743.94"/>
    <n v="12421.81"/>
    <n v="255207.51"/>
    <n v="0.435"/>
    <n v="23356.7"/>
    <n v="0"/>
    <n v="0"/>
    <x v="3"/>
    <n v="5"/>
  </r>
  <r>
    <n v="36464"/>
    <n v="3203007"/>
    <x v="37"/>
    <n v="0.496"/>
    <n v="1814025.81"/>
    <n v="0"/>
    <n v="1814025.81"/>
    <n v="17704.650000000001"/>
    <n v="531090.22"/>
    <n v="0.89700000000000002"/>
    <n v="33290.019999999997"/>
    <n v="0"/>
    <n v="0"/>
    <x v="3"/>
    <n v="5"/>
  </r>
  <r>
    <n v="36465"/>
    <n v="3203056"/>
    <x v="38"/>
    <n v="0.871"/>
    <n v="3185517.14"/>
    <n v="0"/>
    <n v="3185517.14"/>
    <n v="31090.23"/>
    <n v="610169.34"/>
    <n v="1"/>
    <n v="58458.879999999997"/>
    <n v="0"/>
    <n v="0"/>
    <x v="3"/>
    <n v="5"/>
  </r>
  <r>
    <n v="36466"/>
    <n v="3203106"/>
    <x v="39"/>
    <n v="0.21"/>
    <n v="768035.12"/>
    <n v="0"/>
    <n v="768035.12"/>
    <n v="7495.92"/>
    <n v="128636.69"/>
    <n v="0.45800000000000002"/>
    <n v="14094.56"/>
    <n v="0"/>
    <n v="0"/>
    <x v="3"/>
    <n v="5"/>
  </r>
  <r>
    <n v="36467"/>
    <n v="3203130"/>
    <x v="40"/>
    <n v="0.36199999999999999"/>
    <n v="1323946.25"/>
    <n v="0"/>
    <n v="1323946.25"/>
    <n v="12921.54"/>
    <n v="337354.59"/>
    <n v="0.66600000000000004"/>
    <n v="24296.34"/>
    <n v="0"/>
    <n v="0"/>
    <x v="3"/>
    <n v="5"/>
  </r>
  <r>
    <n v="36468"/>
    <n v="3203163"/>
    <x v="41"/>
    <n v="0.373"/>
    <n v="1364176.66"/>
    <n v="0"/>
    <n v="1364176.66"/>
    <n v="13314.19"/>
    <n v="154191.94"/>
    <n v="0.441"/>
    <n v="25034.62"/>
    <n v="0"/>
    <n v="0"/>
    <x v="3"/>
    <n v="5"/>
  </r>
  <r>
    <n v="36469"/>
    <n v="3203205"/>
    <x v="42"/>
    <n v="4.9790000000000001"/>
    <n v="18209747.140000001"/>
    <n v="0"/>
    <n v="18209747.140000001"/>
    <n v="177724.74"/>
    <n v="3910249.61"/>
    <n v="4.0880000000000001"/>
    <n v="334175.34999999998"/>
    <n v="0"/>
    <n v="0"/>
    <x v="3"/>
    <n v="5"/>
  </r>
  <r>
    <n v="36470"/>
    <n v="3203304"/>
    <x v="43"/>
    <n v="0.27600000000000002"/>
    <n v="1009417.58"/>
    <n v="0"/>
    <n v="1009417.58"/>
    <n v="9851.7800000000007"/>
    <n v="274244.71000000002"/>
    <n v="0.57599999999999996"/>
    <n v="18524.28"/>
    <n v="0"/>
    <n v="0"/>
    <x v="3"/>
    <n v="5"/>
  </r>
  <r>
    <n v="36471"/>
    <n v="3203320"/>
    <x v="44"/>
    <n v="0.65800000000000003"/>
    <n v="2406510.06"/>
    <n v="0"/>
    <n v="2406510.06"/>
    <n v="23487.22"/>
    <n v="754240.7"/>
    <n v="1.171"/>
    <n v="44162.96"/>
    <n v="0"/>
    <n v="0"/>
    <x v="3"/>
    <n v="5"/>
  </r>
  <r>
    <n v="36472"/>
    <n v="3203346"/>
    <x v="45"/>
    <n v="0.61099999999999999"/>
    <n v="2234616.52"/>
    <n v="0"/>
    <n v="2234616.52"/>
    <n v="21809.56"/>
    <n v="449246.18"/>
    <n v="0.67100000000000004"/>
    <n v="41008.46"/>
    <n v="0"/>
    <n v="0"/>
    <x v="3"/>
    <n v="5"/>
  </r>
  <r>
    <n v="36473"/>
    <n v="3203353"/>
    <x v="46"/>
    <n v="0.436"/>
    <n v="1594587.23"/>
    <n v="0"/>
    <n v="1594587.23"/>
    <n v="15562.96"/>
    <n v="288231.02"/>
    <n v="0.46700000000000003"/>
    <n v="29263"/>
    <n v="0"/>
    <n v="0"/>
    <x v="3"/>
    <n v="5"/>
  </r>
  <r>
    <n v="36474"/>
    <n v="3203403"/>
    <x v="47"/>
    <n v="0.495"/>
    <n v="1810368.52"/>
    <n v="0"/>
    <n v="1810368.52"/>
    <n v="17668.96"/>
    <n v="379695"/>
    <n v="0.85599999999999998"/>
    <n v="33222.89"/>
    <n v="0"/>
    <n v="0"/>
    <x v="3"/>
    <n v="5"/>
  </r>
  <r>
    <n v="36475"/>
    <n v="3203502"/>
    <x v="48"/>
    <n v="0.52100000000000002"/>
    <n v="1905458.58"/>
    <n v="0"/>
    <n v="1905458.58"/>
    <n v="18597.03"/>
    <n v="349980.36"/>
    <n v="0.69299999999999995"/>
    <n v="34967.94"/>
    <n v="0"/>
    <n v="0"/>
    <x v="3"/>
    <n v="5"/>
  </r>
  <r>
    <n v="36476"/>
    <n v="3203601"/>
    <x v="49"/>
    <n v="0.28299999999999997"/>
    <n v="1035018.77"/>
    <n v="0"/>
    <n v="1035018.77"/>
    <n v="10101.65"/>
    <n v="90389.7"/>
    <n v="0.29799999999999999"/>
    <n v="18994.099999999999"/>
    <n v="0"/>
    <n v="0"/>
    <x v="3"/>
    <n v="5"/>
  </r>
  <r>
    <n v="36477"/>
    <n v="3203700"/>
    <x v="50"/>
    <n v="0.54600000000000004"/>
    <n v="1996891.32"/>
    <n v="0"/>
    <n v="1996891.32"/>
    <n v="19489.400000000001"/>
    <n v="234289.41"/>
    <n v="0.67100000000000004"/>
    <n v="36645.86"/>
    <n v="0"/>
    <n v="0"/>
    <x v="3"/>
    <n v="5"/>
  </r>
  <r>
    <n v="36478"/>
    <n v="3203809"/>
    <x v="51"/>
    <n v="0.28100000000000003"/>
    <n v="1027704.14"/>
    <n v="0"/>
    <n v="1027704.14"/>
    <n v="10030.26"/>
    <n v="180947.4"/>
    <n v="0.57499999999999996"/>
    <n v="18859.87"/>
    <n v="0"/>
    <n v="0"/>
    <x v="3"/>
    <n v="5"/>
  </r>
  <r>
    <n v="36479"/>
    <n v="3203908"/>
    <x v="52"/>
    <n v="1.3109999999999999"/>
    <n v="4794733.59"/>
    <n v="0"/>
    <n v="4794733.59"/>
    <n v="46795.97"/>
    <n v="1031998.56"/>
    <n v="1.4650000000000001"/>
    <n v="87990.33"/>
    <n v="0"/>
    <n v="0"/>
    <x v="3"/>
    <n v="5"/>
  </r>
  <r>
    <n v="36480"/>
    <n v="3204005"/>
    <x v="53"/>
    <n v="0.436"/>
    <n v="1594587.23"/>
    <n v="0"/>
    <n v="1594587.23"/>
    <n v="15562.96"/>
    <n v="285226.56"/>
    <n v="0.747"/>
    <n v="29263"/>
    <n v="0"/>
    <n v="0"/>
    <x v="3"/>
    <n v="5"/>
  </r>
  <r>
    <n v="36481"/>
    <n v="3204054"/>
    <x v="54"/>
    <n v="0.307"/>
    <n v="1122794.2"/>
    <n v="0"/>
    <n v="1122794.2"/>
    <n v="10958.32"/>
    <n v="399565.84"/>
    <n v="0.86199999999999999"/>
    <n v="20604.900000000001"/>
    <n v="0"/>
    <n v="0"/>
    <x v="3"/>
    <n v="5"/>
  </r>
  <r>
    <n v="36482"/>
    <n v="3204104"/>
    <x v="55"/>
    <n v="0.73199999999999998"/>
    <n v="2677151"/>
    <n v="0"/>
    <n v="2677151"/>
    <n v="26128.639999999999"/>
    <n v="349102.02"/>
    <n v="0.875"/>
    <n v="49129.62"/>
    <n v="0"/>
    <n v="0"/>
    <x v="3"/>
    <n v="5"/>
  </r>
  <r>
    <n v="36483"/>
    <n v="3204203"/>
    <x v="56"/>
    <n v="0.14199999999999999"/>
    <n v="519338.04"/>
    <n v="0"/>
    <n v="519338.04"/>
    <n v="5068.67"/>
    <n v="510804.61"/>
    <n v="0.73399999999999999"/>
    <n v="9530.61"/>
    <n v="0"/>
    <n v="0"/>
    <x v="3"/>
    <n v="5"/>
  </r>
  <r>
    <n v="36484"/>
    <n v="3204252"/>
    <x v="57"/>
    <n v="0.20899999999999999"/>
    <n v="764377.84"/>
    <n v="0"/>
    <n v="764377.84"/>
    <n v="7460.23"/>
    <n v="71460.47"/>
    <n v="0.32900000000000001"/>
    <n v="14027.45"/>
    <n v="0"/>
    <n v="0"/>
    <x v="3"/>
    <n v="5"/>
  </r>
  <r>
    <n v="36485"/>
    <n v="1718402"/>
    <x v="58"/>
    <n v="0.32"/>
    <n v="1170339.24"/>
    <n v="0"/>
    <n v="1170339.24"/>
    <n v="11422.36"/>
    <n v="343632.37"/>
    <n v="0.45100000000000001"/>
    <n v="21477.43"/>
    <n v="0"/>
    <n v="0"/>
    <x v="3"/>
    <n v="5"/>
  </r>
  <r>
    <n v="36486"/>
    <n v="3204351"/>
    <x v="59"/>
    <n v="0.85399999999999998"/>
    <n v="3123342.83"/>
    <n v="0"/>
    <n v="3123342.83"/>
    <n v="30483.42"/>
    <n v="608669.43999999994"/>
    <n v="0.69799999999999995"/>
    <n v="57317.88"/>
    <n v="0"/>
    <n v="0"/>
    <x v="3"/>
    <n v="5"/>
  </r>
  <r>
    <n v="36487"/>
    <n v="3204401"/>
    <x v="60"/>
    <n v="0.25"/>
    <n v="914327.55"/>
    <n v="0"/>
    <n v="914327.55"/>
    <n v="8923.7199999999993"/>
    <n v="198398.4"/>
    <n v="0.45"/>
    <n v="16779.240000000002"/>
    <n v="0"/>
    <n v="0"/>
    <x v="3"/>
    <n v="5"/>
  </r>
  <r>
    <n v="36488"/>
    <n v="3204500"/>
    <x v="61"/>
    <n v="0.54500000000000004"/>
    <n v="1993234.03"/>
    <n v="0"/>
    <n v="1993234.03"/>
    <n v="19453.7"/>
    <n v="165812.09"/>
    <n v="0.45600000000000002"/>
    <n v="36578.74"/>
    <n v="0"/>
    <n v="0"/>
    <x v="3"/>
    <n v="5"/>
  </r>
  <r>
    <n v="36489"/>
    <n v="3204559"/>
    <x v="62"/>
    <n v="2.2349999999999999"/>
    <n v="8174088.1299999999"/>
    <n v="0"/>
    <n v="8174088.1299999999"/>
    <n v="79778.03"/>
    <n v="1161141.56"/>
    <n v="1.1990000000000001"/>
    <n v="150006.39999999999"/>
    <n v="0"/>
    <n v="0"/>
    <x v="3"/>
    <n v="5"/>
  </r>
  <r>
    <n v="36490"/>
    <n v="3204609"/>
    <x v="63"/>
    <n v="0.65100000000000002"/>
    <n v="2380908.89"/>
    <n v="0"/>
    <n v="2380908.89"/>
    <n v="23237.360000000001"/>
    <n v="581970.73"/>
    <n v="0.82899999999999996"/>
    <n v="43693.14"/>
    <n v="0"/>
    <n v="0"/>
    <x v="3"/>
    <n v="5"/>
  </r>
  <r>
    <n v="36491"/>
    <n v="3204658"/>
    <x v="64"/>
    <n v="0.42299999999999999"/>
    <n v="1547042.18"/>
    <n v="0"/>
    <n v="1547042.18"/>
    <n v="15098.93"/>
    <n v="194026.81"/>
    <n v="0.33700000000000002"/>
    <n v="28390.47"/>
    <n v="0"/>
    <n v="0"/>
    <x v="3"/>
    <n v="5"/>
  </r>
  <r>
    <n v="36492"/>
    <n v="3204708"/>
    <x v="65"/>
    <n v="0.85199999999999998"/>
    <n v="3116028.24"/>
    <n v="0"/>
    <n v="3116028.24"/>
    <n v="30412.03"/>
    <n v="709216.36"/>
    <n v="1.169"/>
    <n v="57183.65"/>
    <n v="0"/>
    <n v="0"/>
    <x v="3"/>
    <n v="5"/>
  </r>
  <r>
    <n v="36493"/>
    <n v="3204807"/>
    <x v="66"/>
    <n v="0.22600000000000001"/>
    <n v="826552.07"/>
    <n v="0"/>
    <n v="826552.07"/>
    <n v="8067.04"/>
    <n v="143456.94"/>
    <n v="0.436"/>
    <n v="15168.43"/>
    <n v="0"/>
    <n v="0"/>
    <x v="3"/>
    <n v="5"/>
  </r>
  <r>
    <n v="36494"/>
    <n v="3204906"/>
    <x v="67"/>
    <n v="1.901"/>
    <n v="6952546.5700000003"/>
    <n v="0"/>
    <n v="6952546.5700000003"/>
    <n v="67855.94"/>
    <n v="2261938.92"/>
    <n v="3.0249999999999999"/>
    <n v="127589.34"/>
    <n v="0"/>
    <n v="0"/>
    <x v="3"/>
    <n v="5"/>
  </r>
  <r>
    <n v="36495"/>
    <n v="3204955"/>
    <x v="68"/>
    <n v="0.312"/>
    <n v="1141080.76"/>
    <n v="0"/>
    <n v="1141080.76"/>
    <n v="11136.8"/>
    <n v="201333.57"/>
    <n v="0.46100000000000002"/>
    <n v="20940.490000000002"/>
    <n v="0"/>
    <n v="0"/>
    <x v="3"/>
    <n v="5"/>
  </r>
  <r>
    <n v="36496"/>
    <n v="3205002"/>
    <x v="69"/>
    <n v="15.625"/>
    <n v="57145470.729999997"/>
    <n v="0"/>
    <n v="57145470.729999997"/>
    <n v="557732.30000000005"/>
    <n v="9155139.3000000007"/>
    <n v="8.4320000000000004"/>
    <n v="1048702.5"/>
    <n v="0"/>
    <n v="0"/>
    <x v="3"/>
    <n v="5"/>
  </r>
  <r>
    <n v="36497"/>
    <n v="3205010"/>
    <x v="70"/>
    <n v="0.72199999999999998"/>
    <n v="2640577.91"/>
    <n v="0"/>
    <n v="2640577.91"/>
    <n v="25771.69"/>
    <n v="351589.23"/>
    <n v="0.997"/>
    <n v="48458.45"/>
    <n v="0"/>
    <n v="0"/>
    <x v="3"/>
    <n v="5"/>
  </r>
  <r>
    <n v="36498"/>
    <n v="3205036"/>
    <x v="71"/>
    <n v="0.49099999999999999"/>
    <n v="1795739.23"/>
    <n v="0"/>
    <n v="1795739.23"/>
    <n v="17526.18"/>
    <n v="363318.15"/>
    <n v="0.72699999999999998"/>
    <n v="32954.43"/>
    <n v="0"/>
    <n v="0"/>
    <x v="3"/>
    <n v="5"/>
  </r>
  <r>
    <n v="36499"/>
    <n v="3205069"/>
    <x v="72"/>
    <n v="0.68700000000000006"/>
    <n v="2512572.0499999998"/>
    <n v="0"/>
    <n v="2512572.0499999998"/>
    <n v="24522.37"/>
    <n v="781823.1"/>
    <n v="0.85799999999999998"/>
    <n v="46109.35"/>
    <n v="0"/>
    <n v="0"/>
    <x v="3"/>
    <n v="5"/>
  </r>
  <r>
    <n v="36500"/>
    <n v="2112803"/>
    <x v="73"/>
    <n v="2.9870000000000001"/>
    <n v="10924385.34"/>
    <n v="0"/>
    <n v="10924385.34"/>
    <n v="106620.57"/>
    <n v="1490372.49"/>
    <n v="1.984"/>
    <n v="200478.36"/>
    <n v="0"/>
    <n v="0"/>
    <x v="3"/>
    <n v="5"/>
  </r>
  <r>
    <n v="36501"/>
    <n v="3205150"/>
    <x v="74"/>
    <n v="0.31900000000000001"/>
    <n v="1166681.8899999999"/>
    <n v="0"/>
    <n v="1166681.8899999999"/>
    <n v="11386.66"/>
    <n v="159281.44"/>
    <n v="0.34399999999999997"/>
    <n v="21410.31"/>
    <n v="0"/>
    <n v="0"/>
    <x v="3"/>
    <n v="5"/>
  </r>
  <r>
    <n v="36502"/>
    <n v="3205176"/>
    <x v="75"/>
    <n v="0.65800000000000003"/>
    <n v="2406510.06"/>
    <n v="0"/>
    <n v="2406510.06"/>
    <n v="23487.22"/>
    <n v="449009.53"/>
    <n v="0.55600000000000005"/>
    <n v="44162.96"/>
    <n v="0"/>
    <n v="0"/>
    <x v="3"/>
    <n v="5"/>
  </r>
  <r>
    <n v="36503"/>
    <n v="3205200"/>
    <x v="76"/>
    <n v="5.056"/>
    <n v="18491360.010000002"/>
    <n v="0"/>
    <n v="18491360.010000002"/>
    <n v="180473.25"/>
    <n v="11217820.970000001"/>
    <n v="8.09"/>
    <n v="339343.35"/>
    <n v="0"/>
    <n v="0"/>
    <x v="3"/>
    <n v="5"/>
  </r>
  <r>
    <n v="36504"/>
    <n v="3205309"/>
    <x v="77"/>
    <n v="14.782"/>
    <n v="54062358.390000001"/>
    <n v="0"/>
    <n v="54062358.390000001"/>
    <n v="527641.52"/>
    <n v="12457398.75"/>
    <n v="9.4969999999999999"/>
    <n v="992122.9"/>
    <n v="0"/>
    <n v="0"/>
    <x v="3"/>
    <n v="5"/>
  </r>
  <r>
    <n v="36505"/>
    <n v="3200102"/>
    <x v="0"/>
    <n v="0.76100000000000001"/>
    <n v="2763532.74"/>
    <n v="0"/>
    <n v="2763532.74"/>
    <n v="33872.53"/>
    <n v="229587.57"/>
    <n v="0.98499999999999999"/>
    <n v="56978.37"/>
    <n v="0"/>
    <n v="0"/>
    <x v="3"/>
    <n v="6"/>
  </r>
  <r>
    <n v="36506"/>
    <n v="3200169"/>
    <x v="1"/>
    <n v="0.28899999999999998"/>
    <n v="1049488.77"/>
    <n v="0"/>
    <n v="1049488.77"/>
    <n v="12863.55"/>
    <n v="119074.13"/>
    <n v="0.439"/>
    <n v="21638.3"/>
    <n v="0"/>
    <n v="0"/>
    <x v="3"/>
    <n v="6"/>
  </r>
  <r>
    <n v="36507"/>
    <n v="3200136"/>
    <x v="2"/>
    <n v="0.40400000000000003"/>
    <n v="1467105.41"/>
    <n v="0"/>
    <n v="1467105.41"/>
    <n v="17982.259999999998"/>
    <n v="92826.45"/>
    <n v="0.34799999999999998"/>
    <n v="30248.69"/>
    <n v="0"/>
    <n v="0"/>
    <x v="3"/>
    <n v="6"/>
  </r>
  <r>
    <n v="36508"/>
    <n v="3200201"/>
    <x v="3"/>
    <n v="0.498"/>
    <n v="1808461.62"/>
    <n v="0"/>
    <n v="1808461.62"/>
    <n v="22166.26"/>
    <n v="219019.19"/>
    <n v="0.98"/>
    <n v="37286.76"/>
    <n v="0"/>
    <n v="0"/>
    <x v="3"/>
    <n v="6"/>
  </r>
  <r>
    <n v="36509"/>
    <n v="3200300"/>
    <x v="4"/>
    <n v="0.46700000000000003"/>
    <n v="1695886.72"/>
    <n v="0"/>
    <n v="1695886.72"/>
    <n v="20786.43"/>
    <n v="153562.19"/>
    <n v="0.56399999999999995"/>
    <n v="34965.699999999997"/>
    <n v="0"/>
    <n v="0"/>
    <x v="3"/>
    <n v="6"/>
  </r>
  <r>
    <n v="36510"/>
    <n v="3200359"/>
    <x v="5"/>
    <n v="0.22600000000000001"/>
    <n v="820707.48"/>
    <n v="0"/>
    <n v="820707.48"/>
    <n v="10059.379999999999"/>
    <n v="90895.43"/>
    <n v="0.32700000000000001"/>
    <n v="16921.3"/>
    <n v="0"/>
    <n v="0"/>
    <x v="3"/>
    <n v="6"/>
  </r>
  <r>
    <n v="36511"/>
    <n v="3200409"/>
    <x v="6"/>
    <n v="3.1480000000000001"/>
    <n v="11431801.640000001"/>
    <n v="0"/>
    <n v="11431801.640000001"/>
    <n v="140119.22"/>
    <n v="351034.17"/>
    <n v="0.90800000000000003"/>
    <n v="235700.25"/>
    <n v="0"/>
    <n v="0"/>
    <x v="3"/>
    <n v="6"/>
  </r>
  <r>
    <n v="36512"/>
    <n v="3200508"/>
    <x v="7"/>
    <n v="0.185"/>
    <n v="671818.08"/>
    <n v="0"/>
    <n v="671818.08"/>
    <n v="8234.4500000000007"/>
    <n v="111571.82"/>
    <n v="0.32300000000000001"/>
    <n v="13851.5"/>
    <n v="0"/>
    <n v="0"/>
    <x v="3"/>
    <n v="6"/>
  </r>
  <r>
    <n v="36513"/>
    <n v="3200607"/>
    <x v="8"/>
    <n v="2.9220000000000002"/>
    <n v="10611094.15"/>
    <n v="0"/>
    <n v="10611094.15"/>
    <n v="130059.83"/>
    <n v="1099701.05"/>
    <n v="2.5089999999999999"/>
    <n v="218778.94"/>
    <n v="0"/>
    <n v="0"/>
    <x v="3"/>
    <n v="6"/>
  </r>
  <r>
    <n v="36514"/>
    <n v="3200706"/>
    <x v="9"/>
    <n v="0.35399999999999998"/>
    <n v="1285532.97"/>
    <n v="0"/>
    <n v="1285532.97"/>
    <n v="15756.74"/>
    <n v="90935.59"/>
    <n v="0.45700000000000002"/>
    <n v="26505.05"/>
    <n v="0"/>
    <n v="0"/>
    <x v="3"/>
    <n v="6"/>
  </r>
  <r>
    <n v="36515"/>
    <n v="3200805"/>
    <x v="10"/>
    <n v="0.60699999999999998"/>
    <n v="2204289.61"/>
    <n v="0"/>
    <n v="2204289.61"/>
    <n v="27017.91"/>
    <n v="460869.77"/>
    <n v="0.997"/>
    <n v="45447.92"/>
    <n v="0"/>
    <n v="0"/>
    <x v="3"/>
    <n v="6"/>
  </r>
  <r>
    <n v="36516"/>
    <n v="3200904"/>
    <x v="11"/>
    <n v="1.0289999999999999"/>
    <n v="3736761.07"/>
    <n v="0"/>
    <n v="3736761.07"/>
    <n v="45801.36"/>
    <n v="536246.85"/>
    <n v="1.321"/>
    <n v="77044.33"/>
    <n v="0"/>
    <n v="0"/>
    <x v="3"/>
    <n v="6"/>
  </r>
  <r>
    <n v="36517"/>
    <n v="3107109"/>
    <x v="12"/>
    <n v="0.39500000000000002"/>
    <n v="1434422.37"/>
    <n v="0"/>
    <n v="1434422.37"/>
    <n v="17581.669999999998"/>
    <n v="143708.5"/>
    <n v="0.56899999999999995"/>
    <n v="29574.84"/>
    <n v="0"/>
    <n v="0"/>
    <x v="3"/>
    <n v="6"/>
  </r>
  <r>
    <n v="36518"/>
    <n v="3201100"/>
    <x v="13"/>
    <n v="0.17599999999999999"/>
    <n v="639135.05000000005"/>
    <n v="0"/>
    <n v="639135.05000000005"/>
    <n v="7833.86"/>
    <n v="245627.98"/>
    <n v="0.43"/>
    <n v="13177.65"/>
    <n v="0"/>
    <n v="0"/>
    <x v="3"/>
    <n v="6"/>
  </r>
  <r>
    <n v="36519"/>
    <n v="3201159"/>
    <x v="14"/>
    <n v="0.42099999999999999"/>
    <n v="1528840.07"/>
    <n v="0"/>
    <n v="1528840.07"/>
    <n v="18738.939999999999"/>
    <n v="130893.95"/>
    <n v="0.46"/>
    <n v="31521.54"/>
    <n v="0"/>
    <n v="0"/>
    <x v="3"/>
    <n v="6"/>
  </r>
  <r>
    <n v="36520"/>
    <n v="3201209"/>
    <x v="15"/>
    <n v="3.1120000000000001"/>
    <n v="11301069.49"/>
    <n v="0"/>
    <n v="11301069.49"/>
    <n v="138516.84"/>
    <n v="2401696.87"/>
    <n v="4.4820000000000002"/>
    <n v="233004.82"/>
    <n v="0"/>
    <n v="0"/>
    <x v="3"/>
    <n v="6"/>
  </r>
  <r>
    <n v="36521"/>
    <n v="3201308"/>
    <x v="16"/>
    <n v="7.2990000000000004"/>
    <n v="26505946.710000001"/>
    <n v="0"/>
    <n v="26505946.710000001"/>
    <n v="324882.52"/>
    <n v="3008676.57"/>
    <n v="6.6040000000000001"/>
    <n v="546498.12"/>
    <n v="0"/>
    <n v="0"/>
    <x v="3"/>
    <n v="6"/>
  </r>
  <r>
    <n v="36522"/>
    <n v="3201407"/>
    <x v="17"/>
    <n v="0.89900000000000002"/>
    <n v="3264672.69"/>
    <n v="0"/>
    <n v="3264672.69"/>
    <n v="40014.99"/>
    <n v="592024.72"/>
    <n v="1.155"/>
    <n v="67310.84"/>
    <n v="0"/>
    <n v="0"/>
    <x v="3"/>
    <n v="6"/>
  </r>
  <r>
    <n v="36523"/>
    <n v="3201506"/>
    <x v="18"/>
    <n v="2.2320000000000002"/>
    <n v="8105394.2699999996"/>
    <n v="0"/>
    <n v="8105394.2699999996"/>
    <n v="99347.55"/>
    <n v="1468482.14"/>
    <n v="2.8220000000000001"/>
    <n v="167116.57"/>
    <n v="0"/>
    <n v="0"/>
    <x v="3"/>
    <n v="6"/>
  </r>
  <r>
    <n v="36524"/>
    <n v="3201605"/>
    <x v="19"/>
    <n v="0.79400000000000004"/>
    <n v="2883370.57"/>
    <n v="0"/>
    <n v="2883370.57"/>
    <n v="35341.379999999997"/>
    <n v="186792.02"/>
    <n v="0.999"/>
    <n v="59449.17"/>
    <n v="0"/>
    <n v="0"/>
    <x v="3"/>
    <n v="6"/>
  </r>
  <r>
    <n v="36525"/>
    <n v="3201704"/>
    <x v="20"/>
    <n v="0.46"/>
    <n v="1670466.57"/>
    <n v="0"/>
    <n v="1670466.57"/>
    <n v="20474.849999999999"/>
    <n v="114852.82"/>
    <n v="0.46500000000000002"/>
    <n v="34441.58"/>
    <n v="0"/>
    <n v="0"/>
    <x v="3"/>
    <n v="6"/>
  </r>
  <r>
    <n v="36526"/>
    <n v="3201803"/>
    <x v="21"/>
    <n v="0.182"/>
    <n v="660923.74"/>
    <n v="0"/>
    <n v="660923.74"/>
    <n v="8100.92"/>
    <n v="39377.14"/>
    <n v="0.28299999999999997"/>
    <n v="13626.88"/>
    <n v="0"/>
    <n v="0"/>
    <x v="3"/>
    <n v="6"/>
  </r>
  <r>
    <n v="36527"/>
    <n v="3201902"/>
    <x v="22"/>
    <n v="1.268"/>
    <n v="4604677.4000000004"/>
    <n v="0"/>
    <n v="4604677.4000000004"/>
    <n v="56439.38"/>
    <n v="415292.19"/>
    <n v="1.0309999999999999"/>
    <n v="94938.98"/>
    <n v="0"/>
    <n v="0"/>
    <x v="3"/>
    <n v="6"/>
  </r>
  <r>
    <n v="36528"/>
    <n v="3202009"/>
    <x v="23"/>
    <n v="0.27"/>
    <n v="980491.23"/>
    <n v="0"/>
    <n v="980491.23"/>
    <n v="12017.85"/>
    <n v="108291.61"/>
    <n v="0.314"/>
    <n v="20215.71"/>
    <n v="0"/>
    <n v="0"/>
    <x v="3"/>
    <n v="6"/>
  </r>
  <r>
    <n v="36529"/>
    <n v="3202108"/>
    <x v="24"/>
    <n v="0.69399999999999995"/>
    <n v="2520225.66"/>
    <n v="0"/>
    <n v="2520225.66"/>
    <n v="30890.32"/>
    <n v="179704.92"/>
    <n v="0.81599999999999995"/>
    <n v="51961.87"/>
    <n v="0"/>
    <n v="0"/>
    <x v="3"/>
    <n v="6"/>
  </r>
  <r>
    <n v="36530"/>
    <n v="3202207"/>
    <x v="25"/>
    <n v="0.28599999999999998"/>
    <n v="1038594.43"/>
    <n v="0"/>
    <n v="1038594.43"/>
    <n v="12730.02"/>
    <n v="152118.22"/>
    <n v="0.73399999999999999"/>
    <n v="21413.68"/>
    <n v="0"/>
    <n v="0"/>
    <x v="3"/>
    <n v="6"/>
  </r>
  <r>
    <n v="36531"/>
    <n v="3202256"/>
    <x v="26"/>
    <n v="0.438"/>
    <n v="1590574.72"/>
    <n v="0"/>
    <n v="1590574.72"/>
    <n v="19495.62"/>
    <n v="152602.98000000001"/>
    <n v="0.46700000000000003"/>
    <n v="32794.379999999997"/>
    <n v="0"/>
    <n v="0"/>
    <x v="3"/>
    <n v="6"/>
  </r>
  <r>
    <n v="36532"/>
    <n v="3202306"/>
    <x v="27"/>
    <n v="0.35899999999999999"/>
    <n v="1303690.22"/>
    <n v="0"/>
    <n v="1303690.22"/>
    <n v="15979.29"/>
    <n v="317438.88"/>
    <n v="0.998"/>
    <n v="26879.41"/>
    <n v="0"/>
    <n v="0"/>
    <x v="3"/>
    <n v="6"/>
  </r>
  <r>
    <n v="36533"/>
    <n v="3202405"/>
    <x v="28"/>
    <n v="0.81200000000000006"/>
    <n v="2948736.65"/>
    <n v="0"/>
    <n v="2948736.65"/>
    <n v="36142.57"/>
    <n v="2183790.73"/>
    <n v="2.8730000000000002"/>
    <n v="60796.88"/>
    <n v="0"/>
    <n v="0"/>
    <x v="3"/>
    <n v="6"/>
  </r>
  <r>
    <n v="36534"/>
    <n v="3202454"/>
    <x v="29"/>
    <n v="0.372"/>
    <n v="1350899.06"/>
    <n v="0"/>
    <n v="1350899.06"/>
    <n v="16557.93"/>
    <n v="293790.44"/>
    <n v="0.86499999999999999"/>
    <n v="27852.76"/>
    <n v="0"/>
    <n v="0"/>
    <x v="3"/>
    <n v="6"/>
  </r>
  <r>
    <n v="36535"/>
    <n v="3202504"/>
    <x v="30"/>
    <n v="0.23100000000000001"/>
    <n v="838864.74"/>
    <n v="0"/>
    <n v="838864.74"/>
    <n v="10281.94"/>
    <n v="132362.64000000001"/>
    <n v="0.46300000000000002"/>
    <n v="17295.66"/>
    <n v="0"/>
    <n v="0"/>
    <x v="3"/>
    <n v="6"/>
  </r>
  <r>
    <n v="36536"/>
    <n v="3202553"/>
    <x v="31"/>
    <n v="0.24299999999999999"/>
    <n v="882442.1"/>
    <n v="0"/>
    <n v="882442.1"/>
    <n v="10816.06"/>
    <n v="74754.509999999995"/>
    <n v="0.33800000000000002"/>
    <n v="18194.14"/>
    <n v="0"/>
    <n v="0"/>
    <x v="3"/>
    <n v="6"/>
  </r>
  <r>
    <n v="36537"/>
    <n v="3202603"/>
    <x v="32"/>
    <n v="0.315"/>
    <n v="1143906.48"/>
    <n v="0"/>
    <n v="1143906.48"/>
    <n v="14020.82"/>
    <n v="205939.17"/>
    <n v="0.55600000000000005"/>
    <n v="23585"/>
    <n v="0"/>
    <n v="0"/>
    <x v="3"/>
    <n v="6"/>
  </r>
  <r>
    <n v="36538"/>
    <n v="3202652"/>
    <x v="33"/>
    <n v="0.29899999999999999"/>
    <n v="1085803.26"/>
    <n v="0"/>
    <n v="1085803.26"/>
    <n v="13308.66"/>
    <n v="159832.1"/>
    <n v="0.55100000000000005"/>
    <n v="22387.03"/>
    <n v="0"/>
    <n v="0"/>
    <x v="3"/>
    <n v="6"/>
  </r>
  <r>
    <n v="36539"/>
    <n v="3202702"/>
    <x v="34"/>
    <n v="0.31900000000000001"/>
    <n v="1158432.26"/>
    <n v="0"/>
    <n v="1158432.26"/>
    <n v="14198.87"/>
    <n v="105361.60000000001"/>
    <n v="0.55500000000000005"/>
    <n v="23884.49"/>
    <n v="0"/>
    <n v="0"/>
    <x v="3"/>
    <n v="6"/>
  </r>
  <r>
    <n v="36540"/>
    <n v="3202801"/>
    <x v="35"/>
    <n v="2.4550000000000001"/>
    <n v="8915207.4299999997"/>
    <n v="0"/>
    <n v="8915207.4299999997"/>
    <n v="109273.41"/>
    <n v="313752.93"/>
    <n v="1.0409999999999999"/>
    <n v="183813.24"/>
    <n v="0"/>
    <n v="0"/>
    <x v="3"/>
    <n v="6"/>
  </r>
  <r>
    <n v="36541"/>
    <n v="3202900"/>
    <x v="36"/>
    <n v="0.34799999999999998"/>
    <n v="1263744.28"/>
    <n v="0"/>
    <n v="1263744.28"/>
    <n v="15489.67"/>
    <n v="131551.91"/>
    <n v="0.435"/>
    <n v="26055.81"/>
    <n v="0"/>
    <n v="0"/>
    <x v="3"/>
    <n v="6"/>
  </r>
  <r>
    <n v="36542"/>
    <n v="3203007"/>
    <x v="37"/>
    <n v="0.496"/>
    <n v="1801198.73"/>
    <n v="0"/>
    <n v="1801198.73"/>
    <n v="22077.23"/>
    <n v="330399.75"/>
    <n v="0.89700000000000002"/>
    <n v="37137.019999999997"/>
    <n v="0"/>
    <n v="0"/>
    <x v="3"/>
    <n v="6"/>
  </r>
  <r>
    <n v="36543"/>
    <n v="3203056"/>
    <x v="38"/>
    <n v="0.871"/>
    <n v="3162992.13"/>
    <n v="0"/>
    <n v="3162992.13"/>
    <n v="38768.69"/>
    <n v="351238.15"/>
    <n v="1"/>
    <n v="65214.39"/>
    <n v="0"/>
    <n v="0"/>
    <x v="3"/>
    <n v="6"/>
  </r>
  <r>
    <n v="36544"/>
    <n v="3203106"/>
    <x v="39"/>
    <n v="0.21"/>
    <n v="762604.3"/>
    <n v="0"/>
    <n v="762604.3"/>
    <n v="9347.2199999999993"/>
    <n v="71211.25"/>
    <n v="0.45800000000000002"/>
    <n v="15723.34"/>
    <n v="0"/>
    <n v="0"/>
    <x v="3"/>
    <n v="6"/>
  </r>
  <r>
    <n v="36545"/>
    <n v="3203130"/>
    <x v="40"/>
    <n v="0.36199999999999999"/>
    <n v="1314584.57"/>
    <n v="0"/>
    <n v="1314584.57"/>
    <n v="16112.82"/>
    <n v="158001.74"/>
    <n v="0.66600000000000004"/>
    <n v="27104.03"/>
    <n v="0"/>
    <n v="0"/>
    <x v="3"/>
    <n v="6"/>
  </r>
  <r>
    <n v="36546"/>
    <n v="3203163"/>
    <x v="41"/>
    <n v="0.373"/>
    <n v="1354530.51"/>
    <n v="0"/>
    <n v="1354530.51"/>
    <n v="16602.439999999999"/>
    <n v="67472.460000000006"/>
    <n v="0.441"/>
    <n v="27927.63"/>
    <n v="0"/>
    <n v="0"/>
    <x v="3"/>
    <n v="6"/>
  </r>
  <r>
    <n v="36547"/>
    <n v="3203205"/>
    <x v="42"/>
    <n v="4.9790000000000001"/>
    <n v="18080984.859999999"/>
    <n v="0"/>
    <n v="18080984.859999999"/>
    <n v="221618.04"/>
    <n v="2028040.03"/>
    <n v="4.0880000000000001"/>
    <n v="372792.73"/>
    <n v="0"/>
    <n v="0"/>
    <x v="3"/>
    <n v="6"/>
  </r>
  <r>
    <n v="36548"/>
    <n v="3203304"/>
    <x v="43"/>
    <n v="0.27600000000000002"/>
    <n v="1002279.93"/>
    <n v="0"/>
    <n v="1002279.93"/>
    <n v="12284.91"/>
    <n v="187221.9"/>
    <n v="0.57599999999999996"/>
    <n v="20664.95"/>
    <n v="0"/>
    <n v="0"/>
    <x v="3"/>
    <n v="6"/>
  </r>
  <r>
    <n v="36549"/>
    <n v="3203320"/>
    <x v="44"/>
    <n v="0.65800000000000003"/>
    <n v="2389493.4700000002"/>
    <n v="0"/>
    <n v="2389493.4700000002"/>
    <n v="29287.94"/>
    <n v="443994.66"/>
    <n v="1.171"/>
    <n v="49266.44"/>
    <n v="0"/>
    <n v="0"/>
    <x v="3"/>
    <n v="6"/>
  </r>
  <r>
    <n v="36550"/>
    <n v="3203346"/>
    <x v="45"/>
    <n v="0.61099999999999999"/>
    <n v="2218815.38"/>
    <n v="0"/>
    <n v="2218815.38"/>
    <n v="27195.95"/>
    <n v="181241.78"/>
    <n v="0.67100000000000004"/>
    <n v="45747.41"/>
    <n v="0"/>
    <n v="0"/>
    <x v="3"/>
    <n v="6"/>
  </r>
  <r>
    <n v="36551"/>
    <n v="3203353"/>
    <x v="46"/>
    <n v="0.436"/>
    <n v="1583311.81"/>
    <n v="0"/>
    <n v="1583311.81"/>
    <n v="19406.599999999999"/>
    <n v="133252.29999999999"/>
    <n v="0.46700000000000003"/>
    <n v="32644.63"/>
    <n v="0"/>
    <n v="0"/>
    <x v="3"/>
    <n v="6"/>
  </r>
  <r>
    <n v="36552"/>
    <n v="3203403"/>
    <x v="47"/>
    <n v="0.495"/>
    <n v="1797567.29"/>
    <n v="0"/>
    <n v="1797567.29"/>
    <n v="22032.720000000001"/>
    <n v="208261.56"/>
    <n v="0.85599999999999998"/>
    <n v="37062.14"/>
    <n v="0"/>
    <n v="0"/>
    <x v="3"/>
    <n v="6"/>
  </r>
  <r>
    <n v="36553"/>
    <n v="3203502"/>
    <x v="48"/>
    <n v="0.52100000000000002"/>
    <n v="1891984.97"/>
    <n v="0"/>
    <n v="1891984.97"/>
    <n v="23190"/>
    <n v="189726.6"/>
    <n v="0.69299999999999995"/>
    <n v="39008.839999999997"/>
    <n v="0"/>
    <n v="0"/>
    <x v="3"/>
    <n v="6"/>
  </r>
  <r>
    <n v="36554"/>
    <n v="3203601"/>
    <x v="49"/>
    <n v="0.28299999999999997"/>
    <n v="1027700.07"/>
    <n v="0"/>
    <n v="1027700.07"/>
    <n v="12596.49"/>
    <n v="50737.21"/>
    <n v="0.29799999999999999"/>
    <n v="21189.07"/>
    <n v="0"/>
    <n v="0"/>
    <x v="3"/>
    <n v="6"/>
  </r>
  <r>
    <n v="36555"/>
    <n v="3203700"/>
    <x v="50"/>
    <n v="0.54600000000000004"/>
    <n v="1982771.22"/>
    <n v="0"/>
    <n v="1982771.22"/>
    <n v="24302.76"/>
    <n v="129334.44"/>
    <n v="0.67100000000000004"/>
    <n v="40880.660000000003"/>
    <n v="0"/>
    <n v="0"/>
    <x v="3"/>
    <n v="6"/>
  </r>
  <r>
    <n v="36556"/>
    <n v="3203809"/>
    <x v="51"/>
    <n v="0.28100000000000003"/>
    <n v="1020437.19"/>
    <n v="0"/>
    <n v="1020437.19"/>
    <n v="12507.47"/>
    <n v="90109.77"/>
    <n v="0.57499999999999996"/>
    <n v="21039.32"/>
    <n v="0"/>
    <n v="0"/>
    <x v="3"/>
    <n v="6"/>
  </r>
  <r>
    <n v="36557"/>
    <n v="3203908"/>
    <x v="52"/>
    <n v="1.3109999999999999"/>
    <n v="4760829.71"/>
    <n v="0"/>
    <n v="4760829.71"/>
    <n v="58353.33"/>
    <n v="647889.5"/>
    <n v="1.4650000000000001"/>
    <n v="98158.52"/>
    <n v="0"/>
    <n v="0"/>
    <x v="3"/>
    <n v="6"/>
  </r>
  <r>
    <n v="36558"/>
    <n v="3204005"/>
    <x v="53"/>
    <n v="0.436"/>
    <n v="1583311.81"/>
    <n v="0"/>
    <n v="1583311.81"/>
    <n v="19406.599999999999"/>
    <n v="178785.04"/>
    <n v="0.747"/>
    <n v="32644.63"/>
    <n v="0"/>
    <n v="0"/>
    <x v="3"/>
    <n v="6"/>
  </r>
  <r>
    <n v="36559"/>
    <n v="3204054"/>
    <x v="54"/>
    <n v="0.307"/>
    <n v="1114854.8799999999"/>
    <n v="0"/>
    <n v="1114854.8799999999"/>
    <n v="13664.74"/>
    <n v="204055.96"/>
    <n v="0.86199999999999999"/>
    <n v="22986.02"/>
    <n v="0"/>
    <n v="0"/>
    <x v="3"/>
    <n v="6"/>
  </r>
  <r>
    <n v="36560"/>
    <n v="3204104"/>
    <x v="55"/>
    <n v="0.73199999999999998"/>
    <n v="2658220.71"/>
    <n v="0"/>
    <n v="2658220.71"/>
    <n v="32581.72"/>
    <n v="210109.88"/>
    <n v="0.875"/>
    <n v="54807.05"/>
    <n v="0"/>
    <n v="0"/>
    <x v="3"/>
    <n v="6"/>
  </r>
  <r>
    <n v="36561"/>
    <n v="3204203"/>
    <x v="56"/>
    <n v="0.14199999999999999"/>
    <n v="515665.77"/>
    <n v="0"/>
    <n v="515665.77"/>
    <n v="6320.5"/>
    <n v="264767.90999999997"/>
    <n v="0.73399999999999999"/>
    <n v="10631.97"/>
    <n v="0"/>
    <n v="0"/>
    <x v="3"/>
    <n v="6"/>
  </r>
  <r>
    <n v="36562"/>
    <n v="3204252"/>
    <x v="57"/>
    <n v="0.20899999999999999"/>
    <n v="758972.87"/>
    <n v="0"/>
    <n v="758972.87"/>
    <n v="9302.7099999999991"/>
    <n v="59137.06"/>
    <n v="0.32900000000000001"/>
    <n v="15648.46"/>
    <n v="0"/>
    <n v="0"/>
    <x v="3"/>
    <n v="6"/>
  </r>
  <r>
    <n v="36563"/>
    <n v="1718402"/>
    <x v="58"/>
    <n v="0.32"/>
    <n v="1162063.7"/>
    <n v="0"/>
    <n v="1162063.7"/>
    <n v="14243.38"/>
    <n v="220583.31"/>
    <n v="0.45100000000000001"/>
    <n v="23959.360000000001"/>
    <n v="0"/>
    <n v="0"/>
    <x v="3"/>
    <n v="6"/>
  </r>
  <r>
    <n v="36564"/>
    <n v="3204351"/>
    <x v="59"/>
    <n v="0.85399999999999998"/>
    <n v="3101257.49"/>
    <n v="0"/>
    <n v="3101257.49"/>
    <n v="38012.01"/>
    <n v="265797.21999999997"/>
    <n v="0.69799999999999995"/>
    <n v="63941.55"/>
    <n v="0"/>
    <n v="0"/>
    <x v="3"/>
    <n v="6"/>
  </r>
  <r>
    <n v="36565"/>
    <n v="3204401"/>
    <x v="60"/>
    <n v="0.25"/>
    <n v="907862.27"/>
    <n v="0"/>
    <n v="907862.27"/>
    <n v="11127.64"/>
    <n v="109804.06"/>
    <n v="0.45"/>
    <n v="18718.259999999998"/>
    <n v="0"/>
    <n v="0"/>
    <x v="3"/>
    <n v="6"/>
  </r>
  <r>
    <n v="36566"/>
    <n v="3204500"/>
    <x v="61"/>
    <n v="0.54500000000000004"/>
    <n v="1979139.74"/>
    <n v="0"/>
    <n v="1979139.74"/>
    <n v="24258.25"/>
    <n v="100031.85"/>
    <n v="0.45600000000000002"/>
    <n v="40805.800000000003"/>
    <n v="0"/>
    <n v="0"/>
    <x v="3"/>
    <n v="6"/>
  </r>
  <r>
    <n v="36567"/>
    <n v="3204559"/>
    <x v="62"/>
    <n v="2.2349999999999999"/>
    <n v="8116288.6299999999"/>
    <n v="0"/>
    <n v="8116288.6299999999"/>
    <n v="99481.09"/>
    <n v="637374.31000000006"/>
    <n v="1.1990000000000001"/>
    <n v="167341.18"/>
    <n v="0"/>
    <n v="0"/>
    <x v="3"/>
    <n v="6"/>
  </r>
  <r>
    <n v="36568"/>
    <n v="3204609"/>
    <x v="63"/>
    <n v="0.65100000000000002"/>
    <n v="2364073.35"/>
    <n v="0"/>
    <n v="2364073.35"/>
    <n v="28976.37"/>
    <n v="276368.46000000002"/>
    <n v="0.82899999999999996"/>
    <n v="48742.33"/>
    <n v="0"/>
    <n v="0"/>
    <x v="3"/>
    <n v="6"/>
  </r>
  <r>
    <n v="36569"/>
    <n v="3204658"/>
    <x v="64"/>
    <n v="0.42299999999999999"/>
    <n v="1536102.97"/>
    <n v="0"/>
    <n v="1536102.97"/>
    <n v="18827.96"/>
    <n v="121942.79"/>
    <n v="0.33700000000000002"/>
    <n v="31671.29"/>
    <n v="0"/>
    <n v="0"/>
    <x v="3"/>
    <n v="6"/>
  </r>
  <r>
    <n v="36570"/>
    <n v="3204708"/>
    <x v="65"/>
    <n v="0.85199999999999998"/>
    <n v="3093994.6"/>
    <n v="0"/>
    <n v="3093994.6"/>
    <n v="37922.99"/>
    <n v="408917.73"/>
    <n v="1.169"/>
    <n v="63791.8"/>
    <n v="0"/>
    <n v="0"/>
    <x v="3"/>
    <n v="6"/>
  </r>
  <r>
    <n v="36571"/>
    <n v="3204807"/>
    <x v="66"/>
    <n v="0.22600000000000001"/>
    <n v="820707.48"/>
    <n v="0"/>
    <n v="820707.48"/>
    <n v="10059.379999999999"/>
    <n v="89665.02"/>
    <n v="0.436"/>
    <n v="16921.3"/>
    <n v="0"/>
    <n v="0"/>
    <x v="3"/>
    <n v="6"/>
  </r>
  <r>
    <n v="36572"/>
    <n v="3204906"/>
    <x v="67"/>
    <n v="1.901"/>
    <n v="6903384.6600000001"/>
    <n v="0"/>
    <n v="6903384.6600000001"/>
    <n v="84614.56"/>
    <n v="1381462.64"/>
    <n v="3.0249999999999999"/>
    <n v="142333.59"/>
    <n v="0"/>
    <n v="0"/>
    <x v="3"/>
    <n v="6"/>
  </r>
  <r>
    <n v="36573"/>
    <n v="3204955"/>
    <x v="68"/>
    <n v="0.312"/>
    <n v="1133012.1200000001"/>
    <n v="0"/>
    <n v="1133012.1200000001"/>
    <n v="13887.29"/>
    <n v="101846.98"/>
    <n v="0.46100000000000002"/>
    <n v="23360.38"/>
    <n v="0"/>
    <n v="0"/>
    <x v="3"/>
    <n v="6"/>
  </r>
  <r>
    <n v="36574"/>
    <n v="3205002"/>
    <x v="69"/>
    <n v="15.625"/>
    <n v="56741391.619999997"/>
    <n v="0"/>
    <n v="56741391.619999997"/>
    <n v="695477.39"/>
    <n v="5163451.47"/>
    <n v="8.4320000000000004"/>
    <n v="1169890.83"/>
    <n v="0"/>
    <n v="0"/>
    <x v="3"/>
    <n v="6"/>
  </r>
  <r>
    <n v="36575"/>
    <n v="3205010"/>
    <x v="70"/>
    <n v="0.72199999999999998"/>
    <n v="2621906.21"/>
    <n v="0"/>
    <n v="2621906.21"/>
    <n v="32136.62"/>
    <n v="233389.19"/>
    <n v="0.997"/>
    <n v="54058.31"/>
    <n v="0"/>
    <n v="0"/>
    <x v="3"/>
    <n v="6"/>
  </r>
  <r>
    <n v="36576"/>
    <n v="3205036"/>
    <x v="71"/>
    <n v="0.49099999999999999"/>
    <n v="1783041.47"/>
    <n v="0"/>
    <n v="1783041.47"/>
    <n v="21854.68"/>
    <n v="181215.78"/>
    <n v="0.72699999999999998"/>
    <n v="36762.65"/>
    <n v="0"/>
    <n v="0"/>
    <x v="3"/>
    <n v="6"/>
  </r>
  <r>
    <n v="36577"/>
    <n v="3205069"/>
    <x v="72"/>
    <n v="0.68700000000000006"/>
    <n v="2494805.4900000002"/>
    <n v="0"/>
    <n v="2494805.4900000002"/>
    <n v="30578.75"/>
    <n v="337741.59"/>
    <n v="0.85799999999999998"/>
    <n v="51437.760000000002"/>
    <n v="0"/>
    <n v="0"/>
    <x v="3"/>
    <n v="6"/>
  </r>
  <r>
    <n v="36578"/>
    <n v="2112803"/>
    <x v="73"/>
    <n v="2.9870000000000001"/>
    <n v="10847138.359999999"/>
    <n v="0"/>
    <n v="10847138.359999999"/>
    <n v="132953.01999999999"/>
    <n v="496972.2"/>
    <n v="1.984"/>
    <n v="223645.69"/>
    <n v="0"/>
    <n v="0"/>
    <x v="3"/>
    <n v="6"/>
  </r>
  <r>
    <n v="36579"/>
    <n v="3205150"/>
    <x v="74"/>
    <n v="0.31900000000000001"/>
    <n v="1158432.26"/>
    <n v="0"/>
    <n v="1158432.26"/>
    <n v="14198.87"/>
    <n v="91599.8"/>
    <n v="0.34399999999999997"/>
    <n v="23884.49"/>
    <n v="0"/>
    <n v="0"/>
    <x v="3"/>
    <n v="6"/>
  </r>
  <r>
    <n v="36580"/>
    <n v="3205176"/>
    <x v="75"/>
    <n v="0.65800000000000003"/>
    <n v="2389493.4700000002"/>
    <n v="0"/>
    <n v="2389493.4700000002"/>
    <n v="29287.94"/>
    <n v="232345.56"/>
    <n v="0.55600000000000005"/>
    <n v="49266.44"/>
    <n v="0"/>
    <n v="0"/>
    <x v="3"/>
    <n v="6"/>
  </r>
  <r>
    <n v="36581"/>
    <n v="3205200"/>
    <x v="76"/>
    <n v="5.056"/>
    <n v="18360606.469999999"/>
    <n v="0"/>
    <n v="18360606.469999999"/>
    <n v="225045.35"/>
    <n v="6225768.8600000003"/>
    <n v="8.09"/>
    <n v="378557.96"/>
    <n v="0"/>
    <n v="0"/>
    <x v="3"/>
    <n v="6"/>
  </r>
  <r>
    <n v="36582"/>
    <n v="3205309"/>
    <x v="77"/>
    <n v="14.782"/>
    <n v="53680080"/>
    <n v="0"/>
    <n v="53680080"/>
    <n v="657954.99"/>
    <n v="6042672.1900000004"/>
    <n v="9.4969999999999999"/>
    <n v="1106772.9099999999"/>
    <n v="0"/>
    <n v="0"/>
    <x v="3"/>
    <n v="6"/>
  </r>
  <r>
    <n v="36583"/>
    <n v="3200102"/>
    <x v="0"/>
    <n v="0.76100000000000001"/>
    <n v="2680985.27"/>
    <n v="0"/>
    <n v="2680985.27"/>
    <n v="30774.3"/>
    <n v="308619.99"/>
    <n v="0.98499999999999999"/>
    <n v="52157.94"/>
    <n v="0"/>
    <n v="15632.73"/>
    <x v="3"/>
    <n v="7"/>
  </r>
  <r>
    <n v="36584"/>
    <n v="3200169"/>
    <x v="1"/>
    <n v="0.28899999999999998"/>
    <n v="1018140.27"/>
    <n v="0"/>
    <n v="1018140.27"/>
    <n v="11686.95"/>
    <n v="82740.91"/>
    <n v="0.439"/>
    <n v="19807.68"/>
    <n v="0"/>
    <n v="5936.74"/>
    <x v="3"/>
    <n v="7"/>
  </r>
  <r>
    <n v="36585"/>
    <n v="3200136"/>
    <x v="2"/>
    <n v="0.40400000000000003"/>
    <n v="1423282.55"/>
    <n v="0"/>
    <n v="1423282.55"/>
    <n v="16337.47"/>
    <n v="92194.63"/>
    <n v="0.34799999999999998"/>
    <n v="27689.63"/>
    <n v="0"/>
    <n v="8299.11"/>
    <x v="3"/>
    <n v="7"/>
  </r>
  <r>
    <n v="36586"/>
    <n v="3200201"/>
    <x v="3"/>
    <n v="0.498"/>
    <n v="1754442.4"/>
    <n v="0"/>
    <n v="1754442.4"/>
    <n v="20138.759999999998"/>
    <n v="226940.65"/>
    <n v="0.98"/>
    <n v="34132.269999999997"/>
    <n v="0"/>
    <n v="10230.09"/>
    <x v="3"/>
    <n v="7"/>
  </r>
  <r>
    <n v="36587"/>
    <n v="3200300"/>
    <x v="4"/>
    <n v="0.46700000000000003"/>
    <n v="1645230.11"/>
    <n v="0"/>
    <n v="1645230.11"/>
    <n v="18885.150000000001"/>
    <n v="147066.63"/>
    <n v="0.56399999999999995"/>
    <n v="32007.57"/>
    <n v="0"/>
    <n v="9593.2800000000007"/>
    <x v="3"/>
    <n v="7"/>
  </r>
  <r>
    <n v="36588"/>
    <n v="3200359"/>
    <x v="5"/>
    <n v="0.22600000000000001"/>
    <n v="796192.75"/>
    <n v="0"/>
    <n v="796192.75"/>
    <n v="9139.2800000000007"/>
    <n v="64464.72"/>
    <n v="0.32700000000000001"/>
    <n v="15489.74"/>
    <n v="0"/>
    <n v="4642.57"/>
    <x v="3"/>
    <n v="7"/>
  </r>
  <r>
    <n v="36589"/>
    <n v="3200409"/>
    <x v="6"/>
    <n v="3.1480000000000001"/>
    <n v="11090330.710000001"/>
    <n v="0"/>
    <n v="11090330.710000001"/>
    <n v="127302.87"/>
    <n v="277889.34000000003"/>
    <n v="0.90800000000000003"/>
    <n v="215759.79"/>
    <n v="0"/>
    <n v="64667.34"/>
    <x v="3"/>
    <n v="7"/>
  </r>
  <r>
    <n v="36590"/>
    <n v="3200508"/>
    <x v="7"/>
    <n v="0.185"/>
    <n v="651750.68000000005"/>
    <n v="0"/>
    <n v="651750.68000000005"/>
    <n v="7481.27"/>
    <n v="85194.99"/>
    <n v="0.32300000000000001"/>
    <n v="12679.66"/>
    <n v="0"/>
    <n v="3800.34"/>
    <x v="3"/>
    <n v="7"/>
  </r>
  <r>
    <n v="36591"/>
    <n v="3200607"/>
    <x v="8"/>
    <n v="2.9220000000000002"/>
    <n v="10294137.93"/>
    <n v="0"/>
    <n v="10294137.93"/>
    <n v="118163.59"/>
    <n v="1076212.07"/>
    <n v="2.5089999999999999"/>
    <n v="200270.04"/>
    <n v="0"/>
    <n v="60024.77"/>
    <x v="3"/>
    <n v="7"/>
  </r>
  <r>
    <n v="36592"/>
    <n v="3200706"/>
    <x v="9"/>
    <n v="0.35399999999999998"/>
    <n v="1247133.76"/>
    <n v="0"/>
    <n v="1247133.76"/>
    <n v="14315.51"/>
    <n v="96904.12"/>
    <n v="0.45700000000000002"/>
    <n v="24262.7"/>
    <n v="0"/>
    <n v="7271.99"/>
    <x v="3"/>
    <n v="7"/>
  </r>
  <r>
    <n v="36593"/>
    <n v="3200805"/>
    <x v="10"/>
    <n v="0.60699999999999998"/>
    <n v="2138446.87"/>
    <n v="0"/>
    <n v="2138446.87"/>
    <n v="24546.65"/>
    <n v="416077.49"/>
    <n v="0.997"/>
    <n v="41602.980000000003"/>
    <n v="0"/>
    <n v="12469.21"/>
    <x v="3"/>
    <n v="7"/>
  </r>
  <r>
    <n v="36594"/>
    <n v="3200904"/>
    <x v="11"/>
    <n v="1.0289999999999999"/>
    <n v="3625143.03"/>
    <n v="0"/>
    <n v="3625143.03"/>
    <n v="41612.019999999997"/>
    <n v="465322.93"/>
    <n v="1.321"/>
    <n v="70526.31"/>
    <n v="0"/>
    <n v="21138.09"/>
    <x v="3"/>
    <n v="7"/>
  </r>
  <r>
    <n v="36595"/>
    <n v="3107109"/>
    <x v="12"/>
    <n v="0.39500000000000002"/>
    <n v="1391575.81"/>
    <n v="0"/>
    <n v="1391575.81"/>
    <n v="15973.52"/>
    <n v="112760.68"/>
    <n v="0.56899999999999995"/>
    <n v="27072.78"/>
    <n v="0"/>
    <n v="8114.23"/>
    <x v="3"/>
    <n v="7"/>
  </r>
  <r>
    <n v="36596"/>
    <n v="3201100"/>
    <x v="13"/>
    <n v="0.17599999999999999"/>
    <n v="620043.91"/>
    <n v="0"/>
    <n v="620043.91"/>
    <n v="7117.31"/>
    <n v="225567.34"/>
    <n v="0.43"/>
    <n v="12062.81"/>
    <n v="0"/>
    <n v="3615.46"/>
    <x v="3"/>
    <n v="7"/>
  </r>
  <r>
    <n v="36597"/>
    <n v="3201159"/>
    <x v="14"/>
    <n v="0.42099999999999999"/>
    <n v="1483173.21"/>
    <n v="0"/>
    <n v="1483173.21"/>
    <n v="17024.939999999999"/>
    <n v="114569.78"/>
    <n v="0.46"/>
    <n v="28854.79"/>
    <n v="0"/>
    <n v="8648.33"/>
    <x v="3"/>
    <n v="7"/>
  </r>
  <r>
    <n v="36598"/>
    <n v="3201209"/>
    <x v="15"/>
    <n v="3.1120000000000001"/>
    <n v="10963503.51"/>
    <n v="0"/>
    <n v="10963503.51"/>
    <n v="125847.06"/>
    <n v="2163528.73"/>
    <n v="4.4820000000000002"/>
    <n v="213292.4"/>
    <n v="0"/>
    <n v="63927.82"/>
    <x v="3"/>
    <n v="7"/>
  </r>
  <r>
    <n v="36599"/>
    <n v="3201308"/>
    <x v="16"/>
    <n v="7.2990000000000004"/>
    <n v="25714207.050000001"/>
    <n v="0"/>
    <n v="25714207.050000001"/>
    <n v="295166.34000000003"/>
    <n v="2817192.51"/>
    <n v="6.6040000000000001"/>
    <n v="500263.88"/>
    <n v="0"/>
    <n v="149938.67000000001"/>
    <x v="3"/>
    <n v="7"/>
  </r>
  <r>
    <n v="36600"/>
    <n v="3201407"/>
    <x v="17"/>
    <n v="0.89900000000000002"/>
    <n v="3167156.08"/>
    <n v="0"/>
    <n v="3167156.08"/>
    <n v="36354.92"/>
    <n v="492147.27"/>
    <n v="1.155"/>
    <n v="61616.28"/>
    <n v="0"/>
    <n v="18467.580000000002"/>
    <x v="3"/>
    <n v="7"/>
  </r>
  <r>
    <n v="36601"/>
    <n v="3201506"/>
    <x v="18"/>
    <n v="2.2320000000000002"/>
    <n v="7863284.0199999996"/>
    <n v="0"/>
    <n v="7863284.0199999996"/>
    <n v="90260.479999999996"/>
    <n v="1455534.0800000001"/>
    <n v="2.8220000000000001"/>
    <n v="152978.35"/>
    <n v="0"/>
    <n v="45850.54"/>
    <x v="3"/>
    <n v="7"/>
  </r>
  <r>
    <n v="36602"/>
    <n v="3201605"/>
    <x v="19"/>
    <n v="0.79400000000000004"/>
    <n v="2797243.5"/>
    <n v="0"/>
    <n v="2797243.5"/>
    <n v="32108.79"/>
    <n v="200002.3"/>
    <n v="0.999"/>
    <n v="54419.72"/>
    <n v="0"/>
    <n v="16310.63"/>
    <x v="3"/>
    <n v="7"/>
  </r>
  <r>
    <n v="36603"/>
    <n v="3201704"/>
    <x v="20"/>
    <n v="0.46"/>
    <n v="1620569.26"/>
    <n v="0"/>
    <n v="1620569.26"/>
    <n v="18602.07"/>
    <n v="100491.05"/>
    <n v="0.46500000000000002"/>
    <n v="31527.8"/>
    <n v="0"/>
    <n v="9449.48"/>
    <x v="3"/>
    <n v="7"/>
  </r>
  <r>
    <n v="36604"/>
    <n v="3201803"/>
    <x v="21"/>
    <n v="0.182"/>
    <n v="641181.77"/>
    <n v="0"/>
    <n v="641181.77"/>
    <n v="7359.95"/>
    <n v="32312.36"/>
    <n v="0.28299999999999997"/>
    <n v="12474.04"/>
    <n v="0"/>
    <n v="3738.71"/>
    <x v="3"/>
    <n v="7"/>
  </r>
  <r>
    <n v="36605"/>
    <n v="3201902"/>
    <x v="22"/>
    <n v="1.268"/>
    <n v="4467134.47"/>
    <n v="0"/>
    <n v="4467134.47"/>
    <n v="51277.01"/>
    <n v="357520.04"/>
    <n v="1.0309999999999999"/>
    <n v="86907.06"/>
    <n v="0"/>
    <n v="26047.71"/>
    <x v="3"/>
    <n v="7"/>
  </r>
  <r>
    <n v="36606"/>
    <n v="3202009"/>
    <x v="23"/>
    <n v="0.27"/>
    <n v="951203.71"/>
    <n v="0"/>
    <n v="951203.71"/>
    <n v="10918.61"/>
    <n v="89063.65"/>
    <n v="0.314"/>
    <n v="18505.45"/>
    <n v="0"/>
    <n v="5546.44"/>
    <x v="3"/>
    <n v="7"/>
  </r>
  <r>
    <n v="36607"/>
    <n v="3202108"/>
    <x v="24"/>
    <n v="0.69399999999999995"/>
    <n v="2444945.84"/>
    <n v="0"/>
    <n v="2444945.84"/>
    <n v="28064.86"/>
    <n v="164582.14000000001"/>
    <n v="0.81599999999999995"/>
    <n v="47565.85"/>
    <n v="0"/>
    <n v="14256.4"/>
    <x v="3"/>
    <n v="7"/>
  </r>
  <r>
    <n v="36608"/>
    <n v="3202207"/>
    <x v="25"/>
    <n v="0.28599999999999998"/>
    <n v="1007571.33"/>
    <n v="0"/>
    <n v="1007571.33"/>
    <n v="11565.64"/>
    <n v="149756.94"/>
    <n v="0.73399999999999999"/>
    <n v="19602.060000000001"/>
    <n v="0"/>
    <n v="5875.11"/>
    <x v="3"/>
    <n v="7"/>
  </r>
  <r>
    <n v="36609"/>
    <n v="3202256"/>
    <x v="26"/>
    <n v="0.438"/>
    <n v="1543063.82"/>
    <n v="0"/>
    <n v="1543063.82"/>
    <n v="17712.41"/>
    <n v="143852.13"/>
    <n v="0.46700000000000003"/>
    <n v="30019.95"/>
    <n v="0"/>
    <n v="8997.5499999999993"/>
    <x v="3"/>
    <n v="7"/>
  </r>
  <r>
    <n v="36610"/>
    <n v="3202306"/>
    <x v="27"/>
    <n v="0.35899999999999999"/>
    <n v="1264748.6299999999"/>
    <n v="0"/>
    <n v="1264748.6299999999"/>
    <n v="14517.7"/>
    <n v="296644.03999999998"/>
    <n v="0.998"/>
    <n v="24605.39"/>
    <n v="0"/>
    <n v="7374.71"/>
    <x v="3"/>
    <n v="7"/>
  </r>
  <r>
    <n v="36611"/>
    <n v="3202405"/>
    <x v="28"/>
    <n v="0.81200000000000006"/>
    <n v="2860657.11"/>
    <n v="0"/>
    <n v="2860657.11"/>
    <n v="32836.699999999997"/>
    <n v="1975622.73"/>
    <n v="2.8730000000000002"/>
    <n v="55653.41"/>
    <n v="0"/>
    <n v="16680.39"/>
    <x v="3"/>
    <n v="7"/>
  </r>
  <r>
    <n v="36612"/>
    <n v="3202454"/>
    <x v="29"/>
    <n v="0.372"/>
    <n v="1310547.33"/>
    <n v="0"/>
    <n v="1310547.33"/>
    <n v="15043.41"/>
    <n v="278452.24"/>
    <n v="0.86499999999999999"/>
    <n v="25496.39"/>
    <n v="0"/>
    <n v="7641.76"/>
    <x v="3"/>
    <n v="7"/>
  </r>
  <r>
    <n v="36613"/>
    <n v="3202504"/>
    <x v="30"/>
    <n v="0.23100000000000001"/>
    <n v="813807.62"/>
    <n v="0"/>
    <n v="813807.62"/>
    <n v="9341.4699999999993"/>
    <n v="118411.47"/>
    <n v="0.46300000000000002"/>
    <n v="15832.44"/>
    <n v="0"/>
    <n v="4745.28"/>
    <x v="3"/>
    <n v="7"/>
  </r>
  <r>
    <n v="36614"/>
    <n v="3202553"/>
    <x v="31"/>
    <n v="0.24299999999999999"/>
    <n v="856083.34"/>
    <n v="0"/>
    <n v="856083.34"/>
    <n v="9826.75"/>
    <n v="52787.22"/>
    <n v="0.33800000000000002"/>
    <n v="16654.900000000001"/>
    <n v="0"/>
    <n v="4991.79"/>
    <x v="3"/>
    <n v="7"/>
  </r>
  <r>
    <n v="36615"/>
    <n v="3202603"/>
    <x v="32"/>
    <n v="0.315"/>
    <n v="1109737.6599999999"/>
    <n v="0"/>
    <n v="1109737.6599999999"/>
    <n v="12738.37"/>
    <n v="179861.8"/>
    <n v="0.55600000000000005"/>
    <n v="21589.69"/>
    <n v="0"/>
    <n v="6470.84"/>
    <x v="3"/>
    <n v="7"/>
  </r>
  <r>
    <n v="36616"/>
    <n v="3202652"/>
    <x v="33"/>
    <n v="0.29899999999999999"/>
    <n v="1053370.02"/>
    <n v="0"/>
    <n v="1053370.02"/>
    <n v="12091.35"/>
    <n v="138626.35999999999"/>
    <n v="0.55100000000000005"/>
    <n v="20493.07"/>
    <n v="0"/>
    <n v="6142.17"/>
    <x v="3"/>
    <n v="7"/>
  </r>
  <r>
    <n v="36617"/>
    <n v="3202702"/>
    <x v="34"/>
    <n v="0.31900000000000001"/>
    <n v="1123829.55"/>
    <n v="0"/>
    <n v="1123829.55"/>
    <n v="12900.13"/>
    <n v="80558.14"/>
    <n v="0.55500000000000005"/>
    <n v="21863.84"/>
    <n v="0"/>
    <n v="6553.01"/>
    <x v="3"/>
    <n v="7"/>
  </r>
  <r>
    <n v="36618"/>
    <n v="3202801"/>
    <x v="35"/>
    <n v="2.4550000000000001"/>
    <n v="8648907.8300000001"/>
    <n v="0"/>
    <n v="8648907.8300000001"/>
    <n v="99278.45"/>
    <n v="296832.5"/>
    <n v="1.0409999999999999"/>
    <n v="168262.48"/>
    <n v="0"/>
    <n v="50431.49"/>
    <x v="3"/>
    <n v="7"/>
  </r>
  <r>
    <n v="36619"/>
    <n v="3202900"/>
    <x v="36"/>
    <n v="0.34799999999999998"/>
    <n v="1225995.8899999999"/>
    <n v="0"/>
    <n v="1225995.8899999999"/>
    <n v="14072.87"/>
    <n v="129916.8"/>
    <n v="0.435"/>
    <n v="23851.46"/>
    <n v="0"/>
    <n v="7148.74"/>
    <x v="3"/>
    <n v="7"/>
  </r>
  <r>
    <n v="36620"/>
    <n v="3203007"/>
    <x v="37"/>
    <n v="0.496"/>
    <n v="1747396.45"/>
    <n v="0"/>
    <n v="1747396.45"/>
    <n v="20057.89"/>
    <n v="296045.74"/>
    <n v="0.89700000000000002"/>
    <n v="33995.19"/>
    <n v="0"/>
    <n v="10189.01"/>
    <x v="3"/>
    <n v="7"/>
  </r>
  <r>
    <n v="36621"/>
    <n v="3203056"/>
    <x v="38"/>
    <n v="0.871"/>
    <n v="3068512.73"/>
    <n v="0"/>
    <n v="3068512.73"/>
    <n v="35222.620000000003"/>
    <n v="293308.81"/>
    <n v="1"/>
    <n v="59697.2"/>
    <n v="0"/>
    <n v="17892.39"/>
    <x v="3"/>
    <n v="7"/>
  </r>
  <r>
    <n v="36622"/>
    <n v="3203106"/>
    <x v="39"/>
    <n v="0.21"/>
    <n v="739825.12"/>
    <n v="0"/>
    <n v="739825.12"/>
    <n v="8492.25"/>
    <n v="67507.72"/>
    <n v="0.45800000000000002"/>
    <n v="14393.12"/>
    <n v="0"/>
    <n v="4313.8999999999996"/>
    <x v="3"/>
    <n v="7"/>
  </r>
  <r>
    <n v="36623"/>
    <n v="3203130"/>
    <x v="40"/>
    <n v="0.36199999999999999"/>
    <n v="1275317.54"/>
    <n v="0"/>
    <n v="1275317.54"/>
    <n v="14639.02"/>
    <n v="128291.1"/>
    <n v="0.66600000000000004"/>
    <n v="24811"/>
    <n v="0"/>
    <n v="7436.33"/>
    <x v="3"/>
    <n v="7"/>
  </r>
  <r>
    <n v="36624"/>
    <n v="3203163"/>
    <x v="41"/>
    <n v="0.373"/>
    <n v="1314070.33"/>
    <n v="0"/>
    <n v="1314070.33"/>
    <n v="15083.85"/>
    <n v="71137.919999999998"/>
    <n v="0.441"/>
    <n v="25564.93"/>
    <n v="0"/>
    <n v="7662.3"/>
    <x v="3"/>
    <n v="7"/>
  </r>
  <r>
    <n v="36625"/>
    <n v="3203205"/>
    <x v="42"/>
    <n v="4.9790000000000001"/>
    <n v="17540901.039999999"/>
    <n v="0"/>
    <n v="17540901.039999999"/>
    <n v="201347.20000000001"/>
    <n v="1894590.06"/>
    <n v="4.0880000000000001"/>
    <n v="341254.12"/>
    <n v="0"/>
    <n v="102280.4"/>
    <x v="3"/>
    <n v="7"/>
  </r>
  <r>
    <n v="36626"/>
    <n v="3203304"/>
    <x v="43"/>
    <n v="0.27600000000000002"/>
    <n v="972341.56"/>
    <n v="0"/>
    <n v="972341.56"/>
    <n v="11161.24"/>
    <n v="172894.2"/>
    <n v="0.57599999999999996"/>
    <n v="18916.68"/>
    <n v="0"/>
    <n v="5669.69"/>
    <x v="3"/>
    <n v="7"/>
  </r>
  <r>
    <n v="36627"/>
    <n v="3203320"/>
    <x v="44"/>
    <n v="0.65800000000000003"/>
    <n v="2318118.64"/>
    <n v="0"/>
    <n v="2318118.64"/>
    <n v="26609.05"/>
    <n v="428755.5"/>
    <n v="1.171"/>
    <n v="45098.46"/>
    <n v="0"/>
    <n v="13516.87"/>
    <x v="3"/>
    <n v="7"/>
  </r>
  <r>
    <n v="36628"/>
    <n v="3203346"/>
    <x v="45"/>
    <n v="0.61099999999999999"/>
    <n v="2152538.79"/>
    <n v="0"/>
    <n v="2152538.79"/>
    <n v="24708.400000000001"/>
    <n v="176978.65"/>
    <n v="0.67100000000000004"/>
    <n v="41877.14"/>
    <n v="0"/>
    <n v="12551.38"/>
    <x v="3"/>
    <n v="7"/>
  </r>
  <r>
    <n v="36629"/>
    <n v="3203353"/>
    <x v="46"/>
    <n v="0.436"/>
    <n v="1536017.83"/>
    <n v="0"/>
    <n v="1536017.83"/>
    <n v="17631.53"/>
    <n v="109932.37"/>
    <n v="0.46700000000000003"/>
    <n v="29882.87"/>
    <n v="0"/>
    <n v="8956.4699999999993"/>
    <x v="3"/>
    <n v="7"/>
  </r>
  <r>
    <n v="36630"/>
    <n v="3203403"/>
    <x v="47"/>
    <n v="0.495"/>
    <n v="1743873.46"/>
    <n v="0"/>
    <n v="1743873.46"/>
    <n v="20017.45"/>
    <n v="185034.78"/>
    <n v="0.85599999999999998"/>
    <n v="33926.65"/>
    <n v="0"/>
    <n v="10168.469999999999"/>
    <x v="3"/>
    <n v="7"/>
  </r>
  <r>
    <n v="36631"/>
    <n v="3203502"/>
    <x v="48"/>
    <n v="0.52100000000000002"/>
    <n v="1835470.86"/>
    <n v="0"/>
    <n v="1835470.86"/>
    <n v="21068.87"/>
    <n v="183855.07"/>
    <n v="0.69299999999999995"/>
    <n v="35708.660000000003"/>
    <n v="0"/>
    <n v="10702.57"/>
    <x v="3"/>
    <n v="7"/>
  </r>
  <r>
    <n v="36632"/>
    <n v="3203601"/>
    <x v="49"/>
    <n v="0.28299999999999997"/>
    <n v="997002.43"/>
    <n v="0"/>
    <n v="997002.43"/>
    <n v="11444.32"/>
    <n v="41383.49"/>
    <n v="0.29799999999999999"/>
    <n v="19396.45"/>
    <n v="0"/>
    <n v="5813.49"/>
    <x v="3"/>
    <n v="7"/>
  </r>
  <r>
    <n v="36633"/>
    <n v="3203700"/>
    <x v="50"/>
    <n v="0.54600000000000004"/>
    <n v="1923545.29"/>
    <n v="0"/>
    <n v="1923545.29"/>
    <n v="22079.85"/>
    <n v="117332.11"/>
    <n v="0.67100000000000004"/>
    <n v="37422.120000000003"/>
    <n v="0"/>
    <n v="11216.13"/>
    <x v="3"/>
    <n v="7"/>
  </r>
  <r>
    <n v="36634"/>
    <n v="3203809"/>
    <x v="51"/>
    <n v="0.28100000000000003"/>
    <n v="989956.45"/>
    <n v="0"/>
    <n v="989956.45"/>
    <n v="11363.44"/>
    <n v="91201.01"/>
    <n v="0.57499999999999996"/>
    <n v="19259.37"/>
    <n v="0"/>
    <n v="5772.4"/>
    <x v="3"/>
    <n v="7"/>
  </r>
  <r>
    <n v="36635"/>
    <n v="3203908"/>
    <x v="52"/>
    <n v="1.3109999999999999"/>
    <n v="4618622.5"/>
    <n v="0"/>
    <n v="4618622.5"/>
    <n v="53015.9"/>
    <n v="600683.86"/>
    <n v="1.4650000000000001"/>
    <n v="89854.22"/>
    <n v="0"/>
    <n v="26931.03"/>
    <x v="3"/>
    <n v="7"/>
  </r>
  <r>
    <n v="36636"/>
    <n v="3204005"/>
    <x v="53"/>
    <n v="0.436"/>
    <n v="1536017.83"/>
    <n v="0"/>
    <n v="1536017.83"/>
    <n v="17631.53"/>
    <n v="156128.09"/>
    <n v="0.747"/>
    <n v="29882.87"/>
    <n v="0"/>
    <n v="8956.4699999999993"/>
    <x v="3"/>
    <n v="7"/>
  </r>
  <r>
    <n v="36637"/>
    <n v="3204054"/>
    <x v="54"/>
    <n v="0.307"/>
    <n v="1081553.8600000001"/>
    <n v="0"/>
    <n v="1081553.8600000001"/>
    <n v="12414.86"/>
    <n v="180600.66"/>
    <n v="0.86199999999999999"/>
    <n v="21041.38"/>
    <n v="0"/>
    <n v="6306.5"/>
    <x v="3"/>
    <n v="7"/>
  </r>
  <r>
    <n v="36638"/>
    <n v="3204104"/>
    <x v="55"/>
    <n v="0.73199999999999998"/>
    <n v="2578818.96"/>
    <n v="0"/>
    <n v="2578818.96"/>
    <n v="29601.56"/>
    <n v="177639.77"/>
    <n v="0.875"/>
    <n v="50170.32"/>
    <n v="0"/>
    <n v="15037.01"/>
    <x v="3"/>
    <n v="7"/>
  </r>
  <r>
    <n v="36639"/>
    <n v="3204203"/>
    <x v="56"/>
    <n v="0.14199999999999999"/>
    <n v="500262.67"/>
    <n v="0"/>
    <n v="500262.67"/>
    <n v="5742.38"/>
    <n v="244887.41"/>
    <n v="0.73399999999999999"/>
    <n v="9732.49"/>
    <n v="0"/>
    <n v="2917.01"/>
    <x v="3"/>
    <n v="7"/>
  </r>
  <r>
    <n v="36640"/>
    <n v="3204252"/>
    <x v="57"/>
    <n v="0.20899999999999999"/>
    <n v="736302.15"/>
    <n v="0"/>
    <n v="736302.15"/>
    <n v="8451.81"/>
    <n v="49174.97"/>
    <n v="0.32900000000000001"/>
    <n v="14324.59"/>
    <n v="0"/>
    <n v="4293.3500000000004"/>
    <x v="3"/>
    <n v="7"/>
  </r>
  <r>
    <n v="36641"/>
    <n v="1718402"/>
    <x v="58"/>
    <n v="0.32"/>
    <n v="1127352.56"/>
    <n v="0"/>
    <n v="1127352.56"/>
    <n v="12940.57"/>
    <n v="222854.62"/>
    <n v="0.45100000000000001"/>
    <n v="21932.38"/>
    <n v="0"/>
    <n v="6573.55"/>
    <x v="3"/>
    <n v="7"/>
  </r>
  <r>
    <n v="36642"/>
    <n v="3204351"/>
    <x v="59"/>
    <n v="0.85399999999999998"/>
    <n v="3008622.11"/>
    <n v="0"/>
    <n v="3008622.11"/>
    <n v="34535.15"/>
    <n v="220039.02"/>
    <n v="0.69799999999999995"/>
    <n v="58532.04"/>
    <n v="0"/>
    <n v="17543.169999999998"/>
    <x v="3"/>
    <n v="7"/>
  </r>
  <r>
    <n v="36643"/>
    <n v="3204401"/>
    <x v="60"/>
    <n v="0.25"/>
    <n v="880744.19"/>
    <n v="0"/>
    <n v="880744.19"/>
    <n v="10109.82"/>
    <n v="88398.98"/>
    <n v="0.45"/>
    <n v="17134.669999999998"/>
    <n v="0"/>
    <n v="5135.59"/>
    <x v="3"/>
    <n v="7"/>
  </r>
  <r>
    <n v="36644"/>
    <n v="3204500"/>
    <x v="61"/>
    <n v="0.54500000000000004"/>
    <n v="1920022.3"/>
    <n v="0"/>
    <n v="1920022.3"/>
    <n v="22039.41"/>
    <n v="71117.02"/>
    <n v="0.45600000000000002"/>
    <n v="37353.58"/>
    <n v="0"/>
    <n v="11195.59"/>
    <x v="3"/>
    <n v="7"/>
  </r>
  <r>
    <n v="36645"/>
    <n v="3204559"/>
    <x v="62"/>
    <n v="2.2349999999999999"/>
    <n v="7873852.96"/>
    <n v="0"/>
    <n v="7873852.96"/>
    <n v="90381.8"/>
    <n v="566203.75"/>
    <n v="1.1990000000000001"/>
    <n v="153183.97"/>
    <n v="0"/>
    <n v="45912.17"/>
    <x v="3"/>
    <n v="7"/>
  </r>
  <r>
    <n v="36646"/>
    <n v="3204609"/>
    <x v="63"/>
    <n v="0.65100000000000002"/>
    <n v="2293457.86"/>
    <n v="0"/>
    <n v="2293457.86"/>
    <n v="26325.97"/>
    <n v="296073.34999999998"/>
    <n v="0.82899999999999996"/>
    <n v="44618.69"/>
    <n v="0"/>
    <n v="13373.08"/>
    <x v="3"/>
    <n v="7"/>
  </r>
  <r>
    <n v="36647"/>
    <n v="3204658"/>
    <x v="64"/>
    <n v="0.42299999999999999"/>
    <n v="1490219.12"/>
    <n v="0"/>
    <n v="1490219.12"/>
    <n v="17105.82"/>
    <n v="102130.37"/>
    <n v="0.33700000000000002"/>
    <n v="28991.86"/>
    <n v="0"/>
    <n v="8689.42"/>
    <x v="3"/>
    <n v="7"/>
  </r>
  <r>
    <n v="36648"/>
    <n v="3204708"/>
    <x v="65"/>
    <n v="0.85199999999999998"/>
    <n v="3001576.17"/>
    <n v="0"/>
    <n v="3001576.17"/>
    <n v="34454.269999999997"/>
    <n v="341458.35"/>
    <n v="1.169"/>
    <n v="58394.96"/>
    <n v="0"/>
    <n v="17502.09"/>
    <x v="3"/>
    <n v="7"/>
  </r>
  <r>
    <n v="36649"/>
    <n v="3204807"/>
    <x v="66"/>
    <n v="0.22600000000000001"/>
    <n v="796192.75"/>
    <n v="0"/>
    <n v="796192.75"/>
    <n v="9139.2800000000007"/>
    <n v="82160.740000000005"/>
    <n v="0.436"/>
    <n v="15489.74"/>
    <n v="0"/>
    <n v="4642.57"/>
    <x v="3"/>
    <n v="7"/>
  </r>
  <r>
    <n v="36650"/>
    <n v="3204906"/>
    <x v="67"/>
    <n v="1.901"/>
    <n v="6697178.75"/>
    <n v="0"/>
    <n v="6697178.75"/>
    <n v="76875.08"/>
    <n v="1328333.48"/>
    <n v="3.0249999999999999"/>
    <n v="130292.04"/>
    <n v="0"/>
    <n v="39051.019999999997"/>
    <x v="3"/>
    <n v="7"/>
  </r>
  <r>
    <n v="36651"/>
    <n v="3204955"/>
    <x v="68"/>
    <n v="0.312"/>
    <n v="1099168.71"/>
    <n v="0"/>
    <n v="1099168.71"/>
    <n v="12617.06"/>
    <n v="81651.570000000007"/>
    <n v="0.46100000000000002"/>
    <n v="21384.07"/>
    <n v="0"/>
    <n v="6409.22"/>
    <x v="3"/>
    <n v="7"/>
  </r>
  <r>
    <n v="36652"/>
    <n v="3205002"/>
    <x v="69"/>
    <n v="15.625"/>
    <n v="55046511.159999996"/>
    <n v="0"/>
    <n v="55046511.159999996"/>
    <n v="631863.82999999996"/>
    <n v="4811567.87"/>
    <n v="8.4320000000000004"/>
    <n v="1070916.99"/>
    <n v="0"/>
    <n v="320974.34999999998"/>
    <x v="3"/>
    <n v="7"/>
  </r>
  <r>
    <n v="36653"/>
    <n v="3205010"/>
    <x v="70"/>
    <n v="0.72199999999999998"/>
    <n v="2543589.17"/>
    <n v="0"/>
    <n v="2543589.17"/>
    <n v="29197.16"/>
    <n v="179149.97"/>
    <n v="0.997"/>
    <n v="49484.93"/>
    <n v="0"/>
    <n v="14831.58"/>
    <x v="3"/>
    <n v="7"/>
  </r>
  <r>
    <n v="36654"/>
    <n v="3205036"/>
    <x v="71"/>
    <n v="0.49099999999999999"/>
    <n v="1729781.58"/>
    <n v="0"/>
    <n v="1729781.58"/>
    <n v="19855.689999999999"/>
    <n v="190853.13"/>
    <n v="0.72699999999999998"/>
    <n v="33652.5"/>
    <n v="0"/>
    <n v="10086.299999999999"/>
    <x v="3"/>
    <n v="7"/>
  </r>
  <r>
    <n v="36655"/>
    <n v="3205069"/>
    <x v="72"/>
    <n v="0.68700000000000006"/>
    <n v="2420285.02"/>
    <n v="0"/>
    <n v="2420285.02"/>
    <n v="27781.79"/>
    <n v="286163.8"/>
    <n v="0.85799999999999998"/>
    <n v="47086.080000000002"/>
    <n v="0"/>
    <n v="14112.6"/>
    <x v="3"/>
    <n v="7"/>
  </r>
  <r>
    <n v="36656"/>
    <n v="2112803"/>
    <x v="73"/>
    <n v="2.9870000000000001"/>
    <n v="10523131.449999999"/>
    <n v="0"/>
    <n v="10523131.449999999"/>
    <n v="120792.14"/>
    <n v="517637.06"/>
    <n v="1.984"/>
    <n v="204725.06"/>
    <n v="0"/>
    <n v="61360.02"/>
    <x v="3"/>
    <n v="7"/>
  </r>
  <r>
    <n v="36657"/>
    <n v="3205150"/>
    <x v="74"/>
    <n v="0.31900000000000001"/>
    <n v="1123829.55"/>
    <n v="0"/>
    <n v="1123829.55"/>
    <n v="12900.13"/>
    <n v="84479.46"/>
    <n v="0.34399999999999997"/>
    <n v="21863.84"/>
    <n v="0"/>
    <n v="6553.01"/>
    <x v="3"/>
    <n v="7"/>
  </r>
  <r>
    <n v="36658"/>
    <n v="3205176"/>
    <x v="75"/>
    <n v="0.65800000000000003"/>
    <n v="2318118.64"/>
    <n v="0"/>
    <n v="2318118.64"/>
    <n v="26609.05"/>
    <n v="176584.07"/>
    <n v="0.55600000000000005"/>
    <n v="45098.46"/>
    <n v="0"/>
    <n v="13516.87"/>
    <x v="3"/>
    <n v="7"/>
  </r>
  <r>
    <n v="36659"/>
    <n v="3205200"/>
    <x v="76"/>
    <n v="5.056"/>
    <n v="17812170.27"/>
    <n v="0"/>
    <n v="17812170.27"/>
    <n v="204461.03"/>
    <n v="5882638.6600000001"/>
    <n v="8.09"/>
    <n v="346531.6"/>
    <n v="0"/>
    <n v="103862.16"/>
    <x v="3"/>
    <n v="7"/>
  </r>
  <r>
    <n v="36660"/>
    <n v="3205309"/>
    <x v="77"/>
    <n v="14.782"/>
    <n v="52076642"/>
    <n v="0"/>
    <n v="52076642"/>
    <n v="597773.51"/>
    <n v="5731868.3300000001"/>
    <n v="9.4969999999999999"/>
    <n v="1013138.85"/>
    <n v="0"/>
    <n v="303657.19"/>
    <x v="3"/>
    <n v="7"/>
  </r>
  <r>
    <n v="37597"/>
    <n v="3200102"/>
    <x v="0"/>
    <n v="0.76100000000000001"/>
    <n v="2755810.67"/>
    <n v="0"/>
    <n v="2755810.67"/>
    <n v="33703.949999999997"/>
    <n v="87260.62"/>
    <n v="0.76100000000000001"/>
    <n v="47826.8"/>
    <n v="243.82"/>
    <n v="0"/>
    <x v="3"/>
    <n v="1"/>
  </r>
  <r>
    <n v="37598"/>
    <n v="3200169"/>
    <x v="1"/>
    <n v="0.28899999999999998"/>
    <n v="1046459.29"/>
    <n v="0"/>
    <n v="1046459.29"/>
    <n v="12681.11"/>
    <n v="43440.51"/>
    <n v="0.28899999999999998"/>
    <n v="18162.87"/>
    <n v="108.77"/>
    <n v="0"/>
    <x v="3"/>
    <n v="1"/>
  </r>
  <r>
    <n v="37599"/>
    <n v="3200136"/>
    <x v="2"/>
    <n v="0.40400000000000003"/>
    <n v="1462705.74"/>
    <n v="0"/>
    <n v="1462705.74"/>
    <n v="17526.060000000001"/>
    <n v="37502.92"/>
    <n v="0.40400000000000003"/>
    <n v="25390.31"/>
    <n v="86.16"/>
    <n v="0"/>
    <x v="3"/>
    <n v="1"/>
  </r>
  <r>
    <n v="37600"/>
    <n v="3200201"/>
    <x v="3"/>
    <n v="0.498"/>
    <n v="1802941.93"/>
    <n v="0"/>
    <n v="1802941.93"/>
    <n v="21486.27"/>
    <n v="104760.49"/>
    <n v="0.498"/>
    <n v="31297.96"/>
    <n v="242.44"/>
    <n v="0"/>
    <x v="3"/>
    <n v="1"/>
  </r>
  <r>
    <n v="37601"/>
    <n v="3200300"/>
    <x v="4"/>
    <n v="0.46700000000000003"/>
    <n v="1691115.78"/>
    <n v="0"/>
    <n v="1691115.78"/>
    <n v="20643.669999999998"/>
    <n v="81769.929999999993"/>
    <n v="0.46700000000000003"/>
    <n v="29349.69"/>
    <n v="139.49"/>
    <n v="0"/>
    <x v="3"/>
    <n v="1"/>
  </r>
  <r>
    <n v="37602"/>
    <n v="3200359"/>
    <x v="5"/>
    <n v="0.22600000000000001"/>
    <n v="818187.17"/>
    <n v="0"/>
    <n v="818187.17"/>
    <n v="9732.02"/>
    <n v="24381.62"/>
    <n v="0.22600000000000001"/>
    <n v="14203.49"/>
    <n v="81.010000000000005"/>
    <n v="0"/>
    <x v="3"/>
    <n v="1"/>
  </r>
  <r>
    <n v="37603"/>
    <n v="3200409"/>
    <x v="6"/>
    <n v="3.1480000000000001"/>
    <n v="11346628.460000001"/>
    <n v="0"/>
    <n v="11346628.460000001"/>
    <n v="74401.48"/>
    <n v="157265.89000000001"/>
    <n v="3.1480000000000001"/>
    <n v="197843.32"/>
    <n v="224.64"/>
    <n v="0"/>
    <x v="3"/>
    <n v="1"/>
  </r>
  <r>
    <n v="37604"/>
    <n v="3200508"/>
    <x v="7"/>
    <n v="0.185"/>
    <n v="669613.82999999996"/>
    <n v="0"/>
    <n v="669613.82999999996"/>
    <n v="7794.04"/>
    <n v="89393.97"/>
    <n v="0.185"/>
    <n v="11626.75"/>
    <n v="79.900000000000006"/>
    <n v="0"/>
    <x v="3"/>
    <n v="1"/>
  </r>
  <r>
    <n v="37605"/>
    <n v="3200607"/>
    <x v="8"/>
    <n v="2.9220000000000002"/>
    <n v="10647639.119999999"/>
    <n v="0"/>
    <n v="10647639.119999999"/>
    <n v="210270.54"/>
    <n v="492063.34"/>
    <n v="2.9220000000000002"/>
    <n v="183639.82"/>
    <n v="621.04999999999995"/>
    <n v="0"/>
    <x v="3"/>
    <n v="1"/>
  </r>
  <r>
    <n v="37606"/>
    <n v="3200706"/>
    <x v="9"/>
    <n v="0.35399999999999998"/>
    <n v="1281970.45"/>
    <n v="0"/>
    <n v="1281970.45"/>
    <n v="15714.47"/>
    <n v="40152.160000000003"/>
    <n v="0.35399999999999998"/>
    <n v="22247.95"/>
    <n v="113.2"/>
    <n v="0"/>
    <x v="3"/>
    <n v="1"/>
  </r>
  <r>
    <n v="37607"/>
    <n v="3200805"/>
    <x v="10"/>
    <n v="0.60699999999999998"/>
    <n v="2198298.96"/>
    <n v="0"/>
    <n v="2198298.96"/>
    <n v="27089.55"/>
    <n v="302854.15999999997"/>
    <n v="0.60699999999999998"/>
    <n v="38148.31"/>
    <n v="246.64"/>
    <n v="0"/>
    <x v="3"/>
    <n v="1"/>
  </r>
  <r>
    <n v="37608"/>
    <n v="3200904"/>
    <x v="11"/>
    <n v="1.0289999999999999"/>
    <n v="3724742.15"/>
    <n v="0"/>
    <n v="3724742.15"/>
    <n v="43646.62"/>
    <n v="244700.71"/>
    <n v="1.0289999999999999"/>
    <n v="64669.87"/>
    <n v="327.05"/>
    <n v="0"/>
    <x v="3"/>
    <n v="1"/>
  </r>
  <r>
    <n v="37609"/>
    <n v="3107109"/>
    <x v="12"/>
    <n v="0.39500000000000002"/>
    <n v="1429853.98"/>
    <n v="0"/>
    <n v="1429853.98"/>
    <n v="16809.849999999999"/>
    <n v="38928.230000000003"/>
    <n v="0.39500000000000002"/>
    <n v="24824.68"/>
    <n v="140.91999999999999"/>
    <n v="0"/>
    <x v="3"/>
    <n v="1"/>
  </r>
  <r>
    <n v="37610"/>
    <n v="3201100"/>
    <x v="13"/>
    <n v="0.17599999999999999"/>
    <n v="637038.04"/>
    <n v="0"/>
    <n v="637038.04"/>
    <n v="7414.87"/>
    <n v="330995.78000000003"/>
    <n v="0.17599999999999999"/>
    <n v="11061.12"/>
    <n v="106.32"/>
    <n v="0"/>
    <x v="3"/>
    <n v="1"/>
  </r>
  <r>
    <n v="37611"/>
    <n v="3201159"/>
    <x v="14"/>
    <n v="0.42099999999999999"/>
    <n v="1523823.91"/>
    <n v="0"/>
    <n v="1523823.91"/>
    <n v="17736.71"/>
    <n v="36461.050000000003"/>
    <n v="0.42099999999999999"/>
    <n v="26458.720000000001"/>
    <n v="113.74"/>
    <n v="0"/>
    <x v="3"/>
    <n v="1"/>
  </r>
  <r>
    <n v="37612"/>
    <n v="3201209"/>
    <x v="15"/>
    <n v="3.1120000000000001"/>
    <n v="11268198.359999999"/>
    <n v="0"/>
    <n v="11268198.359999999"/>
    <n v="136248.23000000001"/>
    <n v="1268098.1399999999"/>
    <n v="3.1120000000000001"/>
    <n v="195580.82"/>
    <n v="1109.3800000000001"/>
    <n v="0"/>
    <x v="3"/>
    <n v="1"/>
  </r>
  <r>
    <n v="37613"/>
    <n v="3201308"/>
    <x v="16"/>
    <n v="7.2990000000000004"/>
    <n v="26425809.48"/>
    <n v="0"/>
    <n v="26425809.48"/>
    <n v="315848.17"/>
    <n v="1898699.89"/>
    <n v="7.2990000000000004"/>
    <n v="458722.48"/>
    <n v="1634.47"/>
    <n v="0"/>
    <x v="3"/>
    <n v="1"/>
  </r>
  <r>
    <n v="37614"/>
    <n v="3201407"/>
    <x v="17"/>
    <n v="0.89900000000000002"/>
    <n v="3256237.65"/>
    <n v="0"/>
    <n v="3256237.65"/>
    <n v="40655.39"/>
    <n v="338551.34"/>
    <n v="0.89900000000000002"/>
    <n v="56499.73"/>
    <n v="285.86"/>
    <n v="0"/>
    <x v="3"/>
    <n v="1"/>
  </r>
  <r>
    <n v="37615"/>
    <n v="3201506"/>
    <x v="18"/>
    <n v="2.2320000000000002"/>
    <n v="8076800.0099999998"/>
    <n v="0"/>
    <n v="8076800.0099999998"/>
    <n v="91590.49"/>
    <n v="716616.27"/>
    <n v="2.2320000000000002"/>
    <n v="140275.19"/>
    <n v="698.37"/>
    <n v="0"/>
    <x v="3"/>
    <n v="1"/>
  </r>
  <r>
    <n v="37616"/>
    <n v="3201605"/>
    <x v="19"/>
    <n v="0.79400000000000004"/>
    <n v="2869012.59"/>
    <n v="0"/>
    <n v="2869012.59"/>
    <n v="27468.720000000001"/>
    <n v="123233.48"/>
    <n v="0.79400000000000004"/>
    <n v="49900.76"/>
    <n v="247.29"/>
    <n v="0"/>
    <x v="3"/>
    <n v="1"/>
  </r>
  <r>
    <n v="37617"/>
    <n v="3201704"/>
    <x v="20"/>
    <n v="0.46"/>
    <n v="1665503.11"/>
    <n v="0"/>
    <n v="1665503.11"/>
    <n v="20011.72"/>
    <n v="44889.77"/>
    <n v="0.46"/>
    <n v="28909.759999999998"/>
    <n v="115.05"/>
    <n v="0"/>
    <x v="3"/>
    <n v="1"/>
  </r>
  <r>
    <n v="37618"/>
    <n v="3201803"/>
    <x v="21"/>
    <n v="0.182"/>
    <n v="658893.18999999994"/>
    <n v="0"/>
    <n v="658893.18999999994"/>
    <n v="7836.17"/>
    <n v="12173.6"/>
    <n v="0.182"/>
    <n v="11438.21"/>
    <n v="69.94"/>
    <n v="0"/>
    <x v="3"/>
    <n v="1"/>
  </r>
  <r>
    <n v="37619"/>
    <n v="3201902"/>
    <x v="22"/>
    <n v="1.268"/>
    <n v="4591155.96"/>
    <n v="0"/>
    <n v="4591155.96"/>
    <n v="55358.74"/>
    <n v="214062.13"/>
    <n v="1.268"/>
    <n v="79690.38"/>
    <n v="255.25"/>
    <n v="0"/>
    <x v="3"/>
    <n v="1"/>
  </r>
  <r>
    <n v="37620"/>
    <n v="3202009"/>
    <x v="23"/>
    <n v="0.27"/>
    <n v="976929.34"/>
    <n v="0"/>
    <n v="976929.34"/>
    <n v="10953.78"/>
    <n v="66959.62"/>
    <n v="0.27"/>
    <n v="16968.78"/>
    <n v="77.64"/>
    <n v="0"/>
    <x v="3"/>
    <n v="1"/>
  </r>
  <r>
    <n v="37621"/>
    <n v="3202108"/>
    <x v="24"/>
    <n v="0.69399999999999995"/>
    <n v="2512129.23"/>
    <n v="0"/>
    <n v="2512129.23"/>
    <n v="29448.83"/>
    <n v="71545.820000000007"/>
    <n v="0.69399999999999995"/>
    <n v="43616.03"/>
    <n v="201.94"/>
    <n v="0"/>
    <x v="3"/>
    <n v="1"/>
  </r>
  <r>
    <n v="37622"/>
    <n v="3202207"/>
    <x v="25"/>
    <n v="0.28599999999999998"/>
    <n v="1036118.01"/>
    <n v="0"/>
    <n v="1036118.01"/>
    <n v="13186.67"/>
    <n v="100940.95"/>
    <n v="0.28599999999999998"/>
    <n v="17974.330000000002"/>
    <n v="181.77"/>
    <n v="0"/>
    <x v="3"/>
    <n v="1"/>
  </r>
  <r>
    <n v="37623"/>
    <n v="3202256"/>
    <x v="26"/>
    <n v="0.438"/>
    <n v="1585080.08"/>
    <n v="0"/>
    <n v="1585080.08"/>
    <n v="18115.87"/>
    <n v="40383.4"/>
    <n v="0.438"/>
    <n v="27527.119999999999"/>
    <n v="115.54"/>
    <n v="0"/>
    <x v="3"/>
    <n v="1"/>
  </r>
  <r>
    <n v="37624"/>
    <n v="3202306"/>
    <x v="27"/>
    <n v="0.35899999999999999"/>
    <n v="1300068.1100000001"/>
    <n v="0"/>
    <n v="1300068.1100000001"/>
    <n v="15925.12"/>
    <n v="208484.22"/>
    <n v="0.35899999999999999"/>
    <n v="22562.19"/>
    <n v="246.97"/>
    <n v="0"/>
    <x v="3"/>
    <n v="1"/>
  </r>
  <r>
    <n v="37625"/>
    <n v="3202405"/>
    <x v="28"/>
    <n v="0.81200000000000006"/>
    <n v="2942407.36"/>
    <n v="0"/>
    <n v="2942407.36"/>
    <n v="38296.120000000003"/>
    <n v="1760538.61"/>
    <n v="0.81200000000000006"/>
    <n v="51032.01"/>
    <n v="711.08"/>
    <n v="0"/>
    <x v="3"/>
    <n v="1"/>
  </r>
  <r>
    <n v="37626"/>
    <n v="3202454"/>
    <x v="29"/>
    <n v="0.372"/>
    <n v="1345742.44"/>
    <n v="0"/>
    <n v="1345742.44"/>
    <n v="14787.61"/>
    <n v="155637.38"/>
    <n v="0.372"/>
    <n v="23379.200000000001"/>
    <n v="214.03"/>
    <n v="0"/>
    <x v="3"/>
    <n v="1"/>
  </r>
  <r>
    <n v="37627"/>
    <n v="3202504"/>
    <x v="30"/>
    <n v="0.23100000000000001"/>
    <n v="837354.05"/>
    <n v="0"/>
    <n v="837354.05"/>
    <n v="11248.69"/>
    <n v="45340.87"/>
    <n v="0.23100000000000001"/>
    <n v="14517.73"/>
    <n v="114.49"/>
    <n v="0"/>
    <x v="3"/>
    <n v="1"/>
  </r>
  <r>
    <n v="37628"/>
    <n v="3202553"/>
    <x v="31"/>
    <n v="0.24299999999999999"/>
    <n v="879719.26"/>
    <n v="0"/>
    <n v="879719.26"/>
    <n v="10448.23"/>
    <n v="37934.01"/>
    <n v="0.24299999999999999"/>
    <n v="15271.9"/>
    <n v="83.78"/>
    <n v="0"/>
    <x v="3"/>
    <n v="1"/>
  </r>
  <r>
    <n v="37629"/>
    <n v="3202603"/>
    <x v="32"/>
    <n v="0.315"/>
    <n v="1141153.5"/>
    <n v="0"/>
    <n v="1141153.5"/>
    <n v="14492.7"/>
    <n v="425249.8"/>
    <n v="0.315"/>
    <n v="19796.900000000001"/>
    <n v="137.72"/>
    <n v="0"/>
    <x v="3"/>
    <n v="1"/>
  </r>
  <r>
    <n v="37630"/>
    <n v="3202652"/>
    <x v="33"/>
    <n v="0.29899999999999999"/>
    <n v="1082551.1499999999"/>
    <n v="0"/>
    <n v="1082551.1499999999"/>
    <n v="12976.02"/>
    <n v="95829.8"/>
    <n v="0.29899999999999999"/>
    <n v="18791.34"/>
    <n v="136.47999999999999"/>
    <n v="0"/>
    <x v="3"/>
    <n v="1"/>
  </r>
  <r>
    <n v="37631"/>
    <n v="3202702"/>
    <x v="34"/>
    <n v="0.31900000000000001"/>
    <n v="1155873.05"/>
    <n v="0"/>
    <n v="1155873.05"/>
    <n v="14956.13"/>
    <n v="28753.8"/>
    <n v="0.31900000000000001"/>
    <n v="20048.29"/>
    <n v="137.41"/>
    <n v="0"/>
    <x v="3"/>
    <n v="1"/>
  </r>
  <r>
    <n v="37632"/>
    <n v="3202801"/>
    <x v="35"/>
    <n v="2.4550000000000001"/>
    <n v="8879299.9700000007"/>
    <n v="0"/>
    <n v="8879299.9700000007"/>
    <n v="95297.93"/>
    <n v="213987.26"/>
    <n v="2.4550000000000001"/>
    <n v="154290.13"/>
    <n v="257.77"/>
    <n v="0"/>
    <x v="3"/>
    <n v="1"/>
  </r>
  <r>
    <n v="37633"/>
    <n v="3202900"/>
    <x v="36"/>
    <n v="0.34799999999999998"/>
    <n v="1259528.94"/>
    <n v="0"/>
    <n v="1259528.94"/>
    <n v="14576.96"/>
    <n v="57825.54"/>
    <n v="0.34799999999999998"/>
    <n v="21870.86"/>
    <n v="107.66"/>
    <n v="0"/>
    <x v="3"/>
    <n v="1"/>
  </r>
  <r>
    <n v="37634"/>
    <n v="3203007"/>
    <x v="37"/>
    <n v="0.496"/>
    <n v="1793288.58"/>
    <n v="0"/>
    <n v="1793288.58"/>
    <n v="18452.91"/>
    <n v="123604.22"/>
    <n v="0.496"/>
    <n v="31172.26"/>
    <n v="222.02"/>
    <n v="0"/>
    <x v="3"/>
    <n v="1"/>
  </r>
  <r>
    <n v="37635"/>
    <n v="3203056"/>
    <x v="38"/>
    <n v="0.871"/>
    <n v="3150165.52"/>
    <n v="0"/>
    <n v="3150165.52"/>
    <n v="33703.949999999997"/>
    <n v="99643.34"/>
    <n v="0.871"/>
    <n v="54740"/>
    <n v="247.63"/>
    <n v="0"/>
    <x v="3"/>
    <n v="1"/>
  </r>
  <r>
    <n v="37636"/>
    <n v="3203106"/>
    <x v="39"/>
    <n v="0.21"/>
    <n v="760171.18"/>
    <n v="0"/>
    <n v="760171.18"/>
    <n v="8931.5499999999993"/>
    <n v="37458.949999999997"/>
    <n v="0.21"/>
    <n v="13197.93"/>
    <n v="113.4"/>
    <n v="0"/>
    <x v="3"/>
    <n v="1"/>
  </r>
  <r>
    <n v="37637"/>
    <n v="3203130"/>
    <x v="40"/>
    <n v="0.36199999999999999"/>
    <n v="1311099.17"/>
    <n v="0"/>
    <n v="1311099.17"/>
    <n v="16262.16"/>
    <n v="51041.279999999999"/>
    <n v="0.36199999999999999"/>
    <n v="22750.73"/>
    <n v="164.88"/>
    <n v="0"/>
    <x v="3"/>
    <n v="1"/>
  </r>
  <r>
    <n v="37638"/>
    <n v="3203163"/>
    <x v="41"/>
    <n v="0.373"/>
    <n v="1350051.81"/>
    <n v="0"/>
    <n v="1350051.81"/>
    <n v="15672.34"/>
    <n v="54026.27"/>
    <n v="0.373"/>
    <n v="23442.04"/>
    <n v="109.13"/>
    <n v="0"/>
    <x v="3"/>
    <n v="1"/>
  </r>
  <r>
    <n v="37639"/>
    <n v="3203205"/>
    <x v="42"/>
    <n v="4.9790000000000001"/>
    <n v="18036181.34"/>
    <n v="0"/>
    <n v="18036181.34"/>
    <n v="227501.68"/>
    <n v="1008800.94"/>
    <n v="4.9790000000000001"/>
    <n v="312916.73"/>
    <n v="1011.74"/>
    <n v="0"/>
    <x v="3"/>
    <n v="1"/>
  </r>
  <r>
    <n v="37640"/>
    <n v="3203304"/>
    <x v="43"/>
    <n v="0.27600000000000002"/>
    <n v="996922.05"/>
    <n v="0"/>
    <n v="996922.05"/>
    <n v="9100.07"/>
    <n v="61093.18"/>
    <n v="0.27600000000000002"/>
    <n v="17345.86"/>
    <n v="142.44999999999999"/>
    <n v="0"/>
    <x v="3"/>
    <n v="1"/>
  </r>
  <r>
    <n v="37641"/>
    <n v="3203320"/>
    <x v="44"/>
    <n v="0.65800000000000003"/>
    <n v="2379963.52"/>
    <n v="0"/>
    <n v="2379963.52"/>
    <n v="25657.13"/>
    <n v="370045.54"/>
    <n v="0.65800000000000003"/>
    <n v="41353.53"/>
    <n v="289.79000000000002"/>
    <n v="0"/>
    <x v="3"/>
    <n v="1"/>
  </r>
  <r>
    <n v="37642"/>
    <n v="3203346"/>
    <x v="45"/>
    <n v="0.61099999999999999"/>
    <n v="2212708.1"/>
    <n v="0"/>
    <n v="2212708.1"/>
    <n v="27173.81"/>
    <n v="79488.31"/>
    <n v="0.61099999999999999"/>
    <n v="38399.699999999997"/>
    <n v="165.99"/>
    <n v="0"/>
    <x v="3"/>
    <n v="1"/>
  </r>
  <r>
    <n v="37643"/>
    <n v="3203353"/>
    <x v="46"/>
    <n v="0.436"/>
    <n v="1578668.77"/>
    <n v="0"/>
    <n v="1578668.77"/>
    <n v="19042.73"/>
    <n v="82617.929999999993"/>
    <n v="0.436"/>
    <n v="27401.43"/>
    <n v="115.67"/>
    <n v="0"/>
    <x v="3"/>
    <n v="1"/>
  </r>
  <r>
    <n v="37644"/>
    <n v="3203403"/>
    <x v="47"/>
    <n v="0.495"/>
    <n v="1792324.79"/>
    <n v="0"/>
    <n v="1792324.79"/>
    <n v="21654.79"/>
    <n v="122543.77"/>
    <n v="0.495"/>
    <n v="31109.42"/>
    <n v="211.97"/>
    <n v="0"/>
    <x v="3"/>
    <n v="1"/>
  </r>
  <r>
    <n v="37645"/>
    <n v="3203502"/>
    <x v="48"/>
    <n v="0.52100000000000002"/>
    <n v="1886294.69"/>
    <n v="0"/>
    <n v="1886294.69"/>
    <n v="22581.65"/>
    <n v="79376.039999999994"/>
    <n v="0.52100000000000002"/>
    <n v="32743.439999999999"/>
    <n v="171.45"/>
    <n v="0"/>
    <x v="3"/>
    <n v="1"/>
  </r>
  <r>
    <n v="37646"/>
    <n v="3203601"/>
    <x v="49"/>
    <n v="0.28299999999999997"/>
    <n v="1024155.76"/>
    <n v="0"/>
    <n v="1024155.76"/>
    <n v="11712.12"/>
    <n v="21661.78"/>
    <n v="0.28299999999999997"/>
    <n v="17785.79"/>
    <n v="73.650000000000006"/>
    <n v="0"/>
    <x v="3"/>
    <n v="1"/>
  </r>
  <r>
    <n v="37647"/>
    <n v="3203700"/>
    <x v="50"/>
    <n v="0.54600000000000004"/>
    <n v="1976403.67"/>
    <n v="0"/>
    <n v="1976403.67"/>
    <n v="23171.47"/>
    <n v="52263.16"/>
    <n v="0.54600000000000004"/>
    <n v="34314.629999999997"/>
    <n v="166.09"/>
    <n v="0"/>
    <x v="3"/>
    <n v="1"/>
  </r>
  <r>
    <n v="37648"/>
    <n v="3203809"/>
    <x v="51"/>
    <n v="0.28100000000000003"/>
    <n v="1017606.48"/>
    <n v="0"/>
    <n v="1017606.48"/>
    <n v="12470.46"/>
    <n v="53496.1"/>
    <n v="0.28100000000000003"/>
    <n v="17660.09"/>
    <n v="142.29"/>
    <n v="0"/>
    <x v="3"/>
    <n v="1"/>
  </r>
  <r>
    <n v="37649"/>
    <n v="3203908"/>
    <x v="52"/>
    <n v="1.3109999999999999"/>
    <n v="4743726.33"/>
    <n v="0"/>
    <n v="4743726.33"/>
    <n v="53420.77"/>
    <n v="254822.06"/>
    <n v="1.3109999999999999"/>
    <n v="82392.820000000007"/>
    <n v="362.52"/>
    <n v="0"/>
    <x v="3"/>
    <n v="1"/>
  </r>
  <r>
    <n v="37650"/>
    <n v="3204005"/>
    <x v="53"/>
    <n v="0.436"/>
    <n v="1579324.08"/>
    <n v="0"/>
    <n v="1579324.08"/>
    <n v="19843.2"/>
    <n v="48445.88"/>
    <n v="0.436"/>
    <n v="27401.43"/>
    <n v="184.92"/>
    <n v="0"/>
    <x v="3"/>
    <n v="1"/>
  </r>
  <r>
    <n v="37651"/>
    <n v="3204054"/>
    <x v="54"/>
    <n v="0.307"/>
    <n v="1111403.97"/>
    <n v="0"/>
    <n v="1111403.97"/>
    <n v="13186.67"/>
    <n v="75107.039999999994"/>
    <n v="0.307"/>
    <n v="19294.13"/>
    <n v="213.46"/>
    <n v="0"/>
    <x v="3"/>
    <n v="1"/>
  </r>
  <r>
    <n v="37652"/>
    <n v="3204104"/>
    <x v="55"/>
    <n v="0.73199999999999998"/>
    <n v="2649292.1"/>
    <n v="0"/>
    <n v="2649292.1"/>
    <n v="30586.34"/>
    <n v="68826.05"/>
    <n v="0.73199999999999998"/>
    <n v="46004.23"/>
    <n v="216.55"/>
    <n v="0"/>
    <x v="3"/>
    <n v="1"/>
  </r>
  <r>
    <n v="37653"/>
    <n v="3204203"/>
    <x v="56"/>
    <n v="0.14199999999999999"/>
    <n v="514111.86"/>
    <n v="0"/>
    <n v="514111.86"/>
    <n v="6150.97"/>
    <n v="221341.63"/>
    <n v="0.14199999999999999"/>
    <n v="8924.32"/>
    <n v="181.79"/>
    <n v="0"/>
    <x v="3"/>
    <n v="1"/>
  </r>
  <r>
    <n v="37654"/>
    <n v="3204252"/>
    <x v="57"/>
    <n v="0.20899999999999999"/>
    <n v="756896.52"/>
    <n v="0"/>
    <n v="756896.52"/>
    <n v="9310.7199999999993"/>
    <n v="19964.810000000001"/>
    <n v="0.20899999999999999"/>
    <n v="13135.09"/>
    <n v="81.319999999999993"/>
    <n v="0"/>
    <x v="3"/>
    <n v="1"/>
  </r>
  <r>
    <n v="37655"/>
    <n v="1718402"/>
    <x v="58"/>
    <n v="0.32"/>
    <n v="1158871.77"/>
    <n v="0"/>
    <n v="1158871.77"/>
    <n v="14239.92"/>
    <n v="172710.36"/>
    <n v="0.32"/>
    <n v="20111.14"/>
    <n v="111.6"/>
    <n v="0"/>
    <x v="3"/>
    <n v="1"/>
  </r>
  <r>
    <n v="37656"/>
    <n v="3204351"/>
    <x v="59"/>
    <n v="0.85399999999999998"/>
    <n v="3089116.31"/>
    <n v="0"/>
    <n v="3089116.31"/>
    <n v="33577.56"/>
    <n v="109584.81"/>
    <n v="0.85399999999999998"/>
    <n v="53671.59"/>
    <n v="172.79"/>
    <n v="0"/>
    <x v="3"/>
    <n v="1"/>
  </r>
  <r>
    <n v="37657"/>
    <n v="3204401"/>
    <x v="60"/>
    <n v="0.25"/>
    <n v="905745.82"/>
    <n v="0"/>
    <n v="905745.82"/>
    <n v="11585.73"/>
    <n v="45729.2"/>
    <n v="0.25"/>
    <n v="15711.82"/>
    <n v="111.27"/>
    <n v="0"/>
    <x v="3"/>
    <n v="1"/>
  </r>
  <r>
    <n v="37658"/>
    <n v="3204500"/>
    <x v="61"/>
    <n v="0.54500000000000004"/>
    <n v="1972404.74"/>
    <n v="0"/>
    <n v="1972404.74"/>
    <n v="22665.91"/>
    <n v="45513.41"/>
    <n v="0.54500000000000004"/>
    <n v="34251.78"/>
    <n v="112.9"/>
    <n v="0"/>
    <x v="3"/>
    <n v="1"/>
  </r>
  <r>
    <n v="37659"/>
    <n v="3204559"/>
    <x v="62"/>
    <n v="2.2349999999999999"/>
    <n v="8085554.7000000002"/>
    <n v="0"/>
    <n v="8085554.7000000002"/>
    <n v="89146.96"/>
    <n v="513814.82"/>
    <n v="2.2349999999999999"/>
    <n v="140463.73000000001"/>
    <n v="296.8"/>
    <n v="0"/>
    <x v="3"/>
    <n v="1"/>
  </r>
  <r>
    <n v="37660"/>
    <n v="3204609"/>
    <x v="63"/>
    <n v="0.65100000000000002"/>
    <n v="2357592.9500000002"/>
    <n v="0"/>
    <n v="2357592.9500000002"/>
    <n v="28985.4"/>
    <n v="122849.11"/>
    <n v="0.65100000000000002"/>
    <n v="40913.589999999997"/>
    <n v="205.26"/>
    <n v="0"/>
    <x v="3"/>
    <n v="1"/>
  </r>
  <r>
    <n v="37661"/>
    <n v="3204658"/>
    <x v="64"/>
    <n v="0.42299999999999999"/>
    <n v="1531097.46"/>
    <n v="0"/>
    <n v="1531097.46"/>
    <n v="17863.099999999999"/>
    <n v="29423.61"/>
    <n v="0.42299999999999999"/>
    <n v="26584.41"/>
    <n v="83.49"/>
    <n v="0"/>
    <x v="3"/>
    <n v="1"/>
  </r>
  <r>
    <n v="37662"/>
    <n v="3204708"/>
    <x v="65"/>
    <n v="0.85199999999999998"/>
    <n v="3082567.02"/>
    <n v="0"/>
    <n v="3082567.02"/>
    <n v="34335.9"/>
    <n v="141520.53"/>
    <n v="0.85199999999999998"/>
    <n v="53545.91"/>
    <n v="289.26"/>
    <n v="0"/>
    <x v="3"/>
    <n v="1"/>
  </r>
  <r>
    <n v="37663"/>
    <n v="3204807"/>
    <x v="66"/>
    <n v="0.22600000000000001"/>
    <n v="818152.69"/>
    <n v="0"/>
    <n v="818152.69"/>
    <n v="9689.89"/>
    <n v="65006.05"/>
    <n v="0.22600000000000001"/>
    <n v="14203.49"/>
    <n v="107.97"/>
    <n v="0"/>
    <x v="3"/>
    <n v="1"/>
  </r>
  <r>
    <n v="37664"/>
    <n v="3204906"/>
    <x v="67"/>
    <n v="1.901"/>
    <n v="6880148.25"/>
    <n v="0"/>
    <n v="6880148.25"/>
    <n v="79372.81"/>
    <n v="664564.75"/>
    <n v="1.901"/>
    <n v="119472.72"/>
    <n v="748.59"/>
    <n v="0"/>
    <x v="3"/>
    <n v="1"/>
  </r>
  <r>
    <n v="37665"/>
    <n v="3204955"/>
    <x v="68"/>
    <n v="0.312"/>
    <n v="1129777.52"/>
    <n v="0"/>
    <n v="1129777.52"/>
    <n v="13734.36"/>
    <n v="48155.76"/>
    <n v="0.312"/>
    <n v="19608.36"/>
    <n v="114.2"/>
    <n v="0"/>
    <x v="3"/>
    <n v="1"/>
  </r>
  <r>
    <n v="37666"/>
    <n v="3205002"/>
    <x v="69"/>
    <n v="15.625"/>
    <n v="56505246.340000004"/>
    <n v="0"/>
    <n v="56505246.340000004"/>
    <n v="597234.05000000005"/>
    <n v="2473780.9700000002"/>
    <n v="15.625"/>
    <n v="981989.14"/>
    <n v="2087.1"/>
    <n v="0"/>
    <x v="3"/>
    <n v="1"/>
  </r>
  <r>
    <n v="37667"/>
    <n v="3205010"/>
    <x v="70"/>
    <n v="0.72199999999999998"/>
    <n v="2613303.71"/>
    <n v="0"/>
    <n v="2613303.71"/>
    <n v="30417.82"/>
    <n v="61042.28"/>
    <n v="0.72199999999999998"/>
    <n v="45375.76"/>
    <n v="246.69"/>
    <n v="0"/>
    <x v="3"/>
    <n v="1"/>
  </r>
  <r>
    <n v="37668"/>
    <n v="3205036"/>
    <x v="71"/>
    <n v="0.49099999999999999"/>
    <n v="1777432.76"/>
    <n v="0"/>
    <n v="1777432.76"/>
    <n v="20980.71"/>
    <n v="119527.76"/>
    <n v="0.49099999999999999"/>
    <n v="30858.02"/>
    <n v="179.95"/>
    <n v="0"/>
    <x v="3"/>
    <n v="1"/>
  </r>
  <r>
    <n v="37669"/>
    <n v="3205069"/>
    <x v="72"/>
    <n v="0.68700000000000006"/>
    <n v="2489068.83"/>
    <n v="0"/>
    <n v="2489068.83"/>
    <n v="31934.5"/>
    <n v="172485.49"/>
    <n v="0.68700000000000006"/>
    <n v="43176.1"/>
    <n v="212.35"/>
    <n v="0"/>
    <x v="3"/>
    <n v="1"/>
  </r>
  <r>
    <n v="37670"/>
    <n v="2112803"/>
    <x v="73"/>
    <n v="2.9870000000000001"/>
    <n v="10811755.720000001"/>
    <n v="0"/>
    <n v="10811755.720000001"/>
    <n v="126094.91"/>
    <n v="504235.99"/>
    <n v="2.9870000000000001"/>
    <n v="187724.9"/>
    <n v="490.96"/>
    <n v="0"/>
    <x v="3"/>
    <n v="1"/>
  </r>
  <r>
    <n v="37671"/>
    <n v="3205150"/>
    <x v="74"/>
    <n v="0.31900000000000001"/>
    <n v="1154941.82"/>
    <n v="0"/>
    <n v="1154941.82"/>
    <n v="13818.62"/>
    <n v="62789.37"/>
    <n v="0.31900000000000001"/>
    <n v="20048.29"/>
    <n v="85.13"/>
    <n v="0"/>
    <x v="3"/>
    <n v="1"/>
  </r>
  <r>
    <n v="37672"/>
    <n v="3205176"/>
    <x v="75"/>
    <n v="0.65800000000000003"/>
    <n v="2380446.39"/>
    <n v="0"/>
    <n v="2380446.39"/>
    <n v="26246.95"/>
    <n v="87488.73"/>
    <n v="0.65800000000000003"/>
    <n v="41353.53"/>
    <n v="137.66"/>
    <n v="0"/>
    <x v="3"/>
    <n v="1"/>
  </r>
  <r>
    <n v="37673"/>
    <n v="3205200"/>
    <x v="76"/>
    <n v="5.056"/>
    <n v="18311608.920000002"/>
    <n v="0"/>
    <n v="18311608.920000002"/>
    <n v="226743.34"/>
    <n v="3397034.01"/>
    <n v="5.056"/>
    <n v="317755.96999999997"/>
    <n v="2002.43"/>
    <n v="0"/>
    <x v="3"/>
    <n v="1"/>
  </r>
  <r>
    <n v="37674"/>
    <n v="3205309"/>
    <x v="77"/>
    <n v="14.782"/>
    <n v="53495435.909999996"/>
    <n v="0"/>
    <n v="53495435.909999996"/>
    <n v="612358.69999999995"/>
    <n v="3919506.44"/>
    <n v="14.782"/>
    <n v="929008.86"/>
    <n v="2350.62"/>
    <n v="0"/>
    <x v="3"/>
    <n v="1"/>
  </r>
  <r>
    <n v="37675"/>
    <n v="3200102"/>
    <x v="0"/>
    <n v="0.76100000000000001"/>
    <n v="3040075.55"/>
    <n v="0"/>
    <n v="3040075.55"/>
    <n v="27392.18"/>
    <n v="205899.09"/>
    <n v="0.98499999999999999"/>
    <n v="51087.32"/>
    <n v="0"/>
    <n v="15781.28"/>
    <x v="3"/>
    <n v="8"/>
  </r>
  <r>
    <n v="37676"/>
    <n v="3200169"/>
    <x v="1"/>
    <n v="0.28899999999999998"/>
    <n v="1154509.6399999999"/>
    <n v="0"/>
    <n v="1154509.6399999999"/>
    <n v="10402.549999999999"/>
    <n v="91154.9"/>
    <n v="0.439"/>
    <n v="19401.09"/>
    <n v="0"/>
    <n v="5993.15"/>
    <x v="3"/>
    <n v="8"/>
  </r>
  <r>
    <n v="37677"/>
    <n v="3200136"/>
    <x v="2"/>
    <n v="0.40400000000000003"/>
    <n v="1613916.6"/>
    <n v="0"/>
    <n v="1613916.6"/>
    <n v="14541.97"/>
    <n v="70348.539999999994"/>
    <n v="0.34799999999999998"/>
    <n v="27121.26"/>
    <n v="0"/>
    <n v="8377.9699999999993"/>
    <x v="3"/>
    <n v="8"/>
  </r>
  <r>
    <n v="37678"/>
    <n v="3200201"/>
    <x v="3"/>
    <n v="0.498"/>
    <n v="1989431.82"/>
    <n v="0"/>
    <n v="1989431.82"/>
    <n v="17925.5"/>
    <n v="201721.3"/>
    <n v="0.98"/>
    <n v="33431.65"/>
    <n v="0"/>
    <n v="10327.299999999999"/>
    <x v="3"/>
    <n v="8"/>
  </r>
  <r>
    <n v="37679"/>
    <n v="3200300"/>
    <x v="4"/>
    <n v="0.46700000000000003"/>
    <n v="1865591.71"/>
    <n v="0"/>
    <n v="1865591.71"/>
    <n v="16809.650000000001"/>
    <n v="155021.35999999999"/>
    <n v="0.56399999999999995"/>
    <n v="31350.560000000001"/>
    <n v="0"/>
    <n v="9684.44"/>
    <x v="3"/>
    <n v="8"/>
  </r>
  <r>
    <n v="37680"/>
    <n v="3200359"/>
    <x v="5"/>
    <n v="0.22600000000000001"/>
    <n v="902834.53"/>
    <n v="0"/>
    <n v="902834.53"/>
    <n v="8134.86"/>
    <n v="53498.12"/>
    <n v="0.32700000000000001"/>
    <n v="15171.79"/>
    <n v="0"/>
    <n v="4686.6899999999996"/>
    <x v="3"/>
    <n v="8"/>
  </r>
  <r>
    <n v="37681"/>
    <n v="3200409"/>
    <x v="6"/>
    <n v="3.1480000000000001"/>
    <n v="12575765.85"/>
    <n v="0"/>
    <n v="12575765.85"/>
    <n v="113312.18"/>
    <n v="289456.90999999997"/>
    <n v="0.90800000000000003"/>
    <n v="211330.99"/>
    <n v="0"/>
    <n v="65281.82"/>
    <x v="3"/>
    <n v="8"/>
  </r>
  <r>
    <n v="37682"/>
    <n v="3200508"/>
    <x v="7"/>
    <n v="0.185"/>
    <n v="739045.98"/>
    <n v="0"/>
    <n v="739045.98"/>
    <n v="6659.07"/>
    <n v="77415.5"/>
    <n v="0.32300000000000001"/>
    <n v="12419.39"/>
    <n v="0"/>
    <n v="3836.45"/>
    <x v="3"/>
    <n v="8"/>
  </r>
  <r>
    <n v="37683"/>
    <n v="3200607"/>
    <x v="8"/>
    <n v="2.9220000000000002"/>
    <n v="11672931.310000001"/>
    <n v="0"/>
    <n v="11672931.310000001"/>
    <n v="105177.32"/>
    <n v="1105071.01"/>
    <n v="2.5089999999999999"/>
    <n v="196159.2"/>
    <n v="0"/>
    <n v="60595.13"/>
    <x v="3"/>
    <n v="8"/>
  </r>
  <r>
    <n v="37684"/>
    <n v="3200706"/>
    <x v="9"/>
    <n v="0.35399999999999998"/>
    <n v="1414174.42"/>
    <n v="0"/>
    <n v="1414174.42"/>
    <n v="12742.22"/>
    <n v="86220.08"/>
    <n v="0.45700000000000002"/>
    <n v="23764.67"/>
    <n v="0"/>
    <n v="7341.09"/>
    <x v="3"/>
    <n v="8"/>
  </r>
  <r>
    <n v="37685"/>
    <n v="3200805"/>
    <x v="10"/>
    <n v="0.60699999999999998"/>
    <n v="2424869.69"/>
    <n v="0"/>
    <n v="2424869.69"/>
    <n v="21848.95"/>
    <n v="407087.38"/>
    <n v="0.997"/>
    <n v="40749.01"/>
    <n v="0"/>
    <n v="12587.7"/>
    <x v="3"/>
    <n v="8"/>
  </r>
  <r>
    <n v="37686"/>
    <n v="3200904"/>
    <x v="11"/>
    <n v="1.0289999999999999"/>
    <n v="4110693.48"/>
    <n v="0"/>
    <n v="4110693.48"/>
    <n v="37038.83"/>
    <n v="482787.86"/>
    <n v="1.321"/>
    <n v="69078.649999999994"/>
    <n v="0"/>
    <n v="21338.94"/>
    <x v="3"/>
    <n v="8"/>
  </r>
  <r>
    <n v="37687"/>
    <n v="3107109"/>
    <x v="12"/>
    <n v="0.39500000000000002"/>
    <n v="1577962.97"/>
    <n v="0"/>
    <n v="1577962.97"/>
    <n v="14218.02"/>
    <n v="119191.14"/>
    <n v="0.56899999999999995"/>
    <n v="26517.07"/>
    <n v="0"/>
    <n v="8191.33"/>
    <x v="3"/>
    <n v="8"/>
  </r>
  <r>
    <n v="37688"/>
    <n v="3201100"/>
    <x v="13"/>
    <n v="0.17599999999999999"/>
    <n v="703092.38"/>
    <n v="0"/>
    <n v="703092.38"/>
    <n v="6335.12"/>
    <n v="209377.67"/>
    <n v="0.43"/>
    <n v="11815.21"/>
    <n v="0"/>
    <n v="3649.81"/>
    <x v="3"/>
    <n v="8"/>
  </r>
  <r>
    <n v="37689"/>
    <n v="3201159"/>
    <x v="14"/>
    <n v="0.42099999999999999"/>
    <n v="1681828.95"/>
    <n v="0"/>
    <n v="1681828.95"/>
    <n v="15153.88"/>
    <n v="85509.81"/>
    <n v="0.46"/>
    <n v="28262.5"/>
    <n v="0"/>
    <n v="8730.51"/>
    <x v="3"/>
    <n v="8"/>
  </r>
  <r>
    <n v="37690"/>
    <n v="3201209"/>
    <x v="15"/>
    <n v="3.1120000000000001"/>
    <n v="12431951.5"/>
    <n v="0"/>
    <n v="12431951.5"/>
    <n v="112016.37"/>
    <n v="2165785.4900000002"/>
    <n v="4.4820000000000002"/>
    <n v="208914.25"/>
    <n v="0"/>
    <n v="64535.27"/>
    <x v="3"/>
    <n v="8"/>
  </r>
  <r>
    <n v="37691"/>
    <n v="3201308"/>
    <x v="16"/>
    <n v="7.2990000000000004"/>
    <n v="29158359.25"/>
    <n v="0"/>
    <n v="29158359.25"/>
    <n v="262727.33"/>
    <n v="2799545.63"/>
    <n v="6.6040000000000001"/>
    <n v="489995.21"/>
    <n v="0"/>
    <n v="151363.41"/>
    <x v="3"/>
    <n v="8"/>
  </r>
  <r>
    <n v="37692"/>
    <n v="3201407"/>
    <x v="17"/>
    <n v="0.89900000000000002"/>
    <n v="3591363.89"/>
    <n v="0"/>
    <n v="3591363.89"/>
    <n v="32359.48"/>
    <n v="524590.96"/>
    <n v="1.155"/>
    <n v="60351.51"/>
    <n v="0"/>
    <n v="18643.060000000001"/>
    <x v="3"/>
    <n v="8"/>
  </r>
  <r>
    <n v="37693"/>
    <n v="3201506"/>
    <x v="18"/>
    <n v="2.2320000000000002"/>
    <n v="8916489.6300000008"/>
    <n v="0"/>
    <n v="8916489.6300000008"/>
    <n v="80340.789999999994"/>
    <n v="1420034.25"/>
    <n v="2.8220000000000001"/>
    <n v="149838.24"/>
    <n v="0"/>
    <n v="46286.22"/>
    <x v="3"/>
    <n v="8"/>
  </r>
  <r>
    <n v="37694"/>
    <n v="3201605"/>
    <x v="19"/>
    <n v="0.79400000000000004"/>
    <n v="3171905.35"/>
    <n v="0"/>
    <n v="3171905.35"/>
    <n v="28580.01"/>
    <n v="225723.2"/>
    <n v="0.999"/>
    <n v="53302.67"/>
    <n v="0"/>
    <n v="16465.62"/>
    <x v="3"/>
    <n v="8"/>
  </r>
  <r>
    <n v="37695"/>
    <n v="3201704"/>
    <x v="20"/>
    <n v="0.46"/>
    <n v="1837627.77"/>
    <n v="0"/>
    <n v="1837627.77"/>
    <n v="16557.689999999999"/>
    <n v="92977.14"/>
    <n v="0.46500000000000002"/>
    <n v="30880.65"/>
    <n v="0"/>
    <n v="9539.27"/>
    <x v="3"/>
    <n v="8"/>
  </r>
  <r>
    <n v="37696"/>
    <n v="3201803"/>
    <x v="21"/>
    <n v="0.182"/>
    <n v="727061.45"/>
    <n v="0"/>
    <n v="727061.45"/>
    <n v="6551.09"/>
    <n v="23458.44"/>
    <n v="0.28299999999999997"/>
    <n v="12217.99"/>
    <n v="0"/>
    <n v="3774.23"/>
    <x v="3"/>
    <n v="8"/>
  </r>
  <r>
    <n v="37697"/>
    <n v="3201902"/>
    <x v="22"/>
    <n v="1.268"/>
    <n v="5065460.95"/>
    <n v="0"/>
    <n v="5065460.95"/>
    <n v="45641.63"/>
    <n v="350097.52"/>
    <n v="1.0309999999999999"/>
    <n v="85123.16"/>
    <n v="0"/>
    <n v="26295.22"/>
    <x v="3"/>
    <n v="8"/>
  </r>
  <r>
    <n v="37698"/>
    <n v="3202009"/>
    <x v="23"/>
    <n v="0.27"/>
    <n v="1078607.6200000001"/>
    <n v="0"/>
    <n v="1078607.6200000001"/>
    <n v="9718.64"/>
    <n v="80504.3"/>
    <n v="0.314"/>
    <n v="18125.599999999999"/>
    <n v="0"/>
    <n v="5599.14"/>
    <x v="3"/>
    <n v="8"/>
  </r>
  <r>
    <n v="37699"/>
    <n v="3202108"/>
    <x v="24"/>
    <n v="0.69399999999999995"/>
    <n v="2772421.05"/>
    <n v="0"/>
    <n v="2772421.05"/>
    <n v="24980.51"/>
    <n v="154227.74"/>
    <n v="0.81599999999999995"/>
    <n v="46589.49"/>
    <n v="0"/>
    <n v="14391.86"/>
    <x v="3"/>
    <n v="8"/>
  </r>
  <r>
    <n v="37700"/>
    <n v="3202207"/>
    <x v="25"/>
    <n v="0.28599999999999998"/>
    <n v="1142525.0900000001"/>
    <n v="0"/>
    <n v="1142525.0900000001"/>
    <n v="10294.56"/>
    <n v="146065.51999999999"/>
    <n v="0.73399999999999999"/>
    <n v="19199.7"/>
    <n v="0"/>
    <n v="5930.94"/>
    <x v="3"/>
    <n v="8"/>
  </r>
  <r>
    <n v="37701"/>
    <n v="3202256"/>
    <x v="26"/>
    <n v="0.438"/>
    <n v="1749741.23"/>
    <n v="0"/>
    <n v="1749741.23"/>
    <n v="15765.8"/>
    <n v="109362.43"/>
    <n v="0.46700000000000003"/>
    <n v="29403.74"/>
    <n v="0"/>
    <n v="9083.0499999999993"/>
    <x v="3"/>
    <n v="8"/>
  </r>
  <r>
    <n v="37702"/>
    <n v="3202306"/>
    <x v="27"/>
    <n v="0.35899999999999999"/>
    <n v="1434148.62"/>
    <n v="0"/>
    <n v="1434148.62"/>
    <n v="12922.2"/>
    <n v="269960.28000000003"/>
    <n v="0.998"/>
    <n v="24100.33"/>
    <n v="0"/>
    <n v="7444.78"/>
    <x v="3"/>
    <n v="8"/>
  </r>
  <r>
    <n v="37703"/>
    <n v="3202405"/>
    <x v="28"/>
    <n v="0.81200000000000006"/>
    <n v="3243812.53"/>
    <n v="0"/>
    <n v="3243812.53"/>
    <n v="29227.919999999998"/>
    <n v="1883133.01"/>
    <n v="2.8730000000000002"/>
    <n v="54511.05"/>
    <n v="0"/>
    <n v="16838.89"/>
    <x v="3"/>
    <n v="8"/>
  </r>
  <r>
    <n v="37704"/>
    <n v="3202454"/>
    <x v="29"/>
    <n v="0.372"/>
    <n v="1486081.62"/>
    <n v="0"/>
    <n v="1486081.62"/>
    <n v="13390.13"/>
    <n v="279197.15999999997"/>
    <n v="0.86499999999999999"/>
    <n v="24973.040000000001"/>
    <n v="0"/>
    <n v="7714.37"/>
    <x v="3"/>
    <n v="8"/>
  </r>
  <r>
    <n v="37705"/>
    <n v="3202504"/>
    <x v="30"/>
    <n v="0.23100000000000001"/>
    <n v="922808.75"/>
    <n v="0"/>
    <n v="922808.75"/>
    <n v="8314.84"/>
    <n v="128999.8"/>
    <n v="0.46300000000000002"/>
    <n v="15507.45"/>
    <n v="0"/>
    <n v="4790.37"/>
    <x v="3"/>
    <n v="8"/>
  </r>
  <r>
    <n v="37706"/>
    <n v="3202553"/>
    <x v="31"/>
    <n v="0.24299999999999999"/>
    <n v="970746.85"/>
    <n v="0"/>
    <n v="970746.85"/>
    <n v="8746.7800000000007"/>
    <n v="58907.09"/>
    <n v="0.33800000000000002"/>
    <n v="16313.03"/>
    <n v="0"/>
    <n v="5039.2299999999996"/>
    <x v="3"/>
    <n v="8"/>
  </r>
  <r>
    <n v="37707"/>
    <n v="3202603"/>
    <x v="32"/>
    <n v="0.315"/>
    <n v="1258375.55"/>
    <n v="0"/>
    <n v="1258375.55"/>
    <n v="11338.42"/>
    <n v="183975.72"/>
    <n v="0.55600000000000005"/>
    <n v="21146.53"/>
    <n v="0"/>
    <n v="6532.33"/>
    <x v="3"/>
    <n v="8"/>
  </r>
  <r>
    <n v="37708"/>
    <n v="3202652"/>
    <x v="33"/>
    <n v="0.29899999999999999"/>
    <n v="1194458.07"/>
    <n v="0"/>
    <n v="1194458.07"/>
    <n v="10762.5"/>
    <n v="128300.9"/>
    <n v="0.55100000000000005"/>
    <n v="20072.41"/>
    <n v="0"/>
    <n v="6200.53"/>
    <x v="3"/>
    <n v="8"/>
  </r>
  <r>
    <n v="37709"/>
    <n v="3202702"/>
    <x v="34"/>
    <n v="0.31900000000000001"/>
    <n v="1274354.93"/>
    <n v="0"/>
    <n v="1274354.93"/>
    <n v="11482.4"/>
    <n v="100039.29"/>
    <n v="0.55500000000000005"/>
    <n v="21415.05"/>
    <n v="0"/>
    <n v="6615.28"/>
    <x v="3"/>
    <n v="8"/>
  </r>
  <r>
    <n v="37710"/>
    <n v="3202801"/>
    <x v="35"/>
    <n v="2.4550000000000001"/>
    <n v="9807339.6400000006"/>
    <n v="0"/>
    <n v="9807339.6400000006"/>
    <n v="88367.67"/>
    <n v="286572.51"/>
    <n v="1.0409999999999999"/>
    <n v="164808.63"/>
    <n v="0"/>
    <n v="50910.69"/>
    <x v="3"/>
    <n v="8"/>
  </r>
  <r>
    <n v="37711"/>
    <n v="3202900"/>
    <x v="36"/>
    <n v="0.34799999999999998"/>
    <n v="1390205.39"/>
    <n v="0"/>
    <n v="1390205.39"/>
    <n v="12526.25"/>
    <n v="131658.82999999999"/>
    <n v="0.435"/>
    <n v="23361.88"/>
    <n v="0"/>
    <n v="7216.67"/>
    <x v="3"/>
    <n v="8"/>
  </r>
  <r>
    <n v="37712"/>
    <n v="3203007"/>
    <x v="37"/>
    <n v="0.496"/>
    <n v="1981442.15"/>
    <n v="0"/>
    <n v="1981442.15"/>
    <n v="17853.509999999998"/>
    <n v="271266.24"/>
    <n v="0.89700000000000002"/>
    <n v="33297.39"/>
    <n v="0"/>
    <n v="10285.83"/>
    <x v="3"/>
    <n v="8"/>
  </r>
  <r>
    <n v="37713"/>
    <n v="3203056"/>
    <x v="38"/>
    <n v="0.871"/>
    <n v="3479508.3"/>
    <n v="0"/>
    <n v="3479508.3"/>
    <n v="31351.62"/>
    <n v="292389.03999999998"/>
    <n v="1"/>
    <n v="58471.82"/>
    <n v="0"/>
    <n v="18062.41"/>
    <x v="3"/>
    <n v="8"/>
  </r>
  <r>
    <n v="37714"/>
    <n v="3203106"/>
    <x v="39"/>
    <n v="0.21"/>
    <n v="838917.02"/>
    <n v="0"/>
    <n v="838917.02"/>
    <n v="7558.94"/>
    <n v="69853.67"/>
    <n v="0.45800000000000002"/>
    <n v="14097.68"/>
    <n v="0"/>
    <n v="4354.8900000000003"/>
    <x v="3"/>
    <n v="8"/>
  </r>
  <r>
    <n v="37715"/>
    <n v="3203130"/>
    <x v="40"/>
    <n v="0.36199999999999999"/>
    <n v="1446133.18"/>
    <n v="0"/>
    <n v="1446133.18"/>
    <n v="13030.18"/>
    <n v="147477.56"/>
    <n v="0.66600000000000004"/>
    <n v="24301.72"/>
    <n v="0"/>
    <n v="7506.99"/>
    <x v="3"/>
    <n v="8"/>
  </r>
  <r>
    <n v="37716"/>
    <n v="3203163"/>
    <x v="41"/>
    <n v="0.373"/>
    <n v="1490076.45"/>
    <n v="0"/>
    <n v="1490076.45"/>
    <n v="13426.13"/>
    <n v="63312.04"/>
    <n v="0.441"/>
    <n v="25040.17"/>
    <n v="0"/>
    <n v="7735.11"/>
    <x v="3"/>
    <n v="8"/>
  </r>
  <r>
    <n v="37717"/>
    <n v="3203205"/>
    <x v="42"/>
    <n v="4.9790000000000001"/>
    <n v="19890323.43"/>
    <n v="0"/>
    <n v="19890323.43"/>
    <n v="179218.99"/>
    <n v="1894179.74"/>
    <n v="4.0880000000000001"/>
    <n v="334249.37"/>
    <n v="0"/>
    <n v="103252.28"/>
    <x v="3"/>
    <n v="8"/>
  </r>
  <r>
    <n v="37718"/>
    <n v="3203304"/>
    <x v="43"/>
    <n v="0.27600000000000002"/>
    <n v="1102576.68"/>
    <n v="0"/>
    <n v="1102576.68"/>
    <n v="9934.61"/>
    <n v="121984.89"/>
    <n v="0.57599999999999996"/>
    <n v="18528.38"/>
    <n v="0"/>
    <n v="5723.56"/>
    <x v="3"/>
    <n v="8"/>
  </r>
  <r>
    <n v="37719"/>
    <n v="3203320"/>
    <x v="44"/>
    <n v="0.65800000000000003"/>
    <n v="2628606.7000000002"/>
    <n v="0"/>
    <n v="2628606.7000000002"/>
    <n v="23684.69"/>
    <n v="428635.68"/>
    <n v="1.171"/>
    <n v="44172.74"/>
    <n v="0"/>
    <n v="13645.31"/>
    <x v="3"/>
    <n v="8"/>
  </r>
  <r>
    <n v="37720"/>
    <n v="3203346"/>
    <x v="45"/>
    <n v="0.61099999999999999"/>
    <n v="2440849.09"/>
    <n v="0"/>
    <n v="2440849.09"/>
    <n v="21992.93"/>
    <n v="185387.99"/>
    <n v="0.67100000000000004"/>
    <n v="41017.550000000003"/>
    <n v="0"/>
    <n v="12670.65"/>
    <x v="3"/>
    <n v="8"/>
  </r>
  <r>
    <n v="37721"/>
    <n v="3203353"/>
    <x v="46"/>
    <n v="0.436"/>
    <n v="1741751.54"/>
    <n v="0"/>
    <n v="1741751.54"/>
    <n v="15693.81"/>
    <n v="103290.3"/>
    <n v="0.46700000000000003"/>
    <n v="29269.47"/>
    <n v="0"/>
    <n v="9041.57"/>
    <x v="3"/>
    <n v="8"/>
  </r>
  <r>
    <n v="37722"/>
    <n v="3203403"/>
    <x v="47"/>
    <n v="0.495"/>
    <n v="1977447.33"/>
    <n v="0"/>
    <n v="1977447.33"/>
    <n v="17817.509999999998"/>
    <n v="171543.35"/>
    <n v="0.85599999999999998"/>
    <n v="33230.26"/>
    <n v="0"/>
    <n v="10265.09"/>
    <x v="3"/>
    <n v="8"/>
  </r>
  <r>
    <n v="37723"/>
    <n v="3203502"/>
    <x v="48"/>
    <n v="0.52100000000000002"/>
    <n v="2081313.22"/>
    <n v="0"/>
    <n v="2081313.22"/>
    <n v="18753.38"/>
    <n v="149572.74"/>
    <n v="0.69299999999999995"/>
    <n v="34975.68"/>
    <n v="0"/>
    <n v="10804.27"/>
    <x v="3"/>
    <n v="8"/>
  </r>
  <r>
    <n v="37724"/>
    <n v="3203601"/>
    <x v="49"/>
    <n v="0.28299999999999997"/>
    <n v="1130540.5900000001"/>
    <n v="0"/>
    <n v="1130540.5900000001"/>
    <n v="10186.58"/>
    <n v="48070.5"/>
    <n v="0.29799999999999999"/>
    <n v="18998.310000000001"/>
    <n v="0"/>
    <n v="5868.73"/>
    <x v="3"/>
    <n v="8"/>
  </r>
  <r>
    <n v="37725"/>
    <n v="3203700"/>
    <x v="50"/>
    <n v="0.54600000000000004"/>
    <n v="2181184.31"/>
    <n v="0"/>
    <n v="2181184.31"/>
    <n v="19653.259999999998"/>
    <n v="106194.07"/>
    <n v="0.67100000000000004"/>
    <n v="36653.980000000003"/>
    <n v="0"/>
    <n v="11322.7"/>
    <x v="3"/>
    <n v="8"/>
  </r>
  <r>
    <n v="37726"/>
    <n v="3203809"/>
    <x v="51"/>
    <n v="0.28100000000000003"/>
    <n v="1122550.8999999999"/>
    <n v="0"/>
    <n v="1122550.8999999999"/>
    <n v="10114.59"/>
    <n v="79213.7"/>
    <n v="0.57499999999999996"/>
    <n v="18864.05"/>
    <n v="0"/>
    <n v="5827.25"/>
    <x v="3"/>
    <n v="8"/>
  </r>
  <r>
    <n v="37727"/>
    <n v="3203908"/>
    <x v="52"/>
    <n v="1.3109999999999999"/>
    <n v="5237239.21"/>
    <n v="0"/>
    <n v="5237239.21"/>
    <n v="47189.41"/>
    <n v="565716.77"/>
    <n v="1.4650000000000001"/>
    <n v="88009.82"/>
    <n v="0"/>
    <n v="27186.93"/>
    <x v="3"/>
    <n v="8"/>
  </r>
  <r>
    <n v="37728"/>
    <n v="3204005"/>
    <x v="53"/>
    <n v="0.436"/>
    <n v="1741751.54"/>
    <n v="0"/>
    <n v="1741751.54"/>
    <n v="15693.81"/>
    <n v="116037.08"/>
    <n v="0.747"/>
    <n v="29269.47"/>
    <n v="0"/>
    <n v="9041.57"/>
    <x v="3"/>
    <n v="8"/>
  </r>
  <r>
    <n v="37729"/>
    <n v="3204054"/>
    <x v="54"/>
    <n v="0.307"/>
    <n v="1226416.78"/>
    <n v="0"/>
    <n v="1226416.78"/>
    <n v="11050.46"/>
    <n v="218102.5"/>
    <n v="0.86199999999999999"/>
    <n v="20609.47"/>
    <n v="0"/>
    <n v="6366.43"/>
    <x v="3"/>
    <n v="8"/>
  </r>
  <r>
    <n v="37730"/>
    <n v="3204104"/>
    <x v="55"/>
    <n v="0.73199999999999998"/>
    <n v="2924225.08"/>
    <n v="0"/>
    <n v="2924225.08"/>
    <n v="26348.32"/>
    <n v="174896.3"/>
    <n v="0.875"/>
    <n v="49140.49"/>
    <n v="0"/>
    <n v="15179.89"/>
    <x v="3"/>
    <n v="8"/>
  </r>
  <r>
    <n v="37731"/>
    <n v="3204203"/>
    <x v="56"/>
    <n v="0.14199999999999999"/>
    <n v="567267.73"/>
    <n v="0"/>
    <n v="567267.73"/>
    <n v="5111.29"/>
    <n v="259846.98"/>
    <n v="0.73399999999999999"/>
    <n v="9532.7199999999993"/>
    <n v="0"/>
    <n v="2944.73"/>
    <x v="3"/>
    <n v="8"/>
  </r>
  <r>
    <n v="37732"/>
    <n v="3204252"/>
    <x v="57"/>
    <n v="0.20899999999999999"/>
    <n v="834922.21"/>
    <n v="0"/>
    <n v="834922.21"/>
    <n v="7522.95"/>
    <n v="45070.87"/>
    <n v="0.32900000000000001"/>
    <n v="14030.55"/>
    <n v="0"/>
    <n v="4334.1499999999996"/>
    <x v="3"/>
    <n v="8"/>
  </r>
  <r>
    <n v="37733"/>
    <n v="1718402"/>
    <x v="58"/>
    <n v="0.32"/>
    <n v="1278349.75"/>
    <n v="0"/>
    <n v="1278349.75"/>
    <n v="11518.39"/>
    <n v="184754.8"/>
    <n v="0.45100000000000001"/>
    <n v="21482.18"/>
    <n v="0"/>
    <n v="6636.02"/>
    <x v="3"/>
    <n v="8"/>
  </r>
  <r>
    <n v="37734"/>
    <n v="3204351"/>
    <x v="59"/>
    <n v="0.85399999999999998"/>
    <n v="3411595.95"/>
    <n v="0"/>
    <n v="3411595.95"/>
    <n v="30739.71"/>
    <n v="198880.31"/>
    <n v="0.69799999999999995"/>
    <n v="57330.58"/>
    <n v="0"/>
    <n v="17709.87"/>
    <x v="3"/>
    <n v="8"/>
  </r>
  <r>
    <n v="37735"/>
    <n v="3204401"/>
    <x v="60"/>
    <n v="0.25"/>
    <n v="998710.74"/>
    <n v="0"/>
    <n v="998710.74"/>
    <n v="8998.74"/>
    <n v="91476.73"/>
    <n v="0.45"/>
    <n v="16782.96"/>
    <n v="0"/>
    <n v="5184.3900000000003"/>
    <x v="3"/>
    <n v="8"/>
  </r>
  <r>
    <n v="37736"/>
    <n v="3204500"/>
    <x v="61"/>
    <n v="0.54500000000000004"/>
    <n v="2177189.4500000002"/>
    <n v="0"/>
    <n v="2177189.4500000002"/>
    <n v="19617.259999999998"/>
    <n v="68680.350000000006"/>
    <n v="0.45600000000000002"/>
    <n v="36586.85"/>
    <n v="0"/>
    <n v="11301.97"/>
    <x v="3"/>
    <n v="8"/>
  </r>
  <r>
    <n v="37737"/>
    <n v="3204559"/>
    <x v="62"/>
    <n v="2.2349999999999999"/>
    <n v="8928474.1799999997"/>
    <n v="0"/>
    <n v="8928474.1799999997"/>
    <n v="80448.77"/>
    <n v="505027.17"/>
    <n v="1.1990000000000001"/>
    <n v="150039.64000000001"/>
    <n v="0"/>
    <n v="46348.43"/>
    <x v="3"/>
    <n v="8"/>
  </r>
  <r>
    <n v="37738"/>
    <n v="3204609"/>
    <x v="63"/>
    <n v="0.65100000000000002"/>
    <n v="2600642.8199999998"/>
    <n v="0"/>
    <n v="2600642.8199999998"/>
    <n v="23432.73"/>
    <n v="270705.36"/>
    <n v="0.82899999999999996"/>
    <n v="43702.82"/>
    <n v="0"/>
    <n v="13500.15"/>
    <x v="3"/>
    <n v="8"/>
  </r>
  <r>
    <n v="37739"/>
    <n v="3204658"/>
    <x v="64"/>
    <n v="0.42299999999999999"/>
    <n v="1689818.6"/>
    <n v="0"/>
    <n v="1689818.6"/>
    <n v="15225.87"/>
    <n v="81600.800000000003"/>
    <n v="0.33700000000000002"/>
    <n v="28396.76"/>
    <n v="0"/>
    <n v="8771.99"/>
    <x v="3"/>
    <n v="8"/>
  </r>
  <r>
    <n v="37740"/>
    <n v="3204708"/>
    <x v="65"/>
    <n v="0.85199999999999998"/>
    <n v="3403606.26"/>
    <n v="0"/>
    <n v="3403606.26"/>
    <n v="30667.72"/>
    <n v="290270.38"/>
    <n v="1.169"/>
    <n v="57196.32"/>
    <n v="0"/>
    <n v="17668.400000000001"/>
    <x v="3"/>
    <n v="8"/>
  </r>
  <r>
    <n v="37741"/>
    <n v="3204807"/>
    <x v="66"/>
    <n v="0.22600000000000001"/>
    <n v="902834.53"/>
    <n v="0"/>
    <n v="902834.53"/>
    <n v="8134.86"/>
    <n v="84766.66"/>
    <n v="0.436"/>
    <n v="15171.79"/>
    <n v="0"/>
    <n v="4686.6899999999996"/>
    <x v="3"/>
    <n v="8"/>
  </r>
  <r>
    <n v="37742"/>
    <n v="3204906"/>
    <x v="67"/>
    <n v="1.901"/>
    <n v="7594196.5899999999"/>
    <n v="0"/>
    <n v="7594196.5899999999"/>
    <n v="68426.45"/>
    <n v="1376468.66"/>
    <n v="3.0249999999999999"/>
    <n v="127617.60000000001"/>
    <n v="0"/>
    <n v="39422.089999999997"/>
    <x v="3"/>
    <n v="8"/>
  </r>
  <r>
    <n v="37743"/>
    <n v="3204955"/>
    <x v="68"/>
    <n v="0.312"/>
    <n v="1246391"/>
    <n v="0"/>
    <n v="1246391"/>
    <n v="11230.43"/>
    <n v="74979.62"/>
    <n v="0.46100000000000002"/>
    <n v="20945.13"/>
    <n v="0"/>
    <n v="6470.12"/>
    <x v="3"/>
    <n v="8"/>
  </r>
  <r>
    <n v="37744"/>
    <n v="3205002"/>
    <x v="69"/>
    <n v="15.625"/>
    <n v="62419422.240000002"/>
    <n v="0"/>
    <n v="62419422.240000002"/>
    <n v="562421.5"/>
    <n v="4880232.3600000003"/>
    <n v="8.4320000000000004"/>
    <n v="1048934.8"/>
    <n v="0"/>
    <n v="324024.28000000003"/>
    <x v="3"/>
    <n v="8"/>
  </r>
  <r>
    <n v="37745"/>
    <n v="3205010"/>
    <x v="70"/>
    <n v="0.72199999999999998"/>
    <n v="2884276.66"/>
    <n v="0"/>
    <n v="2884276.66"/>
    <n v="25988.37"/>
    <n v="186401.82"/>
    <n v="0.997"/>
    <n v="48469.18"/>
    <n v="0"/>
    <n v="14972.51"/>
    <x v="3"/>
    <n v="8"/>
  </r>
  <r>
    <n v="37746"/>
    <n v="3205036"/>
    <x v="71"/>
    <n v="0.49099999999999999"/>
    <n v="1961467.93"/>
    <n v="0"/>
    <n v="1961467.93"/>
    <n v="17673.53"/>
    <n v="175897.37"/>
    <n v="0.72699999999999998"/>
    <n v="32961.72"/>
    <n v="0"/>
    <n v="10182.14"/>
    <x v="3"/>
    <n v="8"/>
  </r>
  <r>
    <n v="37747"/>
    <n v="3205069"/>
    <x v="72"/>
    <n v="0.68700000000000006"/>
    <n v="2744457.17"/>
    <n v="0"/>
    <n v="2744457.17"/>
    <n v="24728.55"/>
    <n v="323187.24"/>
    <n v="0.85799999999999998"/>
    <n v="46119.57"/>
    <n v="0"/>
    <n v="14246.7"/>
    <x v="3"/>
    <n v="8"/>
  </r>
  <r>
    <n v="37748"/>
    <n v="2112803"/>
    <x v="73"/>
    <n v="2.9870000000000001"/>
    <n v="11932596.09"/>
    <n v="0"/>
    <n v="11932596.09"/>
    <n v="107516.99"/>
    <n v="505166.06"/>
    <n v="1.984"/>
    <n v="200522.77"/>
    <n v="0"/>
    <n v="61943.07"/>
    <x v="3"/>
    <n v="8"/>
  </r>
  <r>
    <n v="37749"/>
    <n v="3205150"/>
    <x v="74"/>
    <n v="0.31900000000000001"/>
    <n v="1274354.93"/>
    <n v="0"/>
    <n v="1274354.93"/>
    <n v="11482.4"/>
    <n v="68317.38"/>
    <n v="0.34399999999999997"/>
    <n v="21415.05"/>
    <n v="0"/>
    <n v="6615.28"/>
    <x v="3"/>
    <n v="8"/>
  </r>
  <r>
    <n v="37750"/>
    <n v="3205176"/>
    <x v="75"/>
    <n v="0.65800000000000003"/>
    <n v="2628606.7000000002"/>
    <n v="0"/>
    <n v="2628606.7000000002"/>
    <n v="23684.69"/>
    <n v="168886.93"/>
    <n v="0.55600000000000005"/>
    <n v="44172.74"/>
    <n v="0"/>
    <n v="13645.31"/>
    <x v="3"/>
    <n v="8"/>
  </r>
  <r>
    <n v="37751"/>
    <n v="3205200"/>
    <x v="76"/>
    <n v="5.056"/>
    <n v="20197926.32"/>
    <n v="0"/>
    <n v="20197926.32"/>
    <n v="181990.6"/>
    <n v="5725382.9500000002"/>
    <n v="8.09"/>
    <n v="339418.52"/>
    <n v="0"/>
    <n v="104849.07"/>
    <x v="3"/>
    <n v="8"/>
  </r>
  <r>
    <n v="37752"/>
    <n v="3205309"/>
    <x v="77"/>
    <n v="14.782"/>
    <n v="59051769.479999997"/>
    <n v="0"/>
    <n v="59051769.479999997"/>
    <n v="532077.74"/>
    <n v="5482999.5199999996"/>
    <n v="9.4969999999999999"/>
    <n v="992342.69"/>
    <n v="0"/>
    <n v="306542.52"/>
    <x v="3"/>
    <n v="8"/>
  </r>
  <r>
    <n v="38845"/>
    <n v="3200102"/>
    <x v="0"/>
    <n v="0.76100000000000001"/>
    <n v="2795726.7"/>
    <n v="0"/>
    <n v="2795726.7"/>
    <n v="39658.550000000003"/>
    <n v="160348.28"/>
    <n v="0.98499999999999999"/>
    <n v="73589.56"/>
    <n v="0"/>
    <n v="16012.18"/>
    <x v="3"/>
    <n v="10"/>
  </r>
  <r>
    <n v="38846"/>
    <n v="3200169"/>
    <x v="1"/>
    <n v="0.28899999999999998"/>
    <n v="1061714.8799999999"/>
    <n v="0"/>
    <n v="1061714.8799999999"/>
    <n v="15060.87"/>
    <n v="66841.37"/>
    <n v="0.439"/>
    <n v="27946.62"/>
    <n v="0"/>
    <n v="6080.84"/>
    <x v="3"/>
    <n v="10"/>
  </r>
  <r>
    <n v="38847"/>
    <n v="3200136"/>
    <x v="2"/>
    <n v="0.40400000000000003"/>
    <n v="1484196.56"/>
    <n v="0"/>
    <n v="1484196.56"/>
    <n v="21053.95"/>
    <n v="63823.82"/>
    <n v="0.34799999999999998"/>
    <n v="39067.25"/>
    <n v="0"/>
    <n v="8500.5499999999993"/>
    <x v="3"/>
    <n v="10"/>
  </r>
  <r>
    <n v="38848"/>
    <n v="3200201"/>
    <x v="3"/>
    <n v="0.498"/>
    <n v="1829529.45"/>
    <n v="0"/>
    <n v="1829529.45"/>
    <n v="25952.639999999999"/>
    <n v="158529.81"/>
    <n v="0.98"/>
    <n v="48157.16"/>
    <n v="0"/>
    <n v="10478.4"/>
    <x v="3"/>
    <n v="10"/>
  </r>
  <r>
    <n v="38849"/>
    <n v="3200300"/>
    <x v="4"/>
    <n v="0.46700000000000003"/>
    <n v="1715643.09"/>
    <n v="0"/>
    <n v="1715643.09"/>
    <n v="24337.11"/>
    <n v="116205.48"/>
    <n v="0.56399999999999995"/>
    <n v="45159.43"/>
    <n v="0"/>
    <n v="9826.1299999999992"/>
    <x v="3"/>
    <n v="10"/>
  </r>
  <r>
    <n v="38850"/>
    <n v="3200359"/>
    <x v="5"/>
    <n v="0.22600000000000001"/>
    <n v="830268.4"/>
    <n v="0"/>
    <n v="830268.4"/>
    <n v="11777.7"/>
    <n v="46704"/>
    <n v="0.32700000000000001"/>
    <n v="21854.46"/>
    <n v="0"/>
    <n v="4755.26"/>
    <x v="3"/>
    <n v="10"/>
  </r>
  <r>
    <n v="38851"/>
    <n v="3200409"/>
    <x v="6"/>
    <n v="3.1480000000000001"/>
    <n v="11564977.220000001"/>
    <n v="0"/>
    <n v="11564977.220000001"/>
    <n v="164054.04"/>
    <n v="269002.69"/>
    <n v="0.90800000000000003"/>
    <n v="304415.15000000002"/>
    <n v="0"/>
    <n v="66236.97"/>
    <x v="3"/>
    <n v="10"/>
  </r>
  <r>
    <n v="38852"/>
    <n v="3200508"/>
    <x v="7"/>
    <n v="0.185"/>
    <n v="679644.45"/>
    <n v="0"/>
    <n v="679644.45"/>
    <n v="9641.0400000000009"/>
    <n v="70279.399999999994"/>
    <n v="0.32300000000000001"/>
    <n v="17889.71"/>
    <n v="0"/>
    <n v="3892.58"/>
    <x v="3"/>
    <n v="10"/>
  </r>
  <r>
    <n v="38853"/>
    <n v="3200607"/>
    <x v="8"/>
    <n v="2.9220000000000002"/>
    <n v="10734708.859999999"/>
    <n v="0"/>
    <n v="10734708.859999999"/>
    <n v="152276.34"/>
    <n v="922416.28"/>
    <n v="2.5089999999999999"/>
    <n v="282560.7"/>
    <n v="0"/>
    <n v="61481.71"/>
    <x v="3"/>
    <n v="10"/>
  </r>
  <r>
    <n v="38854"/>
    <n v="3200706"/>
    <x v="9"/>
    <n v="0.35399999999999998"/>
    <n v="1300508.8700000001"/>
    <n v="0"/>
    <n v="1300508.8700000001"/>
    <n v="18448.259999999998"/>
    <n v="61346.81"/>
    <n v="0.45700000000000002"/>
    <n v="34232.199999999997"/>
    <n v="0"/>
    <n v="7448.5"/>
    <x v="3"/>
    <n v="10"/>
  </r>
  <r>
    <n v="38855"/>
    <n v="3200805"/>
    <x v="10"/>
    <n v="0.60699999999999998"/>
    <n v="2229968.59"/>
    <n v="0"/>
    <n v="2229968.59"/>
    <n v="31633.040000000001"/>
    <n v="301506.87"/>
    <n v="0.997"/>
    <n v="58697.58"/>
    <n v="0"/>
    <n v="12771.87"/>
    <x v="3"/>
    <n v="10"/>
  </r>
  <r>
    <n v="38856"/>
    <n v="3200904"/>
    <x v="11"/>
    <n v="1.0289999999999999"/>
    <n v="3780292.75"/>
    <n v="0"/>
    <n v="3780292.75"/>
    <n v="53625.03"/>
    <n v="334694.09000000003"/>
    <n v="1.321"/>
    <n v="99505.45"/>
    <n v="0"/>
    <n v="21651.16"/>
    <x v="3"/>
    <n v="10"/>
  </r>
  <r>
    <n v="38857"/>
    <n v="3107109"/>
    <x v="12"/>
    <n v="0.39500000000000002"/>
    <n v="1451132.79"/>
    <n v="0"/>
    <n v="1451132.79"/>
    <n v="20584.93"/>
    <n v="74164.2"/>
    <n v="0.56899999999999995"/>
    <n v="38196.949999999997"/>
    <n v="0"/>
    <n v="8311.18"/>
    <x v="3"/>
    <n v="10"/>
  </r>
  <r>
    <n v="38858"/>
    <n v="3201100"/>
    <x v="13"/>
    <n v="0.17599999999999999"/>
    <n v="646580.67000000004"/>
    <n v="0"/>
    <n v="646580.67000000004"/>
    <n v="9172.02"/>
    <n v="160453.62"/>
    <n v="0.43"/>
    <n v="17019.39"/>
    <n v="0"/>
    <n v="3703.21"/>
    <x v="3"/>
    <n v="10"/>
  </r>
  <r>
    <n v="38859"/>
    <n v="3201159"/>
    <x v="14"/>
    <n v="0.42099999999999999"/>
    <n v="1546650.39"/>
    <n v="0"/>
    <n v="1546650.39"/>
    <n v="21939.88"/>
    <n v="83618.84"/>
    <n v="0.46"/>
    <n v="40711.17"/>
    <n v="0"/>
    <n v="8858.25"/>
    <x v="3"/>
    <n v="10"/>
  </r>
  <r>
    <n v="38860"/>
    <n v="3201209"/>
    <x v="15"/>
    <n v="3.1120000000000001"/>
    <n v="11432722.109999999"/>
    <n v="0"/>
    <n v="11432722.109999999"/>
    <n v="162177.95000000001"/>
    <n v="1773371.49"/>
    <n v="4.4820000000000002"/>
    <n v="300933.90999999997"/>
    <n v="0"/>
    <n v="65479.5"/>
    <x v="3"/>
    <n v="10"/>
  </r>
  <r>
    <n v="38861"/>
    <n v="3201308"/>
    <x v="16"/>
    <n v="7.2990000000000004"/>
    <n v="26814729.640000001"/>
    <n v="0"/>
    <n v="26814729.640000001"/>
    <n v="380378.16"/>
    <n v="2599940.8199999998"/>
    <n v="6.6040000000000001"/>
    <n v="705821.54"/>
    <n v="0"/>
    <n v="153578.03"/>
    <x v="3"/>
    <n v="10"/>
  </r>
  <r>
    <n v="38862"/>
    <n v="3201407"/>
    <x v="17"/>
    <n v="0.89900000000000002"/>
    <n v="3302704.75"/>
    <n v="0"/>
    <n v="3302704.75"/>
    <n v="46850.25"/>
    <n v="431807.97"/>
    <n v="1.155"/>
    <n v="86934.31"/>
    <n v="0"/>
    <n v="18915.830000000002"/>
    <x v="3"/>
    <n v="10"/>
  </r>
  <r>
    <n v="38863"/>
    <n v="3201506"/>
    <x v="18"/>
    <n v="2.2320000000000002"/>
    <n v="8199818.6699999999"/>
    <n v="0"/>
    <n v="8199818.6699999999"/>
    <n v="116317.86"/>
    <n v="1185740.94"/>
    <n v="2.8220000000000001"/>
    <n v="215836.92"/>
    <n v="0"/>
    <n v="46963.44"/>
    <x v="3"/>
    <n v="10"/>
  </r>
  <r>
    <n v="38864"/>
    <n v="3201605"/>
    <x v="19"/>
    <n v="0.79400000000000004"/>
    <n v="2916960.59"/>
    <n v="0"/>
    <n v="2916960.59"/>
    <n v="41378.31"/>
    <n v="159957.16"/>
    <n v="0.999"/>
    <n v="76780.7"/>
    <n v="0"/>
    <n v="16706.53"/>
    <x v="3"/>
    <n v="10"/>
  </r>
  <r>
    <n v="38865"/>
    <n v="3201704"/>
    <x v="20"/>
    <n v="0.46"/>
    <n v="1689926.79"/>
    <n v="0"/>
    <n v="1689926.79"/>
    <n v="23972.32"/>
    <n v="74763.839999999997"/>
    <n v="0.46500000000000002"/>
    <n v="44482.52"/>
    <n v="0"/>
    <n v="9678.85"/>
    <x v="3"/>
    <n v="10"/>
  </r>
  <r>
    <n v="38866"/>
    <n v="3201803"/>
    <x v="21"/>
    <n v="0.182"/>
    <n v="668623.19999999995"/>
    <n v="0"/>
    <n v="668623.19999999995"/>
    <n v="9484.7000000000007"/>
    <n v="35654.720000000001"/>
    <n v="0.28299999999999997"/>
    <n v="17599.599999999999"/>
    <n v="0"/>
    <n v="3829.46"/>
    <x v="3"/>
    <n v="10"/>
  </r>
  <r>
    <n v="38867"/>
    <n v="3201902"/>
    <x v="22"/>
    <n v="1.268"/>
    <n v="4658319.92"/>
    <n v="0"/>
    <n v="4658319.92"/>
    <n v="66080.22"/>
    <n v="279646.62"/>
    <n v="1.0309999999999999"/>
    <n v="122617.03"/>
    <n v="0"/>
    <n v="26679.95"/>
    <x v="3"/>
    <n v="10"/>
  </r>
  <r>
    <n v="38868"/>
    <n v="3202009"/>
    <x v="23"/>
    <n v="0.27"/>
    <n v="991913.54"/>
    <n v="0"/>
    <n v="991913.54"/>
    <n v="14070.71"/>
    <n v="81952.09"/>
    <n v="0.314"/>
    <n v="26109.3"/>
    <n v="0"/>
    <n v="5681.06"/>
    <x v="3"/>
    <n v="10"/>
  </r>
  <r>
    <n v="38869"/>
    <n v="3202108"/>
    <x v="24"/>
    <n v="0.69399999999999995"/>
    <n v="2549585.2000000002"/>
    <n v="0"/>
    <n v="2549585.2000000002"/>
    <n v="36166.93"/>
    <n v="134466.9"/>
    <n v="0.81599999999999995"/>
    <n v="67110.58"/>
    <n v="0"/>
    <n v="14602.43"/>
    <x v="3"/>
    <n v="10"/>
  </r>
  <r>
    <n v="38870"/>
    <n v="3202207"/>
    <x v="25"/>
    <n v="0.28599999999999998"/>
    <n v="1050693.6200000001"/>
    <n v="0"/>
    <n v="1050693.6200000001"/>
    <n v="14904.53"/>
    <n v="121958.29"/>
    <n v="0.73399999999999999"/>
    <n v="27656.52"/>
    <n v="0"/>
    <n v="6017.72"/>
    <x v="3"/>
    <n v="10"/>
  </r>
  <r>
    <n v="38871"/>
    <n v="3202256"/>
    <x v="26"/>
    <n v="0.438"/>
    <n v="1609104.2"/>
    <n v="0"/>
    <n v="1609104.2"/>
    <n v="22825.82"/>
    <n v="91936.7"/>
    <n v="0.46700000000000003"/>
    <n v="42355.1"/>
    <n v="0"/>
    <n v="9215.94"/>
    <x v="3"/>
    <n v="10"/>
  </r>
  <r>
    <n v="38872"/>
    <n v="3202306"/>
    <x v="27"/>
    <n v="0.35899999999999999"/>
    <n v="1318877.6399999999"/>
    <n v="0"/>
    <n v="1318877.6399999999"/>
    <n v="18708.830000000002"/>
    <n v="222469.18"/>
    <n v="0.998"/>
    <n v="34715.699999999997"/>
    <n v="0"/>
    <n v="7553.71"/>
    <x v="3"/>
    <n v="10"/>
  </r>
  <r>
    <n v="38873"/>
    <n v="3202405"/>
    <x v="28"/>
    <n v="0.81200000000000006"/>
    <n v="2983088.18"/>
    <n v="0"/>
    <n v="2983088.18"/>
    <n v="42316.35"/>
    <n v="1627531.35"/>
    <n v="2.8730000000000002"/>
    <n v="78521.320000000007"/>
    <n v="0"/>
    <n v="17085.27"/>
    <x v="3"/>
    <n v="10"/>
  </r>
  <r>
    <n v="38874"/>
    <n v="3202454"/>
    <x v="29"/>
    <n v="0.372"/>
    <n v="1366636.44"/>
    <n v="0"/>
    <n v="1366636.44"/>
    <n v="19386.310000000001"/>
    <n v="172156.26"/>
    <n v="0.86499999999999999"/>
    <n v="35972.82"/>
    <n v="0"/>
    <n v="7827.24"/>
    <x v="3"/>
    <n v="10"/>
  </r>
  <r>
    <n v="38875"/>
    <n v="3202504"/>
    <x v="30"/>
    <n v="0.23100000000000001"/>
    <n v="848637.15"/>
    <n v="0"/>
    <n v="848637.15"/>
    <n v="12038.27"/>
    <n v="95717.99"/>
    <n v="0.46300000000000002"/>
    <n v="22337.96"/>
    <n v="0"/>
    <n v="4860.46"/>
    <x v="3"/>
    <n v="10"/>
  </r>
  <r>
    <n v="38876"/>
    <n v="3202553"/>
    <x v="31"/>
    <n v="0.24299999999999999"/>
    <n v="892722.21"/>
    <n v="0"/>
    <n v="892722.21"/>
    <n v="12663.64"/>
    <n v="46699.43"/>
    <n v="0.33800000000000002"/>
    <n v="23498.38"/>
    <n v="0"/>
    <n v="5112.96"/>
    <x v="3"/>
    <n v="10"/>
  </r>
  <r>
    <n v="38877"/>
    <n v="3202603"/>
    <x v="32"/>
    <n v="0.315"/>
    <n v="1157232.49"/>
    <n v="0"/>
    <n v="1157232.49"/>
    <n v="16415.830000000002"/>
    <n v="147979.96"/>
    <n v="0.55600000000000005"/>
    <n v="30460.86"/>
    <n v="0"/>
    <n v="6627.91"/>
    <x v="3"/>
    <n v="10"/>
  </r>
  <r>
    <n v="38878"/>
    <n v="3202652"/>
    <x v="33"/>
    <n v="0.29899999999999999"/>
    <n v="1098452.3899999999"/>
    <n v="0"/>
    <n v="1098452.3899999999"/>
    <n v="15582.01"/>
    <n v="98078.71"/>
    <n v="0.55100000000000005"/>
    <n v="28913.63"/>
    <n v="0"/>
    <n v="6291.25"/>
    <x v="3"/>
    <n v="10"/>
  </r>
  <r>
    <n v="38879"/>
    <n v="3202702"/>
    <x v="34"/>
    <n v="0.31900000000000001"/>
    <n v="1171927.49"/>
    <n v="0"/>
    <n v="1171927.49"/>
    <n v="16624.28"/>
    <n v="72207.45"/>
    <n v="0.55500000000000005"/>
    <n v="30847.67"/>
    <n v="0"/>
    <n v="6712.07"/>
    <x v="3"/>
    <n v="10"/>
  </r>
  <r>
    <n v="38880"/>
    <n v="3202801"/>
    <x v="35"/>
    <n v="2.4550000000000001"/>
    <n v="9019065.8100000005"/>
    <n v="0"/>
    <n v="9019065.8100000005"/>
    <n v="127939.22"/>
    <n v="282779.62"/>
    <n v="1.0409999999999999"/>
    <n v="237401.27"/>
    <n v="0"/>
    <n v="51655.58"/>
    <x v="3"/>
    <n v="10"/>
  </r>
  <r>
    <n v="38881"/>
    <n v="3202900"/>
    <x v="36"/>
    <n v="0.34799999999999998"/>
    <n v="1278466.3400000001"/>
    <n v="0"/>
    <n v="1278466.3400000001"/>
    <n v="18135.580000000002"/>
    <n v="98833.82"/>
    <n v="0.435"/>
    <n v="33651.99"/>
    <n v="0"/>
    <n v="7322.26"/>
    <x v="3"/>
    <n v="10"/>
  </r>
  <r>
    <n v="38882"/>
    <n v="3203007"/>
    <x v="37"/>
    <n v="0.496"/>
    <n v="1822181.93"/>
    <n v="0"/>
    <n v="1822181.93"/>
    <n v="25848.41"/>
    <n v="224470.76"/>
    <n v="0.89700000000000002"/>
    <n v="47963.75"/>
    <n v="0"/>
    <n v="10436.32"/>
    <x v="3"/>
    <n v="10"/>
  </r>
  <r>
    <n v="38883"/>
    <n v="3203056"/>
    <x v="38"/>
    <n v="0.871"/>
    <n v="3199839.63"/>
    <n v="0"/>
    <n v="3199839.63"/>
    <n v="45391.06"/>
    <n v="202926.58"/>
    <n v="1"/>
    <n v="84226.68"/>
    <n v="0"/>
    <n v="18326.68"/>
    <x v="3"/>
    <n v="10"/>
  </r>
  <r>
    <n v="38884"/>
    <n v="3203106"/>
    <x v="39"/>
    <n v="0.21"/>
    <n v="771488.32"/>
    <n v="0"/>
    <n v="771488.32"/>
    <n v="10943.88"/>
    <n v="62192.639999999999"/>
    <n v="0.45800000000000002"/>
    <n v="20307.240000000002"/>
    <n v="0"/>
    <n v="4418.6000000000004"/>
    <x v="3"/>
    <n v="10"/>
  </r>
  <r>
    <n v="38885"/>
    <n v="3203130"/>
    <x v="40"/>
    <n v="0.36199999999999999"/>
    <n v="1329898.92"/>
    <n v="0"/>
    <n v="1329898.92"/>
    <n v="18865.169999999998"/>
    <n v="117717.55"/>
    <n v="0.66600000000000004"/>
    <n v="35005.81"/>
    <n v="0"/>
    <n v="7616.83"/>
    <x v="3"/>
    <n v="10"/>
  </r>
  <r>
    <n v="38886"/>
    <n v="3203163"/>
    <x v="41"/>
    <n v="0.373"/>
    <n v="1370310.2"/>
    <n v="0"/>
    <n v="1370310.2"/>
    <n v="19438.419999999998"/>
    <n v="32628.17"/>
    <n v="0.441"/>
    <n v="36069.519999999997"/>
    <n v="0"/>
    <n v="7848.28"/>
    <x v="3"/>
    <n v="10"/>
  </r>
  <r>
    <n v="38887"/>
    <n v="3203205"/>
    <x v="42"/>
    <n v="4.9790000000000001"/>
    <n v="18291620.609999999"/>
    <n v="0"/>
    <n v="18291620.609999999"/>
    <n v="259474.29"/>
    <n v="1722467.64"/>
    <n v="4.0880000000000001"/>
    <n v="481474.92"/>
    <n v="0"/>
    <n v="104762.99"/>
    <x v="3"/>
    <n v="10"/>
  </r>
  <r>
    <n v="38888"/>
    <n v="3203304"/>
    <x v="43"/>
    <n v="0.27600000000000002"/>
    <n v="1013956.09"/>
    <n v="0"/>
    <n v="1013956.09"/>
    <n v="14383.39"/>
    <n v="108553.4"/>
    <n v="0.57599999999999996"/>
    <n v="26689.51"/>
    <n v="0"/>
    <n v="5807.31"/>
    <x v="3"/>
    <n v="10"/>
  </r>
  <r>
    <n v="38889"/>
    <n v="3203320"/>
    <x v="44"/>
    <n v="0.65800000000000003"/>
    <n v="2417330.0499999998"/>
    <n v="0"/>
    <n v="2417330.0499999998"/>
    <n v="34290.839999999997"/>
    <n v="404536.54"/>
    <n v="1.171"/>
    <n v="63629.34"/>
    <n v="0"/>
    <n v="13844.96"/>
    <x v="3"/>
    <n v="10"/>
  </r>
  <r>
    <n v="38890"/>
    <n v="3203346"/>
    <x v="45"/>
    <n v="0.61099999999999999"/>
    <n v="2244663.63"/>
    <n v="0"/>
    <n v="2244663.63"/>
    <n v="31841.49"/>
    <n v="131572.88"/>
    <n v="0.67100000000000004"/>
    <n v="59084.39"/>
    <n v="0"/>
    <n v="12856.03"/>
    <x v="3"/>
    <n v="10"/>
  </r>
  <r>
    <n v="38891"/>
    <n v="3203353"/>
    <x v="46"/>
    <n v="0.436"/>
    <n v="1601756.71"/>
    <n v="0"/>
    <n v="1601756.71"/>
    <n v="22721.59"/>
    <n v="95363.35"/>
    <n v="0.46700000000000003"/>
    <n v="42161.7"/>
    <n v="0"/>
    <n v="9173.86"/>
    <x v="3"/>
    <n v="10"/>
  </r>
  <r>
    <n v="38892"/>
    <n v="3203403"/>
    <x v="47"/>
    <n v="0.495"/>
    <n v="1818508.17"/>
    <n v="0"/>
    <n v="1818508.17"/>
    <n v="25796.3"/>
    <n v="147813.79"/>
    <n v="0.85599999999999998"/>
    <n v="47867.06"/>
    <n v="0"/>
    <n v="10415.280000000001"/>
    <x v="3"/>
    <n v="10"/>
  </r>
  <r>
    <n v="38893"/>
    <n v="3203502"/>
    <x v="48"/>
    <n v="0.52100000000000002"/>
    <n v="1914025.77"/>
    <n v="0"/>
    <n v="1914025.77"/>
    <n v="27151.26"/>
    <n v="150409.67000000001"/>
    <n v="0.69299999999999995"/>
    <n v="50381.279999999999"/>
    <n v="0"/>
    <n v="10962.34"/>
    <x v="3"/>
    <n v="10"/>
  </r>
  <r>
    <n v="38894"/>
    <n v="3203601"/>
    <x v="49"/>
    <n v="0.28299999999999997"/>
    <n v="1039672.34"/>
    <n v="0"/>
    <n v="1039672.34"/>
    <n v="14748.19"/>
    <n v="42395.5"/>
    <n v="0.29799999999999999"/>
    <n v="27366.42"/>
    <n v="0"/>
    <n v="5954.59"/>
    <x v="3"/>
    <n v="10"/>
  </r>
  <r>
    <n v="38895"/>
    <n v="3203700"/>
    <x v="50"/>
    <n v="0.54600000000000004"/>
    <n v="2005869.61"/>
    <n v="0"/>
    <n v="2005869.61"/>
    <n v="28454.1"/>
    <n v="67300.88"/>
    <n v="0.67100000000000004"/>
    <n v="52798.81"/>
    <n v="0"/>
    <n v="11488.37"/>
    <x v="3"/>
    <n v="10"/>
  </r>
  <r>
    <n v="38896"/>
    <n v="3203809"/>
    <x v="51"/>
    <n v="0.28100000000000003"/>
    <n v="1032324.85"/>
    <n v="0"/>
    <n v="1032324.85"/>
    <n v="14643.96"/>
    <n v="67037.34"/>
    <n v="0.57499999999999996"/>
    <n v="27173.02"/>
    <n v="0"/>
    <n v="5912.51"/>
    <x v="3"/>
    <n v="10"/>
  </r>
  <r>
    <n v="38897"/>
    <n v="3203908"/>
    <x v="52"/>
    <n v="1.3109999999999999"/>
    <n v="4816291.3499999996"/>
    <n v="0"/>
    <n v="4816291.3499999996"/>
    <n v="68321.11"/>
    <n v="483308.02"/>
    <n v="1.4650000000000001"/>
    <n v="126775.19"/>
    <n v="0"/>
    <n v="27584.71"/>
    <x v="3"/>
    <n v="10"/>
  </r>
  <r>
    <n v="38898"/>
    <n v="3204005"/>
    <x v="53"/>
    <n v="0.436"/>
    <n v="1601756.71"/>
    <n v="0"/>
    <n v="1601756.71"/>
    <n v="22721.59"/>
    <n v="103743.87"/>
    <n v="0.747"/>
    <n v="42161.7"/>
    <n v="0"/>
    <n v="9173.86"/>
    <x v="3"/>
    <n v="10"/>
  </r>
  <r>
    <n v="38899"/>
    <n v="3204054"/>
    <x v="54"/>
    <n v="0.307"/>
    <n v="1127842.44"/>
    <n v="0"/>
    <n v="1127842.44"/>
    <n v="15998.92"/>
    <n v="191027.21"/>
    <n v="0.86199999999999999"/>
    <n v="29687.25"/>
    <n v="0"/>
    <n v="6459.58"/>
    <x v="3"/>
    <n v="10"/>
  </r>
  <r>
    <n v="38900"/>
    <n v="3204104"/>
    <x v="55"/>
    <n v="0.73199999999999998"/>
    <n v="2689187.8399999999"/>
    <n v="0"/>
    <n v="2689187.8399999999"/>
    <n v="38147.25"/>
    <n v="173249.96"/>
    <n v="0.875"/>
    <n v="70785.22"/>
    <n v="0"/>
    <n v="15401.99"/>
    <x v="3"/>
    <n v="10"/>
  </r>
  <r>
    <n v="38901"/>
    <n v="3204203"/>
    <x v="56"/>
    <n v="0.14199999999999999"/>
    <n v="521673.04"/>
    <n v="0"/>
    <n v="521673.04"/>
    <n v="7400.15"/>
    <n v="227359.95"/>
    <n v="0.73399999999999999"/>
    <n v="13731.56"/>
    <n v="0"/>
    <n v="2987.82"/>
    <x v="3"/>
    <n v="10"/>
  </r>
  <r>
    <n v="38902"/>
    <n v="3204252"/>
    <x v="57"/>
    <n v="0.20899999999999999"/>
    <n v="767814.56"/>
    <n v="0"/>
    <n v="767814.56"/>
    <n v="10891.77"/>
    <n v="39550.870000000003"/>
    <n v="0.32900000000000001"/>
    <n v="20210.54"/>
    <n v="0"/>
    <n v="4397.5600000000004"/>
    <x v="3"/>
    <n v="10"/>
  </r>
  <r>
    <n v="38903"/>
    <n v="1718402"/>
    <x v="58"/>
    <n v="0.32"/>
    <n v="1175601.26"/>
    <n v="0"/>
    <n v="1175601.26"/>
    <n v="16676.400000000001"/>
    <n v="151142.07999999999"/>
    <n v="0.45100000000000001"/>
    <n v="30944.36"/>
    <n v="0"/>
    <n v="6733.11"/>
    <x v="3"/>
    <n v="10"/>
  </r>
  <r>
    <n v="38904"/>
    <n v="3204351"/>
    <x v="59"/>
    <n v="0.85399999999999998"/>
    <n v="3137385.82"/>
    <n v="0"/>
    <n v="3137385.82"/>
    <n v="44505.13"/>
    <n v="114827"/>
    <n v="0.69799999999999995"/>
    <n v="82582.77"/>
    <n v="0"/>
    <n v="17968.990000000002"/>
    <x v="3"/>
    <n v="10"/>
  </r>
  <r>
    <n v="38905"/>
    <n v="3204401"/>
    <x v="60"/>
    <n v="0.25"/>
    <n v="918438.48"/>
    <n v="0"/>
    <n v="918438.48"/>
    <n v="13028.43"/>
    <n v="80725.09"/>
    <n v="0.45"/>
    <n v="24175.29"/>
    <n v="0"/>
    <n v="5260.24"/>
    <x v="3"/>
    <n v="10"/>
  </r>
  <r>
    <n v="38906"/>
    <n v="3204500"/>
    <x v="61"/>
    <n v="0.54500000000000004"/>
    <n v="2002195.87"/>
    <n v="0"/>
    <n v="2002195.87"/>
    <n v="28401.99"/>
    <n v="45703.69"/>
    <n v="0.45600000000000002"/>
    <n v="52702.11"/>
    <n v="0"/>
    <n v="11467.33"/>
    <x v="3"/>
    <n v="10"/>
  </r>
  <r>
    <n v="38907"/>
    <n v="3204559"/>
    <x v="62"/>
    <n v="2.2349999999999999"/>
    <n v="8210839.9199999999"/>
    <n v="0"/>
    <n v="8210839.9199999999"/>
    <n v="116474.2"/>
    <n v="387468.24"/>
    <n v="1.1990000000000001"/>
    <n v="216127.02"/>
    <n v="0"/>
    <n v="47026.57"/>
    <x v="3"/>
    <n v="10"/>
  </r>
  <r>
    <n v="38908"/>
    <n v="3204609"/>
    <x v="63"/>
    <n v="0.65100000000000002"/>
    <n v="2391613.79"/>
    <n v="0"/>
    <n v="2391613.79"/>
    <n v="33926.04"/>
    <n v="205344.73"/>
    <n v="0.82899999999999996"/>
    <n v="62952.44"/>
    <n v="0"/>
    <n v="13697.67"/>
    <x v="3"/>
    <n v="10"/>
  </r>
  <r>
    <n v="38909"/>
    <n v="3204658"/>
    <x v="64"/>
    <n v="0.42299999999999999"/>
    <n v="1553997.9"/>
    <n v="0"/>
    <n v="1553997.9"/>
    <n v="22044.11"/>
    <n v="62010.12"/>
    <n v="0.33700000000000002"/>
    <n v="40904.58"/>
    <n v="0"/>
    <n v="8900.33"/>
    <x v="3"/>
    <n v="10"/>
  </r>
  <r>
    <n v="38910"/>
    <n v="3204708"/>
    <x v="65"/>
    <n v="0.85199999999999998"/>
    <n v="3130038.33"/>
    <n v="0"/>
    <n v="3130038.33"/>
    <n v="44400.9"/>
    <n v="315630.39"/>
    <n v="1.169"/>
    <n v="82389.36"/>
    <n v="0"/>
    <n v="17926.91"/>
    <x v="3"/>
    <n v="10"/>
  </r>
  <r>
    <n v="38911"/>
    <n v="3204807"/>
    <x v="66"/>
    <n v="0.22600000000000001"/>
    <n v="830268.4"/>
    <n v="0"/>
    <n v="830268.4"/>
    <n v="11777.7"/>
    <n v="48821.3"/>
    <n v="0.436"/>
    <n v="21854.46"/>
    <n v="0"/>
    <n v="4755.26"/>
    <x v="3"/>
    <n v="10"/>
  </r>
  <r>
    <n v="38912"/>
    <n v="3204906"/>
    <x v="67"/>
    <n v="1.901"/>
    <n v="6983806.1500000004"/>
    <n v="0"/>
    <n v="6983806.1500000004"/>
    <n v="99068.21"/>
    <n v="1147015.79"/>
    <n v="3.0249999999999999"/>
    <n v="183828.85"/>
    <n v="0"/>
    <n v="39998.879999999997"/>
    <x v="3"/>
    <n v="10"/>
  </r>
  <r>
    <n v="38913"/>
    <n v="3204955"/>
    <x v="68"/>
    <n v="0.312"/>
    <n v="1146211.23"/>
    <n v="0"/>
    <n v="1146211.23"/>
    <n v="16259.49"/>
    <n v="64084.84"/>
    <n v="0.46100000000000002"/>
    <n v="30170.76"/>
    <n v="0"/>
    <n v="6564.78"/>
    <x v="3"/>
    <n v="10"/>
  </r>
  <r>
    <n v="38914"/>
    <n v="3205002"/>
    <x v="69"/>
    <n v="15.625"/>
    <n v="57402404.479999997"/>
    <n v="0"/>
    <n v="57402404.479999997"/>
    <n v="814277.13"/>
    <n v="4521423.34"/>
    <n v="8.4320000000000004"/>
    <n v="1510955.14"/>
    <n v="0"/>
    <n v="328765.14"/>
    <x v="3"/>
    <n v="10"/>
  </r>
  <r>
    <n v="38915"/>
    <n v="3205010"/>
    <x v="70"/>
    <n v="0.72199999999999998"/>
    <n v="2652450.2799999998"/>
    <n v="0"/>
    <n v="2652450.2799999998"/>
    <n v="37626.120000000003"/>
    <n v="176932.81"/>
    <n v="0.997"/>
    <n v="69818.22"/>
    <n v="0"/>
    <n v="15191.58"/>
    <x v="3"/>
    <n v="10"/>
  </r>
  <r>
    <n v="38916"/>
    <n v="3205036"/>
    <x v="71"/>
    <n v="0.49099999999999999"/>
    <n v="1803813.14"/>
    <n v="0"/>
    <n v="1803813.14"/>
    <n v="25587.84"/>
    <n v="158240.29"/>
    <n v="0.72699999999999998"/>
    <n v="47480.25"/>
    <n v="0"/>
    <n v="10331.120000000001"/>
    <x v="3"/>
    <n v="10"/>
  </r>
  <r>
    <n v="38917"/>
    <n v="3205069"/>
    <x v="72"/>
    <n v="0.68700000000000006"/>
    <n v="2523868.91"/>
    <n v="0"/>
    <n v="2523868.91"/>
    <n v="35802.14"/>
    <n v="227931.76"/>
    <n v="0.85799999999999998"/>
    <n v="66433.679999999993"/>
    <n v="0"/>
    <n v="14455.15"/>
    <x v="3"/>
    <n v="10"/>
  </r>
  <r>
    <n v="38918"/>
    <n v="2112803"/>
    <x v="73"/>
    <n v="2.9870000000000001"/>
    <n v="10973502.869999999"/>
    <n v="0"/>
    <n v="10973502.869999999"/>
    <n v="155663.73000000001"/>
    <n v="672690.74"/>
    <n v="1.984"/>
    <n v="288846.27"/>
    <n v="0"/>
    <n v="62849.38"/>
    <x v="3"/>
    <n v="10"/>
  </r>
  <r>
    <n v="38919"/>
    <n v="3205150"/>
    <x v="74"/>
    <n v="0.31900000000000001"/>
    <n v="1171927.49"/>
    <n v="0"/>
    <n v="1171927.49"/>
    <n v="16624.28"/>
    <n v="42346.48"/>
    <n v="0.34399999999999997"/>
    <n v="30847.67"/>
    <n v="0"/>
    <n v="6712.07"/>
    <x v="3"/>
    <n v="10"/>
  </r>
  <r>
    <n v="38920"/>
    <n v="3205176"/>
    <x v="75"/>
    <n v="0.65800000000000003"/>
    <n v="2417330.0499999998"/>
    <n v="0"/>
    <n v="2417330.0499999998"/>
    <n v="34290.839999999997"/>
    <n v="108191.37"/>
    <n v="0.55600000000000005"/>
    <n v="63629.34"/>
    <n v="0"/>
    <n v="13844.96"/>
    <x v="3"/>
    <n v="10"/>
  </r>
  <r>
    <n v="38921"/>
    <n v="3205200"/>
    <x v="76"/>
    <n v="5.056"/>
    <n v="18574499.649999999"/>
    <n v="0"/>
    <n v="18574499.649999999"/>
    <n v="263487.05"/>
    <n v="5198455.53"/>
    <n v="8.09"/>
    <n v="488920.9"/>
    <n v="0"/>
    <n v="106383.14"/>
    <x v="3"/>
    <n v="10"/>
  </r>
  <r>
    <n v="38922"/>
    <n v="3205309"/>
    <x v="77"/>
    <n v="14.782"/>
    <n v="54305429.859999999"/>
    <n v="0"/>
    <n v="54305429.859999999"/>
    <n v="770345.25"/>
    <n v="4547789.6500000004"/>
    <n v="9.4969999999999999"/>
    <n v="1429436.13"/>
    <n v="0"/>
    <n v="311027.59999999998"/>
    <x v="3"/>
    <n v="10"/>
  </r>
  <r>
    <n v="38923"/>
    <n v="3200102"/>
    <x v="0"/>
    <n v="0.76100000000000001"/>
    <n v="2950837.83"/>
    <n v="0"/>
    <n v="2950837.83"/>
    <n v="35500.300000000003"/>
    <n v="149903.07"/>
    <n v="0.98499999999999999"/>
    <n v="61084.85"/>
    <n v="0"/>
    <n v="15889.89"/>
    <x v="3"/>
    <n v="9"/>
  </r>
  <r>
    <n v="38924"/>
    <n v="3200169"/>
    <x v="1"/>
    <n v="0.28899999999999998"/>
    <n v="1120620.4099999999"/>
    <n v="0"/>
    <n v="1120620.4099999999"/>
    <n v="13481.72"/>
    <n v="65950.259999999995"/>
    <n v="0.439"/>
    <n v="23197.79"/>
    <n v="0"/>
    <n v="6034.4"/>
    <x v="3"/>
    <n v="9"/>
  </r>
  <r>
    <n v="38925"/>
    <n v="3200136"/>
    <x v="2"/>
    <n v="0.40400000000000003"/>
    <n v="1566542.03"/>
    <n v="0"/>
    <n v="1566542.03"/>
    <n v="18846.41"/>
    <n v="59067.24"/>
    <n v="0.34799999999999998"/>
    <n v="32428.75"/>
    <n v="0"/>
    <n v="8435.6299999999992"/>
    <x v="3"/>
    <n v="9"/>
  </r>
  <r>
    <n v="38926"/>
    <n v="3200201"/>
    <x v="3"/>
    <n v="0.498"/>
    <n v="1931034.49"/>
    <n v="0"/>
    <n v="1931034.49"/>
    <n v="23231.47"/>
    <n v="154869.78"/>
    <n v="0.98"/>
    <n v="39974.050000000003"/>
    <n v="0"/>
    <n v="10398.379999999999"/>
    <x v="3"/>
    <n v="9"/>
  </r>
  <r>
    <n v="38927"/>
    <n v="3200300"/>
    <x v="4"/>
    <n v="0.46700000000000003"/>
    <n v="1810829.53"/>
    <n v="0"/>
    <n v="1810829.53"/>
    <n v="21785.34"/>
    <n v="111541.36"/>
    <n v="0.56399999999999995"/>
    <n v="37485.71"/>
    <n v="0"/>
    <n v="9751.09"/>
    <x v="3"/>
    <n v="9"/>
  </r>
  <r>
    <n v="38928"/>
    <n v="3200359"/>
    <x v="5"/>
    <n v="0.22600000000000001"/>
    <n v="876332.92"/>
    <n v="0"/>
    <n v="876332.92"/>
    <n v="10542.8"/>
    <n v="33095.47"/>
    <n v="0.32700000000000001"/>
    <n v="18140.830000000002"/>
    <n v="0"/>
    <n v="4718.9399999999996"/>
    <x v="3"/>
    <n v="9"/>
  </r>
  <r>
    <n v="38929"/>
    <n v="3200409"/>
    <x v="6"/>
    <n v="3.1480000000000001"/>
    <n v="12206619.609999999"/>
    <n v="0"/>
    <n v="12206619.609999999"/>
    <n v="146852.76"/>
    <n v="243880.14"/>
    <n v="0.90800000000000003"/>
    <n v="252687.38"/>
    <n v="0"/>
    <n v="65731.11"/>
    <x v="3"/>
    <n v="9"/>
  </r>
  <r>
    <n v="38930"/>
    <n v="3200508"/>
    <x v="7"/>
    <n v="0.185"/>
    <n v="717352.17"/>
    <n v="0"/>
    <n v="717352.17"/>
    <n v="8630.17"/>
    <n v="79993.22"/>
    <n v="0.32300000000000001"/>
    <n v="14849.8"/>
    <n v="0"/>
    <n v="3862.85"/>
    <x v="3"/>
    <n v="9"/>
  </r>
  <r>
    <n v="38931"/>
    <n v="3200607"/>
    <x v="8"/>
    <n v="2.9220000000000002"/>
    <n v="11330286.66"/>
    <n v="0"/>
    <n v="11330286.66"/>
    <n v="136309.96"/>
    <n v="817412.57"/>
    <n v="2.5089999999999999"/>
    <n v="234546.55"/>
    <n v="0"/>
    <n v="61012.160000000003"/>
    <x v="3"/>
    <n v="9"/>
  </r>
  <r>
    <n v="38932"/>
    <n v="3200706"/>
    <x v="9"/>
    <n v="0.35399999999999998"/>
    <n v="1372663.05"/>
    <n v="0"/>
    <n v="1372663.05"/>
    <n v="16513.939999999999"/>
    <n v="63456.18"/>
    <n v="0.45700000000000002"/>
    <n v="28415.29"/>
    <n v="0"/>
    <n v="7391.62"/>
    <x v="3"/>
    <n v="9"/>
  </r>
  <r>
    <n v="38933"/>
    <n v="3200805"/>
    <x v="10"/>
    <n v="0.60699999999999998"/>
    <n v="2353690.6"/>
    <n v="0"/>
    <n v="2353690.6"/>
    <n v="28316.27"/>
    <n v="297583.34999999998"/>
    <n v="0.997"/>
    <n v="48723.39"/>
    <n v="0"/>
    <n v="12674.33"/>
    <x v="3"/>
    <n v="9"/>
  </r>
  <r>
    <n v="38934"/>
    <n v="3200904"/>
    <x v="11"/>
    <n v="1.0289999999999999"/>
    <n v="3990029.1"/>
    <n v="0"/>
    <n v="3990029.1"/>
    <n v="48002.38"/>
    <n v="348150.44"/>
    <n v="1.321"/>
    <n v="82596.990000000005"/>
    <n v="0"/>
    <n v="21485.8"/>
    <x v="3"/>
    <n v="9"/>
  </r>
  <r>
    <n v="38935"/>
    <n v="3107109"/>
    <x v="12"/>
    <n v="0.39500000000000002"/>
    <n v="1531643.83"/>
    <n v="0"/>
    <n v="1531643.83"/>
    <n v="18426.57"/>
    <n v="100314.7"/>
    <n v="0.56899999999999995"/>
    <n v="31706.33"/>
    <n v="0"/>
    <n v="8247.7099999999991"/>
    <x v="3"/>
    <n v="9"/>
  </r>
  <r>
    <n v="38936"/>
    <n v="3201100"/>
    <x v="13"/>
    <n v="0.17599999999999999"/>
    <n v="682453.95"/>
    <n v="0"/>
    <n v="682453.95"/>
    <n v="8210.32"/>
    <n v="170978.14"/>
    <n v="0.43"/>
    <n v="14127.38"/>
    <n v="0"/>
    <n v="3674.93"/>
    <x v="3"/>
    <n v="9"/>
  </r>
  <r>
    <n v="38937"/>
    <n v="3201159"/>
    <x v="14"/>
    <n v="0.42099999999999999"/>
    <n v="1632460.87"/>
    <n v="0"/>
    <n v="1632460.87"/>
    <n v="19639.46"/>
    <n v="57766.1"/>
    <n v="0.46"/>
    <n v="33793.33"/>
    <n v="0"/>
    <n v="8790.6"/>
    <x v="3"/>
    <n v="9"/>
  </r>
  <r>
    <n v="38938"/>
    <n v="3201209"/>
    <x v="15"/>
    <n v="3.1120000000000001"/>
    <n v="12067026.710000001"/>
    <n v="0"/>
    <n v="12067026.710000001"/>
    <n v="145173.37"/>
    <n v="1769429.86"/>
    <n v="4.4820000000000002"/>
    <n v="249797.69"/>
    <n v="0"/>
    <n v="64979.42"/>
    <x v="3"/>
    <n v="9"/>
  </r>
  <r>
    <n v="38939"/>
    <n v="3201308"/>
    <x v="16"/>
    <n v="7.2990000000000004"/>
    <n v="28302451.18"/>
    <n v="0"/>
    <n v="28302451.18"/>
    <n v="340495.01"/>
    <n v="2262358.0099999998"/>
    <n v="6.6040000000000001"/>
    <n v="585884.76"/>
    <n v="0"/>
    <n v="152405.13"/>
    <x v="3"/>
    <n v="9"/>
  </r>
  <r>
    <n v="38940"/>
    <n v="3201407"/>
    <x v="17"/>
    <n v="0.89900000000000002"/>
    <n v="3485943.79"/>
    <n v="0"/>
    <n v="3485943.79"/>
    <n v="41937.94"/>
    <n v="386389.93"/>
    <n v="1.155"/>
    <n v="72161.990000000005"/>
    <n v="0"/>
    <n v="18771.37"/>
    <x v="3"/>
    <n v="9"/>
  </r>
  <r>
    <n v="38941"/>
    <n v="3201506"/>
    <x v="18"/>
    <n v="2.2320000000000002"/>
    <n v="8654756.9600000009"/>
    <n v="0"/>
    <n v="8654756.9600000009"/>
    <n v="104121.78"/>
    <n v="1094648.1499999999"/>
    <n v="2.8220000000000001"/>
    <n v="179160.81"/>
    <n v="0"/>
    <n v="46604.77"/>
    <x v="3"/>
    <n v="9"/>
  </r>
  <r>
    <n v="38942"/>
    <n v="3201605"/>
    <x v="19"/>
    <n v="0.79400000000000004"/>
    <n v="3078797.94"/>
    <n v="0"/>
    <n v="3078797.94"/>
    <n v="37039.74"/>
    <n v="164099.64000000001"/>
    <n v="0.999"/>
    <n v="63733.73"/>
    <n v="0"/>
    <n v="16578.939999999999"/>
    <x v="3"/>
    <n v="9"/>
  </r>
  <r>
    <n v="38943"/>
    <n v="3201704"/>
    <x v="20"/>
    <n v="0.46"/>
    <n v="1783686.48"/>
    <n v="0"/>
    <n v="1783686.48"/>
    <n v="21458.79"/>
    <n v="58454.879999999997"/>
    <n v="0.46500000000000002"/>
    <n v="36923.82"/>
    <n v="0"/>
    <n v="9604.93"/>
    <x v="3"/>
    <n v="9"/>
  </r>
  <r>
    <n v="38944"/>
    <n v="3201803"/>
    <x v="21"/>
    <n v="0.182"/>
    <n v="705719.42"/>
    <n v="0"/>
    <n v="705719.42"/>
    <n v="8490.2199999999993"/>
    <n v="25855.78"/>
    <n v="0.28299999999999997"/>
    <n v="14608.99"/>
    <n v="0"/>
    <n v="3800.21"/>
    <x v="3"/>
    <n v="9"/>
  </r>
  <r>
    <n v="38945"/>
    <n v="3201902"/>
    <x v="22"/>
    <n v="1.268"/>
    <n v="4916770.53"/>
    <n v="0"/>
    <n v="4916770.53"/>
    <n v="59151.62"/>
    <n v="246934.22"/>
    <n v="1.0309999999999999"/>
    <n v="101781.32"/>
    <n v="0"/>
    <n v="26476.19"/>
    <x v="3"/>
    <n v="9"/>
  </r>
  <r>
    <n v="38946"/>
    <n v="3202009"/>
    <x v="23"/>
    <n v="0.27"/>
    <n v="1046946.4"/>
    <n v="0"/>
    <n v="1046946.4"/>
    <n v="12595.38"/>
    <n v="72472.679999999993"/>
    <n v="0.314"/>
    <n v="21672.68"/>
    <n v="0"/>
    <n v="5637.67"/>
    <x v="3"/>
    <n v="9"/>
  </r>
  <r>
    <n v="38947"/>
    <n v="3202108"/>
    <x v="24"/>
    <n v="0.69399999999999995"/>
    <n v="2691040.01"/>
    <n v="0"/>
    <n v="2691040.01"/>
    <n v="32374.78"/>
    <n v="149320.65"/>
    <n v="0.81599999999999995"/>
    <n v="55706.81"/>
    <n v="0"/>
    <n v="14490.91"/>
    <x v="3"/>
    <n v="9"/>
  </r>
  <r>
    <n v="38948"/>
    <n v="3202207"/>
    <x v="25"/>
    <n v="0.28599999999999998"/>
    <n v="1108987.69"/>
    <n v="0"/>
    <n v="1108987.69"/>
    <n v="13341.77"/>
    <n v="114686.15"/>
    <n v="0.73399999999999999"/>
    <n v="22956.99"/>
    <n v="0"/>
    <n v="5971.76"/>
    <x v="3"/>
    <n v="9"/>
  </r>
  <r>
    <n v="38949"/>
    <n v="3202256"/>
    <x v="26"/>
    <n v="0.438"/>
    <n v="1698379.72"/>
    <n v="0"/>
    <n v="1698379.72"/>
    <n v="20432.5"/>
    <n v="78154.05"/>
    <n v="0.46700000000000003"/>
    <n v="35157.9"/>
    <n v="0"/>
    <n v="9145.56"/>
    <x v="3"/>
    <n v="9"/>
  </r>
  <r>
    <n v="38950"/>
    <n v="3202306"/>
    <x v="27"/>
    <n v="0.35899999999999999"/>
    <n v="1392050.96"/>
    <n v="0"/>
    <n v="1392050.96"/>
    <n v="16747.189999999999"/>
    <n v="248435.64"/>
    <n v="0.998"/>
    <n v="28816.639999999999"/>
    <n v="0"/>
    <n v="7496.02"/>
    <x v="3"/>
    <n v="9"/>
  </r>
  <r>
    <n v="38951"/>
    <n v="3202405"/>
    <x v="28"/>
    <n v="0.81200000000000006"/>
    <n v="3148594.35"/>
    <n v="0"/>
    <n v="3148594.35"/>
    <n v="37879.43"/>
    <n v="1517773.88"/>
    <n v="2.8730000000000002"/>
    <n v="65178.58"/>
    <n v="0"/>
    <n v="16954.78"/>
    <x v="3"/>
    <n v="9"/>
  </r>
  <r>
    <n v="38952"/>
    <n v="3202454"/>
    <x v="29"/>
    <n v="0.372"/>
    <n v="1442459.5"/>
    <n v="0"/>
    <n v="1442459.5"/>
    <n v="17353.63"/>
    <n v="173649.56"/>
    <n v="0.86499999999999999"/>
    <n v="29860.14"/>
    <n v="0"/>
    <n v="7767.46"/>
    <x v="3"/>
    <n v="9"/>
  </r>
  <r>
    <n v="38953"/>
    <n v="3202504"/>
    <x v="30"/>
    <n v="0.23100000000000001"/>
    <n v="895720.79"/>
    <n v="0"/>
    <n v="895720.79"/>
    <n v="10776.04"/>
    <n v="96008.16"/>
    <n v="0.46300000000000002"/>
    <n v="18542.18"/>
    <n v="0"/>
    <n v="4823.34"/>
    <x v="3"/>
    <n v="9"/>
  </r>
  <r>
    <n v="38954"/>
    <n v="3202553"/>
    <x v="31"/>
    <n v="0.24299999999999999"/>
    <n v="942251.77"/>
    <n v="0"/>
    <n v="942251.77"/>
    <n v="11335.84"/>
    <n v="40614.42"/>
    <n v="0.33800000000000002"/>
    <n v="19505.41"/>
    <n v="0"/>
    <n v="5073.91"/>
    <x v="3"/>
    <n v="9"/>
  </r>
  <r>
    <n v="38955"/>
    <n v="3202603"/>
    <x v="32"/>
    <n v="0.315"/>
    <n v="1221437.47"/>
    <n v="0"/>
    <n v="1221437.47"/>
    <n v="14694.61"/>
    <n v="142595.54"/>
    <n v="0.55600000000000005"/>
    <n v="25284.79"/>
    <n v="0"/>
    <n v="6577.29"/>
    <x v="3"/>
    <n v="9"/>
  </r>
  <r>
    <n v="38956"/>
    <n v="3202652"/>
    <x v="33"/>
    <n v="0.29899999999999999"/>
    <n v="1159396.21"/>
    <n v="0"/>
    <n v="1159396.21"/>
    <n v="13948.21"/>
    <n v="104559.52"/>
    <n v="0.55100000000000005"/>
    <n v="24000.49"/>
    <n v="0"/>
    <n v="6243.2"/>
    <x v="3"/>
    <n v="9"/>
  </r>
  <r>
    <n v="38957"/>
    <n v="3202702"/>
    <x v="34"/>
    <n v="0.31900000000000001"/>
    <n v="1236947.78"/>
    <n v="0"/>
    <n v="1236947.78"/>
    <n v="14881.2"/>
    <n v="55712.47"/>
    <n v="0.55500000000000005"/>
    <n v="25605.87"/>
    <n v="0"/>
    <n v="6660.81"/>
    <x v="3"/>
    <n v="9"/>
  </r>
  <r>
    <n v="38958"/>
    <n v="3202801"/>
    <x v="35"/>
    <n v="2.4550000000000001"/>
    <n v="9519457.1300000008"/>
    <n v="0"/>
    <n v="9519457.1300000008"/>
    <n v="114524.63"/>
    <n v="230729.06"/>
    <n v="1.0409999999999999"/>
    <n v="197060.84"/>
    <n v="0"/>
    <n v="51261.08"/>
    <x v="3"/>
    <n v="9"/>
  </r>
  <r>
    <n v="38959"/>
    <n v="3202900"/>
    <x v="36"/>
    <n v="0.34799999999999998"/>
    <n v="1349397.58"/>
    <n v="0"/>
    <n v="1349397.58"/>
    <n v="16234.04"/>
    <n v="84881.77"/>
    <n v="0.435"/>
    <n v="27933.68"/>
    <n v="0"/>
    <n v="7266.34"/>
    <x v="3"/>
    <n v="9"/>
  </r>
  <r>
    <n v="38960"/>
    <n v="3203007"/>
    <x v="37"/>
    <n v="0.496"/>
    <n v="1923279.32"/>
    <n v="0"/>
    <n v="1923279.32"/>
    <n v="23138.17"/>
    <n v="187334.9"/>
    <n v="0.89700000000000002"/>
    <n v="39813.51"/>
    <n v="0"/>
    <n v="10356.620000000001"/>
    <x v="3"/>
    <n v="9"/>
  </r>
  <r>
    <n v="38961"/>
    <n v="3203056"/>
    <x v="38"/>
    <n v="0.871"/>
    <n v="3377371.57"/>
    <n v="0"/>
    <n v="3377371.57"/>
    <n v="40631.75"/>
    <n v="217154.65"/>
    <n v="1"/>
    <n v="69914.460000000006"/>
    <n v="0"/>
    <n v="18186.72"/>
    <x v="3"/>
    <n v="9"/>
  </r>
  <r>
    <n v="38962"/>
    <n v="3203106"/>
    <x v="39"/>
    <n v="0.21"/>
    <n v="814291.66"/>
    <n v="0"/>
    <n v="814291.66"/>
    <n v="9796.4"/>
    <n v="45636.02"/>
    <n v="0.45800000000000002"/>
    <n v="16856.53"/>
    <n v="0"/>
    <n v="4384.8599999999997"/>
    <x v="3"/>
    <n v="9"/>
  </r>
  <r>
    <n v="38963"/>
    <n v="3203130"/>
    <x v="40"/>
    <n v="0.36199999999999999"/>
    <n v="1403683.73"/>
    <n v="0"/>
    <n v="1403683.73"/>
    <n v="16887.13"/>
    <n v="119002.35"/>
    <n v="0.66600000000000004"/>
    <n v="29057.439999999999"/>
    <n v="0"/>
    <n v="7558.66"/>
    <x v="3"/>
    <n v="9"/>
  </r>
  <r>
    <n v="38964"/>
    <n v="3203163"/>
    <x v="41"/>
    <n v="0.373"/>
    <n v="1446337.07"/>
    <n v="0"/>
    <n v="1446337.07"/>
    <n v="17400.28"/>
    <n v="35861.19"/>
    <n v="0.441"/>
    <n v="29940.400000000001"/>
    <n v="0"/>
    <n v="7788.34"/>
    <x v="3"/>
    <n v="9"/>
  </r>
  <r>
    <n v="38965"/>
    <n v="3203205"/>
    <x v="42"/>
    <n v="4.9790000000000001"/>
    <n v="19306467.260000002"/>
    <n v="0"/>
    <n v="19306467.260000002"/>
    <n v="232268.07"/>
    <n v="1638958.57"/>
    <n v="4.0880000000000001"/>
    <n v="399660.25"/>
    <n v="0"/>
    <n v="103962.89"/>
    <x v="3"/>
    <n v="9"/>
  </r>
  <r>
    <n v="38966"/>
    <n v="3203304"/>
    <x v="43"/>
    <n v="0.27600000000000002"/>
    <n v="1070211.8899999999"/>
    <n v="0"/>
    <n v="1070211.8899999999"/>
    <n v="12875.27"/>
    <n v="99012.34"/>
    <n v="0.57599999999999996"/>
    <n v="22154.29"/>
    <n v="0"/>
    <n v="5762.96"/>
    <x v="3"/>
    <n v="9"/>
  </r>
  <r>
    <n v="38967"/>
    <n v="3203320"/>
    <x v="44"/>
    <n v="0.65800000000000003"/>
    <n v="2551447.15"/>
    <n v="0"/>
    <n v="2551447.15"/>
    <n v="30695.4"/>
    <n v="352961.75"/>
    <n v="1.171"/>
    <n v="52817.120000000003"/>
    <n v="0"/>
    <n v="13739.22"/>
    <x v="3"/>
    <n v="9"/>
  </r>
  <r>
    <n v="38968"/>
    <n v="3203346"/>
    <x v="45"/>
    <n v="0.61099999999999999"/>
    <n v="2369200.9300000002"/>
    <n v="0"/>
    <n v="2369200.9300000002"/>
    <n v="28502.87"/>
    <n v="113574.83"/>
    <n v="0.67100000000000004"/>
    <n v="49044.47"/>
    <n v="0"/>
    <n v="12757.85"/>
    <x v="3"/>
    <n v="9"/>
  </r>
  <r>
    <n v="38969"/>
    <n v="3203353"/>
    <x v="46"/>
    <n v="0.436"/>
    <n v="1690624.58"/>
    <n v="0"/>
    <n v="1690624.58"/>
    <n v="20339.2"/>
    <n v="76709.02"/>
    <n v="0.46700000000000003"/>
    <n v="34997.360000000001"/>
    <n v="0"/>
    <n v="9103.7999999999993"/>
    <x v="3"/>
    <n v="9"/>
  </r>
  <r>
    <n v="38970"/>
    <n v="3203403"/>
    <x v="47"/>
    <n v="0.495"/>
    <n v="1919401.74"/>
    <n v="0"/>
    <n v="1919401.74"/>
    <n v="23091.52"/>
    <n v="134697.43"/>
    <n v="0.85599999999999998"/>
    <n v="39733.24"/>
    <n v="0"/>
    <n v="10335.74"/>
    <x v="3"/>
    <n v="9"/>
  </r>
  <r>
    <n v="38971"/>
    <n v="3203502"/>
    <x v="48"/>
    <n v="0.52100000000000002"/>
    <n v="2020218.81"/>
    <n v="0"/>
    <n v="2020218.81"/>
    <n v="24304.41"/>
    <n v="138992.37"/>
    <n v="0.69299999999999995"/>
    <n v="41820.239999999998"/>
    <n v="0"/>
    <n v="10878.62"/>
    <x v="3"/>
    <n v="9"/>
  </r>
  <r>
    <n v="38972"/>
    <n v="3203601"/>
    <x v="49"/>
    <n v="0.28299999999999997"/>
    <n v="1097354.92"/>
    <n v="0"/>
    <n v="1097354.92"/>
    <n v="13201.82"/>
    <n v="40258.370000000003"/>
    <n v="0.29799999999999999"/>
    <n v="22716.18"/>
    <n v="0"/>
    <n v="5909.12"/>
    <x v="3"/>
    <n v="9"/>
  </r>
  <r>
    <n v="38973"/>
    <n v="3203700"/>
    <x v="50"/>
    <n v="0.54600000000000004"/>
    <n v="2117158.29"/>
    <n v="0"/>
    <n v="2117158.29"/>
    <n v="25470.65"/>
    <n v="93381.26"/>
    <n v="0.67100000000000004"/>
    <n v="43826.97"/>
    <n v="0"/>
    <n v="11400.63"/>
    <x v="3"/>
    <n v="9"/>
  </r>
  <r>
    <n v="38974"/>
    <n v="3203809"/>
    <x v="51"/>
    <n v="0.28100000000000003"/>
    <n v="1089599.79"/>
    <n v="0"/>
    <n v="1089599.79"/>
    <n v="13108.52"/>
    <n v="71416.039999999994"/>
    <n v="0.57499999999999996"/>
    <n v="22555.64"/>
    <n v="0"/>
    <n v="5867.36"/>
    <x v="3"/>
    <n v="9"/>
  </r>
  <r>
    <n v="38975"/>
    <n v="3203908"/>
    <x v="52"/>
    <n v="1.3109999999999999"/>
    <n v="5083506.42"/>
    <n v="0"/>
    <n v="5083506.42"/>
    <n v="61157.55"/>
    <n v="465415.17"/>
    <n v="1.4650000000000001"/>
    <n v="105232.9"/>
    <n v="0"/>
    <n v="27374.04"/>
    <x v="3"/>
    <n v="9"/>
  </r>
  <r>
    <n v="38976"/>
    <n v="3204005"/>
    <x v="53"/>
    <n v="0.436"/>
    <n v="1690624.58"/>
    <n v="0"/>
    <n v="1690624.58"/>
    <n v="20339.2"/>
    <n v="95688.45"/>
    <n v="0.747"/>
    <n v="34997.360000000001"/>
    <n v="0"/>
    <n v="9103.7999999999993"/>
    <x v="3"/>
    <n v="9"/>
  </r>
  <r>
    <n v="38977"/>
    <n v="3204054"/>
    <x v="54"/>
    <n v="0.307"/>
    <n v="1190416.8500000001"/>
    <n v="0"/>
    <n v="1190416.8500000001"/>
    <n v="14321.41"/>
    <n v="142153.18"/>
    <n v="0.86199999999999999"/>
    <n v="24642.639999999999"/>
    <n v="0"/>
    <n v="6410.24"/>
    <x v="3"/>
    <n v="9"/>
  </r>
  <r>
    <n v="38978"/>
    <n v="3204104"/>
    <x v="55"/>
    <n v="0.73199999999999998"/>
    <n v="2838388.04"/>
    <n v="0"/>
    <n v="2838388.04"/>
    <n v="34147.46"/>
    <n v="161715.19"/>
    <n v="0.875"/>
    <n v="58757.04"/>
    <n v="0"/>
    <n v="15284.36"/>
    <x v="3"/>
    <n v="9"/>
  </r>
  <r>
    <n v="38979"/>
    <n v="3204203"/>
    <x v="56"/>
    <n v="0.14199999999999999"/>
    <n v="550616.26"/>
    <n v="0"/>
    <n v="550616.26"/>
    <n v="6624.23"/>
    <n v="208377.12"/>
    <n v="0.73399999999999999"/>
    <n v="11398.22"/>
    <n v="0"/>
    <n v="2965"/>
    <x v="3"/>
    <n v="9"/>
  </r>
  <r>
    <n v="38980"/>
    <n v="3204252"/>
    <x v="57"/>
    <n v="0.20899999999999999"/>
    <n v="810414.07"/>
    <n v="0"/>
    <n v="810414.07"/>
    <n v="9749.75"/>
    <n v="43739.85"/>
    <n v="0.32900000000000001"/>
    <n v="16776.259999999998"/>
    <n v="0"/>
    <n v="4363.9799999999996"/>
    <x v="3"/>
    <n v="9"/>
  </r>
  <r>
    <n v="38981"/>
    <n v="1718402"/>
    <x v="58"/>
    <n v="0.32"/>
    <n v="1240825.3600000001"/>
    <n v="0"/>
    <n v="1240825.3600000001"/>
    <n v="14927.85"/>
    <n v="142369.04999999999"/>
    <n v="0.45100000000000001"/>
    <n v="25686.14"/>
    <n v="0"/>
    <n v="6681.69"/>
    <x v="3"/>
    <n v="9"/>
  </r>
  <r>
    <n v="38982"/>
    <n v="3204351"/>
    <x v="59"/>
    <n v="0.85399999999999998"/>
    <n v="3311452.72"/>
    <n v="0"/>
    <n v="3311452.72"/>
    <n v="39838.71"/>
    <n v="111643.59"/>
    <n v="0.69799999999999995"/>
    <n v="68549.88"/>
    <n v="0"/>
    <n v="17831.759999999998"/>
    <x v="3"/>
    <n v="9"/>
  </r>
  <r>
    <n v="38983"/>
    <n v="3204401"/>
    <x v="60"/>
    <n v="0.25"/>
    <n v="969394.84"/>
    <n v="0"/>
    <n v="969394.84"/>
    <n v="11662.39"/>
    <n v="79622.210000000006"/>
    <n v="0.45"/>
    <n v="20067.3"/>
    <n v="0"/>
    <n v="5220.07"/>
    <x v="3"/>
    <n v="9"/>
  </r>
  <r>
    <n v="38984"/>
    <n v="3204500"/>
    <x v="61"/>
    <n v="0.54500000000000004"/>
    <n v="2113280.7000000002"/>
    <n v="0"/>
    <n v="2113280.7000000002"/>
    <n v="25424"/>
    <n v="46343.44"/>
    <n v="0.45600000000000002"/>
    <n v="43746.7"/>
    <n v="0"/>
    <n v="11379.75"/>
    <x v="3"/>
    <n v="9"/>
  </r>
  <r>
    <n v="38985"/>
    <n v="3204559"/>
    <x v="62"/>
    <n v="2.2349999999999999"/>
    <n v="8666389.6899999995"/>
    <n v="0"/>
    <n v="8666389.6899999995"/>
    <n v="104261.73"/>
    <n v="358383.64"/>
    <n v="1.1990000000000001"/>
    <n v="179401.62"/>
    <n v="0"/>
    <n v="46667.42"/>
    <x v="3"/>
    <n v="9"/>
  </r>
  <r>
    <n v="38986"/>
    <n v="3204609"/>
    <x v="63"/>
    <n v="0.65100000000000002"/>
    <n v="2524304.14"/>
    <n v="0"/>
    <n v="2524304.14"/>
    <n v="30368.85"/>
    <n v="192150.05"/>
    <n v="0.82899999999999996"/>
    <n v="52255.24"/>
    <n v="0"/>
    <n v="13593.06"/>
    <x v="3"/>
    <n v="9"/>
  </r>
  <r>
    <n v="38987"/>
    <n v="3204658"/>
    <x v="64"/>
    <n v="0.42299999999999999"/>
    <n v="1640216.07"/>
    <n v="0"/>
    <n v="1640216.07"/>
    <n v="19732.759999999998"/>
    <n v="63239.71"/>
    <n v="0.33700000000000002"/>
    <n v="33953.86"/>
    <n v="0"/>
    <n v="8832.36"/>
    <x v="3"/>
    <n v="9"/>
  </r>
  <r>
    <n v="38988"/>
    <n v="3204708"/>
    <x v="65"/>
    <n v="0.85199999999999998"/>
    <n v="3303697.55"/>
    <n v="0"/>
    <n v="3303697.55"/>
    <n v="39745.410000000003"/>
    <n v="277456.15000000002"/>
    <n v="1.169"/>
    <n v="68389.34"/>
    <n v="0"/>
    <n v="17789.990000000002"/>
    <x v="3"/>
    <n v="9"/>
  </r>
  <r>
    <n v="38989"/>
    <n v="3204807"/>
    <x v="66"/>
    <n v="0.22600000000000001"/>
    <n v="876332.92"/>
    <n v="0"/>
    <n v="876332.92"/>
    <n v="10542.8"/>
    <n v="76347.360000000001"/>
    <n v="0.436"/>
    <n v="18140.830000000002"/>
    <n v="0"/>
    <n v="4718.9399999999996"/>
    <x v="3"/>
    <n v="9"/>
  </r>
  <r>
    <n v="38990"/>
    <n v="3204906"/>
    <x v="67"/>
    <n v="1.901"/>
    <n v="7371278.21"/>
    <n v="0"/>
    <n v="7371278.21"/>
    <n v="88680.78"/>
    <n v="1002094.79"/>
    <n v="3.0249999999999999"/>
    <n v="152591.71"/>
    <n v="0"/>
    <n v="39693.4"/>
    <x v="3"/>
    <n v="9"/>
  </r>
  <r>
    <n v="38991"/>
    <n v="3204955"/>
    <x v="68"/>
    <n v="0.312"/>
    <n v="1209804.73"/>
    <n v="0"/>
    <n v="1209804.73"/>
    <n v="14554.66"/>
    <n v="58264.85"/>
    <n v="0.46100000000000002"/>
    <n v="25043.98"/>
    <n v="0"/>
    <n v="6514.65"/>
    <x v="3"/>
    <n v="9"/>
  </r>
  <r>
    <n v="38992"/>
    <n v="3205002"/>
    <x v="69"/>
    <n v="15.625"/>
    <n v="60587176.310000002"/>
    <n v="0"/>
    <n v="60587176.310000002"/>
    <n v="728899.09"/>
    <n v="4165329.62"/>
    <n v="8.4320000000000004"/>
    <n v="1254205.96"/>
    <n v="0"/>
    <n v="326254.3"/>
    <x v="3"/>
    <n v="9"/>
  </r>
  <r>
    <n v="38993"/>
    <n v="3205010"/>
    <x v="70"/>
    <n v="0.72199999999999998"/>
    <n v="2799612.26"/>
    <n v="0"/>
    <n v="2799612.26"/>
    <n v="33680.97"/>
    <n v="148813.45000000001"/>
    <n v="0.997"/>
    <n v="57954.35"/>
    <n v="0"/>
    <n v="15075.56"/>
    <x v="3"/>
    <n v="9"/>
  </r>
  <r>
    <n v="38994"/>
    <n v="3205036"/>
    <x v="71"/>
    <n v="0.49099999999999999"/>
    <n v="1903891.42"/>
    <n v="0"/>
    <n v="1903891.42"/>
    <n v="22904.93"/>
    <n v="126162.21"/>
    <n v="0.72699999999999998"/>
    <n v="39412.17"/>
    <n v="0"/>
    <n v="10252.219999999999"/>
    <x v="3"/>
    <n v="9"/>
  </r>
  <r>
    <n v="38995"/>
    <n v="3205069"/>
    <x v="72"/>
    <n v="0.68700000000000006"/>
    <n v="2663896.9500000002"/>
    <n v="0"/>
    <n v="2663896.9500000002"/>
    <n v="32048.240000000002"/>
    <n v="214162.97"/>
    <n v="0.85799999999999998"/>
    <n v="55144.93"/>
    <n v="0"/>
    <n v="14344.75"/>
    <x v="3"/>
    <n v="9"/>
  </r>
  <r>
    <n v="38996"/>
    <n v="2112803"/>
    <x v="73"/>
    <n v="2.9870000000000001"/>
    <n v="11582329.32"/>
    <n v="0"/>
    <n v="11582329.32"/>
    <n v="139342.18"/>
    <n v="431240.2"/>
    <n v="1.984"/>
    <n v="239764.04"/>
    <n v="0"/>
    <n v="62369.38"/>
    <x v="3"/>
    <n v="9"/>
  </r>
  <r>
    <n v="38997"/>
    <n v="3205150"/>
    <x v="74"/>
    <n v="0.31900000000000001"/>
    <n v="1236947.78"/>
    <n v="0"/>
    <n v="1236947.78"/>
    <n v="14881.2"/>
    <n v="45259.11"/>
    <n v="0.34399999999999997"/>
    <n v="25605.87"/>
    <n v="0"/>
    <n v="6660.81"/>
    <x v="3"/>
    <n v="9"/>
  </r>
  <r>
    <n v="38998"/>
    <n v="3205176"/>
    <x v="75"/>
    <n v="0.65800000000000003"/>
    <n v="2551447.15"/>
    <n v="0"/>
    <n v="2551447.15"/>
    <n v="30695.4"/>
    <n v="110728.33"/>
    <n v="0.55600000000000005"/>
    <n v="52817.120000000003"/>
    <n v="0"/>
    <n v="13739.22"/>
    <x v="3"/>
    <n v="9"/>
  </r>
  <r>
    <n v="38999"/>
    <n v="3205200"/>
    <x v="76"/>
    <n v="5.056"/>
    <n v="19605040.850000001"/>
    <n v="0"/>
    <n v="19605040.850000001"/>
    <n v="235860.08"/>
    <n v="4535989.38"/>
    <n v="8.09"/>
    <n v="405840.98"/>
    <n v="0"/>
    <n v="105570.67"/>
    <x v="3"/>
    <n v="9"/>
  </r>
  <r>
    <n v="39000"/>
    <n v="3205309"/>
    <x v="77"/>
    <n v="14.782"/>
    <n v="57318377.030000001"/>
    <n v="0"/>
    <n v="57318377.030000001"/>
    <n v="689573.53"/>
    <n v="4227540.13"/>
    <n v="9.4969999999999999"/>
    <n v="1186539.07"/>
    <n v="0"/>
    <n v="308652.18"/>
    <x v="3"/>
    <n v="9"/>
  </r>
  <r>
    <n v="39001"/>
    <n v="3200102"/>
    <x v="0"/>
    <n v="0.76100000000000001"/>
    <n v="3012191.02"/>
    <n v="0"/>
    <n v="3012191.02"/>
    <n v="39658.550000000003"/>
    <n v="75418.3"/>
    <n v="0.98499999999999999"/>
    <n v="71902.91"/>
    <n v="0"/>
    <n v="16145.78"/>
    <x v="3"/>
    <n v="11"/>
  </r>
  <r>
    <n v="39002"/>
    <n v="3200169"/>
    <x v="1"/>
    <n v="0.28899999999999998"/>
    <n v="1143920.1399999999"/>
    <n v="0"/>
    <n v="1143920.1399999999"/>
    <n v="15060.87"/>
    <n v="23242.46"/>
    <n v="0.439"/>
    <n v="27306.1"/>
    <n v="0"/>
    <n v="6131.58"/>
    <x v="3"/>
    <n v="11"/>
  </r>
  <r>
    <n v="39003"/>
    <n v="3200136"/>
    <x v="2"/>
    <n v="0.40400000000000003"/>
    <n v="1599113.26"/>
    <n v="0"/>
    <n v="1599113.26"/>
    <n v="21053.95"/>
    <n v="28755.82"/>
    <n v="0.34799999999999998"/>
    <n v="38171.85"/>
    <n v="0"/>
    <n v="8571.48"/>
    <x v="3"/>
    <n v="11"/>
  </r>
  <r>
    <n v="39004"/>
    <n v="3200201"/>
    <x v="3"/>
    <n v="0.498"/>
    <n v="1971184.15"/>
    <n v="0"/>
    <n v="1971184.15"/>
    <n v="25952.639999999999"/>
    <n v="79989.36"/>
    <n v="0.98"/>
    <n v="47053.42"/>
    <n v="0"/>
    <n v="10565.83"/>
    <x v="3"/>
    <n v="11"/>
  </r>
  <r>
    <n v="39005"/>
    <n v="3200300"/>
    <x v="4"/>
    <n v="0.46700000000000003"/>
    <n v="1848479.93"/>
    <n v="0"/>
    <n v="1848479.93"/>
    <n v="24337.11"/>
    <n v="46440.85"/>
    <n v="0.56399999999999995"/>
    <n v="44124.39"/>
    <n v="0"/>
    <n v="9908.1200000000008"/>
    <x v="3"/>
    <n v="11"/>
  </r>
  <r>
    <n v="39006"/>
    <n v="3200359"/>
    <x v="5"/>
    <n v="0.22600000000000001"/>
    <n v="894553.45"/>
    <n v="0"/>
    <n v="894553.45"/>
    <n v="11777.7"/>
    <n v="24363.57"/>
    <n v="0.32700000000000001"/>
    <n v="21353.56"/>
    <n v="0"/>
    <n v="4794.93"/>
    <x v="3"/>
    <n v="11"/>
  </r>
  <r>
    <n v="39007"/>
    <n v="3200409"/>
    <x v="6"/>
    <n v="3.1480000000000001"/>
    <n v="12460417.08"/>
    <n v="0"/>
    <n v="12460417.08"/>
    <n v="164054.04"/>
    <n v="139927.99"/>
    <n v="0.90800000000000003"/>
    <n v="297438.08000000002"/>
    <n v="0"/>
    <n v="66789.62"/>
    <x v="3"/>
    <n v="11"/>
  </r>
  <r>
    <n v="39008"/>
    <n v="3200508"/>
    <x v="7"/>
    <n v="0.185"/>
    <n v="732267.19"/>
    <n v="0"/>
    <n v="732267.19"/>
    <n v="9641.0400000000009"/>
    <n v="47918.37"/>
    <n v="0.32300000000000001"/>
    <n v="17479.689999999999"/>
    <n v="0"/>
    <n v="3925.06"/>
    <x v="3"/>
    <n v="11"/>
  </r>
  <r>
    <n v="39009"/>
    <n v="3200607"/>
    <x v="8"/>
    <n v="2.9220000000000002"/>
    <n v="11565863.65"/>
    <n v="0"/>
    <n v="11565863.65"/>
    <n v="152276.34"/>
    <n v="402861.92"/>
    <n v="2.5089999999999999"/>
    <n v="276084.52"/>
    <n v="0"/>
    <n v="61994.69"/>
    <x v="3"/>
    <n v="11"/>
  </r>
  <r>
    <n v="39010"/>
    <n v="3200706"/>
    <x v="9"/>
    <n v="0.35399999999999998"/>
    <n v="1401203.19"/>
    <n v="0"/>
    <n v="1401203.19"/>
    <n v="18448.259999999998"/>
    <n v="29628.25"/>
    <n v="0.45700000000000002"/>
    <n v="33447.61"/>
    <n v="0"/>
    <n v="7510.65"/>
    <x v="3"/>
    <n v="11"/>
  </r>
  <r>
    <n v="39011"/>
    <n v="3200805"/>
    <x v="10"/>
    <n v="0.60699999999999998"/>
    <n v="2402628.06"/>
    <n v="0"/>
    <n v="2402628.06"/>
    <n v="31633.040000000001"/>
    <n v="139634.04999999999"/>
    <n v="0.997"/>
    <n v="57352.26"/>
    <n v="0"/>
    <n v="12878.43"/>
    <x v="3"/>
    <n v="11"/>
  </r>
  <r>
    <n v="39012"/>
    <n v="3200904"/>
    <x v="11"/>
    <n v="1.0289999999999999"/>
    <n v="4072988.94"/>
    <n v="0"/>
    <n v="4072988.94"/>
    <n v="53625.03"/>
    <n v="165260.76999999999"/>
    <n v="1.321"/>
    <n v="97224.84"/>
    <n v="0"/>
    <n v="21831.81"/>
    <x v="3"/>
    <n v="11"/>
  </r>
  <r>
    <n v="39013"/>
    <n v="3107109"/>
    <x v="12"/>
    <n v="0.39500000000000002"/>
    <n v="1563489.44"/>
    <n v="0"/>
    <n v="1563489.44"/>
    <n v="20584.93"/>
    <n v="43082.720000000001"/>
    <n v="0.56899999999999995"/>
    <n v="37321.49"/>
    <n v="0"/>
    <n v="8380.5300000000007"/>
    <x v="3"/>
    <n v="11"/>
  </r>
  <r>
    <n v="39014"/>
    <n v="3201100"/>
    <x v="13"/>
    <n v="0.17599999999999999"/>
    <n v="696643.4"/>
    <n v="0"/>
    <n v="696643.4"/>
    <n v="9172.02"/>
    <n v="92308.43"/>
    <n v="0.43"/>
    <n v="16629.32"/>
    <n v="0"/>
    <n v="3734.11"/>
    <x v="3"/>
    <n v="11"/>
  </r>
  <r>
    <n v="39015"/>
    <n v="3201159"/>
    <x v="14"/>
    <n v="0.42099999999999999"/>
    <n v="1666402.67"/>
    <n v="0"/>
    <n v="1666402.67"/>
    <n v="21939.88"/>
    <n v="40423.199999999997"/>
    <n v="0.46"/>
    <n v="39778.089999999997"/>
    <n v="0"/>
    <n v="8932.16"/>
    <x v="3"/>
    <n v="11"/>
  </r>
  <r>
    <n v="39016"/>
    <n v="3201209"/>
    <x v="15"/>
    <n v="3.1120000000000001"/>
    <n v="12317921.810000001"/>
    <n v="0"/>
    <n v="12317921.810000001"/>
    <n v="162177.95000000001"/>
    <n v="894635.17"/>
    <n v="4.4820000000000002"/>
    <n v="294036.63"/>
    <n v="0"/>
    <n v="66025.83"/>
    <x v="3"/>
    <n v="11"/>
  </r>
  <r>
    <n v="39017"/>
    <n v="3201308"/>
    <x v="16"/>
    <n v="7.2990000000000004"/>
    <n v="28890909.859999999"/>
    <n v="0"/>
    <n v="28890909.859999999"/>
    <n v="380378.16"/>
    <n v="1219634.25"/>
    <n v="6.6040000000000001"/>
    <n v="689644.4"/>
    <n v="0"/>
    <n v="154859.42000000001"/>
    <x v="3"/>
    <n v="11"/>
  </r>
  <r>
    <n v="39018"/>
    <n v="3201407"/>
    <x v="17"/>
    <n v="0.89900000000000002"/>
    <n v="3558422.81"/>
    <n v="0"/>
    <n v="3558422.81"/>
    <n v="46850.25"/>
    <n v="298878.11"/>
    <n v="1.155"/>
    <n v="84941.81"/>
    <n v="0"/>
    <n v="19073.66"/>
    <x v="3"/>
    <n v="11"/>
  </r>
  <r>
    <n v="39019"/>
    <n v="3201506"/>
    <x v="18"/>
    <n v="2.2320000000000002"/>
    <n v="8834704.8599999994"/>
    <n v="0"/>
    <n v="8834704.8599999994"/>
    <n v="116317.86"/>
    <n v="511982.09"/>
    <n v="2.8220000000000001"/>
    <n v="210890.03"/>
    <n v="0"/>
    <n v="47355.29"/>
    <x v="3"/>
    <n v="11"/>
  </r>
  <r>
    <n v="39020"/>
    <n v="3201605"/>
    <x v="19"/>
    <n v="0.79400000000000004"/>
    <n v="3142811.7"/>
    <n v="0"/>
    <n v="3142811.7"/>
    <n v="41378.31"/>
    <n v="82535.17"/>
    <n v="0.999"/>
    <n v="75020.91"/>
    <n v="0"/>
    <n v="16845.919999999998"/>
    <x v="3"/>
    <n v="11"/>
  </r>
  <r>
    <n v="39021"/>
    <n v="3201704"/>
    <x v="20"/>
    <n v="0.46"/>
    <n v="1820772.5"/>
    <n v="0"/>
    <n v="1820772.5"/>
    <n v="23972.32"/>
    <n v="36127.879999999997"/>
    <n v="0.46500000000000002"/>
    <n v="43463"/>
    <n v="0"/>
    <n v="9759.6"/>
    <x v="3"/>
    <n v="11"/>
  </r>
  <r>
    <n v="39022"/>
    <n v="3201803"/>
    <x v="21"/>
    <n v="0.182"/>
    <n v="720392.61"/>
    <n v="0"/>
    <n v="720392.61"/>
    <n v="9484.7000000000007"/>
    <n v="10209.69"/>
    <n v="0.28299999999999997"/>
    <n v="17196.23"/>
    <n v="0"/>
    <n v="3861.41"/>
    <x v="3"/>
    <n v="11"/>
  </r>
  <r>
    <n v="39023"/>
    <n v="3201902"/>
    <x v="22"/>
    <n v="1.268"/>
    <n v="5018999"/>
    <n v="0"/>
    <n v="5018999"/>
    <n v="66080.22"/>
    <n v="118821.19"/>
    <n v="1.0309999999999999"/>
    <n v="119806.7"/>
    <n v="0"/>
    <n v="26902.55"/>
    <x v="3"/>
    <n v="11"/>
  </r>
  <r>
    <n v="39024"/>
    <n v="3202009"/>
    <x v="23"/>
    <n v="0.27"/>
    <n v="1068714.3"/>
    <n v="0"/>
    <n v="1068714.3"/>
    <n v="14070.71"/>
    <n v="32713.25"/>
    <n v="0.314"/>
    <n v="25510.89"/>
    <n v="0"/>
    <n v="5728.46"/>
    <x v="3"/>
    <n v="11"/>
  </r>
  <r>
    <n v="39025"/>
    <n v="3202108"/>
    <x v="24"/>
    <n v="0.69399999999999995"/>
    <n v="2746991.59"/>
    <n v="0"/>
    <n v="2746991.59"/>
    <n v="36166.93"/>
    <n v="52640.01"/>
    <n v="0.81599999999999995"/>
    <n v="65572.429999999993"/>
    <n v="0"/>
    <n v="14724.27"/>
    <x v="3"/>
    <n v="11"/>
  </r>
  <r>
    <n v="39026"/>
    <n v="3202207"/>
    <x v="25"/>
    <n v="0.28599999999999998"/>
    <n v="1132045.5"/>
    <n v="0"/>
    <n v="1132045.5"/>
    <n v="14904.53"/>
    <n v="55326.41"/>
    <n v="0.73399999999999999"/>
    <n v="27022.639999999999"/>
    <n v="0"/>
    <n v="6067.93"/>
    <x v="3"/>
    <n v="11"/>
  </r>
  <r>
    <n v="39027"/>
    <n v="3202256"/>
    <x v="26"/>
    <n v="0.438"/>
    <n v="1733692.07"/>
    <n v="0"/>
    <n v="1733692.07"/>
    <n v="22825.82"/>
    <n v="39265.83"/>
    <n v="0.46700000000000003"/>
    <n v="41384.339999999997"/>
    <n v="0"/>
    <n v="9292.84"/>
    <x v="3"/>
    <n v="11"/>
  </r>
  <r>
    <n v="39028"/>
    <n v="3202306"/>
    <x v="27"/>
    <n v="0.35899999999999999"/>
    <n v="1420994.18"/>
    <n v="0"/>
    <n v="1420994.18"/>
    <n v="18708.830000000002"/>
    <n v="120192.03"/>
    <n v="0.998"/>
    <n v="33920.03"/>
    <n v="0"/>
    <n v="7616.73"/>
    <x v="3"/>
    <n v="11"/>
  </r>
  <r>
    <n v="39029"/>
    <n v="3202405"/>
    <x v="28"/>
    <n v="0.81200000000000006"/>
    <n v="3214059.3"/>
    <n v="0"/>
    <n v="3214059.3"/>
    <n v="42316.35"/>
    <n v="831002.73"/>
    <n v="2.8730000000000002"/>
    <n v="76721.64"/>
    <n v="0"/>
    <n v="17227.82"/>
    <x v="3"/>
    <n v="11"/>
  </r>
  <r>
    <n v="39030"/>
    <n v="3202454"/>
    <x v="29"/>
    <n v="0.372"/>
    <n v="1472450.82"/>
    <n v="0"/>
    <n v="1472450.82"/>
    <n v="19386.310000000001"/>
    <n v="97184.31"/>
    <n v="0.86499999999999999"/>
    <n v="35148.339999999997"/>
    <n v="0"/>
    <n v="7892.55"/>
    <x v="3"/>
    <n v="11"/>
  </r>
  <r>
    <n v="39031"/>
    <n v="3202504"/>
    <x v="30"/>
    <n v="0.23100000000000001"/>
    <n v="914344.46"/>
    <n v="0"/>
    <n v="914344.46"/>
    <n v="12038.27"/>
    <n v="34964.22"/>
    <n v="0.46300000000000002"/>
    <n v="21825.99"/>
    <n v="0"/>
    <n v="4901.0200000000004"/>
    <x v="3"/>
    <n v="11"/>
  </r>
  <r>
    <n v="39032"/>
    <n v="3202553"/>
    <x v="31"/>
    <n v="0.24299999999999999"/>
    <n v="961842.86"/>
    <n v="0"/>
    <n v="961842.86"/>
    <n v="12663.64"/>
    <n v="29785"/>
    <n v="0.33800000000000002"/>
    <n v="22959.8"/>
    <n v="0"/>
    <n v="5155.62"/>
    <x v="3"/>
    <n v="11"/>
  </r>
  <r>
    <n v="39033"/>
    <n v="3202603"/>
    <x v="32"/>
    <n v="0.315"/>
    <n v="1246833.33"/>
    <n v="0"/>
    <n v="1246833.33"/>
    <n v="16415.830000000002"/>
    <n v="67066.259999999995"/>
    <n v="0.55600000000000005"/>
    <n v="29762.7"/>
    <n v="0"/>
    <n v="6683.21"/>
    <x v="3"/>
    <n v="11"/>
  </r>
  <r>
    <n v="39034"/>
    <n v="3202652"/>
    <x v="33"/>
    <n v="0.29899999999999999"/>
    <n v="1183502.1399999999"/>
    <n v="0"/>
    <n v="1183502.1399999999"/>
    <n v="15582.01"/>
    <n v="58679.59"/>
    <n v="0.55100000000000005"/>
    <n v="28250.95"/>
    <n v="0"/>
    <n v="6343.74"/>
    <x v="3"/>
    <n v="11"/>
  </r>
  <r>
    <n v="39035"/>
    <n v="3202702"/>
    <x v="34"/>
    <n v="0.31900000000000001"/>
    <n v="1262666.1499999999"/>
    <n v="0"/>
    <n v="1262666.1499999999"/>
    <n v="16624.28"/>
    <n v="49414.79"/>
    <n v="0.55500000000000005"/>
    <n v="30140.65"/>
    <n v="0"/>
    <n v="6768.07"/>
    <x v="3"/>
    <n v="11"/>
  </r>
  <r>
    <n v="39036"/>
    <n v="3202801"/>
    <x v="35"/>
    <n v="2.4550000000000001"/>
    <n v="9717383.7100000009"/>
    <n v="0"/>
    <n v="9717383.7100000009"/>
    <n v="127939.22"/>
    <n v="139494.93"/>
    <n v="1.0409999999999999"/>
    <n v="231960.13"/>
    <n v="0"/>
    <n v="52086.57"/>
    <x v="3"/>
    <n v="11"/>
  </r>
  <r>
    <n v="39037"/>
    <n v="3202900"/>
    <x v="36"/>
    <n v="0.34799999999999998"/>
    <n v="1377453.99"/>
    <n v="0"/>
    <n v="1377453.99"/>
    <n v="18135.580000000002"/>
    <n v="35121.050000000003"/>
    <n v="0.435"/>
    <n v="32880.71"/>
    <n v="0"/>
    <n v="7383.35"/>
    <x v="3"/>
    <n v="11"/>
  </r>
  <r>
    <n v="39038"/>
    <n v="3203007"/>
    <x v="37"/>
    <n v="0.496"/>
    <n v="1963267.76"/>
    <n v="0"/>
    <n v="1963267.76"/>
    <n v="25848.41"/>
    <n v="92115.199999999997"/>
    <n v="0.89700000000000002"/>
    <n v="46864.45"/>
    <n v="0"/>
    <n v="10523.4"/>
    <x v="3"/>
    <n v="11"/>
  </r>
  <r>
    <n v="39039"/>
    <n v="3203056"/>
    <x v="38"/>
    <n v="0.871"/>
    <n v="3447593.15"/>
    <n v="0"/>
    <n v="3447593.15"/>
    <n v="45391.06"/>
    <n v="100598.07"/>
    <n v="1"/>
    <n v="82296.25"/>
    <n v="0"/>
    <n v="18479.59"/>
    <x v="3"/>
    <n v="11"/>
  </r>
  <r>
    <n v="39040"/>
    <n v="3203106"/>
    <x v="39"/>
    <n v="0.21"/>
    <n v="831222.22"/>
    <n v="0"/>
    <n v="831222.22"/>
    <n v="10943.88"/>
    <n v="23176.560000000001"/>
    <n v="0.45800000000000002"/>
    <n v="19841.810000000001"/>
    <n v="0"/>
    <n v="4455.47"/>
    <x v="3"/>
    <n v="11"/>
  </r>
  <r>
    <n v="39041"/>
    <n v="3203130"/>
    <x v="40"/>
    <n v="0.36199999999999999"/>
    <n v="1432868.81"/>
    <n v="0"/>
    <n v="1432868.81"/>
    <n v="18865.169999999998"/>
    <n v="44159.37"/>
    <n v="0.66600000000000004"/>
    <n v="34203.49"/>
    <n v="0"/>
    <n v="7680.38"/>
    <x v="3"/>
    <n v="11"/>
  </r>
  <r>
    <n v="39042"/>
    <n v="3203163"/>
    <x v="41"/>
    <n v="0.373"/>
    <n v="1476409.02"/>
    <n v="0"/>
    <n v="1476409.02"/>
    <n v="19438.419999999998"/>
    <n v="23247.62"/>
    <n v="0.441"/>
    <n v="35242.83"/>
    <n v="0"/>
    <n v="7913.76"/>
    <x v="3"/>
    <n v="11"/>
  </r>
  <r>
    <n v="39043"/>
    <n v="3203205"/>
    <x v="42"/>
    <n v="4.9790000000000001"/>
    <n v="19707883.289999999"/>
    <n v="0"/>
    <n v="19707883.289999999"/>
    <n v="259474.29"/>
    <n v="840000.14"/>
    <n v="4.0880000000000001"/>
    <n v="470439.71"/>
    <n v="0"/>
    <n v="105637.08"/>
    <x v="3"/>
    <n v="11"/>
  </r>
  <r>
    <n v="39044"/>
    <n v="3203304"/>
    <x v="43"/>
    <n v="0.27600000000000002"/>
    <n v="1092463.51"/>
    <n v="0"/>
    <n v="1092463.51"/>
    <n v="14383.39"/>
    <n v="34233.4"/>
    <n v="0.57599999999999996"/>
    <n v="26077.8"/>
    <n v="0"/>
    <n v="5855.76"/>
    <x v="3"/>
    <n v="11"/>
  </r>
  <r>
    <n v="39045"/>
    <n v="3203320"/>
    <x v="44"/>
    <n v="0.65800000000000003"/>
    <n v="2604496.3199999998"/>
    <n v="0"/>
    <n v="2604496.3199999998"/>
    <n v="34290.839999999997"/>
    <n v="210797.22"/>
    <n v="1.171"/>
    <n v="62170.98"/>
    <n v="0"/>
    <n v="13960.47"/>
    <x v="3"/>
    <n v="11"/>
  </r>
  <r>
    <n v="39046"/>
    <n v="3203346"/>
    <x v="45"/>
    <n v="0.61099999999999999"/>
    <n v="2418460.88"/>
    <n v="0"/>
    <n v="2418460.88"/>
    <n v="31841.49"/>
    <n v="69210.83"/>
    <n v="0.67100000000000004"/>
    <n v="57730.2"/>
    <n v="0"/>
    <n v="12963.3"/>
    <x v="3"/>
    <n v="11"/>
  </r>
  <r>
    <n v="39047"/>
    <n v="3203353"/>
    <x v="46"/>
    <n v="0.436"/>
    <n v="1725775.67"/>
    <n v="0"/>
    <n v="1725775.67"/>
    <n v="22721.59"/>
    <n v="36474.03"/>
    <n v="0.46700000000000003"/>
    <n v="41195.370000000003"/>
    <n v="0"/>
    <n v="9250.41"/>
    <x v="3"/>
    <n v="11"/>
  </r>
  <r>
    <n v="39048"/>
    <n v="3203403"/>
    <x v="47"/>
    <n v="0.495"/>
    <n v="1959309.53"/>
    <n v="0"/>
    <n v="1959309.53"/>
    <n v="25796.3"/>
    <n v="90190.77"/>
    <n v="0.85599999999999998"/>
    <n v="46769.96"/>
    <n v="0"/>
    <n v="10502.18"/>
    <x v="3"/>
    <n v="11"/>
  </r>
  <r>
    <n v="39049"/>
    <n v="3203502"/>
    <x v="48"/>
    <n v="0.52100000000000002"/>
    <n v="2062222.79"/>
    <n v="0"/>
    <n v="2062222.79"/>
    <n v="27151.26"/>
    <n v="60989.16"/>
    <n v="0.69299999999999995"/>
    <n v="49226.57"/>
    <n v="0"/>
    <n v="11053.81"/>
    <x v="3"/>
    <n v="11"/>
  </r>
  <r>
    <n v="39050"/>
    <n v="3203601"/>
    <x v="49"/>
    <n v="0.28299999999999997"/>
    <n v="1120170.9099999999"/>
    <n v="0"/>
    <n v="1120170.9099999999"/>
    <n v="14748.19"/>
    <n v="12607.56"/>
    <n v="0.29799999999999999"/>
    <n v="26739.200000000001"/>
    <n v="0"/>
    <n v="6004.28"/>
    <x v="3"/>
    <n v="11"/>
  </r>
  <r>
    <n v="39051"/>
    <n v="3203700"/>
    <x v="50"/>
    <n v="0.54600000000000004"/>
    <n v="2161177.81"/>
    <n v="0"/>
    <n v="2161177.81"/>
    <n v="28454.1"/>
    <n v="48231.3"/>
    <n v="0.67100000000000004"/>
    <n v="51588.69"/>
    <n v="0"/>
    <n v="11584.22"/>
    <x v="3"/>
    <n v="11"/>
  </r>
  <r>
    <n v="39052"/>
    <n v="3203809"/>
    <x v="51"/>
    <n v="0.28100000000000003"/>
    <n v="1112254.52"/>
    <n v="0"/>
    <n v="1112254.52"/>
    <n v="14643.96"/>
    <n v="46097.86"/>
    <n v="0.57499999999999996"/>
    <n v="26550.23"/>
    <n v="0"/>
    <n v="5961.84"/>
    <x v="3"/>
    <n v="11"/>
  </r>
  <r>
    <n v="39053"/>
    <n v="3203908"/>
    <x v="52"/>
    <n v="1.3109999999999999"/>
    <n v="5189201.6500000004"/>
    <n v="0"/>
    <n v="5189201.6500000004"/>
    <n v="68321.11"/>
    <n v="206846.97"/>
    <n v="1.4650000000000001"/>
    <n v="123869.54"/>
    <n v="0"/>
    <n v="27814.87"/>
    <x v="3"/>
    <n v="11"/>
  </r>
  <r>
    <n v="39054"/>
    <n v="3204005"/>
    <x v="53"/>
    <n v="0.436"/>
    <n v="1725775.67"/>
    <n v="0"/>
    <n v="1725775.67"/>
    <n v="22721.59"/>
    <n v="39063.550000000003"/>
    <n v="0.747"/>
    <n v="41195.370000000003"/>
    <n v="0"/>
    <n v="9250.41"/>
    <x v="3"/>
    <n v="11"/>
  </r>
  <r>
    <n v="39055"/>
    <n v="3204054"/>
    <x v="54"/>
    <n v="0.307"/>
    <n v="1215167.74"/>
    <n v="0"/>
    <n v="1215167.74"/>
    <n v="15998.92"/>
    <n v="79050.720000000001"/>
    <n v="0.86199999999999999"/>
    <n v="29006.82"/>
    <n v="0"/>
    <n v="6513.47"/>
    <x v="3"/>
    <n v="11"/>
  </r>
  <r>
    <n v="39056"/>
    <n v="3204104"/>
    <x v="55"/>
    <n v="0.73199999999999998"/>
    <n v="2897403.22"/>
    <n v="0"/>
    <n v="2897403.22"/>
    <n v="38147.25"/>
    <n v="79971.06"/>
    <n v="0.875"/>
    <n v="69162.86"/>
    <n v="0"/>
    <n v="15530.5"/>
    <x v="3"/>
    <n v="11"/>
  </r>
  <r>
    <n v="39057"/>
    <n v="3204203"/>
    <x v="56"/>
    <n v="0.14199999999999999"/>
    <n v="562064.53"/>
    <n v="0"/>
    <n v="562064.53"/>
    <n v="7400.15"/>
    <n v="110687.03999999999"/>
    <n v="0.73399999999999999"/>
    <n v="13416.84"/>
    <n v="0"/>
    <n v="3012.75"/>
    <x v="3"/>
    <n v="11"/>
  </r>
  <r>
    <n v="39058"/>
    <n v="3204252"/>
    <x v="57"/>
    <n v="0.20899999999999999"/>
    <n v="827264.03"/>
    <n v="0"/>
    <n v="827264.03"/>
    <n v="10891.77"/>
    <n v="21988.68"/>
    <n v="0.32900000000000001"/>
    <n v="19747.32"/>
    <n v="0"/>
    <n v="4434.25"/>
    <x v="3"/>
    <n v="11"/>
  </r>
  <r>
    <n v="39059"/>
    <n v="1718402"/>
    <x v="58"/>
    <n v="0.32"/>
    <n v="1266624.33"/>
    <n v="0"/>
    <n v="1266624.33"/>
    <n v="16676.400000000001"/>
    <n v="102868.08"/>
    <n v="0.45100000000000001"/>
    <n v="30235.13"/>
    <n v="0"/>
    <n v="6789.29"/>
    <x v="3"/>
    <n v="11"/>
  </r>
  <r>
    <n v="39060"/>
    <n v="3204351"/>
    <x v="59"/>
    <n v="0.85399999999999998"/>
    <n v="3380303.75"/>
    <n v="0"/>
    <n v="3380303.75"/>
    <n v="44505.13"/>
    <n v="69019.27"/>
    <n v="0.69799999999999995"/>
    <n v="80690"/>
    <n v="0"/>
    <n v="18118.91"/>
    <x v="3"/>
    <n v="11"/>
  </r>
  <r>
    <n v="39061"/>
    <n v="3204401"/>
    <x v="60"/>
    <n v="0.25"/>
    <n v="989550.26"/>
    <n v="0"/>
    <n v="989550.26"/>
    <n v="13028.43"/>
    <n v="42632.88"/>
    <n v="0.45"/>
    <n v="23621.19"/>
    <n v="0"/>
    <n v="5304.13"/>
    <x v="3"/>
    <n v="11"/>
  </r>
  <r>
    <n v="39062"/>
    <n v="3204500"/>
    <x v="61"/>
    <n v="0.54500000000000004"/>
    <n v="2157219.61"/>
    <n v="0"/>
    <n v="2157219.61"/>
    <n v="28401.99"/>
    <n v="40815.4"/>
    <n v="0.45600000000000002"/>
    <n v="51494.2"/>
    <n v="0"/>
    <n v="11563.01"/>
    <x v="3"/>
    <n v="11"/>
  </r>
  <r>
    <n v="39063"/>
    <n v="3204559"/>
    <x v="62"/>
    <n v="2.2349999999999999"/>
    <n v="8846579.4499999993"/>
    <n v="0"/>
    <n v="8846579.4499999993"/>
    <n v="116474.2"/>
    <n v="232237.11"/>
    <n v="1.1990000000000001"/>
    <n v="211173.48"/>
    <n v="0"/>
    <n v="47418.94"/>
    <x v="3"/>
    <n v="11"/>
  </r>
  <r>
    <n v="39064"/>
    <n v="3204609"/>
    <x v="63"/>
    <n v="0.65100000000000002"/>
    <n v="2576788.92"/>
    <n v="0"/>
    <n v="2576788.92"/>
    <n v="33926.04"/>
    <n v="97287.25"/>
    <n v="0.82899999999999996"/>
    <n v="61509.59"/>
    <n v="0"/>
    <n v="13811.96"/>
    <x v="3"/>
    <n v="11"/>
  </r>
  <r>
    <n v="39065"/>
    <n v="3204658"/>
    <x v="64"/>
    <n v="0.42299999999999999"/>
    <n v="1674319.07"/>
    <n v="0"/>
    <n v="1674319.07"/>
    <n v="22044.11"/>
    <n v="35742.19"/>
    <n v="0.33700000000000002"/>
    <n v="39967.06"/>
    <n v="0"/>
    <n v="8974.59"/>
    <x v="3"/>
    <n v="11"/>
  </r>
  <r>
    <n v="39066"/>
    <n v="3204708"/>
    <x v="65"/>
    <n v="0.85199999999999998"/>
    <n v="3372387.34"/>
    <n v="0"/>
    <n v="3372387.34"/>
    <n v="44400.9"/>
    <n v="104910.05"/>
    <n v="1.169"/>
    <n v="80501.03"/>
    <n v="0"/>
    <n v="18076.48"/>
    <x v="3"/>
    <n v="11"/>
  </r>
  <r>
    <n v="39067"/>
    <n v="3204807"/>
    <x v="66"/>
    <n v="0.22600000000000001"/>
    <n v="894553.45"/>
    <n v="0"/>
    <n v="894553.45"/>
    <n v="11777.7"/>
    <n v="36521.919999999998"/>
    <n v="0.436"/>
    <n v="21353.56"/>
    <n v="0"/>
    <n v="4794.93"/>
    <x v="3"/>
    <n v="11"/>
  </r>
  <r>
    <n v="39068"/>
    <n v="3204906"/>
    <x v="67"/>
    <n v="1.901"/>
    <n v="7524540.29"/>
    <n v="0"/>
    <n v="7524540.29"/>
    <n v="99068.21"/>
    <n v="554581.52"/>
    <n v="3.0249999999999999"/>
    <n v="179615.56"/>
    <n v="0"/>
    <n v="40332.620000000003"/>
    <x v="3"/>
    <n v="11"/>
  </r>
  <r>
    <n v="39069"/>
    <n v="3204955"/>
    <x v="68"/>
    <n v="0.312"/>
    <n v="1234958.72"/>
    <n v="0"/>
    <n v="1234958.72"/>
    <n v="16259.49"/>
    <n v="37554.839999999997"/>
    <n v="0.46100000000000002"/>
    <n v="29479.25"/>
    <n v="0"/>
    <n v="6619.56"/>
    <x v="3"/>
    <n v="11"/>
  </r>
  <r>
    <n v="39070"/>
    <n v="3205002"/>
    <x v="69"/>
    <n v="15.625"/>
    <n v="61846892.240000002"/>
    <n v="0"/>
    <n v="61846892.240000002"/>
    <n v="814277.13"/>
    <n v="2097689.9700000002"/>
    <n v="8.4320000000000004"/>
    <n v="1476324.67"/>
    <n v="0"/>
    <n v="331508.21999999997"/>
    <x v="3"/>
    <n v="11"/>
  </r>
  <r>
    <n v="39071"/>
    <n v="3205010"/>
    <x v="70"/>
    <n v="0.72199999999999998"/>
    <n v="2857821.19"/>
    <n v="0"/>
    <n v="2857821.19"/>
    <n v="37626.120000000003"/>
    <n v="82283.13"/>
    <n v="0.997"/>
    <n v="68218.009999999995"/>
    <n v="0"/>
    <n v="15318.33"/>
    <x v="3"/>
    <n v="11"/>
  </r>
  <r>
    <n v="39072"/>
    <n v="3205036"/>
    <x v="71"/>
    <n v="0.49099999999999999"/>
    <n v="1943476.74"/>
    <n v="0"/>
    <n v="1943476.74"/>
    <n v="25587.84"/>
    <n v="79641.52"/>
    <n v="0.72699999999999998"/>
    <n v="46392.02"/>
    <n v="0"/>
    <n v="10417.31"/>
    <x v="3"/>
    <n v="11"/>
  </r>
  <r>
    <n v="39073"/>
    <n v="3205069"/>
    <x v="72"/>
    <n v="0.68700000000000006"/>
    <n v="2719284.17"/>
    <n v="0"/>
    <n v="2719284.17"/>
    <n v="35802.14"/>
    <n v="81993.850000000006"/>
    <n v="0.85799999999999998"/>
    <n v="64911.05"/>
    <n v="0"/>
    <n v="14575.75"/>
    <x v="3"/>
    <n v="11"/>
  </r>
  <r>
    <n v="39074"/>
    <n v="2112803"/>
    <x v="73"/>
    <n v="2.9870000000000001"/>
    <n v="11823146.68"/>
    <n v="0"/>
    <n v="11823146.68"/>
    <n v="155663.73000000001"/>
    <n v="192090.04"/>
    <n v="1.984"/>
    <n v="282226.03000000003"/>
    <n v="0"/>
    <n v="63373.760000000002"/>
    <x v="3"/>
    <n v="11"/>
  </r>
  <r>
    <n v="39075"/>
    <n v="3205150"/>
    <x v="74"/>
    <n v="0.31900000000000001"/>
    <n v="1262666.1499999999"/>
    <n v="0"/>
    <n v="1262666.1499999999"/>
    <n v="16624.28"/>
    <n v="22556.12"/>
    <n v="0.34399999999999997"/>
    <n v="30140.65"/>
    <n v="0"/>
    <n v="6768.07"/>
    <x v="3"/>
    <n v="11"/>
  </r>
  <r>
    <n v="39076"/>
    <n v="3205176"/>
    <x v="75"/>
    <n v="0.65800000000000003"/>
    <n v="2604496.3199999998"/>
    <n v="0"/>
    <n v="2604496.3199999998"/>
    <n v="34290.839999999997"/>
    <n v="75634.259999999995"/>
    <n v="0.55600000000000005"/>
    <n v="62170.98"/>
    <n v="0"/>
    <n v="13960.47"/>
    <x v="3"/>
    <n v="11"/>
  </r>
  <r>
    <n v="39077"/>
    <n v="3205200"/>
    <x v="76"/>
    <n v="5.056"/>
    <n v="20012664.760000002"/>
    <n v="0"/>
    <n v="20012664.760000002"/>
    <n v="263487.05"/>
    <n v="2189802.85"/>
    <n v="8.09"/>
    <n v="477715.04"/>
    <n v="0"/>
    <n v="107270.75"/>
    <x v="3"/>
    <n v="11"/>
  </r>
  <r>
    <n v="39078"/>
    <n v="3205309"/>
    <x v="77"/>
    <n v="14.782"/>
    <n v="58510128.590000004"/>
    <n v="0"/>
    <n v="58510128.590000004"/>
    <n v="770345.25"/>
    <n v="2195762.75"/>
    <n v="9.4969999999999999"/>
    <n v="1396674.01"/>
    <n v="0"/>
    <n v="313622.65999999997"/>
    <x v="3"/>
    <n v="11"/>
  </r>
  <r>
    <n v="39079"/>
    <n v="3200102"/>
    <x v="0"/>
    <n v="0.76100000000000001"/>
    <n v="3143588.13"/>
    <n v="0"/>
    <n v="3143588.13"/>
    <n v="35377.26"/>
    <n v="56780.37"/>
    <n v="0.98499999999999999"/>
    <n v="66469.47"/>
    <n v="0"/>
    <n v="773472.34"/>
    <x v="3"/>
    <n v="12"/>
  </r>
  <r>
    <n v="39080"/>
    <n v="3200169"/>
    <x v="1"/>
    <n v="0.28899999999999998"/>
    <n v="1193819.95"/>
    <n v="0"/>
    <n v="1193819.95"/>
    <n v="13434.99"/>
    <n v="26142.47"/>
    <n v="0.439"/>
    <n v="25242.68"/>
    <n v="0"/>
    <n v="293736.53999999998"/>
    <x v="3"/>
    <n v="12"/>
  </r>
  <r>
    <n v="39081"/>
    <n v="3200136"/>
    <x v="2"/>
    <n v="0.40400000000000003"/>
    <n v="1668869.39"/>
    <n v="0"/>
    <n v="1668869.39"/>
    <n v="18781.099999999999"/>
    <n v="22323.439999999999"/>
    <n v="0.34799999999999998"/>
    <n v="35287.33"/>
    <n v="0"/>
    <n v="410621.32"/>
    <x v="3"/>
    <n v="12"/>
  </r>
  <r>
    <n v="39082"/>
    <n v="3200201"/>
    <x v="3"/>
    <n v="0.498"/>
    <n v="2057170.69"/>
    <n v="0"/>
    <n v="2057170.69"/>
    <n v="23150.959999999999"/>
    <n v="72063.009999999995"/>
    <n v="0.98"/>
    <n v="43497.760000000002"/>
    <n v="0"/>
    <n v="506161.93"/>
    <x v="3"/>
    <n v="12"/>
  </r>
  <r>
    <n v="39083"/>
    <n v="3200300"/>
    <x v="4"/>
    <n v="0.46700000000000003"/>
    <n v="1929113.85"/>
    <n v="0"/>
    <n v="1929113.85"/>
    <n v="21709.83"/>
    <n v="38222.35"/>
    <n v="0.56399999999999995"/>
    <n v="40790.07"/>
    <n v="0"/>
    <n v="474653.86"/>
    <x v="3"/>
    <n v="12"/>
  </r>
  <r>
    <n v="39084"/>
    <n v="3200359"/>
    <x v="5"/>
    <n v="0.22600000000000001"/>
    <n v="933575.44"/>
    <n v="0"/>
    <n v="933575.44"/>
    <n v="10506.26"/>
    <n v="16848.66"/>
    <n v="0.32700000000000001"/>
    <n v="19739.939999999999"/>
    <n v="0"/>
    <n v="229704.01"/>
    <x v="3"/>
    <n v="12"/>
  </r>
  <r>
    <n v="39085"/>
    <n v="3200409"/>
    <x v="6"/>
    <n v="3.1480000000000001"/>
    <n v="13003962.470000001"/>
    <n v="0"/>
    <n v="13003962.470000001"/>
    <n v="146343.79"/>
    <n v="148594.82"/>
    <n v="0.90800000000000003"/>
    <n v="274961.71999999997"/>
    <n v="0"/>
    <n v="3199593.89"/>
    <x v="3"/>
    <n v="12"/>
  </r>
  <r>
    <n v="39086"/>
    <n v="3200508"/>
    <x v="7"/>
    <n v="0.185"/>
    <n v="764209.98"/>
    <n v="0"/>
    <n v="764209.98"/>
    <n v="8600.25"/>
    <n v="48388.23"/>
    <n v="0.32300000000000001"/>
    <n v="16158.8"/>
    <n v="0"/>
    <n v="188032.04"/>
    <x v="3"/>
    <n v="12"/>
  </r>
  <r>
    <n v="39087"/>
    <n v="3200607"/>
    <x v="8"/>
    <n v="2.9220000000000002"/>
    <n v="12070387.02"/>
    <n v="0"/>
    <n v="12070387.02"/>
    <n v="135837.53"/>
    <n v="347108.29"/>
    <n v="2.5089999999999999"/>
    <n v="255221.77"/>
    <n v="0"/>
    <n v="2969889.88"/>
    <x v="3"/>
    <n v="12"/>
  </r>
  <r>
    <n v="39088"/>
    <n v="3200706"/>
    <x v="9"/>
    <n v="0.35399999999999998"/>
    <n v="1462326.14"/>
    <n v="0"/>
    <n v="1462326.14"/>
    <n v="16456.7"/>
    <n v="32856.21"/>
    <n v="0.45700000000000002"/>
    <n v="30920.09"/>
    <n v="0"/>
    <n v="359801.86"/>
    <x v="3"/>
    <n v="12"/>
  </r>
  <r>
    <n v="39089"/>
    <n v="3200805"/>
    <x v="10"/>
    <n v="0.60699999999999998"/>
    <n v="2507434.94"/>
    <n v="0"/>
    <n v="2507434.94"/>
    <n v="28218.13"/>
    <n v="104296.85"/>
    <n v="0.997"/>
    <n v="53018.35"/>
    <n v="0"/>
    <n v="616948.38"/>
    <x v="3"/>
    <n v="12"/>
  </r>
  <r>
    <n v="39090"/>
    <n v="3200904"/>
    <x v="11"/>
    <n v="1.0289999999999999"/>
    <n v="4250659.91"/>
    <n v="0"/>
    <n v="4250659.91"/>
    <n v="47836.01"/>
    <n v="128118.55"/>
    <n v="1.321"/>
    <n v="89877.9"/>
    <n v="0"/>
    <n v="1045864.71"/>
    <x v="3"/>
    <n v="12"/>
  </r>
  <r>
    <n v="39091"/>
    <n v="3107109"/>
    <x v="12"/>
    <n v="0.39500000000000002"/>
    <n v="1631691.61"/>
    <n v="0"/>
    <n v="1631691.61"/>
    <n v="18362.71"/>
    <n v="46215.23"/>
    <n v="0.56899999999999995"/>
    <n v="34501.230000000003"/>
    <n v="0"/>
    <n v="401473.82"/>
    <x v="3"/>
    <n v="12"/>
  </r>
  <r>
    <n v="39092"/>
    <n v="3201100"/>
    <x v="13"/>
    <n v="0.17599999999999999"/>
    <n v="727032.21"/>
    <n v="0"/>
    <n v="727032.21"/>
    <n v="8181.86"/>
    <n v="99456.42"/>
    <n v="0.43"/>
    <n v="15372.71"/>
    <n v="0"/>
    <n v="178884.53"/>
    <x v="3"/>
    <n v="12"/>
  </r>
  <r>
    <n v="39093"/>
    <n v="3201159"/>
    <x v="14"/>
    <n v="0.42099999999999999"/>
    <n v="1739094.12"/>
    <n v="0"/>
    <n v="1739094.12"/>
    <n v="19571.39"/>
    <n v="28430.05"/>
    <n v="0.46"/>
    <n v="36772.199999999997"/>
    <n v="0"/>
    <n v="427899.94"/>
    <x v="3"/>
    <n v="12"/>
  </r>
  <r>
    <n v="39094"/>
    <n v="3201209"/>
    <x v="15"/>
    <n v="3.1120000000000001"/>
    <n v="12855251.369999999"/>
    <n v="0"/>
    <n v="12855251.369999999"/>
    <n v="144670.23000000001"/>
    <n v="979754.72"/>
    <n v="4.4820000000000002"/>
    <n v="271817.3"/>
    <n v="0"/>
    <n v="3163003.87"/>
    <x v="3"/>
    <n v="12"/>
  </r>
  <r>
    <n v="39095"/>
    <n v="3201308"/>
    <x v="16"/>
    <n v="7.2990000000000004"/>
    <n v="30151182.379999999"/>
    <n v="0"/>
    <n v="30151182.379999999"/>
    <n v="339314.91"/>
    <n v="1007646.36"/>
    <n v="6.6040000000000001"/>
    <n v="637530.36"/>
    <n v="0"/>
    <n v="7418626.3700000001"/>
    <x v="3"/>
    <n v="12"/>
  </r>
  <r>
    <n v="39096"/>
    <n v="3201407"/>
    <x v="17"/>
    <n v="0.89900000000000002"/>
    <n v="3713647.47"/>
    <n v="0"/>
    <n v="3713647.47"/>
    <n v="41792.589999999997"/>
    <n v="263046.96999999997"/>
    <n v="1.155"/>
    <n v="78523.06"/>
    <n v="0"/>
    <n v="913734.08"/>
    <x v="3"/>
    <n v="12"/>
  </r>
  <r>
    <n v="39097"/>
    <n v="3201506"/>
    <x v="18"/>
    <n v="2.2320000000000002"/>
    <n v="9220090.2799999993"/>
    <n v="0"/>
    <n v="9220090.2799999993"/>
    <n v="103760.91"/>
    <n v="496936.16"/>
    <n v="2.8220000000000001"/>
    <n v="194953.79"/>
    <n v="0"/>
    <n v="2268581.1800000002"/>
    <x v="3"/>
    <n v="12"/>
  </r>
  <r>
    <n v="39098"/>
    <n v="3201605"/>
    <x v="19"/>
    <n v="0.79400000000000004"/>
    <n v="3279906.67"/>
    <n v="0"/>
    <n v="3279906.67"/>
    <n v="36911.360000000001"/>
    <n v="60081.64"/>
    <n v="0.999"/>
    <n v="69351.839999999997"/>
    <n v="0"/>
    <n v="807013.19"/>
    <x v="3"/>
    <n v="12"/>
  </r>
  <r>
    <n v="39099"/>
    <n v="3201704"/>
    <x v="20"/>
    <n v="0.46"/>
    <n v="1900197.8"/>
    <n v="0"/>
    <n v="1900197.8"/>
    <n v="21384.42"/>
    <n v="30555.64"/>
    <n v="0.46500000000000002"/>
    <n v="40178.65"/>
    <n v="0"/>
    <n v="467539.13"/>
    <x v="3"/>
    <n v="12"/>
  </r>
  <r>
    <n v="39100"/>
    <n v="3201803"/>
    <x v="21"/>
    <n v="0.182"/>
    <n v="751817.39"/>
    <n v="0"/>
    <n v="751817.39"/>
    <n v="8460.7900000000009"/>
    <n v="7422.99"/>
    <n v="0.28299999999999997"/>
    <n v="15896.77"/>
    <n v="0"/>
    <n v="184982.87"/>
    <x v="3"/>
    <n v="12"/>
  </r>
  <r>
    <n v="39101"/>
    <n v="3201902"/>
    <x v="22"/>
    <n v="1.268"/>
    <n v="5237936.5999999996"/>
    <n v="0"/>
    <n v="5237936.5999999996"/>
    <n v="58946.61"/>
    <n v="79226.240000000005"/>
    <n v="1.0309999999999999"/>
    <n v="110753.33"/>
    <n v="0"/>
    <n v="1288781.78"/>
    <x v="3"/>
    <n v="12"/>
  </r>
  <r>
    <n v="39102"/>
    <n v="3202009"/>
    <x v="23"/>
    <n v="0.27"/>
    <n v="1115333.49"/>
    <n v="0"/>
    <n v="1115333.49"/>
    <n v="12551.72"/>
    <n v="29459.08"/>
    <n v="0.314"/>
    <n v="23583.119999999999"/>
    <n v="0"/>
    <n v="274425.14"/>
    <x v="3"/>
    <n v="12"/>
  </r>
  <r>
    <n v="39103"/>
    <n v="3202108"/>
    <x v="24"/>
    <n v="0.69399999999999995"/>
    <n v="2866820.18"/>
    <n v="0"/>
    <n v="2866820.18"/>
    <n v="32262.58"/>
    <n v="53343.86"/>
    <n v="0.81599999999999995"/>
    <n v="60617.36"/>
    <n v="0"/>
    <n v="705374.26"/>
    <x v="3"/>
    <n v="12"/>
  </r>
  <r>
    <n v="39104"/>
    <n v="3202207"/>
    <x v="25"/>
    <n v="0.28599999999999998"/>
    <n v="1181427.3600000001"/>
    <n v="0"/>
    <n v="1181427.3600000001"/>
    <n v="13295.53"/>
    <n v="60202.26"/>
    <n v="0.73399999999999999"/>
    <n v="24980.639999999999"/>
    <n v="0"/>
    <n v="290687.38"/>
    <x v="3"/>
    <n v="12"/>
  </r>
  <r>
    <n v="39105"/>
    <n v="3202256"/>
    <x v="26"/>
    <n v="0.438"/>
    <n v="1809318.78"/>
    <n v="0"/>
    <n v="1809318.78"/>
    <n v="20361.68"/>
    <n v="33348.07"/>
    <n v="0.46700000000000003"/>
    <n v="38257.07"/>
    <n v="0"/>
    <n v="445178.57"/>
    <x v="3"/>
    <n v="12"/>
  </r>
  <r>
    <n v="39106"/>
    <n v="3202306"/>
    <x v="27"/>
    <n v="0.35899999999999999"/>
    <n v="1482980.47"/>
    <n v="0"/>
    <n v="1482980.47"/>
    <n v="16689.14"/>
    <n v="96373.79"/>
    <n v="0.998"/>
    <n v="31356.82"/>
    <n v="0"/>
    <n v="364883.8"/>
    <x v="3"/>
    <n v="12"/>
  </r>
  <r>
    <n v="39107"/>
    <n v="3202405"/>
    <x v="28"/>
    <n v="0.81200000000000006"/>
    <n v="3354262.22"/>
    <n v="0"/>
    <n v="3354262.22"/>
    <n v="37748.14"/>
    <n v="711156.93"/>
    <n v="2.8730000000000002"/>
    <n v="70924.05"/>
    <n v="0"/>
    <n v="825308.21"/>
    <x v="3"/>
    <n v="12"/>
  </r>
  <r>
    <n v="39108"/>
    <n v="3202454"/>
    <x v="29"/>
    <n v="0.372"/>
    <n v="1536681.71"/>
    <n v="0"/>
    <n v="1536681.71"/>
    <n v="17293.48"/>
    <n v="79603.56"/>
    <n v="0.86499999999999999"/>
    <n v="32492.3"/>
    <n v="0"/>
    <n v="378096.87"/>
    <x v="3"/>
    <n v="12"/>
  </r>
  <r>
    <n v="39109"/>
    <n v="3202504"/>
    <x v="30"/>
    <n v="0.23100000000000001"/>
    <n v="954229.79"/>
    <n v="0"/>
    <n v="954229.79"/>
    <n v="10738.7"/>
    <n v="39684.47"/>
    <n v="0.46300000000000002"/>
    <n v="20176.669999999998"/>
    <n v="0"/>
    <n v="234785.95"/>
    <x v="3"/>
    <n v="12"/>
  </r>
  <r>
    <n v="39110"/>
    <n v="3202553"/>
    <x v="31"/>
    <n v="0.24299999999999999"/>
    <n v="1003800.14"/>
    <n v="0"/>
    <n v="1003800.14"/>
    <n v="11296.55"/>
    <n v="13567.05"/>
    <n v="0.33800000000000002"/>
    <n v="21224.81"/>
    <n v="0"/>
    <n v="246982.63"/>
    <x v="3"/>
    <n v="12"/>
  </r>
  <r>
    <n v="39111"/>
    <n v="3202603"/>
    <x v="32"/>
    <n v="0.315"/>
    <n v="1301222.43"/>
    <n v="0"/>
    <n v="1301222.43"/>
    <n v="14643.68"/>
    <n v="43659.03"/>
    <n v="0.55600000000000005"/>
    <n v="27513.64"/>
    <n v="0"/>
    <n v="320162.67"/>
    <x v="3"/>
    <n v="12"/>
  </r>
  <r>
    <n v="39112"/>
    <n v="3202652"/>
    <x v="33"/>
    <n v="0.29899999999999999"/>
    <n v="1235128.55"/>
    <n v="0"/>
    <n v="1235128.55"/>
    <n v="13899.87"/>
    <n v="31547.22"/>
    <n v="0.55100000000000005"/>
    <n v="26116.12"/>
    <n v="0"/>
    <n v="303900.43"/>
    <x v="3"/>
    <n v="12"/>
  </r>
  <r>
    <n v="39113"/>
    <n v="3202702"/>
    <x v="34"/>
    <n v="0.31900000000000001"/>
    <n v="1317745.8899999999"/>
    <n v="0"/>
    <n v="1317745.8899999999"/>
    <n v="14829.63"/>
    <n v="25584.240000000002"/>
    <n v="0.55500000000000005"/>
    <n v="27863.02"/>
    <n v="0"/>
    <n v="324228.23"/>
    <x v="3"/>
    <n v="12"/>
  </r>
  <r>
    <n v="39114"/>
    <n v="3202801"/>
    <x v="35"/>
    <n v="2.4550000000000001"/>
    <n v="10141273.140000001"/>
    <n v="0"/>
    <n v="10141273.140000001"/>
    <n v="114127.7"/>
    <n v="140984.66"/>
    <n v="1.0409999999999999"/>
    <n v="214431.71"/>
    <n v="0"/>
    <n v="2495236.0299999998"/>
    <x v="3"/>
    <n v="12"/>
  </r>
  <r>
    <n v="39115"/>
    <n v="3202900"/>
    <x v="36"/>
    <n v="0.34799999999999998"/>
    <n v="1437540.95"/>
    <n v="0"/>
    <n v="1437540.95"/>
    <n v="16177.78"/>
    <n v="26477.89"/>
    <n v="0.435"/>
    <n v="30396.02"/>
    <n v="0"/>
    <n v="353703.52"/>
    <x v="3"/>
    <n v="12"/>
  </r>
  <r>
    <n v="39116"/>
    <n v="3203007"/>
    <x v="37"/>
    <n v="0.496"/>
    <n v="2048908.94"/>
    <n v="0"/>
    <n v="2048908.94"/>
    <n v="23057.98"/>
    <n v="75462.429999999993"/>
    <n v="0.89700000000000002"/>
    <n v="43323.07"/>
    <n v="0"/>
    <n v="504129.15"/>
    <x v="3"/>
    <n v="12"/>
  </r>
  <r>
    <n v="39117"/>
    <n v="3203056"/>
    <x v="38"/>
    <n v="0.871"/>
    <n v="3597983.28"/>
    <n v="0"/>
    <n v="3597983.28"/>
    <n v="40490.93"/>
    <n v="100669.62"/>
    <n v="1"/>
    <n v="76077.399999999994"/>
    <n v="0"/>
    <n v="885275.19"/>
    <x v="3"/>
    <n v="12"/>
  </r>
  <r>
    <n v="39118"/>
    <n v="3203106"/>
    <x v="39"/>
    <n v="0.21"/>
    <n v="867481.61"/>
    <n v="0"/>
    <n v="867481.61"/>
    <n v="9762.4500000000007"/>
    <n v="23927.37"/>
    <n v="0.45800000000000002"/>
    <n v="18342.43"/>
    <n v="0"/>
    <n v="213441.78"/>
    <x v="3"/>
    <n v="12"/>
  </r>
  <r>
    <n v="39119"/>
    <n v="3203130"/>
    <x v="40"/>
    <n v="0.36199999999999999"/>
    <n v="1495373.05"/>
    <n v="0"/>
    <n v="1495373.05"/>
    <n v="16828.61"/>
    <n v="52393.29"/>
    <n v="0.66600000000000004"/>
    <n v="31618.85"/>
    <n v="0"/>
    <n v="367932.97"/>
    <x v="3"/>
    <n v="12"/>
  </r>
  <r>
    <n v="39120"/>
    <n v="3203163"/>
    <x v="41"/>
    <n v="0.373"/>
    <n v="1540812.55"/>
    <n v="0"/>
    <n v="1540812.55"/>
    <n v="17339.97"/>
    <n v="26643.08"/>
    <n v="0.441"/>
    <n v="32579.65"/>
    <n v="0"/>
    <n v="379113.25"/>
    <x v="3"/>
    <n v="12"/>
  </r>
  <r>
    <n v="39121"/>
    <n v="3203205"/>
    <x v="42"/>
    <n v="4.9790000000000001"/>
    <n v="20567575.989999998"/>
    <n v="0"/>
    <n v="20567575.989999998"/>
    <n v="231463.07"/>
    <n v="667256.07999999996"/>
    <n v="4.0880000000000001"/>
    <n v="434890.22"/>
    <n v="0"/>
    <n v="5060602.92"/>
    <x v="3"/>
    <n v="12"/>
  </r>
  <r>
    <n v="39122"/>
    <n v="3203304"/>
    <x v="43"/>
    <n v="0.27600000000000002"/>
    <n v="1140118.68"/>
    <n v="0"/>
    <n v="1140118.68"/>
    <n v="12830.65"/>
    <n v="31723.46"/>
    <n v="0.57599999999999996"/>
    <n v="24107.19"/>
    <n v="0"/>
    <n v="280523.48"/>
    <x v="3"/>
    <n v="12"/>
  </r>
  <r>
    <n v="39123"/>
    <n v="3203320"/>
    <x v="44"/>
    <n v="0.65800000000000003"/>
    <n v="2718109.05"/>
    <n v="0"/>
    <n v="2718109.05"/>
    <n v="30589.01"/>
    <n v="214174.09"/>
    <n v="1.171"/>
    <n v="57472.94"/>
    <n v="0"/>
    <n v="668784.23"/>
    <x v="3"/>
    <n v="12"/>
  </r>
  <r>
    <n v="39124"/>
    <n v="3203346"/>
    <x v="45"/>
    <n v="0.61099999999999999"/>
    <n v="2523958.41"/>
    <n v="0"/>
    <n v="2523958.41"/>
    <n v="28404.080000000002"/>
    <n v="55511.38"/>
    <n v="0.67100000000000004"/>
    <n v="53367.73"/>
    <n v="0"/>
    <n v="621013.93999999994"/>
    <x v="3"/>
    <n v="12"/>
  </r>
  <r>
    <n v="39125"/>
    <n v="3203353"/>
    <x v="46"/>
    <n v="0.436"/>
    <n v="1801057.07"/>
    <n v="0"/>
    <n v="1801057.07"/>
    <n v="20268.71"/>
    <n v="34462.769999999997"/>
    <n v="0.46700000000000003"/>
    <n v="38082.370000000003"/>
    <n v="0"/>
    <n v="443145.79"/>
    <x v="3"/>
    <n v="12"/>
  </r>
  <r>
    <n v="39126"/>
    <n v="3203403"/>
    <x v="47"/>
    <n v="0.495"/>
    <n v="2044778.09"/>
    <n v="0"/>
    <n v="2044778.09"/>
    <n v="23011.49"/>
    <n v="76984.59"/>
    <n v="0.85599999999999998"/>
    <n v="43235.72"/>
    <n v="0"/>
    <n v="503112.76"/>
    <x v="3"/>
    <n v="12"/>
  </r>
  <r>
    <n v="39127"/>
    <n v="3203502"/>
    <x v="48"/>
    <n v="0.52100000000000002"/>
    <n v="2152180.59"/>
    <n v="0"/>
    <n v="2152180.59"/>
    <n v="24220.18"/>
    <n v="62696.45"/>
    <n v="0.69299999999999995"/>
    <n v="45506.69"/>
    <n v="0"/>
    <n v="529538.89"/>
    <x v="3"/>
    <n v="12"/>
  </r>
  <r>
    <n v="39128"/>
    <n v="3203601"/>
    <x v="49"/>
    <n v="0.28299999999999997"/>
    <n v="1169034.77"/>
    <n v="0"/>
    <n v="1169034.77"/>
    <n v="13156.07"/>
    <n v="14736.95"/>
    <n v="0.29799999999999999"/>
    <n v="24718.61"/>
    <n v="0"/>
    <n v="287638.2"/>
    <x v="3"/>
    <n v="12"/>
  </r>
  <r>
    <n v="39129"/>
    <n v="3203700"/>
    <x v="50"/>
    <n v="0.54600000000000004"/>
    <n v="2255452.1800000002"/>
    <n v="0"/>
    <n v="2255452.1800000002"/>
    <n v="25382.37"/>
    <n v="38505.339999999997"/>
    <n v="0.67100000000000004"/>
    <n v="47690.31"/>
    <n v="0"/>
    <n v="554948.62"/>
    <x v="3"/>
    <n v="12"/>
  </r>
  <r>
    <n v="39130"/>
    <n v="3203809"/>
    <x v="51"/>
    <n v="0.28100000000000003"/>
    <n v="1160773.03"/>
    <n v="0"/>
    <n v="1160773.03"/>
    <n v="13063.09"/>
    <n v="36351.519999999997"/>
    <n v="0.57499999999999996"/>
    <n v="24543.91"/>
    <n v="0"/>
    <n v="285605.42"/>
    <x v="3"/>
    <n v="12"/>
  </r>
  <r>
    <n v="39131"/>
    <n v="3203908"/>
    <x v="52"/>
    <n v="1.3109999999999999"/>
    <n v="5415563.8099999996"/>
    <n v="0"/>
    <n v="5415563.8099999996"/>
    <n v="60945.59"/>
    <n v="180532.62"/>
    <n v="1.4650000000000001"/>
    <n v="114509.16"/>
    <n v="0"/>
    <n v="1332486.52"/>
    <x v="3"/>
    <n v="12"/>
  </r>
  <r>
    <n v="39132"/>
    <n v="3204005"/>
    <x v="53"/>
    <n v="0.436"/>
    <n v="1801057.07"/>
    <n v="0"/>
    <n v="1801057.07"/>
    <n v="20268.71"/>
    <n v="34501.47"/>
    <n v="0.747"/>
    <n v="38082.370000000003"/>
    <n v="0"/>
    <n v="443145.79"/>
    <x v="3"/>
    <n v="12"/>
  </r>
  <r>
    <n v="39133"/>
    <n v="3204054"/>
    <x v="54"/>
    <n v="0.307"/>
    <n v="1268175.49"/>
    <n v="0"/>
    <n v="1268175.49"/>
    <n v="14271.77"/>
    <n v="87825.81"/>
    <n v="0.86199999999999999"/>
    <n v="26814.89"/>
    <n v="0"/>
    <n v="312031.55"/>
    <x v="3"/>
    <n v="12"/>
  </r>
  <r>
    <n v="39134"/>
    <n v="3204104"/>
    <x v="55"/>
    <n v="0.73199999999999998"/>
    <n v="3023793.06"/>
    <n v="0"/>
    <n v="3023793.06"/>
    <n v="34029.120000000003"/>
    <n v="51394.13"/>
    <n v="0.875"/>
    <n v="63936.46"/>
    <n v="0"/>
    <n v="743997.05"/>
    <x v="3"/>
    <n v="12"/>
  </r>
  <r>
    <n v="39135"/>
    <n v="3204203"/>
    <x v="56"/>
    <n v="0.14199999999999999"/>
    <n v="586582.81000000006"/>
    <n v="0"/>
    <n v="586582.81000000006"/>
    <n v="6601.28"/>
    <n v="105197.43"/>
    <n v="0.73399999999999999"/>
    <n v="12402.97"/>
    <n v="0"/>
    <n v="144327.29999999999"/>
    <x v="3"/>
    <n v="12"/>
  </r>
  <r>
    <n v="39136"/>
    <n v="3204252"/>
    <x v="57"/>
    <n v="0.20899999999999999"/>
    <n v="863350.78"/>
    <n v="0"/>
    <n v="863350.78"/>
    <n v="9715.9599999999991"/>
    <n v="19559.62"/>
    <n v="0.32900000000000001"/>
    <n v="18255.080000000002"/>
    <n v="0"/>
    <n v="212425.38"/>
    <x v="3"/>
    <n v="12"/>
  </r>
  <r>
    <n v="39137"/>
    <n v="1718402"/>
    <x v="58"/>
    <n v="0.32"/>
    <n v="1321876.74"/>
    <n v="0"/>
    <n v="1321876.74"/>
    <n v="14876.12"/>
    <n v="97881.54"/>
    <n v="0.45100000000000001"/>
    <n v="27950.36"/>
    <n v="0"/>
    <n v="325244.61"/>
    <x v="3"/>
    <n v="12"/>
  </r>
  <r>
    <n v="39138"/>
    <n v="3204351"/>
    <x v="59"/>
    <n v="0.85399999999999998"/>
    <n v="3527758.57"/>
    <n v="0"/>
    <n v="3527758.57"/>
    <n v="39700.629999999997"/>
    <n v="59981.120000000003"/>
    <n v="0.69799999999999995"/>
    <n v="74592.539999999994"/>
    <n v="0"/>
    <n v="867996.56"/>
    <x v="3"/>
    <n v="12"/>
  </r>
  <r>
    <n v="39139"/>
    <n v="3204401"/>
    <x v="60"/>
    <n v="0.25"/>
    <n v="1032716.18"/>
    <n v="0"/>
    <n v="1032716.18"/>
    <n v="11621.97"/>
    <n v="35529.760000000002"/>
    <n v="0.45"/>
    <n v="21836.22"/>
    <n v="0"/>
    <n v="254097.35"/>
    <x v="3"/>
    <n v="12"/>
  </r>
  <r>
    <n v="39140"/>
    <n v="3204500"/>
    <x v="61"/>
    <n v="0.54500000000000004"/>
    <n v="2251321.34"/>
    <n v="0"/>
    <n v="2251321.34"/>
    <n v="25335.89"/>
    <n v="31975.35"/>
    <n v="0.45600000000000002"/>
    <n v="47602.97"/>
    <n v="0"/>
    <n v="553932.24"/>
    <x v="3"/>
    <n v="12"/>
  </r>
  <r>
    <n v="39141"/>
    <n v="3204559"/>
    <x v="62"/>
    <n v="2.2349999999999999"/>
    <n v="9232482.8800000008"/>
    <n v="0"/>
    <n v="9232482.8800000008"/>
    <n v="103900.37"/>
    <n v="207262.55"/>
    <n v="1.1990000000000001"/>
    <n v="195215.83"/>
    <n v="0"/>
    <n v="2271630.35"/>
    <x v="3"/>
    <n v="12"/>
  </r>
  <r>
    <n v="39142"/>
    <n v="3204609"/>
    <x v="63"/>
    <n v="0.65100000000000002"/>
    <n v="2689193"/>
    <n v="0"/>
    <n v="2689193"/>
    <n v="30263.599999999999"/>
    <n v="90659.29"/>
    <n v="0.82899999999999996"/>
    <n v="56861.52"/>
    <n v="0"/>
    <n v="661669.51"/>
    <x v="3"/>
    <n v="12"/>
  </r>
  <r>
    <n v="39143"/>
    <n v="3204658"/>
    <x v="64"/>
    <n v="0.42299999999999999"/>
    <n v="1747355.78"/>
    <n v="0"/>
    <n v="1747355.78"/>
    <n v="19664.37"/>
    <n v="15312.52"/>
    <n v="0.33700000000000002"/>
    <n v="36946.89"/>
    <n v="0"/>
    <n v="429932.72"/>
    <x v="3"/>
    <n v="12"/>
  </r>
  <r>
    <n v="39144"/>
    <n v="3204708"/>
    <x v="65"/>
    <n v="0.85199999999999998"/>
    <n v="3519496.84"/>
    <n v="0"/>
    <n v="3519496.84"/>
    <n v="39607.660000000003"/>
    <n v="103128.78"/>
    <n v="1.169"/>
    <n v="74417.84"/>
    <n v="0"/>
    <n v="865963.79"/>
    <x v="3"/>
    <n v="12"/>
  </r>
  <r>
    <n v="39145"/>
    <n v="3204807"/>
    <x v="66"/>
    <n v="0.22600000000000001"/>
    <n v="933575.44"/>
    <n v="0"/>
    <n v="933575.44"/>
    <n v="10506.26"/>
    <n v="34152.99"/>
    <n v="0.436"/>
    <n v="19739.939999999999"/>
    <n v="0"/>
    <n v="229704.01"/>
    <x v="3"/>
    <n v="12"/>
  </r>
  <r>
    <n v="39146"/>
    <n v="3204906"/>
    <x v="67"/>
    <n v="1.901"/>
    <n v="7852774.04"/>
    <n v="0"/>
    <n v="7852774.04"/>
    <n v="88373.43"/>
    <n v="493140.96"/>
    <n v="3.0249999999999999"/>
    <n v="166042.64000000001"/>
    <n v="0"/>
    <n v="1932156.29"/>
    <x v="3"/>
    <n v="12"/>
  </r>
  <r>
    <n v="39147"/>
    <n v="3204955"/>
    <x v="68"/>
    <n v="0.312"/>
    <n v="1288829.81"/>
    <n v="0"/>
    <n v="1288829.81"/>
    <n v="14504.21"/>
    <n v="24743.9"/>
    <n v="0.46100000000000002"/>
    <n v="27251.61"/>
    <n v="0"/>
    <n v="317113.49"/>
    <x v="3"/>
    <n v="12"/>
  </r>
  <r>
    <n v="39148"/>
    <n v="3205002"/>
    <x v="69"/>
    <n v="15.625"/>
    <n v="64544762.960000001"/>
    <n v="0"/>
    <n v="64544762.960000001"/>
    <n v="726372.85"/>
    <n v="1864116.37"/>
    <n v="8.4320000000000004"/>
    <n v="1364763.94"/>
    <n v="0"/>
    <n v="15881084.67"/>
    <x v="3"/>
    <n v="12"/>
  </r>
  <r>
    <n v="39149"/>
    <n v="3205010"/>
    <x v="70"/>
    <n v="0.72199999999999998"/>
    <n v="2982484.42"/>
    <n v="0"/>
    <n v="2982484.42"/>
    <n v="33564.239999999998"/>
    <n v="61563.32"/>
    <n v="0.997"/>
    <n v="63063.01"/>
    <n v="0"/>
    <n v="733833.16"/>
    <x v="3"/>
    <n v="12"/>
  </r>
  <r>
    <n v="39150"/>
    <n v="3205036"/>
    <x v="71"/>
    <n v="0.49099999999999999"/>
    <n v="2028254.64"/>
    <n v="0"/>
    <n v="2028254.64"/>
    <n v="22825.54"/>
    <n v="77260"/>
    <n v="0.72699999999999998"/>
    <n v="42886.34"/>
    <n v="0"/>
    <n v="499047.2"/>
    <x v="3"/>
    <n v="12"/>
  </r>
  <r>
    <n v="39151"/>
    <n v="3205069"/>
    <x v="72"/>
    <n v="0.68700000000000006"/>
    <n v="2837904.11"/>
    <n v="0"/>
    <n v="2837904.11"/>
    <n v="31937.16"/>
    <n v="97055.39"/>
    <n v="0.85799999999999998"/>
    <n v="60005.94"/>
    <n v="0"/>
    <n v="698259.53"/>
    <x v="3"/>
    <n v="12"/>
  </r>
  <r>
    <n v="39152"/>
    <n v="2112803"/>
    <x v="73"/>
    <n v="2.9870000000000001"/>
    <n v="12338893.25"/>
    <n v="0"/>
    <n v="12338893.25"/>
    <n v="138859.25"/>
    <n v="185231.01"/>
    <n v="1.984"/>
    <n v="260899.19"/>
    <n v="0"/>
    <n v="3035955.2000000002"/>
    <x v="3"/>
    <n v="12"/>
  </r>
  <r>
    <n v="39153"/>
    <n v="3205150"/>
    <x v="74"/>
    <n v="0.31900000000000001"/>
    <n v="1317745.8899999999"/>
    <n v="0"/>
    <n v="1317745.8899999999"/>
    <n v="14829.63"/>
    <n v="16249.61"/>
    <n v="0.34399999999999997"/>
    <n v="27863.02"/>
    <n v="0"/>
    <n v="324228.23"/>
    <x v="3"/>
    <n v="12"/>
  </r>
  <r>
    <n v="39154"/>
    <n v="3205176"/>
    <x v="75"/>
    <n v="0.65800000000000003"/>
    <n v="2718109.05"/>
    <n v="0"/>
    <n v="2718109.05"/>
    <n v="30589.01"/>
    <n v="44930.47"/>
    <n v="0.55600000000000005"/>
    <n v="57472.94"/>
    <n v="0"/>
    <n v="668784.23"/>
    <x v="3"/>
    <n v="12"/>
  </r>
  <r>
    <n v="39155"/>
    <n v="3205200"/>
    <x v="76"/>
    <n v="5.056"/>
    <n v="20885652.57"/>
    <n v="0"/>
    <n v="20885652.57"/>
    <n v="235042.63"/>
    <n v="1983192.66"/>
    <n v="8.09"/>
    <n v="441615.78"/>
    <n v="0"/>
    <n v="5138864.9000000004"/>
    <x v="3"/>
    <n v="12"/>
  </r>
  <r>
    <n v="39156"/>
    <n v="3205309"/>
    <x v="77"/>
    <n v="14.782"/>
    <n v="61062444.090000004"/>
    <n v="0"/>
    <n v="61062444.090000004"/>
    <n v="687183.58"/>
    <n v="1798079.66"/>
    <n v="9.4969999999999999"/>
    <n v="1291132.1599999999"/>
    <n v="0"/>
    <n v="15024268.4"/>
    <x v="3"/>
    <n v="12"/>
  </r>
  <r>
    <n v="39469"/>
    <n v="3200102"/>
    <x v="0"/>
    <n v="0.73199999999999998"/>
    <n v="3268119.24"/>
    <n v="0"/>
    <n v="3268119.24"/>
    <n v="29837.91"/>
    <n v="109133.57"/>
    <n v="1.0169999999999999"/>
    <n v="49843.41"/>
    <n v="11357.28"/>
    <n v="21175.03"/>
    <x v="4"/>
    <n v="1"/>
  </r>
  <r>
    <n v="39470"/>
    <n v="3200169"/>
    <x v="1"/>
    <n v="0.28199999999999997"/>
    <n v="1258839.3999999999"/>
    <n v="0"/>
    <n v="1258839.3999999999"/>
    <n v="11494.93"/>
    <n v="56274.12"/>
    <n v="0.46500000000000002"/>
    <n v="19201.97"/>
    <n v="5066.62"/>
    <n v="8041.5"/>
    <x v="4"/>
    <n v="1"/>
  </r>
  <r>
    <n v="39471"/>
    <n v="3200136"/>
    <x v="2"/>
    <n v="0.46"/>
    <n v="2050353.85"/>
    <n v="0"/>
    <n v="2050353.85"/>
    <n v="18750.599999999999"/>
    <n v="41755.019999999997"/>
    <n v="0.35799999999999998"/>
    <n v="31322.36"/>
    <n v="4013.27"/>
    <n v="11241.41"/>
    <x v="4"/>
    <n v="1"/>
  </r>
  <r>
    <n v="39472"/>
    <n v="3200201"/>
    <x v="3"/>
    <n v="0.46800000000000003"/>
    <n v="2089975.42"/>
    <n v="0"/>
    <n v="2089975.42"/>
    <n v="19076.7"/>
    <n v="129541.09"/>
    <n v="0.98699999999999999"/>
    <n v="31867.1"/>
    <n v="11293.17"/>
    <n v="13856.99"/>
    <x v="4"/>
    <n v="1"/>
  </r>
  <r>
    <n v="39473"/>
    <n v="3200300"/>
    <x v="4"/>
    <n v="0.45800000000000002"/>
    <n v="2044390.13"/>
    <n v="0"/>
    <n v="2044390.13"/>
    <n v="18669.080000000002"/>
    <n v="101637.59"/>
    <n v="0.56599999999999995"/>
    <n v="31186.18"/>
    <n v="6497.27"/>
    <n v="12994.4"/>
    <x v="4"/>
    <n v="1"/>
  </r>
  <r>
    <n v="39474"/>
    <n v="3200359"/>
    <x v="5"/>
    <n v="0.23"/>
    <n v="1026270.57"/>
    <n v="0"/>
    <n v="1026270.57"/>
    <n v="9375.2999999999993"/>
    <n v="25201.38"/>
    <n v="0.32800000000000001"/>
    <n v="15661.18"/>
    <n v="3773.35"/>
    <n v="6288.51"/>
    <x v="4"/>
    <n v="1"/>
  </r>
  <r>
    <n v="39475"/>
    <n v="3200409"/>
    <x v="6"/>
    <n v="4.2549999999999999"/>
    <n v="18938933.219999999"/>
    <n v="0"/>
    <n v="18938933.219999999"/>
    <n v="173443.05"/>
    <n v="210658.28"/>
    <n v="0.93"/>
    <n v="289731.86"/>
    <n v="10463.74"/>
    <n v="87593.96"/>
    <x v="4"/>
    <n v="1"/>
  </r>
  <r>
    <n v="39476"/>
    <n v="3200508"/>
    <x v="7"/>
    <n v="0.188"/>
    <n v="838876.92"/>
    <n v="0"/>
    <n v="838876.92"/>
    <n v="7663.29"/>
    <n v="95544.51"/>
    <n v="0.32500000000000001"/>
    <n v="12801.31"/>
    <n v="3721.57"/>
    <n v="5147.68"/>
    <x v="4"/>
    <n v="1"/>
  </r>
  <r>
    <n v="39477"/>
    <n v="3200607"/>
    <x v="8"/>
    <n v="3.7869999999999999"/>
    <n v="16861352.440000001"/>
    <n v="0"/>
    <n v="16861352.440000001"/>
    <n v="154366.35"/>
    <n v="628243.68999999994"/>
    <n v="2.456"/>
    <n v="257864.76"/>
    <n v="28928.73"/>
    <n v="81305.45"/>
    <x v="4"/>
    <n v="1"/>
  </r>
  <r>
    <n v="39478"/>
    <n v="3200706"/>
    <x v="9"/>
    <n v="0.32400000000000001"/>
    <n v="1447326.74"/>
    <n v="0"/>
    <n v="1447326.74"/>
    <n v="13206.94"/>
    <n v="51498.71"/>
    <n v="0.44600000000000001"/>
    <n v="22061.84"/>
    <n v="5272.73"/>
    <n v="9850.15"/>
    <x v="4"/>
    <n v="1"/>
  </r>
  <r>
    <n v="39479"/>
    <n v="3200805"/>
    <x v="10"/>
    <n v="0.59299999999999997"/>
    <n v="2647101.15"/>
    <n v="0"/>
    <n v="2647101.15"/>
    <n v="24171.97"/>
    <n v="289441.02"/>
    <n v="1.016"/>
    <n v="40378.61"/>
    <n v="11488.74"/>
    <n v="16889.939999999999"/>
    <x v="4"/>
    <n v="1"/>
  </r>
  <r>
    <n v="39480"/>
    <n v="3200904"/>
    <x v="11"/>
    <n v="0.88400000000000001"/>
    <n v="3951756.64"/>
    <n v="0"/>
    <n v="3951756.64"/>
    <n v="36033.760000000002"/>
    <n v="307852.38"/>
    <n v="1.3140000000000001"/>
    <n v="60193.41"/>
    <n v="15233.96"/>
    <n v="28632.21"/>
    <x v="4"/>
    <n v="1"/>
  </r>
  <r>
    <n v="39481"/>
    <n v="3107109"/>
    <x v="12"/>
    <n v="0.41899999999999998"/>
    <n v="1868835.65"/>
    <n v="0"/>
    <n v="1868835.65"/>
    <n v="17079.349999999999"/>
    <n v="40008.42"/>
    <n v="0.56299999999999994"/>
    <n v="28530.59"/>
    <n v="6564.05"/>
    <n v="10990.98"/>
    <x v="4"/>
    <n v="1"/>
  </r>
  <r>
    <n v="39482"/>
    <n v="3201100"/>
    <x v="13"/>
    <n v="0.16700000000000001"/>
    <n v="745704.11"/>
    <n v="0"/>
    <n v="745704.11"/>
    <n v="6807.28"/>
    <n v="378200.24"/>
    <n v="0.442"/>
    <n v="11371.38"/>
    <n v="4952.5600000000004"/>
    <n v="4897.25"/>
    <x v="4"/>
    <n v="1"/>
  </r>
  <r>
    <n v="39483"/>
    <n v="3201159"/>
    <x v="14"/>
    <n v="0.41599999999999998"/>
    <n v="1856768.63"/>
    <n v="0"/>
    <n v="1856768.63"/>
    <n v="16957.060000000001"/>
    <n v="52559.89"/>
    <n v="0.47799999999999998"/>
    <n v="28326.31"/>
    <n v="5297.99"/>
    <n v="11714.44"/>
    <x v="4"/>
    <n v="1"/>
  </r>
  <r>
    <n v="39484"/>
    <n v="3201209"/>
    <x v="15"/>
    <n v="2.7570000000000001"/>
    <n v="12320222.439999999"/>
    <n v="0"/>
    <n v="12320222.439999999"/>
    <n v="112381.31"/>
    <n v="1486581.53"/>
    <n v="4.3239999999999998"/>
    <n v="187729.9"/>
    <n v="51675.39"/>
    <n v="86592.25"/>
    <x v="4"/>
    <n v="1"/>
  </r>
  <r>
    <n v="39485"/>
    <n v="3201308"/>
    <x v="16"/>
    <n v="7.1219999999999999"/>
    <n v="31792401.07"/>
    <n v="0"/>
    <n v="31792401.07"/>
    <n v="290308.2"/>
    <n v="2737392.5"/>
    <n v="6.5110000000000001"/>
    <n v="484951.89"/>
    <n v="76133.990000000005"/>
    <n v="203096.67"/>
    <x v="4"/>
    <n v="1"/>
  </r>
  <r>
    <n v="39486"/>
    <n v="3201407"/>
    <x v="17"/>
    <n v="0.82899999999999996"/>
    <n v="3702882.9"/>
    <n v="0"/>
    <n v="3702882.9"/>
    <n v="33791.839999999997"/>
    <n v="319909.23"/>
    <n v="1.165"/>
    <n v="56448.35"/>
    <n v="13315.62"/>
    <n v="25014.92"/>
    <x v="4"/>
    <n v="1"/>
  </r>
  <r>
    <n v="39487"/>
    <n v="3201506"/>
    <x v="18"/>
    <n v="2.141"/>
    <n v="9559083.8699999992"/>
    <n v="0"/>
    <n v="9559083.8699999992"/>
    <n v="87271.81"/>
    <n v="842090.93"/>
    <n v="2.875"/>
    <n v="145785.17000000001"/>
    <n v="32530.19"/>
    <n v="62106.01"/>
    <x v="4"/>
    <n v="1"/>
  </r>
  <r>
    <n v="39488"/>
    <n v="3201605"/>
    <x v="19"/>
    <n v="0.76100000000000001"/>
    <n v="3397723.82"/>
    <n v="0"/>
    <n v="3397723.82"/>
    <n v="31020.01"/>
    <n v="142594.01"/>
    <n v="0.96399999999999997"/>
    <n v="51818.080000000002"/>
    <n v="11519.05"/>
    <n v="22093.27"/>
    <x v="4"/>
    <n v="1"/>
  </r>
  <r>
    <n v="39489"/>
    <n v="3201704"/>
    <x v="20"/>
    <n v="0.40500000000000003"/>
    <n v="1809955.8400000001"/>
    <n v="0"/>
    <n v="1809955.8400000001"/>
    <n v="16508.68"/>
    <n v="55566.51"/>
    <n v="0.46400000000000002"/>
    <n v="27577.3"/>
    <n v="5359.3"/>
    <n v="12799.63"/>
    <x v="4"/>
    <n v="1"/>
  </r>
  <r>
    <n v="39490"/>
    <n v="3201803"/>
    <x v="21"/>
    <n v="0.18"/>
    <n v="803402.07"/>
    <n v="0"/>
    <n v="803402.07"/>
    <n v="7337.19"/>
    <n v="15066.51"/>
    <n v="0.29699999999999999"/>
    <n v="12256.58"/>
    <n v="3257.71"/>
    <n v="5064.2"/>
    <x v="4"/>
    <n v="1"/>
  </r>
  <r>
    <n v="39491"/>
    <n v="3201902"/>
    <x v="22"/>
    <n v="1.2070000000000001"/>
    <n v="5389425.6799999997"/>
    <n v="0"/>
    <n v="5389425.6799999997"/>
    <n v="49199.94"/>
    <n v="207529.56"/>
    <n v="1.0780000000000001"/>
    <n v="82187.16"/>
    <n v="11889.61"/>
    <n v="35282.449999999997"/>
    <x v="4"/>
    <n v="1"/>
  </r>
  <r>
    <n v="39492"/>
    <n v="3202009"/>
    <x v="23"/>
    <n v="0.25800000000000001"/>
    <n v="1151959.1599999999"/>
    <n v="0"/>
    <n v="1151959.1599999999"/>
    <n v="10516.64"/>
    <n v="124408.95"/>
    <n v="0.317"/>
    <n v="17567.759999999998"/>
    <n v="3616.48"/>
    <n v="7512.82"/>
    <x v="4"/>
    <n v="1"/>
  </r>
  <r>
    <n v="39493"/>
    <n v="3202108"/>
    <x v="24"/>
    <n v="0.7"/>
    <n v="3123713.5"/>
    <n v="0"/>
    <n v="3123713.5"/>
    <n v="28533.52"/>
    <n v="66153.67"/>
    <n v="0.81599999999999995"/>
    <n v="47664.47"/>
    <n v="9406.25"/>
    <n v="19310.740000000002"/>
    <x v="4"/>
    <n v="1"/>
  </r>
  <r>
    <n v="39494"/>
    <n v="3202207"/>
    <x v="25"/>
    <n v="0.26800000000000002"/>
    <n v="1196860.96"/>
    <n v="0"/>
    <n v="1196860.96"/>
    <n v="10924.26"/>
    <n v="86526.27"/>
    <n v="0.69699999999999995"/>
    <n v="18248.68"/>
    <n v="8466.68"/>
    <n v="7958.03"/>
    <x v="4"/>
    <n v="1"/>
  </r>
  <r>
    <n v="39495"/>
    <n v="3202256"/>
    <x v="26"/>
    <n v="0.48899999999999999"/>
    <n v="2180004"/>
    <n v="0"/>
    <n v="2180004"/>
    <n v="19932.7"/>
    <n v="60158.82"/>
    <n v="0.45200000000000001"/>
    <n v="33297.03"/>
    <n v="5381.75"/>
    <n v="12187.47"/>
    <x v="4"/>
    <n v="1"/>
  </r>
  <r>
    <n v="39496"/>
    <n v="3202306"/>
    <x v="27"/>
    <n v="0.33700000000000002"/>
    <n v="1504979.07"/>
    <n v="0"/>
    <n v="1504979.07"/>
    <n v="13736.85"/>
    <n v="316635.78000000003"/>
    <n v="0.98899999999999999"/>
    <n v="22947.040000000001"/>
    <n v="11504.04"/>
    <n v="9989.27"/>
    <x v="4"/>
    <n v="1"/>
  </r>
  <r>
    <n v="39497"/>
    <n v="3202405"/>
    <x v="28"/>
    <n v="0.72499999999999998"/>
    <n v="3239522.35"/>
    <n v="0"/>
    <n v="3239522.35"/>
    <n v="29552.58"/>
    <n v="2074463.46"/>
    <n v="2.9359999999999999"/>
    <n v="49366.77"/>
    <n v="33122.43"/>
    <n v="22594.12"/>
    <x v="4"/>
    <n v="1"/>
  </r>
  <r>
    <n v="39498"/>
    <n v="3202454"/>
    <x v="29"/>
    <n v="0.33300000000000002"/>
    <n v="1487902.41"/>
    <n v="0"/>
    <n v="1487902.41"/>
    <n v="13573.8"/>
    <n v="188252.67"/>
    <n v="0.87"/>
    <n v="22674.67"/>
    <n v="9969.44"/>
    <n v="10351"/>
    <x v="4"/>
    <n v="1"/>
  </r>
  <r>
    <n v="39499"/>
    <n v="3202504"/>
    <x v="30"/>
    <n v="0.22700000000000001"/>
    <n v="1013246.59"/>
    <n v="0"/>
    <n v="1013246.59"/>
    <n v="9253.01"/>
    <n v="103091.23"/>
    <n v="0.46100000000000002"/>
    <n v="15456.91"/>
    <n v="5333.21"/>
    <n v="6427.64"/>
    <x v="4"/>
    <n v="1"/>
  </r>
  <r>
    <n v="39500"/>
    <n v="3202553"/>
    <x v="31"/>
    <n v="0.23400000000000001"/>
    <n v="1044714.32"/>
    <n v="0"/>
    <n v="1044714.32"/>
    <n v="9538.35"/>
    <n v="38993.769999999997"/>
    <n v="0.35499999999999998"/>
    <n v="15933.55"/>
    <n v="3902.29"/>
    <n v="6761.54"/>
    <x v="4"/>
    <n v="1"/>
  </r>
  <r>
    <n v="39501"/>
    <n v="3202603"/>
    <x v="32"/>
    <n v="0.28699999999999998"/>
    <n v="1282110.53"/>
    <n v="0"/>
    <n v="1282110.53"/>
    <n v="11698.74"/>
    <n v="103485.06"/>
    <n v="0.53700000000000003"/>
    <n v="19542.43"/>
    <n v="6414.9"/>
    <n v="8764.9599999999991"/>
    <x v="4"/>
    <n v="1"/>
  </r>
  <r>
    <n v="39502"/>
    <n v="3202652"/>
    <x v="33"/>
    <n v="0.28799999999999998"/>
    <n v="1285798.73"/>
    <n v="0"/>
    <n v="1285798.73"/>
    <n v="11739.51"/>
    <n v="89190.71"/>
    <n v="0.56399999999999995"/>
    <n v="19610.52"/>
    <n v="6357.24"/>
    <n v="8319.76"/>
    <x v="4"/>
    <n v="1"/>
  </r>
  <r>
    <n v="39503"/>
    <n v="3202702"/>
    <x v="34"/>
    <n v="0.33800000000000002"/>
    <n v="1507573.61"/>
    <n v="0"/>
    <n v="1507573.61"/>
    <n v="13777.61"/>
    <n v="58368.76"/>
    <n v="0.56200000000000006"/>
    <n v="23015.13"/>
    <n v="6400.74"/>
    <n v="8876.26"/>
    <x v="4"/>
    <n v="1"/>
  </r>
  <r>
    <n v="39504"/>
    <n v="3202801"/>
    <x v="35"/>
    <n v="3.8050000000000002"/>
    <n v="16919582.77"/>
    <n v="0"/>
    <n v="16919582.77"/>
    <n v="155100.07"/>
    <n v="276547.48"/>
    <n v="1.2130000000000001"/>
    <n v="259090.42"/>
    <n v="12007.04"/>
    <n v="68311.05"/>
    <x v="4"/>
    <n v="1"/>
  </r>
  <r>
    <n v="39505"/>
    <n v="3202900"/>
    <x v="36"/>
    <n v="0.35299999999999998"/>
    <n v="1575154.12"/>
    <n v="0"/>
    <n v="1575154.12"/>
    <n v="14389.05"/>
    <n v="70730.490000000005"/>
    <n v="0.44600000000000001"/>
    <n v="24036.51"/>
    <n v="5014.9799999999996"/>
    <n v="9683.2000000000007"/>
    <x v="4"/>
    <n v="1"/>
  </r>
  <r>
    <n v="39506"/>
    <n v="3203007"/>
    <x v="37"/>
    <n v="0.46899999999999997"/>
    <n v="2094301.58"/>
    <n v="0"/>
    <n v="2094301.58"/>
    <n v="19117.46"/>
    <n v="121780.45"/>
    <n v="0.91200000000000003"/>
    <n v="31935.19"/>
    <n v="10341.959999999999"/>
    <n v="13801.34"/>
    <x v="4"/>
    <n v="1"/>
  </r>
  <r>
    <n v="39507"/>
    <n v="3203056"/>
    <x v="38"/>
    <n v="1.0740000000000001"/>
    <n v="4783838.0599999996"/>
    <n v="0"/>
    <n v="4783838.0599999996"/>
    <n v="43778.58"/>
    <n v="128695.36"/>
    <n v="0.98399999999999999"/>
    <n v="73130.91"/>
    <n v="11534.49"/>
    <n v="24235.81"/>
    <x v="4"/>
    <n v="1"/>
  </r>
  <r>
    <n v="39508"/>
    <n v="3203106"/>
    <x v="39"/>
    <n v="0.20100000000000001"/>
    <n v="897440.63"/>
    <n v="0"/>
    <n v="897440.63"/>
    <n v="8193.2000000000007"/>
    <n v="31705.08"/>
    <n v="0.45900000000000002"/>
    <n v="13686.51"/>
    <n v="5282"/>
    <n v="5843.31"/>
    <x v="4"/>
    <n v="1"/>
  </r>
  <r>
    <n v="39509"/>
    <n v="3203130"/>
    <x v="40"/>
    <n v="0.38300000000000001"/>
    <n v="1708310.18"/>
    <n v="0"/>
    <n v="1708310.18"/>
    <n v="15611.91"/>
    <n v="108718"/>
    <n v="0.63600000000000001"/>
    <n v="26079.27"/>
    <n v="7680.27"/>
    <n v="10072.75"/>
    <x v="4"/>
    <n v="1"/>
  </r>
  <r>
    <n v="39510"/>
    <n v="3203163"/>
    <x v="41"/>
    <n v="0.377"/>
    <n v="1682307.81"/>
    <n v="0"/>
    <n v="1682307.81"/>
    <n v="15367.34"/>
    <n v="48597.39"/>
    <n v="0.45300000000000001"/>
    <n v="25670.720000000001"/>
    <n v="5083.18"/>
    <n v="10378.83"/>
    <x v="4"/>
    <n v="1"/>
  </r>
  <r>
    <n v="39511"/>
    <n v="3203205"/>
    <x v="42"/>
    <n v="4.6500000000000004"/>
    <n v="20767190.859999999"/>
    <n v="0"/>
    <n v="20767190.859999999"/>
    <n v="189544.11"/>
    <n v="1211541.6299999999"/>
    <n v="4.0759999999999996"/>
    <n v="316628.24"/>
    <n v="47127.07"/>
    <n v="138542.04"/>
    <x v="4"/>
    <n v="1"/>
  </r>
  <r>
    <n v="39512"/>
    <n v="3203304"/>
    <x v="43"/>
    <n v="0.25"/>
    <n v="1116894.3799999999"/>
    <n v="0"/>
    <n v="1116894.3799999999"/>
    <n v="10190.540000000001"/>
    <n v="86354.61"/>
    <n v="0.54300000000000004"/>
    <n v="17023.02"/>
    <n v="6635.19"/>
    <n v="7679.78"/>
    <x v="4"/>
    <n v="1"/>
  </r>
  <r>
    <n v="39513"/>
    <n v="3203320"/>
    <x v="44"/>
    <n v="0.61599999999999999"/>
    <n v="2751022.36"/>
    <n v="0"/>
    <n v="2751022.36"/>
    <n v="25109.5"/>
    <n v="406007.79"/>
    <n v="1.24"/>
    <n v="41944.73"/>
    <n v="13498.43"/>
    <n v="18309.03"/>
    <x v="4"/>
    <n v="1"/>
  </r>
  <r>
    <n v="39514"/>
    <n v="3203346"/>
    <x v="45"/>
    <n v="0.56699999999999995"/>
    <n v="2532434.41"/>
    <n v="0"/>
    <n v="2532434.41"/>
    <n v="23112.15"/>
    <n v="110906.89"/>
    <n v="0.69199999999999995"/>
    <n v="38608.22"/>
    <n v="7731.76"/>
    <n v="17001.240000000002"/>
    <x v="4"/>
    <n v="1"/>
  </r>
  <r>
    <n v="39515"/>
    <n v="3203353"/>
    <x v="46"/>
    <n v="0.46"/>
    <n v="2051812.05"/>
    <n v="0"/>
    <n v="2051812.05"/>
    <n v="18750.599999999999"/>
    <n v="115570.56"/>
    <n v="0.47"/>
    <n v="31322.36"/>
    <n v="5387.92"/>
    <n v="12131.82"/>
    <x v="4"/>
    <n v="1"/>
  </r>
  <r>
    <n v="39516"/>
    <n v="3203403"/>
    <x v="47"/>
    <n v="0.47499999999999998"/>
    <n v="2120759.63"/>
    <n v="0"/>
    <n v="2120759.63"/>
    <n v="19362.03"/>
    <n v="157337.4"/>
    <n v="0.85899999999999999"/>
    <n v="32343.74"/>
    <n v="9873.6"/>
    <n v="13773.51"/>
    <x v="4"/>
    <n v="1"/>
  </r>
  <r>
    <n v="39517"/>
    <n v="3203502"/>
    <x v="48"/>
    <n v="0.52800000000000002"/>
    <n v="2356059.7000000002"/>
    <n v="0"/>
    <n v="2356059.7000000002"/>
    <n v="21522.43"/>
    <n v="126003.96"/>
    <n v="0.70899999999999996"/>
    <n v="35952.629999999997"/>
    <n v="7986.13"/>
    <n v="14496.97"/>
    <x v="4"/>
    <n v="1"/>
  </r>
  <r>
    <n v="39518"/>
    <n v="3203601"/>
    <x v="49"/>
    <n v="0.29299999999999998"/>
    <n v="1307155.98"/>
    <n v="0"/>
    <n v="1307155.98"/>
    <n v="11943.32"/>
    <n v="30086.080000000002"/>
    <n v="0.30199999999999999"/>
    <n v="19950.98"/>
    <n v="3430.58"/>
    <n v="7874.55"/>
    <x v="4"/>
    <n v="1"/>
  </r>
  <r>
    <n v="39519"/>
    <n v="3203700"/>
    <x v="50"/>
    <n v="0.51800000000000002"/>
    <n v="2313026.2599999998"/>
    <n v="0"/>
    <n v="2313026.2599999998"/>
    <n v="21114.81"/>
    <n v="54291.3"/>
    <n v="0.69899999999999995"/>
    <n v="35271.699999999997"/>
    <n v="7736.67"/>
    <n v="15192.6"/>
    <x v="4"/>
    <n v="1"/>
  </r>
  <r>
    <n v="39520"/>
    <n v="3203809"/>
    <x v="51"/>
    <n v="0.26700000000000002"/>
    <n v="1192215.81"/>
    <n v="0"/>
    <n v="1192215.81"/>
    <n v="10883.5"/>
    <n v="47028.31"/>
    <n v="0.56499999999999995"/>
    <n v="18180.59"/>
    <n v="6628.03"/>
    <n v="7818.9"/>
    <x v="4"/>
    <n v="1"/>
  </r>
  <r>
    <n v="39521"/>
    <n v="3203908"/>
    <x v="52"/>
    <n v="1.3089999999999999"/>
    <n v="5841946.6600000001"/>
    <n v="0"/>
    <n v="5841946.6600000001"/>
    <n v="53357.69"/>
    <n v="275991.71000000002"/>
    <n v="1.476"/>
    <n v="89132.55"/>
    <n v="16886.419999999998"/>
    <n v="36478.93"/>
    <x v="4"/>
    <n v="1"/>
  </r>
  <r>
    <n v="39522"/>
    <n v="3204005"/>
    <x v="53"/>
    <n v="0.45400000000000001"/>
    <n v="2025308.43"/>
    <n v="0"/>
    <n v="2025308.43"/>
    <n v="18506.03"/>
    <n v="61464.06"/>
    <n v="0.70899999999999996"/>
    <n v="30913.81"/>
    <n v="8613.59"/>
    <n v="12131.82"/>
    <x v="4"/>
    <n v="1"/>
  </r>
  <r>
    <n v="39523"/>
    <n v="3204054"/>
    <x v="54"/>
    <n v="0.316"/>
    <n v="1409846.85"/>
    <n v="0"/>
    <n v="1409846.85"/>
    <n v="12880.85"/>
    <n v="91200.91"/>
    <n v="0.81"/>
    <n v="21517.1"/>
    <n v="9943.2000000000007"/>
    <n v="8542.36"/>
    <x v="4"/>
    <n v="1"/>
  </r>
  <r>
    <n v="39524"/>
    <n v="3204104"/>
    <x v="55"/>
    <n v="0.76200000000000001"/>
    <n v="3399315.85"/>
    <n v="0"/>
    <n v="3399315.85"/>
    <n v="31060.78"/>
    <n v="87303.55"/>
    <n v="0.85099999999999998"/>
    <n v="51886.18"/>
    <n v="10087.15"/>
    <n v="20368.099999999999"/>
    <x v="4"/>
    <n v="1"/>
  </r>
  <r>
    <n v="39525"/>
    <n v="3204203"/>
    <x v="56"/>
    <n v="0.26"/>
    <n v="1154960.8899999999"/>
    <n v="0"/>
    <n v="1154960.8899999999"/>
    <n v="10598.17"/>
    <n v="279055.46000000002"/>
    <n v="0.753"/>
    <n v="17703.939999999999"/>
    <n v="8467.94"/>
    <n v="3951.19"/>
    <x v="4"/>
    <n v="1"/>
  </r>
  <r>
    <n v="39526"/>
    <n v="3204252"/>
    <x v="57"/>
    <n v="0.214"/>
    <n v="954819.6"/>
    <n v="0"/>
    <n v="954819.6"/>
    <n v="8723.11"/>
    <n v="31824.15"/>
    <n v="0.316"/>
    <n v="14571.71"/>
    <n v="3788.08"/>
    <n v="5815.48"/>
    <x v="4"/>
    <n v="1"/>
  </r>
  <r>
    <n v="39527"/>
    <n v="1718402"/>
    <x v="58"/>
    <n v="0.39100000000000001"/>
    <n v="1741734.46"/>
    <n v="0"/>
    <n v="1741734.46"/>
    <n v="15938.01"/>
    <n v="189543.23"/>
    <n v="0.56399999999999995"/>
    <n v="26624.01"/>
    <n v="5198.51"/>
    <n v="8904.09"/>
    <x v="4"/>
    <n v="1"/>
  </r>
  <r>
    <n v="39528"/>
    <n v="3204351"/>
    <x v="59"/>
    <n v="0.90300000000000002"/>
    <n v="4027710.25"/>
    <n v="0"/>
    <n v="4027710.25"/>
    <n v="36808.239999999998"/>
    <n v="107467.65"/>
    <n v="0.71399999999999997"/>
    <n v="61487.16"/>
    <n v="8048.42"/>
    <n v="23762.78"/>
    <x v="4"/>
    <n v="1"/>
  </r>
  <r>
    <n v="39529"/>
    <n v="3204401"/>
    <x v="60"/>
    <n v="0.25900000000000001"/>
    <n v="1155465.04"/>
    <n v="0"/>
    <n v="1155465.04"/>
    <n v="10557.4"/>
    <n v="60106.48"/>
    <n v="0.45300000000000001"/>
    <n v="17635.849999999999"/>
    <n v="5182.9399999999996"/>
    <n v="6956.32"/>
    <x v="4"/>
    <n v="1"/>
  </r>
  <r>
    <n v="39530"/>
    <n v="3204500"/>
    <x v="61"/>
    <n v="0.52500000000000002"/>
    <n v="2343901.5299999998"/>
    <n v="0"/>
    <n v="2343901.5299999998"/>
    <n v="21400.14"/>
    <n v="43167.46"/>
    <n v="0.47899999999999998"/>
    <n v="35748.35"/>
    <n v="5258.85"/>
    <n v="15164.77"/>
    <x v="4"/>
    <n v="1"/>
  </r>
  <r>
    <n v="39531"/>
    <n v="3204559"/>
    <x v="62"/>
    <n v="2.34"/>
    <n v="10438257.279999999"/>
    <n v="0"/>
    <n v="10438257.279999999"/>
    <n v="95383.49"/>
    <n v="333074.62"/>
    <n v="1.236"/>
    <n v="159335.5"/>
    <n v="13825.21"/>
    <n v="62189.49"/>
    <x v="4"/>
    <n v="1"/>
  </r>
  <r>
    <n v="39532"/>
    <n v="3204609"/>
    <x v="63"/>
    <n v="0.629"/>
    <n v="2808127.9"/>
    <n v="0"/>
    <n v="2808127.9"/>
    <n v="25639.41"/>
    <n v="151700.26999999999"/>
    <n v="0.82699999999999996"/>
    <n v="42829.93"/>
    <n v="9561.2800000000007"/>
    <n v="18114.25"/>
    <x v="4"/>
    <n v="1"/>
  </r>
  <r>
    <n v="39533"/>
    <n v="3204658"/>
    <x v="64"/>
    <n v="0.40400000000000003"/>
    <n v="1803852.53"/>
    <n v="0"/>
    <n v="1803852.53"/>
    <n v="16467.919999999998"/>
    <n v="66890.45"/>
    <n v="0.34300000000000003"/>
    <n v="27509.21"/>
    <n v="3888.96"/>
    <n v="11770.09"/>
    <x v="4"/>
    <n v="1"/>
  </r>
  <r>
    <n v="39534"/>
    <n v="3204708"/>
    <x v="65"/>
    <n v="0.80200000000000005"/>
    <n v="3581474.86"/>
    <n v="0"/>
    <n v="3581474.86"/>
    <n v="32691.26"/>
    <n v="157021.41"/>
    <n v="1.1040000000000001"/>
    <n v="54609.86"/>
    <n v="13474.01"/>
    <n v="23707.13"/>
    <x v="4"/>
    <n v="1"/>
  </r>
  <r>
    <n v="39535"/>
    <n v="3204807"/>
    <x v="66"/>
    <n v="0.23400000000000001"/>
    <n v="1043939.66"/>
    <n v="0"/>
    <n v="1043939.66"/>
    <n v="9538.35"/>
    <n v="85452.49"/>
    <n v="0.45"/>
    <n v="15933.55"/>
    <n v="5029.4399999999996"/>
    <n v="6288.51"/>
    <x v="4"/>
    <n v="1"/>
  </r>
  <r>
    <n v="39536"/>
    <n v="3204906"/>
    <x v="67"/>
    <n v="1.952"/>
    <n v="8709136.6600000001"/>
    <n v="0"/>
    <n v="8709136.6600000001"/>
    <n v="79567.759999999995"/>
    <n v="756329.55"/>
    <n v="2.9870000000000001"/>
    <n v="132915.76999999999"/>
    <n v="34869.599999999999"/>
    <n v="52895.85"/>
    <x v="4"/>
    <n v="1"/>
  </r>
  <r>
    <n v="39537"/>
    <n v="3204955"/>
    <x v="68"/>
    <n v="0.29699999999999999"/>
    <n v="1326146.54"/>
    <n v="0"/>
    <n v="1326146.54"/>
    <n v="12106.37"/>
    <n v="51626.51"/>
    <n v="0.45"/>
    <n v="20223.349999999999"/>
    <n v="5319.32"/>
    <n v="8681.49"/>
    <x v="4"/>
    <n v="1"/>
  </r>
  <r>
    <n v="39538"/>
    <n v="3205002"/>
    <x v="69"/>
    <n v="14.689"/>
    <n v="65597286.159999996"/>
    <n v="0"/>
    <n v="65597286.159999996"/>
    <n v="598755.57999999996"/>
    <n v="3166685.24"/>
    <n v="8.6910000000000007"/>
    <n v="1000204.77"/>
    <n v="97217.82"/>
    <n v="434769.9"/>
    <x v="4"/>
    <n v="1"/>
  </r>
  <r>
    <n v="39539"/>
    <n v="3205010"/>
    <x v="70"/>
    <n v="0.72799999999999998"/>
    <n v="3248672.99"/>
    <n v="0"/>
    <n v="3248672.99"/>
    <n v="29674.86"/>
    <n v="90950.42"/>
    <n v="0.95199999999999996"/>
    <n v="49571.040000000001"/>
    <n v="11490.85"/>
    <n v="20089.849999999999"/>
    <x v="4"/>
    <n v="1"/>
  </r>
  <r>
    <n v="39540"/>
    <n v="3205036"/>
    <x v="71"/>
    <n v="0.48599999999999999"/>
    <n v="2169167.33"/>
    <n v="0"/>
    <n v="2169167.33"/>
    <n v="19810.419999999998"/>
    <n v="110903.98"/>
    <n v="0.71699999999999997"/>
    <n v="33092.76"/>
    <n v="8382.36"/>
    <n v="13662.21"/>
    <x v="4"/>
    <n v="1"/>
  </r>
  <r>
    <n v="39541"/>
    <n v="3205069"/>
    <x v="72"/>
    <n v="0.61899999999999999"/>
    <n v="2765595.66"/>
    <n v="0"/>
    <n v="2765595.66"/>
    <n v="25231.79"/>
    <n v="195877.42"/>
    <n v="0.85"/>
    <n v="42149.01"/>
    <n v="9891.15"/>
    <n v="19115.96"/>
    <x v="4"/>
    <n v="1"/>
  </r>
  <r>
    <n v="39542"/>
    <n v="2112803"/>
    <x v="73"/>
    <n v="2.823"/>
    <n v="12606066.189999999"/>
    <n v="0"/>
    <n v="12606066.189999999"/>
    <n v="115071.62"/>
    <n v="342458.69"/>
    <n v="1.9590000000000001"/>
    <n v="192223.98"/>
    <n v="22868.959999999999"/>
    <n v="83114.09"/>
    <x v="4"/>
    <n v="1"/>
  </r>
  <r>
    <n v="39543"/>
    <n v="3205150"/>
    <x v="74"/>
    <n v="0.313"/>
    <n v="1397141.87"/>
    <n v="0"/>
    <n v="1397141.87"/>
    <n v="12758.56"/>
    <n v="36300.61"/>
    <n v="0.34699999999999998"/>
    <n v="21312.83"/>
    <n v="3965.42"/>
    <n v="8876.26"/>
    <x v="4"/>
    <n v="1"/>
  </r>
  <r>
    <n v="39544"/>
    <n v="3205176"/>
    <x v="75"/>
    <n v="0.64300000000000002"/>
    <n v="2870288.67"/>
    <n v="0"/>
    <n v="2870288.67"/>
    <n v="26210.080000000002"/>
    <n v="81658.09"/>
    <n v="0.56399999999999995"/>
    <n v="43783.22"/>
    <n v="6412.38"/>
    <n v="18309.03"/>
    <x v="4"/>
    <n v="1"/>
  </r>
  <r>
    <n v="39545"/>
    <n v="3205200"/>
    <x v="76"/>
    <n v="4.97"/>
    <n v="22184226.010000002"/>
    <n v="0"/>
    <n v="22184226.010000002"/>
    <n v="202588.01"/>
    <n v="4144539.37"/>
    <n v="8.0009999999999994"/>
    <n v="338417.71"/>
    <n v="93273.81"/>
    <n v="140684.57999999999"/>
    <x v="4"/>
    <n v="1"/>
  </r>
  <r>
    <n v="39546"/>
    <n v="3205309"/>
    <x v="77"/>
    <n v="13.843"/>
    <n v="61821861.57"/>
    <n v="0"/>
    <n v="61821861.57"/>
    <n v="564270.78"/>
    <n v="4816186.84"/>
    <n v="9.2110000000000003"/>
    <n v="942598.84"/>
    <n v="109492.91"/>
    <n v="411313.2"/>
    <x v="4"/>
    <n v="1"/>
  </r>
  <r>
    <n v="39547"/>
    <n v="3200102"/>
    <x v="0"/>
    <n v="0.73199999999999998"/>
    <n v="2728294.06"/>
    <n v="0"/>
    <n v="2728294.06"/>
    <n v="31033.040000000001"/>
    <n v="121737.16"/>
    <n v="1.0169999999999999"/>
    <n v="59663.81"/>
    <n v="0"/>
    <n v="0"/>
    <x v="4"/>
    <n v="2"/>
  </r>
  <r>
    <n v="39548"/>
    <n v="3200169"/>
    <x v="1"/>
    <n v="0.28199999999999997"/>
    <n v="1051064.0900000001"/>
    <n v="0"/>
    <n v="1051064.0900000001"/>
    <n v="11955.35"/>
    <n v="34830.22"/>
    <n v="0.46500000000000002"/>
    <n v="22985.24"/>
    <n v="0"/>
    <n v="0"/>
    <x v="4"/>
    <n v="2"/>
  </r>
  <r>
    <n v="39549"/>
    <n v="3200136"/>
    <x v="2"/>
    <n v="0.46"/>
    <n v="1714501.73"/>
    <n v="0"/>
    <n v="1714501.73"/>
    <n v="19501.64"/>
    <n v="35013.42"/>
    <n v="0.35799999999999998"/>
    <n v="37493.65"/>
    <n v="0"/>
    <n v="0"/>
    <x v="4"/>
    <n v="2"/>
  </r>
  <r>
    <n v="39550"/>
    <n v="3200201"/>
    <x v="3"/>
    <n v="0.46800000000000003"/>
    <n v="1744319.13"/>
    <n v="0"/>
    <n v="1744319.13"/>
    <n v="19840.8"/>
    <n v="101538.29"/>
    <n v="0.98699999999999999"/>
    <n v="38145.71"/>
    <n v="0"/>
    <n v="0"/>
    <x v="4"/>
    <n v="2"/>
  </r>
  <r>
    <n v="39551"/>
    <n v="3200300"/>
    <x v="4"/>
    <n v="0.45800000000000002"/>
    <n v="1707047.38"/>
    <n v="0"/>
    <n v="1707047.38"/>
    <n v="19416.849999999999"/>
    <n v="112329.37"/>
    <n v="0.56599999999999995"/>
    <n v="37330.629999999997"/>
    <n v="0"/>
    <n v="0"/>
    <x v="4"/>
    <n v="2"/>
  </r>
  <r>
    <n v="39552"/>
    <n v="3200359"/>
    <x v="5"/>
    <n v="0.23"/>
    <n v="857250.86"/>
    <n v="0"/>
    <n v="857250.86"/>
    <n v="9750.82"/>
    <n v="13306.85"/>
    <n v="0.32800000000000001"/>
    <n v="18746.82"/>
    <n v="0"/>
    <n v="0"/>
    <x v="4"/>
    <n v="2"/>
  </r>
  <r>
    <n v="39553"/>
    <n v="3200409"/>
    <x v="6"/>
    <n v="4.2549999999999999"/>
    <n v="15859140.99"/>
    <n v="0"/>
    <n v="15859140.99"/>
    <n v="180390.17"/>
    <n v="195099.21"/>
    <n v="0.93"/>
    <n v="346816.24"/>
    <n v="0"/>
    <n v="0"/>
    <x v="4"/>
    <n v="2"/>
  </r>
  <r>
    <n v="39554"/>
    <n v="3200508"/>
    <x v="7"/>
    <n v="0.188"/>
    <n v="700709.4"/>
    <n v="0"/>
    <n v="700709.4"/>
    <n v="7970.24"/>
    <n v="67152.399999999994"/>
    <n v="0.32500000000000001"/>
    <n v="15323.49"/>
    <n v="0"/>
    <n v="0"/>
    <x v="4"/>
    <n v="2"/>
  </r>
  <r>
    <n v="39555"/>
    <n v="3200607"/>
    <x v="8"/>
    <n v="3.7869999999999999"/>
    <n v="14114821.800000001"/>
    <n v="0"/>
    <n v="14114821.800000001"/>
    <n v="160549.37"/>
    <n v="494808.5"/>
    <n v="2.456"/>
    <n v="308670.53000000003"/>
    <n v="0"/>
    <n v="0"/>
    <x v="4"/>
    <n v="2"/>
  </r>
  <r>
    <n v="39556"/>
    <n v="3200706"/>
    <x v="9"/>
    <n v="0.32400000000000001"/>
    <n v="1207605.57"/>
    <n v="0"/>
    <n v="1207605.57"/>
    <n v="13735.94"/>
    <n v="29112.63"/>
    <n v="0.44600000000000001"/>
    <n v="26408.57"/>
    <n v="0"/>
    <n v="0"/>
    <x v="4"/>
    <n v="2"/>
  </r>
  <r>
    <n v="39557"/>
    <n v="3200805"/>
    <x v="10"/>
    <n v="0.59299999999999997"/>
    <n v="2210216.34"/>
    <n v="0"/>
    <n v="2210216.34"/>
    <n v="25140.16"/>
    <n v="266303.78999999998"/>
    <n v="1.016"/>
    <n v="48334.2"/>
    <n v="0"/>
    <n v="0"/>
    <x v="4"/>
    <n v="2"/>
  </r>
  <r>
    <n v="39558"/>
    <n v="3200904"/>
    <x v="11"/>
    <n v="0.88400000000000001"/>
    <n v="3294825.05"/>
    <n v="0"/>
    <n v="3294825.05"/>
    <n v="37477.06"/>
    <n v="250240.1"/>
    <n v="1.3140000000000001"/>
    <n v="72053.009999999995"/>
    <n v="0"/>
    <n v="0"/>
    <x v="4"/>
    <n v="2"/>
  </r>
  <r>
    <n v="39559"/>
    <n v="3107109"/>
    <x v="12"/>
    <n v="0.41899999999999998"/>
    <n v="1561687.45"/>
    <n v="0"/>
    <n v="1561687.45"/>
    <n v="17763.45"/>
    <n v="60460.56"/>
    <n v="0.56299999999999994"/>
    <n v="34151.83"/>
    <n v="0"/>
    <n v="0"/>
    <x v="4"/>
    <n v="2"/>
  </r>
  <r>
    <n v="39560"/>
    <n v="3201100"/>
    <x v="13"/>
    <n v="0.16700000000000001"/>
    <n v="622438.69999999995"/>
    <n v="0"/>
    <n v="622438.69999999995"/>
    <n v="7079.94"/>
    <n v="284325.95"/>
    <n v="0.442"/>
    <n v="13611.82"/>
    <n v="0"/>
    <n v="0"/>
    <x v="4"/>
    <n v="2"/>
  </r>
  <r>
    <n v="39561"/>
    <n v="3201159"/>
    <x v="14"/>
    <n v="0.41599999999999998"/>
    <n v="1550505.93"/>
    <n v="0"/>
    <n v="1550505.93"/>
    <n v="17636.27"/>
    <n v="45281.96"/>
    <n v="0.47799999999999998"/>
    <n v="33907.300000000003"/>
    <n v="0"/>
    <n v="0"/>
    <x v="4"/>
    <n v="2"/>
  </r>
  <r>
    <n v="39562"/>
    <n v="3201209"/>
    <x v="15"/>
    <n v="2.7570000000000001"/>
    <n v="10275828.83"/>
    <n v="0"/>
    <n v="10275828.83"/>
    <n v="116882.65"/>
    <n v="1283609.1000000001"/>
    <n v="4.3239999999999998"/>
    <n v="224717.36"/>
    <n v="0"/>
    <n v="0"/>
    <x v="4"/>
    <n v="2"/>
  </r>
  <r>
    <n v="39563"/>
    <n v="3201308"/>
    <x v="16"/>
    <n v="7.1219999999999999"/>
    <n v="26544959.34"/>
    <n v="0"/>
    <n v="26544959.34"/>
    <n v="301936.26"/>
    <n v="3679060.44"/>
    <n v="6.5110000000000001"/>
    <n v="580499.49"/>
    <n v="0"/>
    <n v="0"/>
    <x v="4"/>
    <n v="2"/>
  </r>
  <r>
    <n v="39564"/>
    <n v="3201407"/>
    <x v="17"/>
    <n v="0.82899999999999996"/>
    <n v="3089830.29"/>
    <n v="0"/>
    <n v="3089830.29"/>
    <n v="35145.35"/>
    <n v="350754.81"/>
    <n v="1.165"/>
    <n v="67570.070000000007"/>
    <n v="0"/>
    <n v="0"/>
    <x v="4"/>
    <n v="2"/>
  </r>
  <r>
    <n v="39565"/>
    <n v="3201506"/>
    <x v="18"/>
    <n v="2.141"/>
    <n v="7979887.3899999997"/>
    <n v="0"/>
    <n v="7979887.3899999997"/>
    <n v="90767.41"/>
    <n v="736323.92"/>
    <n v="2.875"/>
    <n v="174508.48"/>
    <n v="0"/>
    <n v="0"/>
    <x v="4"/>
    <n v="2"/>
  </r>
  <r>
    <n v="39566"/>
    <n v="3201605"/>
    <x v="19"/>
    <n v="0.76100000000000001"/>
    <n v="2836382.2"/>
    <n v="0"/>
    <n v="2836382.2"/>
    <n v="32262.5"/>
    <n v="86884.6"/>
    <n v="0.96399999999999997"/>
    <n v="62027.54"/>
    <n v="0"/>
    <n v="0"/>
    <x v="4"/>
    <n v="2"/>
  </r>
  <r>
    <n v="39567"/>
    <n v="3201704"/>
    <x v="20"/>
    <n v="0.40500000000000003"/>
    <n v="1509506.96"/>
    <n v="0"/>
    <n v="1509506.96"/>
    <n v="17169.919999999998"/>
    <n v="61454.400000000001"/>
    <n v="0.46400000000000002"/>
    <n v="33010.71"/>
    <n v="0"/>
    <n v="0"/>
    <x v="4"/>
    <n v="2"/>
  </r>
  <r>
    <n v="39568"/>
    <n v="3201803"/>
    <x v="21"/>
    <n v="0.18"/>
    <n v="670891.97"/>
    <n v="0"/>
    <n v="670891.97"/>
    <n v="7631.08"/>
    <n v="15051.33"/>
    <n v="0.29699999999999999"/>
    <n v="14671.42"/>
    <n v="0"/>
    <n v="0"/>
    <x v="4"/>
    <n v="2"/>
  </r>
  <r>
    <n v="39569"/>
    <n v="3201902"/>
    <x v="22"/>
    <n v="1.2070000000000001"/>
    <n v="4498703.46"/>
    <n v="0"/>
    <n v="4498703.46"/>
    <n v="51170.61"/>
    <n v="281057.53000000003"/>
    <n v="1.0780000000000001"/>
    <n v="98380.07"/>
    <n v="0"/>
    <n v="0"/>
    <x v="4"/>
    <n v="2"/>
  </r>
  <r>
    <n v="39570"/>
    <n v="3202009"/>
    <x v="23"/>
    <n v="0.25800000000000001"/>
    <n v="961611.84"/>
    <n v="0"/>
    <n v="961611.84"/>
    <n v="10937.88"/>
    <n v="79601.72"/>
    <n v="0.317"/>
    <n v="21029.05"/>
    <n v="0"/>
    <n v="0"/>
    <x v="4"/>
    <n v="2"/>
  </r>
  <r>
    <n v="39571"/>
    <n v="3202108"/>
    <x v="24"/>
    <n v="0.7"/>
    <n v="2609024.38"/>
    <n v="0"/>
    <n v="2609024.38"/>
    <n v="29676.41"/>
    <n v="61207.4"/>
    <n v="0.81599999999999995"/>
    <n v="57055.55"/>
    <n v="0"/>
    <n v="0"/>
    <x v="4"/>
    <n v="2"/>
  </r>
  <r>
    <n v="39572"/>
    <n v="3202207"/>
    <x v="25"/>
    <n v="0.26800000000000002"/>
    <n v="998883.61"/>
    <n v="0"/>
    <n v="998883.61"/>
    <n v="11361.82"/>
    <n v="57958.9"/>
    <n v="0.69699999999999995"/>
    <n v="21844.13"/>
    <n v="0"/>
    <n v="0"/>
    <x v="4"/>
    <n v="2"/>
  </r>
  <r>
    <n v="39573"/>
    <n v="3202256"/>
    <x v="26"/>
    <n v="0.48899999999999999"/>
    <n v="1822589.87"/>
    <n v="0"/>
    <n v="1822589.87"/>
    <n v="20731.09"/>
    <n v="97847.84"/>
    <n v="0.45200000000000001"/>
    <n v="39857.379999999997"/>
    <n v="0"/>
    <n v="0"/>
    <x v="4"/>
    <n v="2"/>
  </r>
  <r>
    <n v="39574"/>
    <n v="3202306"/>
    <x v="27"/>
    <n v="0.33700000000000002"/>
    <n v="1256058.8899999999"/>
    <n v="0"/>
    <n v="1256058.8899999999"/>
    <n v="14287.07"/>
    <n v="189769.64"/>
    <n v="0.98899999999999999"/>
    <n v="27468.17"/>
    <n v="0"/>
    <n v="0"/>
    <x v="4"/>
    <n v="2"/>
  </r>
  <r>
    <n v="39575"/>
    <n v="3202405"/>
    <x v="28"/>
    <n v="0.72499999999999998"/>
    <n v="2702203.8"/>
    <n v="0"/>
    <n v="2702203.8"/>
    <n v="30736.28"/>
    <n v="1466048.55"/>
    <n v="2.9359999999999999"/>
    <n v="59093.25"/>
    <n v="0"/>
    <n v="0"/>
    <x v="4"/>
    <n v="2"/>
  </r>
  <r>
    <n v="39576"/>
    <n v="3202454"/>
    <x v="29"/>
    <n v="0.33300000000000002"/>
    <n v="1241150.17"/>
    <n v="0"/>
    <n v="1241150.17"/>
    <n v="14117.49"/>
    <n v="162222.51999999999"/>
    <n v="0.87"/>
    <n v="27142.14"/>
    <n v="0"/>
    <n v="0"/>
    <x v="4"/>
    <n v="2"/>
  </r>
  <r>
    <n v="39577"/>
    <n v="3202504"/>
    <x v="30"/>
    <n v="0.22700000000000001"/>
    <n v="846069.35"/>
    <n v="0"/>
    <n v="846069.35"/>
    <n v="9623.64"/>
    <n v="108715.66"/>
    <n v="0.46100000000000002"/>
    <n v="18502.3"/>
    <n v="0"/>
    <n v="0"/>
    <x v="4"/>
    <n v="2"/>
  </r>
  <r>
    <n v="39578"/>
    <n v="3202553"/>
    <x v="31"/>
    <n v="0.23400000000000001"/>
    <n v="872159.58"/>
    <n v="0"/>
    <n v="872159.58"/>
    <n v="9920.4"/>
    <n v="31832.18"/>
    <n v="0.35499999999999998"/>
    <n v="19072.86"/>
    <n v="0"/>
    <n v="0"/>
    <x v="4"/>
    <n v="2"/>
  </r>
  <r>
    <n v="39579"/>
    <n v="3202603"/>
    <x v="32"/>
    <n v="0.28699999999999998"/>
    <n v="1069699.98"/>
    <n v="0"/>
    <n v="1069699.98"/>
    <n v="12167.33"/>
    <n v="314445.65000000002"/>
    <n v="0.53700000000000003"/>
    <n v="23392.77"/>
    <n v="0"/>
    <n v="0"/>
    <x v="4"/>
    <n v="2"/>
  </r>
  <r>
    <n v="39580"/>
    <n v="3202652"/>
    <x v="33"/>
    <n v="0.28799999999999998"/>
    <n v="1073427.1599999999"/>
    <n v="0"/>
    <n v="1073427.1599999999"/>
    <n v="12209.72"/>
    <n v="82463.789999999994"/>
    <n v="0.56399999999999995"/>
    <n v="23474.29"/>
    <n v="0"/>
    <n v="0"/>
    <x v="4"/>
    <n v="2"/>
  </r>
  <r>
    <n v="39581"/>
    <n v="3202702"/>
    <x v="34"/>
    <n v="0.33800000000000002"/>
    <n v="1259786.06"/>
    <n v="0"/>
    <n v="1259786.06"/>
    <n v="14329.47"/>
    <n v="45650.16"/>
    <n v="0.56200000000000006"/>
    <n v="27549.69"/>
    <n v="0"/>
    <n v="0"/>
    <x v="4"/>
    <n v="2"/>
  </r>
  <r>
    <n v="39582"/>
    <n v="3202801"/>
    <x v="35"/>
    <n v="3.8050000000000002"/>
    <n v="14181911.02"/>
    <n v="0"/>
    <n v="14181911.02"/>
    <n v="161312.48000000001"/>
    <n v="188241.94"/>
    <n v="1.2130000000000001"/>
    <n v="310137.67"/>
    <n v="0"/>
    <n v="0"/>
    <x v="4"/>
    <n v="2"/>
  </r>
  <r>
    <n v="39583"/>
    <n v="3202900"/>
    <x v="36"/>
    <n v="0.35299999999999998"/>
    <n v="1315693.74"/>
    <n v="0"/>
    <n v="1315693.74"/>
    <n v="14965.39"/>
    <n v="56979.33"/>
    <n v="0.44600000000000001"/>
    <n v="28772.3"/>
    <n v="0"/>
    <n v="0"/>
    <x v="4"/>
    <n v="2"/>
  </r>
  <r>
    <n v="39584"/>
    <n v="3203007"/>
    <x v="37"/>
    <n v="0.46899999999999997"/>
    <n v="1748046.32"/>
    <n v="0"/>
    <n v="1748046.32"/>
    <n v="19883.189999999999"/>
    <n v="105434.94"/>
    <n v="0.91200000000000003"/>
    <n v="38227.22"/>
    <n v="0"/>
    <n v="0"/>
    <x v="4"/>
    <n v="2"/>
  </r>
  <r>
    <n v="39585"/>
    <n v="3203056"/>
    <x v="38"/>
    <n v="1.0740000000000001"/>
    <n v="4002988.84"/>
    <n v="0"/>
    <n v="4002988.84"/>
    <n v="45532.09"/>
    <n v="120457.93"/>
    <n v="0.98399999999999999"/>
    <n v="87539.520000000004"/>
    <n v="0"/>
    <n v="0"/>
    <x v="4"/>
    <n v="2"/>
  </r>
  <r>
    <n v="39586"/>
    <n v="3203106"/>
    <x v="39"/>
    <n v="0.20100000000000001"/>
    <n v="749162.69"/>
    <n v="0"/>
    <n v="749162.69"/>
    <n v="8521.3700000000008"/>
    <n v="30077.48"/>
    <n v="0.45900000000000002"/>
    <n v="16383.1"/>
    <n v="0"/>
    <n v="0"/>
    <x v="4"/>
    <n v="2"/>
  </r>
  <r>
    <n v="39587"/>
    <n v="3203130"/>
    <x v="40"/>
    <n v="0.38300000000000001"/>
    <n v="1427509.03"/>
    <n v="0"/>
    <n v="1427509.03"/>
    <n v="16237.23"/>
    <n v="96227.199999999997"/>
    <n v="0.63600000000000001"/>
    <n v="31217.54"/>
    <n v="0"/>
    <n v="0"/>
    <x v="4"/>
    <n v="2"/>
  </r>
  <r>
    <n v="39588"/>
    <n v="3203163"/>
    <x v="41"/>
    <n v="0.377"/>
    <n v="1405145.98"/>
    <n v="0"/>
    <n v="1405145.98"/>
    <n v="15982.87"/>
    <n v="75705.8"/>
    <n v="0.45300000000000001"/>
    <n v="30728.49"/>
    <n v="0"/>
    <n v="0"/>
    <x v="4"/>
    <n v="2"/>
  </r>
  <r>
    <n v="39589"/>
    <n v="3203205"/>
    <x v="42"/>
    <n v="4.6500000000000004"/>
    <n v="17331376.16"/>
    <n v="0"/>
    <n v="17331376.16"/>
    <n v="197136.14"/>
    <n v="1041817.77"/>
    <n v="4.0759999999999996"/>
    <n v="379011.88"/>
    <n v="0"/>
    <n v="0"/>
    <x v="4"/>
    <n v="2"/>
  </r>
  <r>
    <n v="39590"/>
    <n v="3203304"/>
    <x v="43"/>
    <n v="0.25"/>
    <n v="931794.4"/>
    <n v="0"/>
    <n v="931794.4"/>
    <n v="10598.72"/>
    <n v="59110.09"/>
    <n v="0.54300000000000004"/>
    <n v="20376.98"/>
    <n v="0"/>
    <n v="0"/>
    <x v="4"/>
    <n v="2"/>
  </r>
  <r>
    <n v="39591"/>
    <n v="3203320"/>
    <x v="44"/>
    <n v="0.61599999999999999"/>
    <n v="2295941.41"/>
    <n v="0"/>
    <n v="2295941.41"/>
    <n v="26115.24"/>
    <n v="256819.57"/>
    <n v="1.24"/>
    <n v="50208.89"/>
    <n v="0"/>
    <n v="0"/>
    <x v="4"/>
    <n v="2"/>
  </r>
  <r>
    <n v="39592"/>
    <n v="3203346"/>
    <x v="45"/>
    <n v="0.56699999999999995"/>
    <n v="2113309.7599999998"/>
    <n v="0"/>
    <n v="2113309.7599999998"/>
    <n v="24037.89"/>
    <n v="130514.29"/>
    <n v="0.69199999999999995"/>
    <n v="46214.99"/>
    <n v="0"/>
    <n v="0"/>
    <x v="4"/>
    <n v="2"/>
  </r>
  <r>
    <n v="39593"/>
    <n v="3203353"/>
    <x v="46"/>
    <n v="0.46"/>
    <n v="1714501.73"/>
    <n v="0"/>
    <n v="1714501.73"/>
    <n v="19501.64"/>
    <n v="130196.26"/>
    <n v="0.47"/>
    <n v="37493.65"/>
    <n v="0"/>
    <n v="0"/>
    <x v="4"/>
    <n v="2"/>
  </r>
  <r>
    <n v="39594"/>
    <n v="3203403"/>
    <x v="47"/>
    <n v="0.47499999999999998"/>
    <n v="1770409.4"/>
    <n v="0"/>
    <n v="1770409.4"/>
    <n v="20137.560000000001"/>
    <n v="114168.37"/>
    <n v="0.85899999999999999"/>
    <n v="38716.269999999997"/>
    <n v="0"/>
    <n v="0"/>
    <x v="4"/>
    <n v="2"/>
  </r>
  <r>
    <n v="39595"/>
    <n v="3203502"/>
    <x v="48"/>
    <n v="0.52800000000000002"/>
    <n v="1967949.81"/>
    <n v="0"/>
    <n v="1967949.81"/>
    <n v="22384.49"/>
    <n v="100656.62"/>
    <n v="0.70899999999999996"/>
    <n v="43036.18"/>
    <n v="0"/>
    <n v="0"/>
    <x v="4"/>
    <n v="2"/>
  </r>
  <r>
    <n v="39596"/>
    <n v="3203601"/>
    <x v="49"/>
    <n v="0.29299999999999998"/>
    <n v="1092063.03"/>
    <n v="0"/>
    <n v="1092063.03"/>
    <n v="12421.7"/>
    <n v="25253.040000000001"/>
    <n v="0.30199999999999999"/>
    <n v="23881.82"/>
    <n v="0"/>
    <n v="0"/>
    <x v="4"/>
    <n v="2"/>
  </r>
  <r>
    <n v="39597"/>
    <n v="3203700"/>
    <x v="50"/>
    <n v="0.51800000000000002"/>
    <n v="1930678.04"/>
    <n v="0"/>
    <n v="1930678.04"/>
    <n v="21960.54"/>
    <n v="55979.91"/>
    <n v="0.69899999999999995"/>
    <n v="42221.11"/>
    <n v="0"/>
    <n v="0"/>
    <x v="4"/>
    <n v="2"/>
  </r>
  <r>
    <n v="39598"/>
    <n v="3203809"/>
    <x v="51"/>
    <n v="0.26700000000000002"/>
    <n v="995156.46"/>
    <n v="0"/>
    <n v="995156.46"/>
    <n v="11319.43"/>
    <n v="52966.68"/>
    <n v="0.56499999999999995"/>
    <n v="21762.62"/>
    <n v="0"/>
    <n v="0"/>
    <x v="4"/>
    <n v="2"/>
  </r>
  <r>
    <n v="39599"/>
    <n v="3203908"/>
    <x v="52"/>
    <n v="1.3089999999999999"/>
    <n v="4878875.58"/>
    <n v="0"/>
    <n v="4878875.58"/>
    <n v="55494.879999999997"/>
    <n v="226251.79"/>
    <n v="1.476"/>
    <n v="106693.88"/>
    <n v="0"/>
    <n v="0"/>
    <x v="4"/>
    <n v="2"/>
  </r>
  <r>
    <n v="39600"/>
    <n v="3204005"/>
    <x v="53"/>
    <n v="0.45400000000000001"/>
    <n v="1692138.65"/>
    <n v="0"/>
    <n v="1692138.65"/>
    <n v="19247.27"/>
    <n v="70200.479999999996"/>
    <n v="0.70899999999999996"/>
    <n v="37004.61"/>
    <n v="0"/>
    <n v="0"/>
    <x v="4"/>
    <n v="2"/>
  </r>
  <r>
    <n v="39601"/>
    <n v="3204054"/>
    <x v="54"/>
    <n v="0.316"/>
    <n v="1177788.1299999999"/>
    <n v="0"/>
    <n v="1177788.1299999999"/>
    <n v="13396.78"/>
    <n v="84983.83"/>
    <n v="0.81"/>
    <n v="25756.5"/>
    <n v="0"/>
    <n v="0"/>
    <x v="4"/>
    <n v="2"/>
  </r>
  <r>
    <n v="39602"/>
    <n v="3204104"/>
    <x v="55"/>
    <n v="0.76200000000000001"/>
    <n v="2840109.37"/>
    <n v="0"/>
    <n v="2840109.37"/>
    <n v="32304.89"/>
    <n v="87244.29"/>
    <n v="0.85099999999999998"/>
    <n v="62109.04"/>
    <n v="0"/>
    <n v="0"/>
    <x v="4"/>
    <n v="2"/>
  </r>
  <r>
    <n v="39603"/>
    <n v="3204203"/>
    <x v="56"/>
    <n v="0.26"/>
    <n v="969066.19"/>
    <n v="0"/>
    <n v="969066.19"/>
    <n v="11022.67"/>
    <n v="213115.5"/>
    <n v="0.753"/>
    <n v="21192.06"/>
    <n v="0"/>
    <n v="0"/>
    <x v="4"/>
    <n v="2"/>
  </r>
  <r>
    <n v="39604"/>
    <n v="3204252"/>
    <x v="57"/>
    <n v="0.214"/>
    <n v="797616.02"/>
    <n v="0"/>
    <n v="797616.02"/>
    <n v="9072.5"/>
    <n v="24368.26"/>
    <n v="0.316"/>
    <n v="17442.7"/>
    <n v="0"/>
    <n v="0"/>
    <x v="4"/>
    <n v="2"/>
  </r>
  <r>
    <n v="39605"/>
    <n v="1718402"/>
    <x v="58"/>
    <n v="0.39100000000000001"/>
    <n v="1457326.48"/>
    <n v="0"/>
    <n v="1457326.48"/>
    <n v="16576.39"/>
    <n v="145427.97"/>
    <n v="0.56399999999999995"/>
    <n v="31869.599999999999"/>
    <n v="0"/>
    <n v="0"/>
    <x v="4"/>
    <n v="2"/>
  </r>
  <r>
    <n v="39606"/>
    <n v="3204351"/>
    <x v="59"/>
    <n v="0.90300000000000002"/>
    <n v="3365641.45"/>
    <n v="0"/>
    <n v="3365641.45"/>
    <n v="38282.57"/>
    <n v="217885.94"/>
    <n v="0.71399999999999997"/>
    <n v="73601.66"/>
    <n v="0"/>
    <n v="0"/>
    <x v="4"/>
    <n v="2"/>
  </r>
  <r>
    <n v="39607"/>
    <n v="3204401"/>
    <x v="60"/>
    <n v="0.25900000000000001"/>
    <n v="965339.01"/>
    <n v="0"/>
    <n v="965339.01"/>
    <n v="10980.27"/>
    <n v="54606.73"/>
    <n v="0.45300000000000001"/>
    <n v="21110.55"/>
    <n v="0"/>
    <n v="0"/>
    <x v="4"/>
    <n v="2"/>
  </r>
  <r>
    <n v="39608"/>
    <n v="3204500"/>
    <x v="61"/>
    <n v="0.52500000000000002"/>
    <n v="1956768.28"/>
    <n v="0"/>
    <n v="1956768.28"/>
    <n v="22257.31"/>
    <n v="69921.039999999994"/>
    <n v="0.47899999999999998"/>
    <n v="42791.66"/>
    <n v="0"/>
    <n v="0"/>
    <x v="4"/>
    <n v="2"/>
  </r>
  <r>
    <n v="39609"/>
    <n v="3204559"/>
    <x v="62"/>
    <n v="2.34"/>
    <n v="8721595.7400000002"/>
    <n v="0"/>
    <n v="8721595.7400000002"/>
    <n v="99203.99"/>
    <n v="627662.6"/>
    <n v="1.236"/>
    <n v="190728.56"/>
    <n v="0"/>
    <n v="0"/>
    <x v="4"/>
    <n v="2"/>
  </r>
  <r>
    <n v="39610"/>
    <n v="3204609"/>
    <x v="63"/>
    <n v="0.629"/>
    <n v="2344394.7599999998"/>
    <n v="0"/>
    <n v="2344394.7599999998"/>
    <n v="26666.37"/>
    <n v="140254.49"/>
    <n v="0.82699999999999996"/>
    <n v="51268.49"/>
    <n v="0"/>
    <n v="0"/>
    <x v="4"/>
    <n v="2"/>
  </r>
  <r>
    <n v="39611"/>
    <n v="3204658"/>
    <x v="64"/>
    <n v="0.40400000000000003"/>
    <n v="1505779.79"/>
    <n v="0"/>
    <n v="1505779.79"/>
    <n v="17127.53"/>
    <n v="59105.4"/>
    <n v="0.34300000000000003"/>
    <n v="32929.21"/>
    <n v="0"/>
    <n v="0"/>
    <x v="4"/>
    <n v="2"/>
  </r>
  <r>
    <n v="39612"/>
    <n v="3204708"/>
    <x v="65"/>
    <n v="0.80200000000000005"/>
    <n v="2989196.49"/>
    <n v="0"/>
    <n v="2989196.49"/>
    <n v="34000.68"/>
    <n v="160362.54"/>
    <n v="1.1040000000000001"/>
    <n v="65369.36"/>
    <n v="0"/>
    <n v="0"/>
    <x v="4"/>
    <n v="2"/>
  </r>
  <r>
    <n v="39613"/>
    <n v="3204807"/>
    <x v="66"/>
    <n v="0.23400000000000001"/>
    <n v="872159.58"/>
    <n v="0"/>
    <n v="872159.58"/>
    <n v="9920.4"/>
    <n v="66059.600000000006"/>
    <n v="0.45"/>
    <n v="19072.86"/>
    <n v="0"/>
    <n v="0"/>
    <x v="4"/>
    <n v="2"/>
  </r>
  <r>
    <n v="39614"/>
    <n v="3204906"/>
    <x v="67"/>
    <n v="1.952"/>
    <n v="7275450.7999999998"/>
    <n v="0"/>
    <n v="7275450.7999999998"/>
    <n v="82754.78"/>
    <n v="866948.67"/>
    <n v="2.9870000000000001"/>
    <n v="159103.48000000001"/>
    <n v="0"/>
    <n v="0"/>
    <x v="4"/>
    <n v="2"/>
  </r>
  <r>
    <n v="39615"/>
    <n v="3204955"/>
    <x v="68"/>
    <n v="0.29699999999999999"/>
    <n v="1106971.79"/>
    <n v="0"/>
    <n v="1106971.79"/>
    <n v="12591.28"/>
    <n v="53785.91"/>
    <n v="0.45"/>
    <n v="24207.86"/>
    <n v="0"/>
    <n v="0"/>
    <x v="4"/>
    <n v="2"/>
  </r>
  <r>
    <n v="39616"/>
    <n v="3205002"/>
    <x v="69"/>
    <n v="14.689"/>
    <n v="54748512.75"/>
    <n v="0"/>
    <n v="54748512.75"/>
    <n v="622738.23"/>
    <n v="2975921.9"/>
    <n v="8.6910000000000007"/>
    <n v="1197270"/>
    <n v="0"/>
    <n v="0"/>
    <x v="4"/>
    <n v="2"/>
  </r>
  <r>
    <n v="39617"/>
    <n v="3205010"/>
    <x v="70"/>
    <n v="0.72799999999999998"/>
    <n v="2713385.35"/>
    <n v="0"/>
    <n v="2713385.35"/>
    <n v="30863.46"/>
    <n v="95831.34"/>
    <n v="0.95199999999999996"/>
    <n v="59337.78"/>
    <n v="0"/>
    <n v="0"/>
    <x v="4"/>
    <n v="2"/>
  </r>
  <r>
    <n v="39618"/>
    <n v="3205036"/>
    <x v="71"/>
    <n v="0.48599999999999999"/>
    <n v="1811408.36"/>
    <n v="0"/>
    <n v="1811408.36"/>
    <n v="20603.91"/>
    <n v="138561.16"/>
    <n v="0.71699999999999997"/>
    <n v="39612.85"/>
    <n v="0"/>
    <n v="0"/>
    <x v="4"/>
    <n v="2"/>
  </r>
  <r>
    <n v="39619"/>
    <n v="3205069"/>
    <x v="72"/>
    <n v="0.61899999999999999"/>
    <n v="2307122.98"/>
    <n v="0"/>
    <n v="2307122.98"/>
    <n v="26242.42"/>
    <n v="214933.3"/>
    <n v="0.85"/>
    <n v="50453.41"/>
    <n v="0"/>
    <n v="0"/>
    <x v="4"/>
    <n v="2"/>
  </r>
  <r>
    <n v="39620"/>
    <n v="2112803"/>
    <x v="73"/>
    <n v="2.823"/>
    <n v="10521822.550000001"/>
    <n v="0"/>
    <n v="10521822.550000001"/>
    <n v="119680.71"/>
    <n v="741251.82"/>
    <n v="1.9590000000000001"/>
    <n v="230096.89"/>
    <n v="0"/>
    <n v="0"/>
    <x v="4"/>
    <n v="2"/>
  </r>
  <r>
    <n v="39621"/>
    <n v="3205150"/>
    <x v="74"/>
    <n v="0.313"/>
    <n v="1166606.6100000001"/>
    <n v="0"/>
    <n v="1166606.6100000001"/>
    <n v="13269.59"/>
    <n v="51652.65"/>
    <n v="0.34699999999999998"/>
    <n v="25511.98"/>
    <n v="0"/>
    <n v="0"/>
    <x v="4"/>
    <n v="2"/>
  </r>
  <r>
    <n v="39622"/>
    <n v="3205176"/>
    <x v="75"/>
    <n v="0.64300000000000002"/>
    <n v="2396575.25"/>
    <n v="0"/>
    <n v="2396575.25"/>
    <n v="27259.9"/>
    <n v="102413.42"/>
    <n v="0.56399999999999995"/>
    <n v="52409.599999999999"/>
    <n v="0"/>
    <n v="0"/>
    <x v="4"/>
    <n v="2"/>
  </r>
  <r>
    <n v="39623"/>
    <n v="3205200"/>
    <x v="76"/>
    <n v="4.97"/>
    <n v="18524073"/>
    <n v="0"/>
    <n v="18524073"/>
    <n v="210702.5"/>
    <n v="3308572.06"/>
    <n v="8.0009999999999994"/>
    <n v="405094.42"/>
    <n v="0"/>
    <n v="0"/>
    <x v="4"/>
    <n v="2"/>
  </r>
  <r>
    <n v="39624"/>
    <n v="3205309"/>
    <x v="77"/>
    <n v="13.843"/>
    <n v="51595320.259999998"/>
    <n v="0"/>
    <n v="51595320.259999998"/>
    <n v="586872.17000000004"/>
    <n v="3806159.68"/>
    <n v="9.2110000000000003"/>
    <n v="1128314.29"/>
    <n v="0"/>
    <n v="0"/>
    <x v="4"/>
    <n v="2"/>
  </r>
  <r>
    <n v="39625"/>
    <n v="3200102"/>
    <x v="0"/>
    <n v="0.73199999999999998"/>
    <n v="2756581.56"/>
    <n v="0"/>
    <n v="2756581.56"/>
    <n v="36458.17"/>
    <n v="238037.91"/>
    <n v="1.0169999999999999"/>
    <n v="60099.47"/>
    <n v="0"/>
    <n v="0"/>
    <x v="4"/>
    <n v="3"/>
  </r>
  <r>
    <n v="39626"/>
    <n v="3200169"/>
    <x v="1"/>
    <n v="0.28199999999999997"/>
    <n v="1061961.72"/>
    <n v="0"/>
    <n v="1061961.72"/>
    <n v="14045.36"/>
    <n v="59448.66"/>
    <n v="0.46500000000000002"/>
    <n v="23153.08"/>
    <n v="0"/>
    <n v="0"/>
    <x v="4"/>
    <n v="3"/>
  </r>
  <r>
    <n v="39627"/>
    <n v="3200136"/>
    <x v="2"/>
    <n v="0.46"/>
    <n v="1732278.02"/>
    <n v="0"/>
    <n v="1732278.02"/>
    <n v="22910.87"/>
    <n v="85981.26"/>
    <n v="0.35799999999999998"/>
    <n v="37767.42"/>
    <n v="0"/>
    <n v="0"/>
    <x v="4"/>
    <n v="3"/>
  </r>
  <r>
    <n v="39628"/>
    <n v="3200201"/>
    <x v="3"/>
    <n v="0.46800000000000003"/>
    <n v="1762404.59"/>
    <n v="0"/>
    <n v="1762404.59"/>
    <n v="23309.32"/>
    <n v="174770.14"/>
    <n v="0.98699999999999999"/>
    <n v="38424.25"/>
    <n v="0"/>
    <n v="0"/>
    <x v="4"/>
    <n v="3"/>
  </r>
  <r>
    <n v="39629"/>
    <n v="3200300"/>
    <x v="4"/>
    <n v="0.45800000000000002"/>
    <n v="1724746.36"/>
    <n v="0"/>
    <n v="1724746.36"/>
    <n v="22811.26"/>
    <n v="226461.35"/>
    <n v="0.56599999999999995"/>
    <n v="37603.22"/>
    <n v="0"/>
    <n v="0"/>
    <x v="4"/>
    <n v="3"/>
  </r>
  <r>
    <n v="39630"/>
    <n v="3200359"/>
    <x v="5"/>
    <n v="0.23"/>
    <n v="866139"/>
    <n v="0"/>
    <n v="866139"/>
    <n v="11455.44"/>
    <n v="31667.71"/>
    <n v="0.32800000000000001"/>
    <n v="18883.71"/>
    <n v="0"/>
    <n v="0"/>
    <x v="4"/>
    <n v="3"/>
  </r>
  <r>
    <n v="39631"/>
    <n v="3200409"/>
    <x v="6"/>
    <n v="4.2549999999999999"/>
    <n v="16023571.609999999"/>
    <n v="0"/>
    <n v="16023571.609999999"/>
    <n v="211925.57"/>
    <n v="249698.86"/>
    <n v="0.93"/>
    <n v="349348.68"/>
    <n v="0"/>
    <n v="0"/>
    <x v="4"/>
    <n v="3"/>
  </r>
  <r>
    <n v="39632"/>
    <n v="3200508"/>
    <x v="7"/>
    <n v="0.188"/>
    <n v="707974.48"/>
    <n v="0"/>
    <n v="707974.48"/>
    <n v="9363.57"/>
    <n v="106189.34"/>
    <n v="0.32500000000000001"/>
    <n v="15435.38"/>
    <n v="0"/>
    <n v="0"/>
    <x v="4"/>
    <n v="3"/>
  </r>
  <r>
    <n v="39633"/>
    <n v="3200607"/>
    <x v="8"/>
    <n v="3.7869999999999999"/>
    <n v="14261167.029999999"/>
    <n v="0"/>
    <n v="14261167.029999999"/>
    <n v="188616.25"/>
    <n v="587427.28"/>
    <n v="2.456"/>
    <n v="310924.42"/>
    <n v="0"/>
    <n v="0"/>
    <x v="4"/>
    <n v="3"/>
  </r>
  <r>
    <n v="39634"/>
    <n v="3200706"/>
    <x v="9"/>
    <n v="0.32400000000000001"/>
    <n v="1220126.24"/>
    <n v="0"/>
    <n v="1220126.24"/>
    <n v="16137.22"/>
    <n v="64288.88"/>
    <n v="0.44600000000000001"/>
    <n v="26601.4"/>
    <n v="0"/>
    <n v="0"/>
    <x v="4"/>
    <n v="3"/>
  </r>
  <r>
    <n v="39635"/>
    <n v="3200805"/>
    <x v="10"/>
    <n v="0.59299999999999997"/>
    <n v="2233132.2999999998"/>
    <n v="0"/>
    <n v="2233132.2999999998"/>
    <n v="29535.1"/>
    <n v="351014.7"/>
    <n v="1.016"/>
    <n v="48687.13"/>
    <n v="0"/>
    <n v="0"/>
    <x v="4"/>
    <n v="3"/>
  </r>
  <r>
    <n v="39636"/>
    <n v="3200904"/>
    <x v="11"/>
    <n v="0.88400000000000001"/>
    <n v="3328986.44"/>
    <n v="0"/>
    <n v="3328986.44"/>
    <n v="44028.72"/>
    <n v="486533.84"/>
    <n v="1.3140000000000001"/>
    <n v="72579.13"/>
    <n v="0"/>
    <n v="0"/>
    <x v="4"/>
    <n v="3"/>
  </r>
  <r>
    <n v="39637"/>
    <n v="3107109"/>
    <x v="12"/>
    <n v="0.41899999999999998"/>
    <n v="1577879.32"/>
    <n v="0"/>
    <n v="1577879.32"/>
    <n v="20868.82"/>
    <n v="85487.53"/>
    <n v="0.56299999999999994"/>
    <n v="34401.199999999997"/>
    <n v="0"/>
    <n v="0"/>
    <x v="4"/>
    <n v="3"/>
  </r>
  <r>
    <n v="39638"/>
    <n v="3201100"/>
    <x v="13"/>
    <n v="0.16700000000000001"/>
    <n v="628892.23"/>
    <n v="0"/>
    <n v="628892.23"/>
    <n v="8317.64"/>
    <n v="302978.15000000002"/>
    <n v="0.442"/>
    <n v="13711.21"/>
    <n v="0"/>
    <n v="0"/>
    <x v="4"/>
    <n v="3"/>
  </r>
  <r>
    <n v="39639"/>
    <n v="3201159"/>
    <x v="14"/>
    <n v="0.41599999999999998"/>
    <n v="1566581.85"/>
    <n v="0"/>
    <n v="1566581.85"/>
    <n v="20719.400000000001"/>
    <n v="106088.76"/>
    <n v="0.47799999999999998"/>
    <n v="34154.89"/>
    <n v="0"/>
    <n v="0"/>
    <x v="4"/>
    <n v="3"/>
  </r>
  <r>
    <n v="39640"/>
    <n v="3201209"/>
    <x v="15"/>
    <n v="2.7570000000000001"/>
    <n v="10382370.619999999"/>
    <n v="0"/>
    <n v="10382370.619999999"/>
    <n v="137315.82"/>
    <n v="1748122.38"/>
    <n v="4.3239999999999998"/>
    <n v="226358.24"/>
    <n v="0"/>
    <n v="0"/>
    <x v="4"/>
    <n v="3"/>
  </r>
  <r>
    <n v="39641"/>
    <n v="3201308"/>
    <x v="16"/>
    <n v="7.1219999999999999"/>
    <n v="26820182.66"/>
    <n v="0"/>
    <n v="26820182.66"/>
    <n v="354720.07"/>
    <n v="4066690.84"/>
    <n v="6.5110000000000001"/>
    <n v="584738.25"/>
    <n v="0"/>
    <n v="0"/>
    <x v="4"/>
    <n v="3"/>
  </r>
  <r>
    <n v="39642"/>
    <n v="3201407"/>
    <x v="17"/>
    <n v="0.82899999999999996"/>
    <n v="3121866.25"/>
    <n v="0"/>
    <n v="3121866.25"/>
    <n v="41289.379999999997"/>
    <n v="518897.97"/>
    <n v="1.165"/>
    <n v="68063.47"/>
    <n v="0"/>
    <n v="0"/>
    <x v="4"/>
    <n v="3"/>
  </r>
  <r>
    <n v="39643"/>
    <n v="3201506"/>
    <x v="18"/>
    <n v="2.141"/>
    <n v="8062624.4000000004"/>
    <n v="0"/>
    <n v="8062624.4000000004"/>
    <n v="106635.17"/>
    <n v="1143004.46"/>
    <n v="2.875"/>
    <n v="175782.73"/>
    <n v="0"/>
    <n v="0"/>
    <x v="4"/>
    <n v="3"/>
  </r>
  <r>
    <n v="39644"/>
    <n v="3201605"/>
    <x v="19"/>
    <n v="0.76100000000000001"/>
    <n v="2865790.37"/>
    <n v="0"/>
    <n v="2865790.37"/>
    <n v="37902.550000000003"/>
    <n v="133472.91"/>
    <n v="0.96399999999999997"/>
    <n v="62480.45"/>
    <n v="0"/>
    <n v="0"/>
    <x v="4"/>
    <n v="3"/>
  </r>
  <r>
    <n v="39645"/>
    <n v="3201704"/>
    <x v="20"/>
    <n v="0.40500000000000003"/>
    <n v="1525157.83"/>
    <n v="0"/>
    <n v="1525157.83"/>
    <n v="20171.53"/>
    <n v="109219.65"/>
    <n v="0.46400000000000002"/>
    <n v="33251.760000000002"/>
    <n v="0"/>
    <n v="0"/>
    <x v="4"/>
    <n v="3"/>
  </r>
  <r>
    <n v="39646"/>
    <n v="3201803"/>
    <x v="21"/>
    <n v="0.18"/>
    <n v="677847.91"/>
    <n v="0"/>
    <n v="677847.91"/>
    <n v="8965.1200000000008"/>
    <n v="27441.16"/>
    <n v="0.29699999999999999"/>
    <n v="14778.56"/>
    <n v="0"/>
    <n v="0"/>
    <x v="4"/>
    <n v="3"/>
  </r>
  <r>
    <n v="39647"/>
    <n v="3201902"/>
    <x v="22"/>
    <n v="1.2070000000000001"/>
    <n v="4545346.88"/>
    <n v="0"/>
    <n v="4545346.88"/>
    <n v="60116.14"/>
    <n v="442211.15"/>
    <n v="1.0780000000000001"/>
    <n v="99098.43"/>
    <n v="0"/>
    <n v="0"/>
    <x v="4"/>
    <n v="3"/>
  </r>
  <r>
    <n v="39648"/>
    <n v="3202009"/>
    <x v="23"/>
    <n v="0.25800000000000001"/>
    <n v="971582.02"/>
    <n v="0"/>
    <n v="971582.02"/>
    <n v="12850.01"/>
    <n v="153050.49"/>
    <n v="0.317"/>
    <n v="21182.6"/>
    <n v="0"/>
    <n v="0"/>
    <x v="4"/>
    <n v="3"/>
  </r>
  <r>
    <n v="39649"/>
    <n v="3202108"/>
    <x v="24"/>
    <n v="0.7"/>
    <n v="2636075.23"/>
    <n v="0"/>
    <n v="2636075.23"/>
    <n v="34864.370000000003"/>
    <n v="102803.3"/>
    <n v="0.81599999999999995"/>
    <n v="57472.17"/>
    <n v="0"/>
    <n v="0"/>
    <x v="4"/>
    <n v="3"/>
  </r>
  <r>
    <n v="39650"/>
    <n v="3202207"/>
    <x v="25"/>
    <n v="0.26800000000000002"/>
    <n v="1009240.24"/>
    <n v="0"/>
    <n v="1009240.24"/>
    <n v="13348.07"/>
    <n v="125005.07"/>
    <n v="0.69699999999999995"/>
    <n v="22003.63"/>
    <n v="0"/>
    <n v="0"/>
    <x v="4"/>
    <n v="3"/>
  </r>
  <r>
    <n v="39651"/>
    <n v="3202256"/>
    <x v="26"/>
    <n v="0.48899999999999999"/>
    <n v="1841486.84"/>
    <n v="0"/>
    <n v="1841486.84"/>
    <n v="24355.25"/>
    <n v="121886.07"/>
    <n v="0.45200000000000001"/>
    <n v="40148.410000000003"/>
    <n v="0"/>
    <n v="0"/>
    <x v="4"/>
    <n v="3"/>
  </r>
  <r>
    <n v="39652"/>
    <n v="3202306"/>
    <x v="27"/>
    <n v="0.33700000000000002"/>
    <n v="1269081.93"/>
    <n v="0"/>
    <n v="1269081.93"/>
    <n v="16784.7"/>
    <n v="337737.37"/>
    <n v="0.98899999999999999"/>
    <n v="27668.74"/>
    <n v="0"/>
    <n v="0"/>
    <x v="4"/>
    <n v="3"/>
  </r>
  <r>
    <n v="39653"/>
    <n v="3202405"/>
    <x v="28"/>
    <n v="0.72499999999999998"/>
    <n v="2730220.79"/>
    <n v="0"/>
    <n v="2730220.79"/>
    <n v="36109.53"/>
    <n v="2244446.79"/>
    <n v="2.9359999999999999"/>
    <n v="59524.75"/>
    <n v="0"/>
    <n v="0"/>
    <x v="4"/>
    <n v="3"/>
  </r>
  <r>
    <n v="39654"/>
    <n v="3202454"/>
    <x v="29"/>
    <n v="0.33300000000000002"/>
    <n v="1254018.6599999999"/>
    <n v="0"/>
    <n v="1254018.6599999999"/>
    <n v="16585.48"/>
    <n v="319542.73"/>
    <n v="0.87"/>
    <n v="27340.34"/>
    <n v="0"/>
    <n v="0"/>
    <x v="4"/>
    <n v="3"/>
  </r>
  <r>
    <n v="39655"/>
    <n v="3202504"/>
    <x v="30"/>
    <n v="0.22700000000000001"/>
    <n v="854841.53"/>
    <n v="0"/>
    <n v="854841.53"/>
    <n v="11306.02"/>
    <n v="65931.98"/>
    <n v="0.46100000000000002"/>
    <n v="18637.400000000001"/>
    <n v="0"/>
    <n v="0"/>
    <x v="4"/>
    <n v="3"/>
  </r>
  <r>
    <n v="39656"/>
    <n v="3202553"/>
    <x v="31"/>
    <n v="0.23400000000000001"/>
    <n v="881202.27"/>
    <n v="0"/>
    <n v="881202.27"/>
    <n v="11654.66"/>
    <n v="46672.77"/>
    <n v="0.35499999999999998"/>
    <n v="19212.13"/>
    <n v="0"/>
    <n v="0"/>
    <x v="4"/>
    <n v="3"/>
  </r>
  <r>
    <n v="39657"/>
    <n v="3202603"/>
    <x v="32"/>
    <n v="0.28699999999999998"/>
    <n v="1080790.8400000001"/>
    <n v="0"/>
    <n v="1080790.8400000001"/>
    <n v="14294.39"/>
    <n v="192868.68"/>
    <n v="0.53700000000000003"/>
    <n v="23563.58"/>
    <n v="0"/>
    <n v="0"/>
    <x v="4"/>
    <n v="3"/>
  </r>
  <r>
    <n v="39658"/>
    <n v="3202652"/>
    <x v="33"/>
    <n v="0.28799999999999998"/>
    <n v="1084556.6599999999"/>
    <n v="0"/>
    <n v="1084556.6599999999"/>
    <n v="14344.2"/>
    <n v="125978.71"/>
    <n v="0.56399999999999995"/>
    <n v="23645.69"/>
    <n v="0"/>
    <n v="0"/>
    <x v="4"/>
    <n v="3"/>
  </r>
  <r>
    <n v="39659"/>
    <n v="3202702"/>
    <x v="34"/>
    <n v="0.33800000000000002"/>
    <n v="1272847.75"/>
    <n v="0"/>
    <n v="1272847.75"/>
    <n v="16834.509999999998"/>
    <n v="85427.03"/>
    <n v="0.56200000000000006"/>
    <n v="27750.84"/>
    <n v="0"/>
    <n v="0"/>
    <x v="4"/>
    <n v="3"/>
  </r>
  <r>
    <n v="39660"/>
    <n v="3202801"/>
    <x v="35"/>
    <n v="3.8050000000000002"/>
    <n v="14328951.82"/>
    <n v="0"/>
    <n v="14328951.82"/>
    <n v="189512.76"/>
    <n v="249120.8"/>
    <n v="1.2130000000000001"/>
    <n v="312402.28000000003"/>
    <n v="0"/>
    <n v="0"/>
    <x v="4"/>
    <n v="3"/>
  </r>
  <r>
    <n v="39661"/>
    <n v="3202900"/>
    <x v="36"/>
    <n v="0.35299999999999998"/>
    <n v="1329335.1000000001"/>
    <n v="0"/>
    <n v="1329335.1000000001"/>
    <n v="17581.599999999999"/>
    <n v="152989.99"/>
    <n v="0.44600000000000001"/>
    <n v="28982.400000000001"/>
    <n v="0"/>
    <n v="0"/>
    <x v="4"/>
    <n v="3"/>
  </r>
  <r>
    <n v="39662"/>
    <n v="3203007"/>
    <x v="37"/>
    <n v="0.46899999999999997"/>
    <n v="1766170.4"/>
    <n v="0"/>
    <n v="1766170.4"/>
    <n v="23359.13"/>
    <n v="232512.64000000001"/>
    <n v="0.91200000000000003"/>
    <n v="38506.35"/>
    <n v="0"/>
    <n v="0"/>
    <x v="4"/>
    <n v="3"/>
  </r>
  <r>
    <n v="39663"/>
    <n v="3203056"/>
    <x v="38"/>
    <n v="1.0740000000000001"/>
    <n v="4044492.56"/>
    <n v="0"/>
    <n v="4044492.56"/>
    <n v="53491.91"/>
    <n v="270754.94"/>
    <n v="0.98399999999999999"/>
    <n v="88178.73"/>
    <n v="0"/>
    <n v="0"/>
    <x v="4"/>
    <n v="3"/>
  </r>
  <r>
    <n v="39664"/>
    <n v="3203106"/>
    <x v="39"/>
    <n v="0.20100000000000001"/>
    <n v="756930.19"/>
    <n v="0"/>
    <n v="756930.19"/>
    <n v="10011.06"/>
    <n v="56913.21"/>
    <n v="0.45900000000000002"/>
    <n v="16502.72"/>
    <n v="0"/>
    <n v="0"/>
    <x v="4"/>
    <n v="3"/>
  </r>
  <r>
    <n v="39665"/>
    <n v="3203130"/>
    <x v="40"/>
    <n v="0.38300000000000001"/>
    <n v="1442309.77"/>
    <n v="0"/>
    <n v="1442309.77"/>
    <n v="19075.79"/>
    <n v="147161.35999999999"/>
    <n v="0.63600000000000001"/>
    <n v="31445.49"/>
    <n v="0"/>
    <n v="0"/>
    <x v="4"/>
    <n v="3"/>
  </r>
  <r>
    <n v="39666"/>
    <n v="3203163"/>
    <x v="41"/>
    <n v="0.377"/>
    <n v="1419714.82"/>
    <n v="0"/>
    <n v="1419714.82"/>
    <n v="18776.95"/>
    <n v="116829.15"/>
    <n v="0.45300000000000001"/>
    <n v="30952.87"/>
    <n v="0"/>
    <n v="0"/>
    <x v="4"/>
    <n v="3"/>
  </r>
  <r>
    <n v="39667"/>
    <n v="3203205"/>
    <x v="42"/>
    <n v="4.6500000000000004"/>
    <n v="17511071.239999998"/>
    <n v="0"/>
    <n v="17511071.239999998"/>
    <n v="231599.04"/>
    <n v="1582600.48"/>
    <n v="4.0759999999999996"/>
    <n v="381779.4"/>
    <n v="0"/>
    <n v="0"/>
    <x v="4"/>
    <n v="3"/>
  </r>
  <r>
    <n v="39668"/>
    <n v="3203304"/>
    <x v="43"/>
    <n v="0.25"/>
    <n v="941455.44"/>
    <n v="0"/>
    <n v="941455.44"/>
    <n v="12451.56"/>
    <n v="107900.49"/>
    <n v="0.54300000000000004"/>
    <n v="20525.77"/>
    <n v="0"/>
    <n v="0"/>
    <x v="4"/>
    <n v="3"/>
  </r>
  <r>
    <n v="39669"/>
    <n v="3203320"/>
    <x v="44"/>
    <n v="0.61599999999999999"/>
    <n v="2319746.21"/>
    <n v="0"/>
    <n v="2319746.21"/>
    <n v="30680.65"/>
    <n v="339815.27"/>
    <n v="1.24"/>
    <n v="50575.51"/>
    <n v="0"/>
    <n v="0"/>
    <x v="4"/>
    <n v="3"/>
  </r>
  <r>
    <n v="39670"/>
    <n v="3203346"/>
    <x v="45"/>
    <n v="0.56699999999999995"/>
    <n v="2135220.9300000002"/>
    <n v="0"/>
    <n v="2135220.9300000002"/>
    <n v="28240.14"/>
    <n v="188121.74"/>
    <n v="0.69199999999999995"/>
    <n v="46552.45"/>
    <n v="0"/>
    <n v="0"/>
    <x v="4"/>
    <n v="3"/>
  </r>
  <r>
    <n v="39671"/>
    <n v="3203353"/>
    <x v="46"/>
    <n v="0.46"/>
    <n v="1732278.02"/>
    <n v="0"/>
    <n v="1732278.02"/>
    <n v="22910.87"/>
    <n v="238600.23"/>
    <n v="0.47"/>
    <n v="37767.42"/>
    <n v="0"/>
    <n v="0"/>
    <x v="4"/>
    <n v="3"/>
  </r>
  <r>
    <n v="39672"/>
    <n v="3203403"/>
    <x v="47"/>
    <n v="0.47499999999999998"/>
    <n v="1788765.35"/>
    <n v="0"/>
    <n v="1788765.35"/>
    <n v="23657.97"/>
    <n v="155688.60999999999"/>
    <n v="0.85899999999999999"/>
    <n v="38998.97"/>
    <n v="0"/>
    <n v="0"/>
    <x v="4"/>
    <n v="3"/>
  </r>
  <r>
    <n v="39673"/>
    <n v="3203502"/>
    <x v="48"/>
    <n v="0.52800000000000002"/>
    <n v="1988353.9"/>
    <n v="0"/>
    <n v="1988353.9"/>
    <n v="26297.7"/>
    <n v="129196.75"/>
    <n v="0.70899999999999996"/>
    <n v="43350.44"/>
    <n v="0"/>
    <n v="0"/>
    <x v="4"/>
    <n v="3"/>
  </r>
  <r>
    <n v="39674"/>
    <n v="3203601"/>
    <x v="49"/>
    <n v="0.29299999999999998"/>
    <n v="1103385.78"/>
    <n v="0"/>
    <n v="1103385.78"/>
    <n v="14593.23"/>
    <n v="40163.730000000003"/>
    <n v="0.30199999999999999"/>
    <n v="24056.21"/>
    <n v="0"/>
    <n v="0"/>
    <x v="4"/>
    <n v="3"/>
  </r>
  <r>
    <n v="39675"/>
    <n v="3203700"/>
    <x v="50"/>
    <n v="0.51800000000000002"/>
    <n v="1950695.68"/>
    <n v="0"/>
    <n v="1950695.68"/>
    <n v="25799.63"/>
    <n v="96364.47"/>
    <n v="0.69899999999999995"/>
    <n v="42529.4"/>
    <n v="0"/>
    <n v="0"/>
    <x v="4"/>
    <n v="3"/>
  </r>
  <r>
    <n v="39676"/>
    <n v="3203809"/>
    <x v="51"/>
    <n v="0.26700000000000002"/>
    <n v="1005474.41"/>
    <n v="0"/>
    <n v="1005474.41"/>
    <n v="13298.27"/>
    <n v="78699.09"/>
    <n v="0.56499999999999995"/>
    <n v="21921.52"/>
    <n v="0"/>
    <n v="0"/>
    <x v="4"/>
    <n v="3"/>
  </r>
  <r>
    <n v="39677"/>
    <n v="3203908"/>
    <x v="52"/>
    <n v="1.3089999999999999"/>
    <n v="4929460.67"/>
    <n v="0"/>
    <n v="4929460.67"/>
    <n v="65196.37"/>
    <n v="411815.67999999999"/>
    <n v="1.476"/>
    <n v="107472.95"/>
    <n v="0"/>
    <n v="0"/>
    <x v="4"/>
    <n v="3"/>
  </r>
  <r>
    <n v="39678"/>
    <n v="3204005"/>
    <x v="53"/>
    <n v="0.45400000000000001"/>
    <n v="1709683.08"/>
    <n v="0"/>
    <n v="1709683.08"/>
    <n v="22612.03"/>
    <n v="104696.86"/>
    <n v="0.70899999999999996"/>
    <n v="37274.81"/>
    <n v="0"/>
    <n v="0"/>
    <x v="4"/>
    <n v="3"/>
  </r>
  <r>
    <n v="39679"/>
    <n v="3204054"/>
    <x v="54"/>
    <n v="0.316"/>
    <n v="1189999.68"/>
    <n v="0"/>
    <n v="1189999.68"/>
    <n v="15738.77"/>
    <n v="106518.42"/>
    <n v="0.81"/>
    <n v="25944.58"/>
    <n v="0"/>
    <n v="0"/>
    <x v="4"/>
    <n v="3"/>
  </r>
  <r>
    <n v="39680"/>
    <n v="3204104"/>
    <x v="55"/>
    <n v="0.76200000000000001"/>
    <n v="2869556.19"/>
    <n v="0"/>
    <n v="2869556.19"/>
    <n v="37952.36"/>
    <n v="104857.71"/>
    <n v="0.85099999999999998"/>
    <n v="62562.559999999998"/>
    <n v="0"/>
    <n v="0"/>
    <x v="4"/>
    <n v="3"/>
  </r>
  <r>
    <n v="39681"/>
    <n v="3204203"/>
    <x v="56"/>
    <n v="0.26"/>
    <n v="979113.65"/>
    <n v="0"/>
    <n v="979113.65"/>
    <n v="12949.62"/>
    <n v="307672.7"/>
    <n v="0.753"/>
    <n v="21346.81"/>
    <n v="0"/>
    <n v="0"/>
    <x v="4"/>
    <n v="3"/>
  </r>
  <r>
    <n v="39682"/>
    <n v="3204252"/>
    <x v="57"/>
    <n v="0.214"/>
    <n v="805885.85"/>
    <n v="0"/>
    <n v="805885.85"/>
    <n v="10658.54"/>
    <n v="43593.68"/>
    <n v="0.316"/>
    <n v="17570.060000000001"/>
    <n v="0"/>
    <n v="0"/>
    <x v="4"/>
    <n v="3"/>
  </r>
  <r>
    <n v="39683"/>
    <n v="1718402"/>
    <x v="58"/>
    <n v="0.39100000000000001"/>
    <n v="1472436.32"/>
    <n v="0"/>
    <n v="1472436.32"/>
    <n v="19474.240000000002"/>
    <n v="190318.1"/>
    <n v="0.56399999999999995"/>
    <n v="32102.31"/>
    <n v="0"/>
    <n v="0"/>
    <x v="4"/>
    <n v="3"/>
  </r>
  <r>
    <n v="39684"/>
    <n v="3204351"/>
    <x v="59"/>
    <n v="0.90300000000000002"/>
    <n v="3400537.06"/>
    <n v="0"/>
    <n v="3400537.06"/>
    <n v="44975.040000000001"/>
    <n v="309572.83"/>
    <n v="0.71399999999999997"/>
    <n v="74139.100000000006"/>
    <n v="0"/>
    <n v="0"/>
    <x v="4"/>
    <n v="3"/>
  </r>
  <r>
    <n v="39685"/>
    <n v="3204401"/>
    <x v="60"/>
    <n v="0.25900000000000001"/>
    <n v="975347.84"/>
    <n v="0"/>
    <n v="975347.84"/>
    <n v="12899.82"/>
    <n v="80864.89"/>
    <n v="0.45300000000000001"/>
    <n v="21264.71"/>
    <n v="0"/>
    <n v="0"/>
    <x v="4"/>
    <n v="3"/>
  </r>
  <r>
    <n v="39686"/>
    <n v="3204500"/>
    <x v="61"/>
    <n v="0.52500000000000002"/>
    <n v="1977056.44"/>
    <n v="0"/>
    <n v="1977056.44"/>
    <n v="26148.28"/>
    <n v="110470.48"/>
    <n v="0.47899999999999998"/>
    <n v="43104.13"/>
    <n v="0"/>
    <n v="0"/>
    <x v="4"/>
    <n v="3"/>
  </r>
  <r>
    <n v="39687"/>
    <n v="3204559"/>
    <x v="62"/>
    <n v="2.34"/>
    <n v="8812022.9399999995"/>
    <n v="0"/>
    <n v="8812022.9399999995"/>
    <n v="116546.61"/>
    <n v="832934.83"/>
    <n v="1.236"/>
    <n v="192121.25"/>
    <n v="0"/>
    <n v="0"/>
    <x v="4"/>
    <n v="3"/>
  </r>
  <r>
    <n v="39688"/>
    <n v="3204609"/>
    <x v="63"/>
    <n v="0.629"/>
    <n v="2368701.9"/>
    <n v="0"/>
    <n v="2368701.9"/>
    <n v="31328.13"/>
    <n v="286406.58"/>
    <n v="0.82699999999999996"/>
    <n v="51642.85"/>
    <n v="0"/>
    <n v="0"/>
    <x v="4"/>
    <n v="3"/>
  </r>
  <r>
    <n v="39689"/>
    <n v="3204658"/>
    <x v="64"/>
    <n v="0.40400000000000003"/>
    <n v="1521391.97"/>
    <n v="0"/>
    <n v="1521391.97"/>
    <n v="20121.72"/>
    <n v="99763.56"/>
    <n v="0.34300000000000003"/>
    <n v="33169.65"/>
    <n v="0"/>
    <n v="0"/>
    <x v="4"/>
    <n v="3"/>
  </r>
  <r>
    <n v="39690"/>
    <n v="3204708"/>
    <x v="65"/>
    <n v="0.80200000000000005"/>
    <n v="3020189.06"/>
    <n v="0"/>
    <n v="3020189.06"/>
    <n v="39944.61"/>
    <n v="301168.09999999998"/>
    <n v="1.1040000000000001"/>
    <n v="65846.69"/>
    <n v="0"/>
    <n v="0"/>
    <x v="4"/>
    <n v="3"/>
  </r>
  <r>
    <n v="39691"/>
    <n v="3204807"/>
    <x v="66"/>
    <n v="0.23400000000000001"/>
    <n v="881202.27"/>
    <n v="0"/>
    <n v="881202.27"/>
    <n v="11654.66"/>
    <n v="85225.82"/>
    <n v="0.45"/>
    <n v="19212.13"/>
    <n v="0"/>
    <n v="0"/>
    <x v="4"/>
    <n v="3"/>
  </r>
  <r>
    <n v="39692"/>
    <n v="3204906"/>
    <x v="67"/>
    <n v="1.952"/>
    <n v="7350884.0999999996"/>
    <n v="0"/>
    <n v="7350884.0999999996"/>
    <n v="97221.79"/>
    <n v="892584.57"/>
    <n v="2.9870000000000001"/>
    <n v="160265.24"/>
    <n v="0"/>
    <n v="0"/>
    <x v="4"/>
    <n v="3"/>
  </r>
  <r>
    <n v="39693"/>
    <n v="3204955"/>
    <x v="68"/>
    <n v="0.29699999999999999"/>
    <n v="1118449.0900000001"/>
    <n v="0"/>
    <n v="1118449.0900000001"/>
    <n v="14792.45"/>
    <n v="105766.99"/>
    <n v="0.45"/>
    <n v="24384.62"/>
    <n v="0"/>
    <n v="0"/>
    <x v="4"/>
    <n v="3"/>
  </r>
  <r>
    <n v="39694"/>
    <n v="3205002"/>
    <x v="69"/>
    <n v="14.689"/>
    <n v="55316155.969999999"/>
    <n v="0"/>
    <n v="55316155.969999999"/>
    <n v="731603.92"/>
    <n v="3609642.61"/>
    <n v="8.6910000000000007"/>
    <n v="1206012.3700000001"/>
    <n v="0"/>
    <n v="0"/>
    <x v="4"/>
    <n v="3"/>
  </r>
  <r>
    <n v="39695"/>
    <n v="3205010"/>
    <x v="70"/>
    <n v="0.72799999999999998"/>
    <n v="2741518.27"/>
    <n v="0"/>
    <n v="2741518.27"/>
    <n v="36258.949999999997"/>
    <n v="161539.45000000001"/>
    <n v="0.95199999999999996"/>
    <n v="59771.06"/>
    <n v="0"/>
    <n v="0"/>
    <x v="4"/>
    <n v="3"/>
  </r>
  <r>
    <n v="39696"/>
    <n v="3205036"/>
    <x v="71"/>
    <n v="0.48599999999999999"/>
    <n v="1830189.37"/>
    <n v="0"/>
    <n v="1830189.37"/>
    <n v="24205.83"/>
    <n v="160712.74"/>
    <n v="0.71699999999999997"/>
    <n v="39902.1"/>
    <n v="0"/>
    <n v="0"/>
    <x v="4"/>
    <n v="3"/>
  </r>
  <r>
    <n v="39697"/>
    <n v="3205069"/>
    <x v="72"/>
    <n v="0.61899999999999999"/>
    <n v="2331043.65"/>
    <n v="0"/>
    <n v="2331043.65"/>
    <n v="30830.07"/>
    <n v="406022.25"/>
    <n v="0.85"/>
    <n v="50821.82"/>
    <n v="0"/>
    <n v="0"/>
    <x v="4"/>
    <n v="3"/>
  </r>
  <r>
    <n v="39698"/>
    <n v="2112803"/>
    <x v="73"/>
    <n v="2.823"/>
    <n v="10630914.85"/>
    <n v="0"/>
    <n v="10630914.85"/>
    <n v="140603.03"/>
    <n v="701423.25"/>
    <n v="1.9590000000000001"/>
    <n v="231777.04"/>
    <n v="0"/>
    <n v="0"/>
    <x v="4"/>
    <n v="3"/>
  </r>
  <r>
    <n v="39699"/>
    <n v="3205150"/>
    <x v="74"/>
    <n v="0.313"/>
    <n v="1178702.2"/>
    <n v="0"/>
    <n v="1178702.2"/>
    <n v="15589.35"/>
    <n v="82321.56"/>
    <n v="0.34699999999999998"/>
    <n v="25698.27"/>
    <n v="0"/>
    <n v="0"/>
    <x v="4"/>
    <n v="3"/>
  </r>
  <r>
    <n v="39700"/>
    <n v="3205176"/>
    <x v="75"/>
    <n v="0.64300000000000002"/>
    <n v="2421423.41"/>
    <n v="0"/>
    <n v="2421423.41"/>
    <n v="32025.42"/>
    <n v="183135.83"/>
    <n v="0.56399999999999995"/>
    <n v="52792.29"/>
    <n v="0"/>
    <n v="0"/>
    <x v="4"/>
    <n v="3"/>
  </r>
  <r>
    <n v="39701"/>
    <n v="3205200"/>
    <x v="76"/>
    <n v="4.97"/>
    <n v="18716134.199999999"/>
    <n v="0"/>
    <n v="18716134.199999999"/>
    <n v="247537.03"/>
    <n v="4897441.7"/>
    <n v="8.0009999999999994"/>
    <n v="408052.39"/>
    <n v="0"/>
    <n v="0"/>
    <x v="4"/>
    <n v="3"/>
  </r>
  <r>
    <n v="39702"/>
    <n v="3205309"/>
    <x v="77"/>
    <n v="13.843"/>
    <n v="52130270.829999998"/>
    <n v="0"/>
    <n v="52130270.829999998"/>
    <n v="689467.84"/>
    <n v="6861238.0999999996"/>
    <n v="9.2110000000000003"/>
    <n v="1136553.0900000001"/>
    <n v="0"/>
    <n v="0"/>
    <x v="4"/>
    <n v="3"/>
  </r>
  <r>
    <n v="39703"/>
    <n v="3200102"/>
    <x v="0"/>
    <n v="0"/>
    <n v="3247344.21"/>
    <n v="0"/>
    <n v="3247344.21"/>
    <n v="31528.99"/>
    <n v="1066570.0900000001"/>
    <n v="1.0169999999999999"/>
    <n v="59694.32"/>
    <n v="11278.76"/>
    <n v="0"/>
    <x v="4"/>
    <n v="4"/>
  </r>
  <r>
    <n v="39704"/>
    <n v="3200169"/>
    <x v="1"/>
    <n v="0"/>
    <n v="1251026.05"/>
    <n v="0"/>
    <n v="1251026.05"/>
    <n v="12146.42"/>
    <n v="313660.2"/>
    <n v="0.46500000000000002"/>
    <n v="22996.99"/>
    <n v="5161.87"/>
    <n v="0"/>
    <x v="4"/>
    <n v="4"/>
  </r>
  <r>
    <n v="39705"/>
    <n v="3200136"/>
    <x v="2"/>
    <n v="0.46"/>
    <n v="2040680.79"/>
    <n v="0"/>
    <n v="2040680.79"/>
    <n v="19813.3"/>
    <n v="418827.91"/>
    <n v="0.35799999999999998"/>
    <n v="37512.82"/>
    <n v="3969.73"/>
    <n v="0"/>
    <x v="4"/>
    <n v="4"/>
  </r>
  <r>
    <n v="39706"/>
    <n v="3200201"/>
    <x v="3"/>
    <n v="0"/>
    <n v="2076170.89"/>
    <n v="0"/>
    <n v="2076170.89"/>
    <n v="20157.88"/>
    <n v="986697.52"/>
    <n v="0.98699999999999999"/>
    <n v="38165.22"/>
    <n v="10947.52"/>
    <n v="0"/>
    <x v="4"/>
    <n v="4"/>
  </r>
  <r>
    <n v="39707"/>
    <n v="3200300"/>
    <x v="4"/>
    <n v="0"/>
    <n v="2031808.3"/>
    <n v="0"/>
    <n v="2031808.3"/>
    <n v="19727.16"/>
    <n v="1122502.56"/>
    <n v="0.56599999999999995"/>
    <n v="37349.730000000003"/>
    <n v="6276.3"/>
    <n v="0"/>
    <x v="4"/>
    <n v="4"/>
  </r>
  <r>
    <n v="39708"/>
    <n v="3200359"/>
    <x v="5"/>
    <n v="0.23"/>
    <n v="1020340.39"/>
    <n v="0"/>
    <n v="1020340.39"/>
    <n v="9906.65"/>
    <n v="159032.56"/>
    <n v="0.32800000000000001"/>
    <n v="18756.419999999998"/>
    <n v="3640.24"/>
    <n v="0"/>
    <x v="4"/>
    <n v="4"/>
  </r>
  <r>
    <n v="39709"/>
    <n v="3200409"/>
    <x v="6"/>
    <n v="0"/>
    <n v="18876297.289999999"/>
    <n v="0"/>
    <n v="18876297.289999999"/>
    <n v="183273.04"/>
    <n v="1442200.16"/>
    <n v="0.93"/>
    <n v="346993.63"/>
    <n v="10322.620000000001"/>
    <n v="0"/>
    <x v="4"/>
    <n v="4"/>
  </r>
  <r>
    <n v="39710"/>
    <n v="3200508"/>
    <x v="7"/>
    <n v="0"/>
    <n v="834017.37"/>
    <n v="0"/>
    <n v="834017.37"/>
    <n v="8097.61"/>
    <n v="456862.46"/>
    <n v="0.32500000000000001"/>
    <n v="15331.33"/>
    <n v="3609.71"/>
    <n v="0"/>
    <x v="4"/>
    <n v="4"/>
  </r>
  <r>
    <n v="39711"/>
    <n v="3200607"/>
    <x v="8"/>
    <n v="0"/>
    <n v="16800126.379999999"/>
    <n v="0"/>
    <n v="16800126.379999999"/>
    <n v="163115.16"/>
    <n v="4286165.4400000004"/>
    <n v="2.456"/>
    <n v="308828.40999999997"/>
    <n v="27248.94"/>
    <n v="0"/>
    <x v="4"/>
    <n v="4"/>
  </r>
  <r>
    <n v="39712"/>
    <n v="3200706"/>
    <x v="9"/>
    <n v="0"/>
    <n v="1437349.07"/>
    <n v="0"/>
    <n v="1437349.07"/>
    <n v="13955.46"/>
    <n v="335205.15999999997"/>
    <n v="0.44600000000000001"/>
    <n v="26422.080000000002"/>
    <n v="4944.5200000000004"/>
    <n v="0"/>
    <x v="4"/>
    <n v="4"/>
  </r>
  <r>
    <n v="39713"/>
    <n v="3200805"/>
    <x v="10"/>
    <n v="0"/>
    <n v="2630703.71"/>
    <n v="0"/>
    <n v="2630703.71"/>
    <n v="25541.93"/>
    <n v="1774322.33"/>
    <n v="1.016"/>
    <n v="48358.93"/>
    <n v="11277.31"/>
    <n v="0"/>
    <x v="4"/>
    <n v="4"/>
  </r>
  <r>
    <n v="39714"/>
    <n v="3200904"/>
    <x v="11"/>
    <n v="0"/>
    <n v="3921656.14"/>
    <n v="0"/>
    <n v="3921656.14"/>
    <n v="38076"/>
    <n v="2044704.26"/>
    <n v="1.3140000000000001"/>
    <n v="72089.87"/>
    <n v="14577.78"/>
    <n v="0"/>
    <x v="4"/>
    <n v="4"/>
  </r>
  <r>
    <n v="39715"/>
    <n v="3107109"/>
    <x v="12"/>
    <n v="0"/>
    <n v="1858794.02"/>
    <n v="0"/>
    <n v="1858794.02"/>
    <n v="18047.330000000002"/>
    <n v="395473.53"/>
    <n v="0.56299999999999994"/>
    <n v="34169.29"/>
    <n v="6243.3"/>
    <n v="0"/>
    <x v="4"/>
    <n v="4"/>
  </r>
  <r>
    <n v="39716"/>
    <n v="3201100"/>
    <x v="13"/>
    <n v="0"/>
    <n v="740855.86"/>
    <n v="0"/>
    <n v="740855.86"/>
    <n v="7193.09"/>
    <n v="1433345.57"/>
    <n v="0.442"/>
    <n v="13618.79"/>
    <n v="4903.13"/>
    <n v="0"/>
    <x v="4"/>
    <n v="4"/>
  </r>
  <r>
    <n v="39717"/>
    <n v="3201159"/>
    <x v="14"/>
    <n v="0"/>
    <n v="1845485.23"/>
    <n v="0"/>
    <n v="1845485.23"/>
    <n v="17918.12"/>
    <n v="387228.67"/>
    <n v="0.47799999999999998"/>
    <n v="33924.639999999999"/>
    <n v="5298.31"/>
    <n v="0"/>
    <x v="4"/>
    <n v="4"/>
  </r>
  <r>
    <n v="39718"/>
    <n v="3201209"/>
    <x v="15"/>
    <n v="0"/>
    <n v="12230775.960000001"/>
    <n v="0"/>
    <n v="12230775.960000001"/>
    <n v="118750.59"/>
    <n v="9476736.0800000001"/>
    <n v="4.3239999999999998"/>
    <n v="224832.3"/>
    <n v="47974.63"/>
    <n v="0"/>
    <x v="4"/>
    <n v="4"/>
  </r>
  <r>
    <n v="39719"/>
    <n v="3201308"/>
    <x v="16"/>
    <n v="0"/>
    <n v="31595062.100000001"/>
    <n v="0"/>
    <n v="31595062.100000001"/>
    <n v="306761.59999999998"/>
    <n v="14772430.75"/>
    <n v="6.5110000000000001"/>
    <n v="580796.39"/>
    <n v="72241.929999999993"/>
    <n v="0"/>
    <x v="4"/>
    <n v="4"/>
  </r>
  <r>
    <n v="39720"/>
    <n v="3201407"/>
    <x v="17"/>
    <n v="0"/>
    <n v="3677661.68"/>
    <n v="0"/>
    <n v="3677661.68"/>
    <n v="35707.019999999997"/>
    <n v="2604620.67"/>
    <n v="1.165"/>
    <n v="67604.63"/>
    <n v="12920.74"/>
    <n v="0"/>
    <x v="4"/>
    <n v="4"/>
  </r>
  <r>
    <n v="39721"/>
    <n v="3201506"/>
    <x v="18"/>
    <n v="0"/>
    <n v="9498038.1899999995"/>
    <n v="0"/>
    <n v="9498038.1899999995"/>
    <n v="92218"/>
    <n v="6349485.6699999999"/>
    <n v="2.875"/>
    <n v="174597.74"/>
    <n v="31901.32"/>
    <n v="0"/>
    <x v="4"/>
    <n v="4"/>
  </r>
  <r>
    <n v="39722"/>
    <n v="3201605"/>
    <x v="19"/>
    <n v="0"/>
    <n v="3375995.83"/>
    <n v="0"/>
    <n v="3375995.83"/>
    <n v="32778.089999999997"/>
    <n v="583064.64"/>
    <n v="0.96399999999999997"/>
    <n v="62059.26"/>
    <n v="10698.79"/>
    <n v="0"/>
    <x v="4"/>
    <n v="4"/>
  </r>
  <r>
    <n v="39723"/>
    <n v="3201704"/>
    <x v="20"/>
    <n v="0"/>
    <n v="1796686.34"/>
    <n v="0"/>
    <n v="1796686.34"/>
    <n v="17444.32"/>
    <n v="486541.2"/>
    <n v="0.46400000000000002"/>
    <n v="33027.599999999999"/>
    <n v="5146.67"/>
    <n v="0"/>
    <x v="4"/>
    <n v="4"/>
  </r>
  <r>
    <n v="39724"/>
    <n v="3201803"/>
    <x v="21"/>
    <n v="0"/>
    <n v="798527.25"/>
    <n v="0"/>
    <n v="798527.25"/>
    <n v="7753.03"/>
    <n v="127525.35"/>
    <n v="0.29699999999999999"/>
    <n v="14678.93"/>
    <n v="3300.04"/>
    <n v="0"/>
    <x v="4"/>
    <n v="4"/>
  </r>
  <r>
    <n v="39725"/>
    <n v="3201902"/>
    <x v="22"/>
    <n v="0"/>
    <n v="5354568.91"/>
    <n v="0"/>
    <n v="5354568.91"/>
    <n v="51988.38"/>
    <n v="2011963.22"/>
    <n v="1.0780000000000001"/>
    <n v="98430.39"/>
    <n v="11963.49"/>
    <n v="0"/>
    <x v="4"/>
    <n v="4"/>
  </r>
  <r>
    <n v="39726"/>
    <n v="3202009"/>
    <x v="23"/>
    <n v="0"/>
    <n v="1144555.77"/>
    <n v="0"/>
    <n v="1144555.77"/>
    <n v="11112.68"/>
    <n v="606254.81999999995"/>
    <n v="0.317"/>
    <n v="21039.8"/>
    <n v="3518.97"/>
    <n v="0"/>
    <x v="4"/>
    <n v="4"/>
  </r>
  <r>
    <n v="39727"/>
    <n v="3202108"/>
    <x v="24"/>
    <n v="0.7"/>
    <n v="3105383.8"/>
    <n v="0"/>
    <n v="3105383.8"/>
    <n v="30150.68"/>
    <n v="554934.51"/>
    <n v="0.81599999999999995"/>
    <n v="57084.74"/>
    <n v="9056.5"/>
    <n v="0"/>
    <x v="4"/>
    <n v="4"/>
  </r>
  <r>
    <n v="39728"/>
    <n v="3202207"/>
    <x v="25"/>
    <n v="0"/>
    <n v="1188918.3700000001"/>
    <n v="0"/>
    <n v="1188918.3700000001"/>
    <n v="11543.4"/>
    <n v="691554.3"/>
    <n v="0.69699999999999995"/>
    <n v="21855.29"/>
    <n v="7735.7"/>
    <n v="0"/>
    <x v="4"/>
    <n v="4"/>
  </r>
  <r>
    <n v="39729"/>
    <n v="3202256"/>
    <x v="26"/>
    <n v="0"/>
    <n v="2169332.42"/>
    <n v="0"/>
    <n v="2169332.42"/>
    <n v="21062.400000000001"/>
    <n v="598430.65"/>
    <n v="0.45200000000000001"/>
    <n v="39877.760000000002"/>
    <n v="5012.38"/>
    <n v="0"/>
    <x v="4"/>
    <n v="4"/>
  </r>
  <r>
    <n v="39730"/>
    <n v="3202306"/>
    <x v="27"/>
    <n v="0"/>
    <n v="1495020.49"/>
    <n v="0"/>
    <n v="1495020.49"/>
    <n v="14515.4"/>
    <n v="1614387.78"/>
    <n v="0.98899999999999999"/>
    <n v="27482.22"/>
    <n v="10973.72"/>
    <n v="0"/>
    <x v="4"/>
    <n v="4"/>
  </r>
  <r>
    <n v="39731"/>
    <n v="3202405"/>
    <x v="28"/>
    <n v="0"/>
    <n v="3216290.4"/>
    <n v="0"/>
    <n v="3216290.4"/>
    <n v="31227.49"/>
    <n v="10114440.01"/>
    <n v="2.9359999999999999"/>
    <n v="59123.47"/>
    <n v="32570.28"/>
    <n v="0"/>
    <x v="4"/>
    <n v="4"/>
  </r>
  <r>
    <n v="39732"/>
    <n v="3202454"/>
    <x v="29"/>
    <n v="0"/>
    <n v="1477275.46"/>
    <n v="0"/>
    <n v="1477275.46"/>
    <n v="14343.11"/>
    <n v="1335276.95"/>
    <n v="0.87"/>
    <n v="27156.02"/>
    <n v="9656.42"/>
    <n v="0"/>
    <x v="4"/>
    <n v="4"/>
  </r>
  <r>
    <n v="39733"/>
    <n v="3202504"/>
    <x v="30"/>
    <n v="0"/>
    <n v="1007031.59"/>
    <n v="0"/>
    <n v="1007031.59"/>
    <n v="9777.43"/>
    <n v="710467.44"/>
    <n v="0.46100000000000002"/>
    <n v="18511.759999999998"/>
    <n v="5115.7"/>
    <n v="0"/>
    <x v="4"/>
    <n v="4"/>
  </r>
  <r>
    <n v="39734"/>
    <n v="3202553"/>
    <x v="31"/>
    <n v="0"/>
    <n v="1038085.43"/>
    <n v="0"/>
    <n v="1038085.43"/>
    <n v="10078.94"/>
    <n v="244522.03"/>
    <n v="0.35499999999999998"/>
    <n v="19082.61"/>
    <n v="3942.09"/>
    <n v="0"/>
    <x v="4"/>
    <n v="4"/>
  </r>
  <r>
    <n v="39735"/>
    <n v="3202603"/>
    <x v="32"/>
    <n v="0"/>
    <n v="1273207.3799999999"/>
    <n v="0"/>
    <n v="1273207.3799999999"/>
    <n v="12361.78"/>
    <n v="1294796.54"/>
    <n v="0.53700000000000003"/>
    <n v="23404.74"/>
    <n v="5955.14"/>
    <n v="0"/>
    <x v="4"/>
    <n v="4"/>
  </r>
  <r>
    <n v="39736"/>
    <n v="3202652"/>
    <x v="33"/>
    <n v="0"/>
    <n v="1277643.6200000001"/>
    <n v="0"/>
    <n v="1277643.6200000001"/>
    <n v="12404.85"/>
    <n v="545498.15"/>
    <n v="0.56399999999999995"/>
    <n v="23486.29"/>
    <n v="6258.07"/>
    <n v="0"/>
    <x v="4"/>
    <n v="4"/>
  </r>
  <r>
    <n v="39737"/>
    <n v="3202702"/>
    <x v="34"/>
    <n v="0"/>
    <n v="1499456.74"/>
    <n v="0"/>
    <n v="1499456.74"/>
    <n v="14558.47"/>
    <n v="450715.18"/>
    <n v="0.56200000000000006"/>
    <n v="27563.77"/>
    <n v="6240.55"/>
    <n v="0"/>
    <x v="4"/>
    <n v="4"/>
  </r>
  <r>
    <n v="39738"/>
    <n v="3202801"/>
    <x v="35"/>
    <n v="0"/>
    <n v="16879979.149999999"/>
    <n v="0"/>
    <n v="16879979.149999999"/>
    <n v="163890.46"/>
    <n v="1044712.94"/>
    <n v="1.2130000000000001"/>
    <n v="310296.3"/>
    <n v="13457.33"/>
    <n v="0"/>
    <x v="4"/>
    <n v="4"/>
  </r>
  <r>
    <n v="39739"/>
    <n v="3202900"/>
    <x v="36"/>
    <n v="0"/>
    <n v="1566000.68"/>
    <n v="0"/>
    <n v="1566000.68"/>
    <n v="15204.56"/>
    <n v="730554.67"/>
    <n v="0.44600000000000001"/>
    <n v="28787.02"/>
    <n v="4952.7700000000004"/>
    <n v="0"/>
    <x v="4"/>
    <n v="4"/>
  </r>
  <r>
    <n v="39740"/>
    <n v="3203007"/>
    <x v="37"/>
    <n v="0"/>
    <n v="2080607.16"/>
    <n v="0"/>
    <n v="2080607.16"/>
    <n v="20200.95"/>
    <n v="974086.86"/>
    <n v="0.91200000000000003"/>
    <n v="38246.769999999997"/>
    <n v="10120.92"/>
    <n v="0"/>
    <x v="4"/>
    <n v="4"/>
  </r>
  <r>
    <n v="39741"/>
    <n v="3203056"/>
    <x v="38"/>
    <n v="0"/>
    <n v="4764546.01"/>
    <n v="0"/>
    <n v="4764546.01"/>
    <n v="46259.75"/>
    <n v="1442921.01"/>
    <n v="0.98399999999999999"/>
    <n v="87584.29"/>
    <n v="10911.93"/>
    <n v="0"/>
    <x v="4"/>
    <n v="4"/>
  </r>
  <r>
    <n v="39742"/>
    <n v="3203106"/>
    <x v="39"/>
    <n v="0"/>
    <n v="891688.76"/>
    <n v="0"/>
    <n v="891688.76"/>
    <n v="8657.5499999999993"/>
    <n v="305661.77"/>
    <n v="0.45900000000000002"/>
    <n v="16391.48"/>
    <n v="5094.29"/>
    <n v="0"/>
    <x v="4"/>
    <n v="4"/>
  </r>
  <r>
    <n v="39743"/>
    <n v="3203130"/>
    <x v="40"/>
    <n v="0"/>
    <n v="1699088.57"/>
    <n v="0"/>
    <n v="1699088.57"/>
    <n v="16496.73"/>
    <n v="760805.61"/>
    <n v="0.63600000000000001"/>
    <n v="31233.5"/>
    <n v="7060.14"/>
    <n v="0"/>
    <x v="4"/>
    <n v="4"/>
  </r>
  <r>
    <n v="39744"/>
    <n v="3203163"/>
    <x v="41"/>
    <n v="0"/>
    <n v="1672471.02"/>
    <n v="0"/>
    <n v="1672471.02"/>
    <n v="16238.29"/>
    <n v="428539.64"/>
    <n v="0.45300000000000001"/>
    <n v="30744.21"/>
    <n v="5024.6899999999996"/>
    <n v="0"/>
    <x v="4"/>
    <n v="4"/>
  </r>
  <r>
    <n v="39745"/>
    <n v="3203205"/>
    <x v="42"/>
    <n v="4.6500000000000004"/>
    <n v="20628621.02"/>
    <n v="0"/>
    <n v="20628621.02"/>
    <n v="200286.64"/>
    <n v="8257944.6900000004"/>
    <n v="4.0759999999999996"/>
    <n v="379205.73"/>
    <n v="45225.279999999999"/>
    <n v="0"/>
    <x v="4"/>
    <n v="4"/>
  </r>
  <r>
    <n v="39746"/>
    <n v="3203304"/>
    <x v="43"/>
    <n v="0.25"/>
    <n v="1109065.6499999999"/>
    <n v="0"/>
    <n v="1109065.6499999999"/>
    <n v="10768.1"/>
    <n v="590441.16"/>
    <n v="0.54300000000000004"/>
    <n v="20387.41"/>
    <n v="6019.38"/>
    <n v="0"/>
    <x v="4"/>
    <n v="4"/>
  </r>
  <r>
    <n v="39747"/>
    <n v="3203320"/>
    <x v="44"/>
    <n v="0"/>
    <n v="2732737.77"/>
    <n v="0"/>
    <n v="2732737.77"/>
    <n v="26532.6"/>
    <n v="1450496.79"/>
    <n v="1.24"/>
    <n v="50234.559999999998"/>
    <n v="13760.78"/>
    <n v="0"/>
    <x v="4"/>
    <n v="4"/>
  </r>
  <r>
    <n v="39748"/>
    <n v="3203346"/>
    <x v="45"/>
    <n v="0"/>
    <n v="2515360.89"/>
    <n v="0"/>
    <n v="2515360.89"/>
    <n v="24422.05"/>
    <n v="1100943.18"/>
    <n v="0.69199999999999995"/>
    <n v="46238.63"/>
    <n v="7681.73"/>
    <n v="0"/>
    <x v="4"/>
    <n v="4"/>
  </r>
  <r>
    <n v="39749"/>
    <n v="3203353"/>
    <x v="46"/>
    <n v="0.46"/>
    <n v="2040680.79"/>
    <n v="0"/>
    <n v="2040680.79"/>
    <n v="19813.3"/>
    <n v="694961.16"/>
    <n v="0.47"/>
    <n v="37512.82"/>
    <n v="5211.78"/>
    <n v="0"/>
    <x v="4"/>
    <n v="4"/>
  </r>
  <r>
    <n v="39750"/>
    <n v="3203403"/>
    <x v="47"/>
    <n v="0"/>
    <n v="2107224.7400000002"/>
    <n v="0"/>
    <n v="2107224.7400000002"/>
    <n v="20459.39"/>
    <n v="738510.57"/>
    <n v="0.85899999999999999"/>
    <n v="38736.07"/>
    <n v="9525.4599999999991"/>
    <n v="0"/>
    <x v="4"/>
    <n v="4"/>
  </r>
  <r>
    <n v="39751"/>
    <n v="3203502"/>
    <x v="48"/>
    <n v="0"/>
    <n v="2342346.63"/>
    <n v="0"/>
    <n v="2342346.63"/>
    <n v="22742.22"/>
    <n v="706291.97"/>
    <n v="0.70899999999999996"/>
    <n v="43058.2"/>
    <n v="7863.91"/>
    <n v="0"/>
    <x v="4"/>
    <n v="4"/>
  </r>
  <r>
    <n v="39752"/>
    <n v="3203601"/>
    <x v="49"/>
    <n v="0"/>
    <n v="1299824.95"/>
    <n v="0"/>
    <n v="1299824.95"/>
    <n v="12620.21"/>
    <n v="166603.73000000001"/>
    <n v="0.30199999999999999"/>
    <n v="23894.04"/>
    <n v="3355.47"/>
    <n v="0"/>
    <x v="4"/>
    <n v="4"/>
  </r>
  <r>
    <n v="39753"/>
    <n v="3203700"/>
    <x v="50"/>
    <n v="0"/>
    <n v="2297984.04"/>
    <n v="0"/>
    <n v="2297984.04"/>
    <n v="22311.5"/>
    <n v="511745.34"/>
    <n v="0.69899999999999995"/>
    <n v="42242.7"/>
    <n v="7755.82"/>
    <n v="0"/>
    <x v="4"/>
    <n v="4"/>
  </r>
  <r>
    <n v="39754"/>
    <n v="3203809"/>
    <x v="51"/>
    <n v="0"/>
    <n v="1184482.1100000001"/>
    <n v="0"/>
    <n v="1184482.1100000001"/>
    <n v="11500.33"/>
    <n v="377262.17"/>
    <n v="0.56499999999999995"/>
    <n v="21773.75"/>
    <n v="6263.13"/>
    <n v="0"/>
    <x v="4"/>
    <n v="4"/>
  </r>
  <r>
    <n v="39755"/>
    <n v="3203908"/>
    <x v="52"/>
    <n v="0"/>
    <n v="5807067.7300000004"/>
    <n v="0"/>
    <n v="5807067.7300000004"/>
    <n v="56381.77"/>
    <n v="2040366.76"/>
    <n v="1.476"/>
    <n v="106748.46"/>
    <n v="16379.38"/>
    <n v="0"/>
    <x v="4"/>
    <n v="4"/>
  </r>
  <r>
    <n v="39756"/>
    <n v="3204005"/>
    <x v="53"/>
    <n v="0"/>
    <n v="2014063.22"/>
    <n v="0"/>
    <n v="2014063.22"/>
    <n v="19554.87"/>
    <n v="499641.12"/>
    <n v="0.70899999999999996"/>
    <n v="37023.53"/>
    <n v="7862.9"/>
    <n v="0"/>
    <x v="4"/>
    <n v="4"/>
  </r>
  <r>
    <n v="39757"/>
    <n v="3204054"/>
    <x v="54"/>
    <n v="0"/>
    <n v="1401858.97"/>
    <n v="0"/>
    <n v="1401858.97"/>
    <n v="13610.88"/>
    <n v="795438.25"/>
    <n v="0.81"/>
    <n v="25769.68"/>
    <n v="8988.49"/>
    <n v="0"/>
    <x v="4"/>
    <n v="4"/>
  </r>
  <r>
    <n v="39758"/>
    <n v="3204104"/>
    <x v="55"/>
    <n v="0"/>
    <n v="3380432.08"/>
    <n v="0"/>
    <n v="3380432.08"/>
    <n v="32821.17"/>
    <n v="641129.78"/>
    <n v="0.85099999999999998"/>
    <n v="62140.81"/>
    <n v="9444.42"/>
    <n v="0"/>
    <x v="4"/>
    <n v="4"/>
  </r>
  <r>
    <n v="39759"/>
    <n v="3204203"/>
    <x v="56"/>
    <n v="0.26"/>
    <n v="1153428.27"/>
    <n v="0"/>
    <n v="1153428.27"/>
    <n v="11198.82"/>
    <n v="1364234.6"/>
    <n v="0.753"/>
    <n v="21202.9"/>
    <n v="8355.9"/>
    <n v="0"/>
    <x v="4"/>
    <n v="4"/>
  </r>
  <r>
    <n v="39760"/>
    <n v="3204252"/>
    <x v="57"/>
    <n v="0"/>
    <n v="949360.19"/>
    <n v="0"/>
    <n v="949360.19"/>
    <n v="9217.49"/>
    <n v="137389.35"/>
    <n v="0.316"/>
    <n v="17451.62"/>
    <n v="3504.65"/>
    <n v="0"/>
    <x v="4"/>
    <n v="4"/>
  </r>
  <r>
    <n v="39761"/>
    <n v="1718402"/>
    <x v="58"/>
    <n v="0"/>
    <n v="1734578.66"/>
    <n v="0"/>
    <n v="1734578.66"/>
    <n v="16841.310000000001"/>
    <n v="681095.49"/>
    <n v="0.56399999999999995"/>
    <n v="31885.9"/>
    <n v="6256.04"/>
    <n v="0"/>
    <x v="4"/>
    <n v="4"/>
  </r>
  <r>
    <n v="39762"/>
    <n v="3204351"/>
    <x v="59"/>
    <n v="0"/>
    <n v="4005945.1"/>
    <n v="0"/>
    <n v="4005945.1"/>
    <n v="38894.370000000003"/>
    <n v="1482107.62"/>
    <n v="0.71399999999999997"/>
    <n v="73639.31"/>
    <n v="7918.03"/>
    <n v="0"/>
    <x v="4"/>
    <n v="4"/>
  </r>
  <r>
    <n v="39763"/>
    <n v="3204401"/>
    <x v="60"/>
    <n v="0"/>
    <n v="1148992.01"/>
    <n v="0"/>
    <n v="1148992.01"/>
    <n v="11155.75"/>
    <n v="437691.33"/>
    <n v="0.45300000000000001"/>
    <n v="21121.360000000001"/>
    <n v="5021.07"/>
    <n v="0"/>
    <x v="4"/>
    <n v="4"/>
  </r>
  <r>
    <n v="39764"/>
    <n v="3204500"/>
    <x v="61"/>
    <n v="0"/>
    <n v="2329037.86"/>
    <n v="0"/>
    <n v="2329037.86"/>
    <n v="22613.01"/>
    <n v="376613.37"/>
    <n v="0.47899999999999998"/>
    <n v="42813.55"/>
    <n v="5315.82"/>
    <n v="0"/>
    <x v="4"/>
    <n v="4"/>
  </r>
  <r>
    <n v="39765"/>
    <n v="3204559"/>
    <x v="62"/>
    <n v="2.34"/>
    <n v="10380854.43"/>
    <n v="0"/>
    <n v="10380854.43"/>
    <n v="100789.4"/>
    <n v="2565048.17"/>
    <n v="1.236"/>
    <n v="190826.11"/>
    <n v="13718.37"/>
    <n v="0"/>
    <x v="4"/>
    <n v="4"/>
  </r>
  <r>
    <n v="39766"/>
    <n v="3204609"/>
    <x v="63"/>
    <n v="0"/>
    <n v="2790409.15"/>
    <n v="0"/>
    <n v="2790409.15"/>
    <n v="27092.54"/>
    <n v="1418072.91"/>
    <n v="0.82699999999999996"/>
    <n v="51294.71"/>
    <n v="9174.58"/>
    <n v="0"/>
    <x v="4"/>
    <n v="4"/>
  </r>
  <r>
    <n v="39767"/>
    <n v="3204658"/>
    <x v="64"/>
    <n v="0"/>
    <n v="1792250.09"/>
    <n v="0"/>
    <n v="1792250.09"/>
    <n v="17401.25"/>
    <n v="471197.18"/>
    <n v="0.34300000000000003"/>
    <n v="32946.050000000003"/>
    <n v="3807.36"/>
    <n v="0"/>
    <x v="4"/>
    <n v="4"/>
  </r>
  <r>
    <n v="39768"/>
    <n v="3204708"/>
    <x v="65"/>
    <n v="0"/>
    <n v="3557882.6"/>
    <n v="0"/>
    <n v="3557882.6"/>
    <n v="34544.06"/>
    <n v="1660081.42"/>
    <n v="1.1040000000000001"/>
    <n v="65402.8"/>
    <n v="12243.82"/>
    <n v="0"/>
    <x v="4"/>
    <n v="4"/>
  </r>
  <r>
    <n v="39769"/>
    <n v="3204807"/>
    <x v="66"/>
    <n v="0"/>
    <n v="1038085.43"/>
    <n v="0"/>
    <n v="1038085.43"/>
    <n v="10078.94"/>
    <n v="421373.18"/>
    <n v="0.45"/>
    <n v="19082.61"/>
    <n v="4993.42"/>
    <n v="0"/>
    <x v="4"/>
    <n v="4"/>
  </r>
  <r>
    <n v="39770"/>
    <n v="3204906"/>
    <x v="67"/>
    <n v="0"/>
    <n v="8659584.5600000005"/>
    <n v="0"/>
    <n v="8659584.5600000005"/>
    <n v="84077.32"/>
    <n v="4307611.3499999996"/>
    <n v="2.9870000000000001"/>
    <n v="159184.85999999999"/>
    <n v="33146.11"/>
    <n v="0"/>
    <x v="4"/>
    <n v="4"/>
  </r>
  <r>
    <n v="39771"/>
    <n v="3204955"/>
    <x v="68"/>
    <n v="0"/>
    <n v="1317570"/>
    <n v="0"/>
    <n v="1317570"/>
    <n v="12792.5"/>
    <n v="517867.62"/>
    <n v="0.45"/>
    <n v="24220.23"/>
    <n v="4994.59"/>
    <n v="0"/>
    <x v="4"/>
    <n v="4"/>
  </r>
  <r>
    <n v="39772"/>
    <n v="3205002"/>
    <x v="69"/>
    <n v="0"/>
    <n v="65164261.100000001"/>
    <n v="0"/>
    <n v="65164261.100000001"/>
    <n v="632690.41"/>
    <n v="18314676.16"/>
    <n v="8.6910000000000007"/>
    <n v="1197882.3600000001"/>
    <n v="96430.65"/>
    <n v="0"/>
    <x v="4"/>
    <n v="4"/>
  </r>
  <r>
    <n v="39773"/>
    <n v="3205010"/>
    <x v="70"/>
    <n v="0"/>
    <n v="3229599.18"/>
    <n v="0"/>
    <n v="3229599.18"/>
    <n v="31356.7"/>
    <n v="694067.38"/>
    <n v="0.95199999999999996"/>
    <n v="59368.13"/>
    <n v="10560.44"/>
    <n v="0"/>
    <x v="4"/>
    <n v="4"/>
  </r>
  <r>
    <n v="39774"/>
    <n v="3205036"/>
    <x v="71"/>
    <n v="0"/>
    <n v="2156023.61"/>
    <n v="0"/>
    <n v="2156023.61"/>
    <n v="20933.18"/>
    <n v="932963.49"/>
    <n v="0.71699999999999997"/>
    <n v="39633.11"/>
    <n v="7959.84"/>
    <n v="0"/>
    <x v="4"/>
    <n v="4"/>
  </r>
  <r>
    <n v="39775"/>
    <n v="3205069"/>
    <x v="72"/>
    <n v="0"/>
    <n v="2746046.52"/>
    <n v="0"/>
    <n v="2746046.52"/>
    <n v="26661.81"/>
    <n v="2133560.5299999998"/>
    <n v="0.85"/>
    <n v="50479.21"/>
    <n v="9432.2800000000007"/>
    <n v="0"/>
    <x v="4"/>
    <n v="4"/>
  </r>
  <r>
    <n v="39776"/>
    <n v="2112803"/>
    <x v="73"/>
    <n v="0"/>
    <n v="12523569.26"/>
    <n v="0"/>
    <n v="12523569.26"/>
    <n v="121593.37"/>
    <n v="3212042.88"/>
    <n v="1.9590000000000001"/>
    <n v="230214.58"/>
    <n v="21737.4"/>
    <n v="0"/>
    <x v="4"/>
    <n v="4"/>
  </r>
  <r>
    <n v="39777"/>
    <n v="3205150"/>
    <x v="74"/>
    <n v="0"/>
    <n v="1388550.2"/>
    <n v="0"/>
    <n v="1388550.2"/>
    <n v="13481.66"/>
    <n v="327400.34000000003"/>
    <n v="0.34699999999999998"/>
    <n v="25525.03"/>
    <n v="3853.96"/>
    <n v="0"/>
    <x v="4"/>
    <n v="4"/>
  </r>
  <r>
    <n v="39778"/>
    <n v="3205176"/>
    <x v="75"/>
    <n v="0"/>
    <n v="2852516.84"/>
    <n v="0"/>
    <n v="2852516.84"/>
    <n v="27695.55"/>
    <n v="936086.36"/>
    <n v="0.56399999999999995"/>
    <n v="52436.41"/>
    <n v="6260.66"/>
    <n v="0"/>
    <x v="4"/>
    <n v="4"/>
  </r>
  <r>
    <n v="39779"/>
    <n v="3205200"/>
    <x v="76"/>
    <n v="4.97"/>
    <n v="22048225.039999999"/>
    <n v="0"/>
    <n v="22048225.039999999"/>
    <n v="214069.8"/>
    <n v="23938672.719999999"/>
    <n v="8.0009999999999994"/>
    <n v="405301.61"/>
    <n v="88771.43"/>
    <n v="0"/>
    <x v="4"/>
    <n v="4"/>
  </r>
  <r>
    <n v="39780"/>
    <n v="3205309"/>
    <x v="77"/>
    <n v="0"/>
    <n v="61411183"/>
    <n v="0"/>
    <n v="61411183"/>
    <n v="596251.17000000004"/>
    <n v="26977078.530000001"/>
    <n v="9.2110000000000003"/>
    <n v="1128891.3400000001"/>
    <n v="102194.61"/>
    <n v="0"/>
    <x v="4"/>
    <n v="4"/>
  </r>
  <r>
    <n v="39781"/>
    <n v="3200102"/>
    <x v="0"/>
    <n v="0.73199999999999998"/>
    <n v="3088794.81"/>
    <n v="0"/>
    <n v="3088794.81"/>
    <n v="33185.33"/>
    <n v="328896.89"/>
    <n v="1.0169999999999999"/>
    <n v="92066.63"/>
    <n v="0"/>
    <n v="0"/>
    <x v="4"/>
    <n v="5"/>
  </r>
  <r>
    <n v="39782"/>
    <n v="3200169"/>
    <x v="1"/>
    <n v="0.28199999999999997"/>
    <n v="1189945.55"/>
    <n v="0"/>
    <n v="1189945.55"/>
    <n v="12784.51"/>
    <n v="130909.43"/>
    <n v="0.46500000000000002"/>
    <n v="35468.29"/>
    <n v="0"/>
    <n v="0"/>
    <x v="4"/>
    <n v="5"/>
  </r>
  <r>
    <n v="39783"/>
    <n v="3200136"/>
    <x v="2"/>
    <n v="0.46"/>
    <n v="1941045.94"/>
    <n v="0"/>
    <n v="1941045.94"/>
    <n v="20854.169999999998"/>
    <n v="132878.69"/>
    <n v="0.35799999999999998"/>
    <n v="57856.08"/>
    <n v="0"/>
    <n v="0"/>
    <x v="4"/>
    <n v="5"/>
  </r>
  <r>
    <n v="39784"/>
    <n v="3200201"/>
    <x v="3"/>
    <n v="0.46800000000000003"/>
    <n v="1974803.24"/>
    <n v="0"/>
    <n v="1974803.24"/>
    <n v="21216.85"/>
    <n v="321983.95"/>
    <n v="0.98699999999999999"/>
    <n v="58862.27"/>
    <n v="0"/>
    <n v="0"/>
    <x v="4"/>
    <n v="5"/>
  </r>
  <r>
    <n v="39785"/>
    <n v="3200300"/>
    <x v="4"/>
    <n v="0.45800000000000002"/>
    <n v="1932606.57"/>
    <n v="0"/>
    <n v="1932606.57"/>
    <n v="20763.5"/>
    <n v="262902.92"/>
    <n v="0.56599999999999995"/>
    <n v="57604.53"/>
    <n v="0"/>
    <n v="0"/>
    <x v="4"/>
    <n v="5"/>
  </r>
  <r>
    <n v="39786"/>
    <n v="3200359"/>
    <x v="5"/>
    <n v="0.23"/>
    <n v="970522.96"/>
    <n v="0"/>
    <n v="970522.96"/>
    <n v="10427.08"/>
    <n v="93806.63"/>
    <n v="0.32800000000000001"/>
    <n v="28928.04"/>
    <n v="0"/>
    <n v="0"/>
    <x v="4"/>
    <n v="5"/>
  </r>
  <r>
    <n v="39787"/>
    <n v="3200409"/>
    <x v="6"/>
    <n v="4.2549999999999999"/>
    <n v="17954674.850000001"/>
    <n v="0"/>
    <n v="17954674.850000001"/>
    <n v="192901.06"/>
    <n v="404382.1"/>
    <n v="0.93"/>
    <n v="535168.69999999995"/>
    <n v="0"/>
    <n v="0"/>
    <x v="4"/>
    <n v="5"/>
  </r>
  <r>
    <n v="39788"/>
    <n v="3200508"/>
    <x v="7"/>
    <n v="0.188"/>
    <n v="793297.04"/>
    <n v="0"/>
    <n v="793297.04"/>
    <n v="8523.01"/>
    <n v="115198.84"/>
    <n v="0.32500000000000001"/>
    <n v="23645.53"/>
    <n v="0"/>
    <n v="0"/>
    <x v="4"/>
    <n v="5"/>
  </r>
  <r>
    <n v="39789"/>
    <n v="3200607"/>
    <x v="8"/>
    <n v="3.7869999999999999"/>
    <n v="15979871.58"/>
    <n v="0"/>
    <n v="15979871.58"/>
    <n v="171684.21"/>
    <n v="1392816.96"/>
    <n v="2.456"/>
    <n v="476306.43"/>
    <n v="0"/>
    <n v="0"/>
    <x v="4"/>
    <n v="5"/>
  </r>
  <r>
    <n v="39790"/>
    <n v="3200706"/>
    <x v="9"/>
    <n v="0.32400000000000001"/>
    <n v="1367171.47"/>
    <n v="0"/>
    <n v="1367171.47"/>
    <n v="14688.59"/>
    <n v="113239.72"/>
    <n v="0.44600000000000001"/>
    <n v="40750.800000000003"/>
    <n v="0"/>
    <n v="0"/>
    <x v="4"/>
    <n v="5"/>
  </r>
  <r>
    <n v="39791"/>
    <n v="3200805"/>
    <x v="10"/>
    <n v="0.59299999999999997"/>
    <n v="2502261.37"/>
    <n v="0"/>
    <n v="2502261.37"/>
    <n v="26883.74"/>
    <n v="610259.43999999994"/>
    <n v="1.016"/>
    <n v="74584.02"/>
    <n v="0"/>
    <n v="0"/>
    <x v="4"/>
    <n v="5"/>
  </r>
  <r>
    <n v="39792"/>
    <n v="3200904"/>
    <x v="11"/>
    <n v="0.88400000000000001"/>
    <n v="3730183.93"/>
    <n v="0"/>
    <n v="3730183.93"/>
    <n v="40076.269999999997"/>
    <n v="676232"/>
    <n v="1.3140000000000001"/>
    <n v="111184.29"/>
    <n v="0"/>
    <n v="0"/>
    <x v="4"/>
    <n v="5"/>
  </r>
  <r>
    <n v="39793"/>
    <n v="3107109"/>
    <x v="12"/>
    <n v="0.41899999999999998"/>
    <n v="1768039.69"/>
    <n v="0"/>
    <n v="1768039.69"/>
    <n v="18995.43"/>
    <n v="184218.73"/>
    <n v="0.56299999999999994"/>
    <n v="52699.33"/>
    <n v="0"/>
    <n v="0"/>
    <x v="4"/>
    <n v="5"/>
  </r>
  <r>
    <n v="39794"/>
    <n v="3201100"/>
    <x v="13"/>
    <n v="0.16700000000000001"/>
    <n v="704684.07"/>
    <n v="0"/>
    <n v="704684.07"/>
    <n v="7570.97"/>
    <n v="343839.8"/>
    <n v="0.442"/>
    <n v="21004.27"/>
    <n v="0"/>
    <n v="0"/>
    <x v="4"/>
    <n v="5"/>
  </r>
  <r>
    <n v="39795"/>
    <n v="3201159"/>
    <x v="14"/>
    <n v="0.41599999999999998"/>
    <n v="1755380.64"/>
    <n v="0"/>
    <n v="1755380.64"/>
    <n v="18859.419999999998"/>
    <n v="164534.07"/>
    <n v="0.47799999999999998"/>
    <n v="52322.02"/>
    <n v="0"/>
    <n v="0"/>
    <x v="4"/>
    <n v="5"/>
  </r>
  <r>
    <n v="39796"/>
    <n v="3201209"/>
    <x v="15"/>
    <n v="2.7570000000000001"/>
    <n v="11633616.57"/>
    <n v="0"/>
    <n v="11633616.57"/>
    <n v="124989.01"/>
    <n v="2696943.93"/>
    <n v="4.3239999999999998"/>
    <n v="346759.13"/>
    <n v="0"/>
    <n v="0"/>
    <x v="4"/>
    <n v="5"/>
  </r>
  <r>
    <n v="39797"/>
    <n v="3201308"/>
    <x v="16"/>
    <n v="7.1219999999999999"/>
    <n v="30052454.57"/>
    <n v="0"/>
    <n v="30052454.57"/>
    <n v="322876.93"/>
    <n v="4161307.23"/>
    <n v="6.5110000000000001"/>
    <n v="895762.99"/>
    <n v="0"/>
    <n v="0"/>
    <x v="4"/>
    <n v="5"/>
  </r>
  <r>
    <n v="39798"/>
    <n v="3201407"/>
    <x v="17"/>
    <n v="0.82899999999999996"/>
    <n v="3498102.3"/>
    <n v="0"/>
    <n v="3498102.3"/>
    <n v="37582.839999999997"/>
    <n v="824227.81"/>
    <n v="1.165"/>
    <n v="104266.71"/>
    <n v="0"/>
    <n v="0"/>
    <x v="4"/>
    <n v="5"/>
  </r>
  <r>
    <n v="39799"/>
    <n v="3201506"/>
    <x v="18"/>
    <n v="2.141"/>
    <n v="9034302.9100000001"/>
    <n v="0"/>
    <n v="9034302.9100000001"/>
    <n v="97062.55"/>
    <n v="1804831.6"/>
    <n v="2.875"/>
    <n v="269282.3"/>
    <n v="0"/>
    <n v="0"/>
    <x v="4"/>
    <n v="5"/>
  </r>
  <r>
    <n v="39800"/>
    <n v="3201605"/>
    <x v="19"/>
    <n v="0.76100000000000001"/>
    <n v="3211165.1"/>
    <n v="0"/>
    <n v="3211165.1"/>
    <n v="34500.050000000003"/>
    <n v="231548.87"/>
    <n v="0.96399999999999997"/>
    <n v="95714.07"/>
    <n v="0"/>
    <n v="0"/>
    <x v="4"/>
    <n v="5"/>
  </r>
  <r>
    <n v="39801"/>
    <n v="3201704"/>
    <x v="20"/>
    <n v="0.40500000000000003"/>
    <n v="1708964.33"/>
    <n v="0"/>
    <n v="1708964.33"/>
    <n v="18360.740000000002"/>
    <n v="136176.17000000001"/>
    <n v="0.46400000000000002"/>
    <n v="50938.5"/>
    <n v="0"/>
    <n v="0"/>
    <x v="4"/>
    <n v="5"/>
  </r>
  <r>
    <n v="39802"/>
    <n v="3201803"/>
    <x v="21"/>
    <n v="0.18"/>
    <n v="759539.7"/>
    <n v="0"/>
    <n v="759539.7"/>
    <n v="8160.33"/>
    <n v="37533.4"/>
    <n v="0.29699999999999999"/>
    <n v="22639.33"/>
    <n v="0"/>
    <n v="0"/>
    <x v="4"/>
    <n v="5"/>
  </r>
  <r>
    <n v="39803"/>
    <n v="3201902"/>
    <x v="22"/>
    <n v="1.2070000000000001"/>
    <n v="5093135.75"/>
    <n v="0"/>
    <n v="5093135.75"/>
    <n v="54719.519999999997"/>
    <n v="570458.29"/>
    <n v="1.0780000000000001"/>
    <n v="151809.31"/>
    <n v="0"/>
    <n v="0"/>
    <x v="4"/>
    <n v="5"/>
  </r>
  <r>
    <n v="39804"/>
    <n v="3202009"/>
    <x v="23"/>
    <n v="0.25800000000000001"/>
    <n v="1088673.6000000001"/>
    <n v="0"/>
    <n v="1088673.6000000001"/>
    <n v="11696.47"/>
    <n v="168471.98"/>
    <n v="0.317"/>
    <n v="32449.71"/>
    <n v="0"/>
    <n v="0"/>
    <x v="4"/>
    <n v="5"/>
  </r>
  <r>
    <n v="39805"/>
    <n v="3202108"/>
    <x v="24"/>
    <n v="0.7"/>
    <n v="2953765.55"/>
    <n v="0"/>
    <n v="2953765.55"/>
    <n v="31734.6"/>
    <n v="237382.89"/>
    <n v="0.81599999999999995"/>
    <n v="88041.85"/>
    <n v="0"/>
    <n v="0"/>
    <x v="4"/>
    <n v="5"/>
  </r>
  <r>
    <n v="39806"/>
    <n v="3202207"/>
    <x v="25"/>
    <n v="0.26800000000000002"/>
    <n v="1130870.21"/>
    <n v="0"/>
    <n v="1130870.21"/>
    <n v="12149.82"/>
    <n v="188560.38"/>
    <n v="0.69699999999999995"/>
    <n v="33707.46"/>
    <n v="0"/>
    <n v="0"/>
    <x v="4"/>
    <n v="5"/>
  </r>
  <r>
    <n v="39807"/>
    <n v="3202256"/>
    <x v="26"/>
    <n v="0.48899999999999999"/>
    <n v="2063416.21"/>
    <n v="0"/>
    <n v="2063416.21"/>
    <n v="22168.89"/>
    <n v="221451.03"/>
    <n v="0.45200000000000001"/>
    <n v="61503.519999999997"/>
    <n v="0"/>
    <n v="0"/>
    <x v="4"/>
    <n v="5"/>
  </r>
  <r>
    <n v="39808"/>
    <n v="3202306"/>
    <x v="27"/>
    <n v="0.33700000000000002"/>
    <n v="1422027.11"/>
    <n v="0"/>
    <n v="1422027.11"/>
    <n v="15277.94"/>
    <n v="483667.56"/>
    <n v="0.98899999999999999"/>
    <n v="42385.87"/>
    <n v="0"/>
    <n v="0"/>
    <x v="4"/>
    <n v="5"/>
  </r>
  <r>
    <n v="39809"/>
    <n v="3202405"/>
    <x v="28"/>
    <n v="0.72499999999999998"/>
    <n v="3059257.15"/>
    <n v="0"/>
    <n v="3059257.15"/>
    <n v="32867.980000000003"/>
    <n v="2557363.31"/>
    <n v="2.9359999999999999"/>
    <n v="91186.21"/>
    <n v="0"/>
    <n v="0"/>
    <x v="4"/>
    <n v="5"/>
  </r>
  <r>
    <n v="39810"/>
    <n v="3202454"/>
    <x v="29"/>
    <n v="0.33300000000000002"/>
    <n v="1405148.47"/>
    <n v="0"/>
    <n v="1405148.47"/>
    <n v="15096.6"/>
    <n v="471284.87"/>
    <n v="0.87"/>
    <n v="41882.769999999997"/>
    <n v="0"/>
    <n v="0"/>
    <x v="4"/>
    <n v="5"/>
  </r>
  <r>
    <n v="39811"/>
    <n v="3202504"/>
    <x v="30"/>
    <n v="0.22700000000000001"/>
    <n v="957863.96"/>
    <n v="0"/>
    <n v="957863.96"/>
    <n v="10291.08"/>
    <n v="172359.83"/>
    <n v="0.46100000000000002"/>
    <n v="28550.71"/>
    <n v="0"/>
    <n v="0"/>
    <x v="4"/>
    <n v="5"/>
  </r>
  <r>
    <n v="39812"/>
    <n v="3202553"/>
    <x v="31"/>
    <n v="0.23400000000000001"/>
    <n v="987401.63"/>
    <n v="0"/>
    <n v="987401.63"/>
    <n v="10608.42"/>
    <n v="78444.81"/>
    <n v="0.35499999999999998"/>
    <n v="29431.13"/>
    <n v="0"/>
    <n v="0"/>
    <x v="4"/>
    <n v="5"/>
  </r>
  <r>
    <n v="39813"/>
    <n v="3202603"/>
    <x v="32"/>
    <n v="0.28699999999999998"/>
    <n v="1211043.8799999999"/>
    <n v="0"/>
    <n v="1211043.8799999999"/>
    <n v="13011.19"/>
    <n v="248472.93"/>
    <n v="0.53700000000000003"/>
    <n v="36097.160000000003"/>
    <n v="0"/>
    <n v="0"/>
    <x v="4"/>
    <n v="5"/>
  </r>
  <r>
    <n v="39814"/>
    <n v="3202652"/>
    <x v="33"/>
    <n v="0.28799999999999998"/>
    <n v="1215263.56"/>
    <n v="0"/>
    <n v="1215263.56"/>
    <n v="13056.52"/>
    <n v="205426.27"/>
    <n v="0.56399999999999995"/>
    <n v="36222.94"/>
    <n v="0"/>
    <n v="0"/>
    <x v="4"/>
    <n v="5"/>
  </r>
  <r>
    <n v="39815"/>
    <n v="3202702"/>
    <x v="34"/>
    <n v="0.33800000000000002"/>
    <n v="1426246.8"/>
    <n v="0"/>
    <n v="1426246.8"/>
    <n v="15323.28"/>
    <n v="131311.51"/>
    <n v="0.56200000000000006"/>
    <n v="42511.65"/>
    <n v="0"/>
    <n v="0"/>
    <x v="4"/>
    <n v="5"/>
  </r>
  <r>
    <n v="39816"/>
    <n v="3202801"/>
    <x v="35"/>
    <n v="3.8050000000000002"/>
    <n v="16055825.57"/>
    <n v="0"/>
    <n v="16055825.57"/>
    <n v="172500.24"/>
    <n v="402046.18"/>
    <n v="1.2130000000000001"/>
    <n v="478570.36"/>
    <n v="0"/>
    <n v="0"/>
    <x v="4"/>
    <n v="5"/>
  </r>
  <r>
    <n v="39817"/>
    <n v="3202900"/>
    <x v="36"/>
    <n v="0.35299999999999998"/>
    <n v="1489541.76"/>
    <n v="0"/>
    <n v="1489541.76"/>
    <n v="16003.31"/>
    <n v="138696.76"/>
    <n v="0.44600000000000001"/>
    <n v="44398.25"/>
    <n v="0"/>
    <n v="0"/>
    <x v="4"/>
    <n v="5"/>
  </r>
  <r>
    <n v="39818"/>
    <n v="3203007"/>
    <x v="37"/>
    <n v="0.46899999999999997"/>
    <n v="1979022.9"/>
    <n v="0"/>
    <n v="1979022.9"/>
    <n v="21262.18"/>
    <n v="372625.04"/>
    <n v="0.91200000000000003"/>
    <n v="58988.04"/>
    <n v="0"/>
    <n v="0"/>
    <x v="4"/>
    <n v="5"/>
  </r>
  <r>
    <n v="39819"/>
    <n v="3203056"/>
    <x v="38"/>
    <n v="1.0740000000000001"/>
    <n v="4531920.26"/>
    <n v="0"/>
    <n v="4531920.26"/>
    <n v="48689.95"/>
    <n v="469399.85"/>
    <n v="0.98399999999999999"/>
    <n v="135081.35999999999"/>
    <n v="0"/>
    <n v="0"/>
    <x v="4"/>
    <n v="5"/>
  </r>
  <r>
    <n v="39820"/>
    <n v="3203106"/>
    <x v="39"/>
    <n v="0.20100000000000001"/>
    <n v="848152.66"/>
    <n v="0"/>
    <n v="848152.66"/>
    <n v="9112.36"/>
    <n v="85489.48"/>
    <n v="0.45900000000000002"/>
    <n v="25280.6"/>
    <n v="0"/>
    <n v="0"/>
    <x v="4"/>
    <n v="5"/>
  </r>
  <r>
    <n v="39821"/>
    <n v="3203130"/>
    <x v="40"/>
    <n v="0.38300000000000001"/>
    <n v="1616131.72"/>
    <n v="0"/>
    <n v="1616131.72"/>
    <n v="17363.36"/>
    <n v="197649.96"/>
    <n v="0.63600000000000001"/>
    <n v="48171.47"/>
    <n v="0"/>
    <n v="0"/>
    <x v="4"/>
    <n v="5"/>
  </r>
  <r>
    <n v="39822"/>
    <n v="3203163"/>
    <x v="41"/>
    <n v="0.377"/>
    <n v="1590813.72"/>
    <n v="0"/>
    <n v="1590813.72"/>
    <n v="17091.349999999999"/>
    <n v="90722.99"/>
    <n v="0.45300000000000001"/>
    <n v="47416.82"/>
    <n v="0"/>
    <n v="0"/>
    <x v="4"/>
    <n v="5"/>
  </r>
  <r>
    <n v="39823"/>
    <n v="3203205"/>
    <x v="42"/>
    <n v="4.6500000000000004"/>
    <n v="19621442.530000001"/>
    <n v="0"/>
    <n v="19621442.530000001"/>
    <n v="210808.44"/>
    <n v="2424543.42"/>
    <n v="4.0759999999999996"/>
    <n v="584849.46"/>
    <n v="0"/>
    <n v="0"/>
    <x v="4"/>
    <n v="5"/>
  </r>
  <r>
    <n v="39824"/>
    <n v="3203304"/>
    <x v="43"/>
    <n v="0.25"/>
    <n v="1054916.26"/>
    <n v="0"/>
    <n v="1054916.26"/>
    <n v="11333.79"/>
    <n v="246074.36"/>
    <n v="0.54300000000000004"/>
    <n v="31443.52"/>
    <n v="0"/>
    <n v="0"/>
    <x v="4"/>
    <n v="5"/>
  </r>
  <r>
    <n v="39825"/>
    <n v="3203320"/>
    <x v="44"/>
    <n v="0.61599999999999999"/>
    <n v="2599313.67"/>
    <n v="0"/>
    <n v="2599313.67"/>
    <n v="27926.45"/>
    <n v="557999.1"/>
    <n v="1.24"/>
    <n v="77476.83"/>
    <n v="0"/>
    <n v="0"/>
    <x v="4"/>
    <n v="5"/>
  </r>
  <r>
    <n v="39826"/>
    <n v="3203346"/>
    <x v="45"/>
    <n v="0.56699999999999995"/>
    <n v="2392550.1"/>
    <n v="0"/>
    <n v="2392550.1"/>
    <n v="25705.03"/>
    <n v="244104.89"/>
    <n v="0.69199999999999995"/>
    <n v="71313.899999999994"/>
    <n v="0"/>
    <n v="0"/>
    <x v="4"/>
    <n v="5"/>
  </r>
  <r>
    <n v="39827"/>
    <n v="3203353"/>
    <x v="46"/>
    <n v="0.46"/>
    <n v="1941045.94"/>
    <n v="0"/>
    <n v="1941045.94"/>
    <n v="20854.169999999998"/>
    <n v="158544.39000000001"/>
    <n v="0.47"/>
    <n v="57856.08"/>
    <n v="0"/>
    <n v="0"/>
    <x v="4"/>
    <n v="5"/>
  </r>
  <r>
    <n v="39828"/>
    <n v="3203403"/>
    <x v="47"/>
    <n v="0.47499999999999998"/>
    <n v="2004340.9"/>
    <n v="0"/>
    <n v="2004340.9"/>
    <n v="21534.2"/>
    <n v="344200.44"/>
    <n v="0.85899999999999999"/>
    <n v="59742.69"/>
    <n v="0"/>
    <n v="0"/>
    <x v="4"/>
    <n v="5"/>
  </r>
  <r>
    <n v="39829"/>
    <n v="3203502"/>
    <x v="48"/>
    <n v="0.52800000000000002"/>
    <n v="2227983.13"/>
    <n v="0"/>
    <n v="2227983.13"/>
    <n v="23936.959999999999"/>
    <n v="236778.09"/>
    <n v="0.70899999999999996"/>
    <n v="66408.72"/>
    <n v="0"/>
    <n v="0"/>
    <x v="4"/>
    <n v="5"/>
  </r>
  <r>
    <n v="39830"/>
    <n v="3203601"/>
    <x v="49"/>
    <n v="0.29299999999999998"/>
    <n v="1236361.8600000001"/>
    <n v="0"/>
    <n v="1236361.8600000001"/>
    <n v="13283.2"/>
    <n v="53420.92"/>
    <n v="0.30199999999999999"/>
    <n v="36851.81"/>
    <n v="0"/>
    <n v="0"/>
    <x v="4"/>
    <n v="5"/>
  </r>
  <r>
    <n v="39831"/>
    <n v="3203700"/>
    <x v="50"/>
    <n v="0.51800000000000002"/>
    <n v="2185786.52"/>
    <n v="0"/>
    <n v="2185786.52"/>
    <n v="23483.61"/>
    <n v="168646.29"/>
    <n v="0.69899999999999995"/>
    <n v="65150.98"/>
    <n v="0"/>
    <n v="0"/>
    <x v="4"/>
    <n v="5"/>
  </r>
  <r>
    <n v="39832"/>
    <n v="3203809"/>
    <x v="51"/>
    <n v="0.26700000000000002"/>
    <n v="1126650.55"/>
    <n v="0"/>
    <n v="1126650.55"/>
    <n v="12104.48"/>
    <n v="110282.41"/>
    <n v="0.56499999999999995"/>
    <n v="33581.68"/>
    <n v="0"/>
    <n v="0"/>
    <x v="4"/>
    <n v="5"/>
  </r>
  <r>
    <n v="39833"/>
    <n v="3203908"/>
    <x v="52"/>
    <n v="1.3089999999999999"/>
    <n v="5523541.5700000003"/>
    <n v="0"/>
    <n v="5523541.5700000003"/>
    <n v="59343.71"/>
    <n v="712159.77"/>
    <n v="1.476"/>
    <n v="164638.26999999999"/>
    <n v="0"/>
    <n v="0"/>
    <x v="4"/>
    <n v="5"/>
  </r>
  <r>
    <n v="39834"/>
    <n v="3204005"/>
    <x v="53"/>
    <n v="0.45400000000000001"/>
    <n v="1915727.95"/>
    <n v="0"/>
    <n v="1915727.95"/>
    <n v="20582.16"/>
    <n v="183432.08"/>
    <n v="0.70899999999999996"/>
    <n v="57101.43"/>
    <n v="0"/>
    <n v="0"/>
    <x v="4"/>
    <n v="5"/>
  </r>
  <r>
    <n v="39835"/>
    <n v="3204054"/>
    <x v="54"/>
    <n v="0.316"/>
    <n v="1333414.1499999999"/>
    <n v="0"/>
    <n v="1333414.1499999999"/>
    <n v="14325.91"/>
    <n v="239634.66"/>
    <n v="0.81"/>
    <n v="39744.61"/>
    <n v="0"/>
    <n v="0"/>
    <x v="4"/>
    <n v="5"/>
  </r>
  <r>
    <n v="39836"/>
    <n v="3204104"/>
    <x v="55"/>
    <n v="0.76200000000000001"/>
    <n v="3215384.78"/>
    <n v="0"/>
    <n v="3215384.78"/>
    <n v="34545.379999999997"/>
    <n v="220398.24"/>
    <n v="0.85099999999999998"/>
    <n v="95839.85"/>
    <n v="0"/>
    <n v="0"/>
    <x v="4"/>
    <n v="5"/>
  </r>
  <r>
    <n v="39837"/>
    <n v="3204203"/>
    <x v="56"/>
    <n v="0.26"/>
    <n v="1097112.9099999999"/>
    <n v="0"/>
    <n v="1097112.9099999999"/>
    <n v="11787.14"/>
    <n v="387018.44"/>
    <n v="0.753"/>
    <n v="32701.26"/>
    <n v="0"/>
    <n v="0"/>
    <x v="4"/>
    <n v="5"/>
  </r>
  <r>
    <n v="39838"/>
    <n v="3204252"/>
    <x v="57"/>
    <n v="0.214"/>
    <n v="903008.32"/>
    <n v="0"/>
    <n v="903008.32"/>
    <n v="9701.7199999999993"/>
    <n v="59939.71"/>
    <n v="0.316"/>
    <n v="26915.66"/>
    <n v="0"/>
    <n v="0"/>
    <x v="4"/>
    <n v="5"/>
  </r>
  <r>
    <n v="39839"/>
    <n v="1718402"/>
    <x v="58"/>
    <n v="0.39100000000000001"/>
    <n v="1649889.04"/>
    <n v="0"/>
    <n v="1649889.04"/>
    <n v="17726.04"/>
    <n v="222509.11"/>
    <n v="0.56399999999999995"/>
    <n v="49177.67"/>
    <n v="0"/>
    <n v="0"/>
    <x v="4"/>
    <n v="5"/>
  </r>
  <r>
    <n v="39840"/>
    <n v="3204351"/>
    <x v="59"/>
    <n v="0.90300000000000002"/>
    <n v="3810357.54"/>
    <n v="0"/>
    <n v="3810357.54"/>
    <n v="40937.64"/>
    <n v="378218.15"/>
    <n v="0.71399999999999997"/>
    <n v="113573.99"/>
    <n v="0"/>
    <n v="0"/>
    <x v="4"/>
    <n v="5"/>
  </r>
  <r>
    <n v="39841"/>
    <n v="3204401"/>
    <x v="60"/>
    <n v="0.25900000000000001"/>
    <n v="1092893.25"/>
    <n v="0"/>
    <n v="1092893.25"/>
    <n v="11741.8"/>
    <n v="155240.35"/>
    <n v="0.45300000000000001"/>
    <n v="32575.48"/>
    <n v="0"/>
    <n v="0"/>
    <x v="4"/>
    <n v="5"/>
  </r>
  <r>
    <n v="39842"/>
    <n v="3204500"/>
    <x v="61"/>
    <n v="0.52500000000000002"/>
    <n v="2215324.16"/>
    <n v="0"/>
    <n v="2215324.16"/>
    <n v="23800.95"/>
    <n v="132667.87"/>
    <n v="0.47899999999999998"/>
    <n v="66031.39"/>
    <n v="0"/>
    <n v="0"/>
    <x v="4"/>
    <n v="5"/>
  </r>
  <r>
    <n v="39843"/>
    <n v="3204559"/>
    <x v="62"/>
    <n v="2.34"/>
    <n v="9874016.2400000002"/>
    <n v="0"/>
    <n v="9874016.2400000002"/>
    <n v="106084.25"/>
    <n v="916640.5"/>
    <n v="1.236"/>
    <n v="294311.34000000003"/>
    <n v="0"/>
    <n v="0"/>
    <x v="4"/>
    <n v="5"/>
  </r>
  <r>
    <n v="39844"/>
    <n v="3204609"/>
    <x v="63"/>
    <n v="0.629"/>
    <n v="2654169.3199999998"/>
    <n v="0"/>
    <n v="2654169.3199999998"/>
    <n v="28515.81"/>
    <n v="418115.42"/>
    <n v="0.82699999999999996"/>
    <n v="79111.899999999994"/>
    <n v="0"/>
    <n v="0"/>
    <x v="4"/>
    <n v="5"/>
  </r>
  <r>
    <n v="39845"/>
    <n v="3204658"/>
    <x v="64"/>
    <n v="0.40400000000000003"/>
    <n v="1704744.67"/>
    <n v="0"/>
    <n v="1704744.67"/>
    <n v="18315.400000000001"/>
    <n v="112063.85"/>
    <n v="0.34300000000000003"/>
    <n v="50812.73"/>
    <n v="0"/>
    <n v="0"/>
    <x v="4"/>
    <n v="5"/>
  </r>
  <r>
    <n v="39846"/>
    <n v="3204708"/>
    <x v="65"/>
    <n v="0.80200000000000005"/>
    <n v="3384171.38"/>
    <n v="0"/>
    <n v="3384171.38"/>
    <n v="36358.79"/>
    <n v="452796.8"/>
    <n v="1.1040000000000001"/>
    <n v="100870.82"/>
    <n v="0"/>
    <n v="0"/>
    <x v="4"/>
    <n v="5"/>
  </r>
  <r>
    <n v="39847"/>
    <n v="3204807"/>
    <x v="66"/>
    <n v="0.23400000000000001"/>
    <n v="987401.63"/>
    <n v="0"/>
    <n v="987401.63"/>
    <n v="10608.42"/>
    <n v="101566.92"/>
    <n v="0.45"/>
    <n v="29431.13"/>
    <n v="0"/>
    <n v="0"/>
    <x v="4"/>
    <n v="5"/>
  </r>
  <r>
    <n v="39848"/>
    <n v="3204906"/>
    <x v="67"/>
    <n v="1.952"/>
    <n v="8236786.2000000002"/>
    <n v="0"/>
    <n v="8236786.2000000002"/>
    <n v="88494.21"/>
    <n v="1672423.98"/>
    <n v="2.9870000000000001"/>
    <n v="245511"/>
    <n v="0"/>
    <n v="0"/>
    <x v="4"/>
    <n v="5"/>
  </r>
  <r>
    <n v="39849"/>
    <n v="3204955"/>
    <x v="68"/>
    <n v="0.29699999999999999"/>
    <n v="1253240.52"/>
    <n v="0"/>
    <n v="1253240.52"/>
    <n v="13464.54"/>
    <n v="155303.48000000001"/>
    <n v="0.45"/>
    <n v="37354.9"/>
    <n v="0"/>
    <n v="0"/>
    <x v="4"/>
    <n v="5"/>
  </r>
  <r>
    <n v="39850"/>
    <n v="3205002"/>
    <x v="69"/>
    <n v="14.689"/>
    <n v="61982660.07"/>
    <n v="0"/>
    <n v="61982660.07"/>
    <n v="665928"/>
    <n v="5984170.5099999998"/>
    <n v="8.6910000000000007"/>
    <n v="1847495.43"/>
    <n v="0"/>
    <n v="0"/>
    <x v="4"/>
    <n v="5"/>
  </r>
  <r>
    <n v="39851"/>
    <n v="3205010"/>
    <x v="70"/>
    <n v="0.72799999999999998"/>
    <n v="3071916.16"/>
    <n v="0"/>
    <n v="3071916.16"/>
    <n v="33003.99"/>
    <n v="286545.58"/>
    <n v="0.95199999999999996"/>
    <n v="91563.53"/>
    <n v="0"/>
    <n v="0"/>
    <x v="4"/>
    <n v="5"/>
  </r>
  <r>
    <n v="39852"/>
    <n v="3205036"/>
    <x v="71"/>
    <n v="0.48599999999999999"/>
    <n v="2050757.23"/>
    <n v="0"/>
    <n v="2050757.23"/>
    <n v="22032.880000000001"/>
    <n v="260281.96"/>
    <n v="0.71699999999999997"/>
    <n v="61126.21"/>
    <n v="0"/>
    <n v="0"/>
    <x v="4"/>
    <n v="5"/>
  </r>
  <r>
    <n v="39853"/>
    <n v="3205069"/>
    <x v="72"/>
    <n v="0.61899999999999999"/>
    <n v="2611972.6800000002"/>
    <n v="0"/>
    <n v="2611972.6800000002"/>
    <n v="28062.46"/>
    <n v="447474.34"/>
    <n v="0.85"/>
    <n v="77854.149999999994"/>
    <n v="0"/>
    <n v="0"/>
    <x v="4"/>
    <n v="5"/>
  </r>
  <r>
    <n v="39854"/>
    <n v="2112803"/>
    <x v="73"/>
    <n v="2.823"/>
    <n v="11912114.449999999"/>
    <n v="0"/>
    <n v="11912114.449999999"/>
    <n v="127981.13"/>
    <n v="694495.01"/>
    <n v="1.9590000000000001"/>
    <n v="355060.23"/>
    <n v="0"/>
    <n v="0"/>
    <x v="4"/>
    <n v="5"/>
  </r>
  <r>
    <n v="39855"/>
    <n v="3205150"/>
    <x v="74"/>
    <n v="0.313"/>
    <n v="1320755.1499999999"/>
    <n v="0"/>
    <n v="1320755.1499999999"/>
    <n v="14189.9"/>
    <n v="111680.34"/>
    <n v="0.34699999999999998"/>
    <n v="39367.29"/>
    <n v="0"/>
    <n v="0"/>
    <x v="4"/>
    <n v="5"/>
  </r>
  <r>
    <n v="39856"/>
    <n v="3205176"/>
    <x v="75"/>
    <n v="0.64300000000000002"/>
    <n v="2713244.61"/>
    <n v="0"/>
    <n v="2713244.61"/>
    <n v="29150.5"/>
    <n v="316680.77"/>
    <n v="0.56399999999999995"/>
    <n v="80872.73"/>
    <n v="0"/>
    <n v="0"/>
    <x v="4"/>
    <n v="5"/>
  </r>
  <r>
    <n v="39857"/>
    <n v="3205200"/>
    <x v="76"/>
    <n v="4.97"/>
    <n v="20971735.350000001"/>
    <n v="0"/>
    <n v="20971735.350000001"/>
    <n v="225315.69"/>
    <n v="7024511.46"/>
    <n v="8.0009999999999994"/>
    <n v="625097.17000000004"/>
    <n v="0"/>
    <n v="0"/>
    <x v="4"/>
    <n v="5"/>
  </r>
  <r>
    <n v="39858"/>
    <n v="3205309"/>
    <x v="77"/>
    <n v="13.843"/>
    <n v="58412823.630000003"/>
    <n v="0"/>
    <n v="58412823.630000003"/>
    <n v="627574.47"/>
    <n v="7042399.0999999996"/>
    <n v="9.2110000000000003"/>
    <n v="1741090.51"/>
    <n v="0"/>
    <n v="0"/>
    <x v="4"/>
    <n v="5"/>
  </r>
  <r>
    <n v="39859"/>
    <n v="3200102"/>
    <x v="0"/>
    <n v="0.73199999999999998"/>
    <n v="3317407.98"/>
    <n v="0"/>
    <n v="3317407.98"/>
    <n v="41699.629999999997"/>
    <n v="275169.24"/>
    <n v="1.0169999999999999"/>
    <n v="62694.81"/>
    <n v="0"/>
    <n v="0"/>
    <x v="4"/>
    <n v="6"/>
  </r>
  <r>
    <n v="39860"/>
    <n v="3200169"/>
    <x v="1"/>
    <n v="0.28199999999999997"/>
    <n v="1278017.8600000001"/>
    <n v="0"/>
    <n v="1278017.8600000001"/>
    <n v="16064.61"/>
    <n v="105899.15"/>
    <n v="0.46500000000000002"/>
    <n v="24152.92"/>
    <n v="0"/>
    <n v="0"/>
    <x v="4"/>
    <n v="6"/>
  </r>
  <r>
    <n v="39861"/>
    <n v="3200136"/>
    <x v="2"/>
    <n v="0.46"/>
    <n v="2084709.96"/>
    <n v="0"/>
    <n v="2084709.96"/>
    <n v="26204.69"/>
    <n v="144624.04"/>
    <n v="0.35799999999999998"/>
    <n v="39398.379999999997"/>
    <n v="0"/>
    <n v="0"/>
    <x v="4"/>
    <n v="6"/>
  </r>
  <r>
    <n v="39862"/>
    <n v="3200201"/>
    <x v="3"/>
    <n v="0.46800000000000003"/>
    <n v="2120965.7400000002"/>
    <n v="0"/>
    <n v="2120965.7400000002"/>
    <n v="26660.42"/>
    <n v="236035.24"/>
    <n v="0.98699999999999999"/>
    <n v="40083.57"/>
    <n v="0"/>
    <n v="0"/>
    <x v="4"/>
    <n v="6"/>
  </r>
  <r>
    <n v="39863"/>
    <n v="3200300"/>
    <x v="4"/>
    <n v="0.45800000000000002"/>
    <n v="2075645.98"/>
    <n v="0"/>
    <n v="2075645.98"/>
    <n v="26090.75"/>
    <n v="176238.21"/>
    <n v="0.56599999999999995"/>
    <n v="39227.089999999997"/>
    <n v="0"/>
    <n v="0"/>
    <x v="4"/>
    <n v="6"/>
  </r>
  <r>
    <n v="39864"/>
    <n v="3200359"/>
    <x v="5"/>
    <n v="0.23"/>
    <n v="1042354.96"/>
    <n v="0"/>
    <n v="1042354.96"/>
    <n v="13102.34"/>
    <n v="81669.31"/>
    <n v="0.32800000000000001"/>
    <n v="19699.189999999999"/>
    <n v="0"/>
    <n v="0"/>
    <x v="4"/>
    <n v="6"/>
  </r>
  <r>
    <n v="39865"/>
    <n v="3200409"/>
    <x v="6"/>
    <n v="4.2549999999999999"/>
    <n v="19283566.949999999"/>
    <n v="0"/>
    <n v="19283566.949999999"/>
    <n v="242393.35"/>
    <n v="334152.02"/>
    <n v="0.93"/>
    <n v="364435.01"/>
    <n v="0"/>
    <n v="0"/>
    <x v="4"/>
    <n v="6"/>
  </r>
  <r>
    <n v="39866"/>
    <n v="3200508"/>
    <x v="7"/>
    <n v="0.188"/>
    <n v="852011.93"/>
    <n v="0"/>
    <n v="852011.93"/>
    <n v="10709.74"/>
    <n v="100303.99"/>
    <n v="0.32500000000000001"/>
    <n v="16101.94"/>
    <n v="0"/>
    <n v="0"/>
    <x v="4"/>
    <n v="6"/>
  </r>
  <r>
    <n v="39867"/>
    <n v="3200607"/>
    <x v="8"/>
    <n v="3.7869999999999999"/>
    <n v="17162601.149999999"/>
    <n v="0"/>
    <n v="17162601.149999999"/>
    <n v="215732.93"/>
    <n v="1073433.05"/>
    <n v="2.456"/>
    <n v="324351.44"/>
    <n v="0"/>
    <n v="0"/>
    <x v="4"/>
    <n v="6"/>
  </r>
  <r>
    <n v="39868"/>
    <n v="3200706"/>
    <x v="9"/>
    <n v="0.32400000000000001"/>
    <n v="1468360.92"/>
    <n v="0"/>
    <n v="1468360.92"/>
    <n v="18457.21"/>
    <n v="93810.61"/>
    <n v="0.44600000000000001"/>
    <n v="27750.16"/>
    <n v="0"/>
    <n v="0"/>
    <x v="4"/>
    <n v="6"/>
  </r>
  <r>
    <n v="39869"/>
    <n v="3200805"/>
    <x v="10"/>
    <n v="0.59299999999999997"/>
    <n v="2687463.01"/>
    <n v="0"/>
    <n v="2687463.01"/>
    <n v="33781.26"/>
    <n v="516897.12"/>
    <n v="1.016"/>
    <n v="50789.65"/>
    <n v="0"/>
    <n v="0"/>
    <x v="4"/>
    <n v="6"/>
  </r>
  <r>
    <n v="39870"/>
    <n v="3200904"/>
    <x v="11"/>
    <n v="0.88400000000000001"/>
    <n v="4006268.66"/>
    <n v="0"/>
    <n v="4006268.66"/>
    <n v="50358.57"/>
    <n v="602235.56000000006"/>
    <n v="1.3140000000000001"/>
    <n v="75713.41"/>
    <n v="0"/>
    <n v="0"/>
    <x v="4"/>
    <n v="6"/>
  </r>
  <r>
    <n v="39871"/>
    <n v="3107109"/>
    <x v="12"/>
    <n v="0.41899999999999998"/>
    <n v="1898898.84"/>
    <n v="0"/>
    <n v="1898898.84"/>
    <n v="23869.05"/>
    <n v="137534.84"/>
    <n v="0.56299999999999994"/>
    <n v="35886.78"/>
    <n v="0"/>
    <n v="0"/>
    <x v="4"/>
    <n v="6"/>
  </r>
  <r>
    <n v="39872"/>
    <n v="3201100"/>
    <x v="13"/>
    <n v="0.16700000000000001"/>
    <n v="756840.37"/>
    <n v="0"/>
    <n v="756840.37"/>
    <n v="9513.44"/>
    <n v="279813.31"/>
    <n v="0.442"/>
    <n v="14303.32"/>
    <n v="0"/>
    <n v="0"/>
    <x v="4"/>
    <n v="6"/>
  </r>
  <r>
    <n v="39873"/>
    <n v="3201159"/>
    <x v="14"/>
    <n v="0.41599999999999998"/>
    <n v="1885302.89"/>
    <n v="0"/>
    <n v="1885302.89"/>
    <n v="23698.15"/>
    <n v="125637.95"/>
    <n v="0.47799999999999998"/>
    <n v="35629.839999999997"/>
    <n v="0"/>
    <n v="0"/>
    <x v="4"/>
    <n v="6"/>
  </r>
  <r>
    <n v="39874"/>
    <n v="3201209"/>
    <x v="15"/>
    <n v="2.7570000000000001"/>
    <n v="12494663.689999999"/>
    <n v="0"/>
    <n v="12494663.689999999"/>
    <n v="157057.22"/>
    <n v="2254847.1"/>
    <n v="4.3239999999999998"/>
    <n v="236133.32"/>
    <n v="0"/>
    <n v="0"/>
    <x v="4"/>
    <n v="6"/>
  </r>
  <r>
    <n v="39875"/>
    <n v="3201308"/>
    <x v="16"/>
    <n v="7.1219999999999999"/>
    <n v="32276748.239999998"/>
    <n v="0"/>
    <n v="32276748.239999998"/>
    <n v="405716.91"/>
    <n v="3464725.61"/>
    <n v="6.5110000000000001"/>
    <n v="609989.68000000005"/>
    <n v="0"/>
    <n v="0"/>
    <x v="4"/>
    <n v="6"/>
  </r>
  <r>
    <n v="39876"/>
    <n v="3201407"/>
    <x v="17"/>
    <n v="0.82899999999999996"/>
    <n v="3757009.88"/>
    <n v="0"/>
    <n v="3757009.88"/>
    <n v="47225.4"/>
    <n v="463740.47"/>
    <n v="1.165"/>
    <n v="71002.73"/>
    <n v="0"/>
    <n v="0"/>
    <x v="4"/>
    <n v="6"/>
  </r>
  <r>
    <n v="39877"/>
    <n v="3201506"/>
    <x v="18"/>
    <n v="2.141"/>
    <n v="9702965.1699999999"/>
    <n v="0"/>
    <n v="9702965.1699999999"/>
    <n v="121965.73"/>
    <n v="1543455.43"/>
    <n v="2.875"/>
    <n v="183373.76"/>
    <n v="0"/>
    <n v="0"/>
    <x v="4"/>
    <n v="6"/>
  </r>
  <r>
    <n v="39878"/>
    <n v="3201605"/>
    <x v="19"/>
    <n v="0.76100000000000001"/>
    <n v="3448835.35"/>
    <n v="0"/>
    <n v="3448835.35"/>
    <n v="43351.67"/>
    <n v="195160.27"/>
    <n v="0.96399999999999997"/>
    <n v="65178.62"/>
    <n v="0"/>
    <n v="0"/>
    <x v="4"/>
    <n v="6"/>
  </r>
  <r>
    <n v="39879"/>
    <n v="3201704"/>
    <x v="20"/>
    <n v="0.40500000000000003"/>
    <n v="1835451.13"/>
    <n v="0"/>
    <n v="1835451.13"/>
    <n v="23071.52"/>
    <n v="119053.01"/>
    <n v="0.46400000000000002"/>
    <n v="34687.699999999997"/>
    <n v="0"/>
    <n v="0"/>
    <x v="4"/>
    <n v="6"/>
  </r>
  <r>
    <n v="39880"/>
    <n v="3201803"/>
    <x v="21"/>
    <n v="0.18"/>
    <n v="815756.09"/>
    <n v="0"/>
    <n v="815756.09"/>
    <n v="10254.01"/>
    <n v="32665.05"/>
    <n v="0.29699999999999999"/>
    <n v="15416.76"/>
    <n v="0"/>
    <n v="0"/>
    <x v="4"/>
    <n v="6"/>
  </r>
  <r>
    <n v="39881"/>
    <n v="3201902"/>
    <x v="22"/>
    <n v="1.2070000000000001"/>
    <n v="5470097.6100000003"/>
    <n v="0"/>
    <n v="5470097.6100000003"/>
    <n v="68758.820000000007"/>
    <n v="438847.09"/>
    <n v="1.0780000000000001"/>
    <n v="103377.92"/>
    <n v="0"/>
    <n v="0"/>
    <x v="4"/>
    <n v="6"/>
  </r>
  <r>
    <n v="39882"/>
    <n v="3202009"/>
    <x v="23"/>
    <n v="0.25800000000000001"/>
    <n v="1169250.3600000001"/>
    <n v="0"/>
    <n v="1169250.3600000001"/>
    <n v="14697.41"/>
    <n v="137251.97"/>
    <n v="0.317"/>
    <n v="22097.35"/>
    <n v="0"/>
    <n v="0"/>
    <x v="4"/>
    <n v="6"/>
  </r>
  <r>
    <n v="39883"/>
    <n v="3202108"/>
    <x v="24"/>
    <n v="0.7"/>
    <n v="3172384.69"/>
    <n v="0"/>
    <n v="3172384.69"/>
    <n v="39876.699999999997"/>
    <n v="191540.4"/>
    <n v="0.81599999999999995"/>
    <n v="59954.06"/>
    <n v="0"/>
    <n v="0"/>
    <x v="4"/>
    <n v="6"/>
  </r>
  <r>
    <n v="39884"/>
    <n v="3202207"/>
    <x v="25"/>
    <n v="0.26800000000000002"/>
    <n v="1214570.1100000001"/>
    <n v="0"/>
    <n v="1214570.1100000001"/>
    <n v="15267.08"/>
    <n v="160420.57999999999"/>
    <n v="0.69699999999999995"/>
    <n v="22953.84"/>
    <n v="0"/>
    <n v="0"/>
    <x v="4"/>
    <n v="6"/>
  </r>
  <r>
    <n v="39885"/>
    <n v="3202256"/>
    <x v="26"/>
    <n v="0.48899999999999999"/>
    <n v="2216137.29"/>
    <n v="0"/>
    <n v="2216137.29"/>
    <n v="27856.720000000001"/>
    <n v="136105.24"/>
    <n v="0.45200000000000001"/>
    <n v="41882.19"/>
    <n v="0"/>
    <n v="0"/>
    <x v="4"/>
    <n v="6"/>
  </r>
  <r>
    <n v="39886"/>
    <n v="3202306"/>
    <x v="27"/>
    <n v="0.33700000000000002"/>
    <n v="1527276.62"/>
    <n v="0"/>
    <n v="1527276.62"/>
    <n v="19197.78"/>
    <n v="381891.34"/>
    <n v="0.98899999999999999"/>
    <n v="28863.599999999999"/>
    <n v="0"/>
    <n v="0"/>
    <x v="4"/>
    <n v="6"/>
  </r>
  <r>
    <n v="39887"/>
    <n v="3202405"/>
    <x v="28"/>
    <n v="0.72499999999999998"/>
    <n v="3285684.15"/>
    <n v="0"/>
    <n v="3285684.15"/>
    <n v="41300.86"/>
    <n v="2196896.58"/>
    <n v="2.9359999999999999"/>
    <n v="62095.27"/>
    <n v="0"/>
    <n v="0"/>
    <x v="4"/>
    <n v="6"/>
  </r>
  <r>
    <n v="39888"/>
    <n v="3202454"/>
    <x v="29"/>
    <n v="0.33300000000000002"/>
    <n v="1509148.71"/>
    <n v="0"/>
    <n v="1509148.71"/>
    <n v="18969.919999999998"/>
    <n v="351866.54"/>
    <n v="0.87"/>
    <n v="28521"/>
    <n v="0"/>
    <n v="0"/>
    <x v="4"/>
    <n v="6"/>
  </r>
  <r>
    <n v="39889"/>
    <n v="3202504"/>
    <x v="30"/>
    <n v="0.22700000000000001"/>
    <n v="1028759.06"/>
    <n v="0"/>
    <n v="1028759.06"/>
    <n v="12931.44"/>
    <n v="131348.70000000001"/>
    <n v="0.46100000000000002"/>
    <n v="19442.25"/>
    <n v="0"/>
    <n v="0"/>
    <x v="4"/>
    <n v="6"/>
  </r>
  <r>
    <n v="39890"/>
    <n v="3202553"/>
    <x v="31"/>
    <n v="0.23400000000000001"/>
    <n v="1060482.8799999999"/>
    <n v="0"/>
    <n v="1060482.8799999999"/>
    <n v="13330.21"/>
    <n v="83087.81"/>
    <n v="0.35499999999999998"/>
    <n v="20041.78"/>
    <n v="0"/>
    <n v="0"/>
    <x v="4"/>
    <n v="6"/>
  </r>
  <r>
    <n v="39891"/>
    <n v="3202603"/>
    <x v="32"/>
    <n v="0.28699999999999998"/>
    <n v="1300677.73"/>
    <n v="0"/>
    <n v="1300677.73"/>
    <n v="16349.45"/>
    <n v="237664.3"/>
    <n v="0.53700000000000003"/>
    <n v="24581.16"/>
    <n v="0"/>
    <n v="0"/>
    <x v="4"/>
    <n v="6"/>
  </r>
  <r>
    <n v="39892"/>
    <n v="3202652"/>
    <x v="33"/>
    <n v="0.28799999999999998"/>
    <n v="1305209.7"/>
    <n v="0"/>
    <n v="1305209.7"/>
    <n v="16406.41"/>
    <n v="177352.11"/>
    <n v="0.56399999999999995"/>
    <n v="24666.81"/>
    <n v="0"/>
    <n v="0"/>
    <x v="4"/>
    <n v="6"/>
  </r>
  <r>
    <n v="39893"/>
    <n v="3202702"/>
    <x v="34"/>
    <n v="0.33800000000000002"/>
    <n v="1531808.6"/>
    <n v="0"/>
    <n v="1531808.6"/>
    <n v="19254.75"/>
    <n v="114242.55"/>
    <n v="0.56200000000000006"/>
    <n v="28949.24"/>
    <n v="0"/>
    <n v="0"/>
    <x v="4"/>
    <n v="6"/>
  </r>
  <r>
    <n v="39894"/>
    <n v="3202801"/>
    <x v="35"/>
    <n v="3.8050000000000002"/>
    <n v="17244176.780000001"/>
    <n v="0"/>
    <n v="17244176.780000001"/>
    <n v="216758.33"/>
    <n v="313892.02"/>
    <n v="1.2130000000000001"/>
    <n v="325893.12"/>
    <n v="0"/>
    <n v="0"/>
    <x v="4"/>
    <n v="6"/>
  </r>
  <r>
    <n v="39895"/>
    <n v="3202900"/>
    <x v="36"/>
    <n v="0.35299999999999998"/>
    <n v="1599788.28"/>
    <n v="0"/>
    <n v="1599788.28"/>
    <n v="20109.25"/>
    <n v="94837.37"/>
    <n v="0.44600000000000001"/>
    <n v="30233.98"/>
    <n v="0"/>
    <n v="0"/>
    <x v="4"/>
    <n v="6"/>
  </r>
  <r>
    <n v="39896"/>
    <n v="3203007"/>
    <x v="37"/>
    <n v="0.46899999999999997"/>
    <n v="2125497.7400000002"/>
    <n v="0"/>
    <n v="2125497.7400000002"/>
    <n v="26717.39"/>
    <n v="356792.34"/>
    <n v="0.91200000000000003"/>
    <n v="40169.22"/>
    <n v="0"/>
    <n v="0"/>
    <x v="4"/>
    <n v="6"/>
  </r>
  <r>
    <n v="39897"/>
    <n v="3203056"/>
    <x v="38"/>
    <n v="1.0740000000000001"/>
    <n v="4867344.51"/>
    <n v="0"/>
    <n v="4867344.51"/>
    <n v="61182.25"/>
    <n v="401214.41"/>
    <n v="0.98399999999999999"/>
    <n v="91986.65"/>
    <n v="0"/>
    <n v="0"/>
    <x v="4"/>
    <n v="6"/>
  </r>
  <r>
    <n v="39898"/>
    <n v="3203106"/>
    <x v="39"/>
    <n v="0.20100000000000001"/>
    <n v="910927.58"/>
    <n v="0"/>
    <n v="910927.58"/>
    <n v="11450.31"/>
    <n v="84274.03"/>
    <n v="0.45900000000000002"/>
    <n v="17215.38"/>
    <n v="0"/>
    <n v="0"/>
    <x v="4"/>
    <n v="6"/>
  </r>
  <r>
    <n v="39899"/>
    <n v="3203130"/>
    <x v="40"/>
    <n v="0.38300000000000001"/>
    <n v="1735747.63"/>
    <n v="0"/>
    <n v="1735747.63"/>
    <n v="21818.25"/>
    <n v="153943.13"/>
    <n v="0.63600000000000001"/>
    <n v="32803.440000000002"/>
    <n v="0"/>
    <n v="0"/>
    <x v="4"/>
    <n v="6"/>
  </r>
  <r>
    <n v="39900"/>
    <n v="3203163"/>
    <x v="41"/>
    <n v="0.377"/>
    <n v="1708555.74"/>
    <n v="0"/>
    <n v="1708555.74"/>
    <n v="21476.45"/>
    <n v="63768.93"/>
    <n v="0.45300000000000001"/>
    <n v="32289.54"/>
    <n v="0"/>
    <n v="0"/>
    <x v="4"/>
    <n v="6"/>
  </r>
  <r>
    <n v="39901"/>
    <n v="3203205"/>
    <x v="42"/>
    <n v="4.6500000000000004"/>
    <n v="21073698.300000001"/>
    <n v="0"/>
    <n v="21073698.300000001"/>
    <n v="264895.2"/>
    <n v="2182992.42"/>
    <n v="4.0759999999999996"/>
    <n v="398266.22"/>
    <n v="0"/>
    <n v="0"/>
    <x v="4"/>
    <n v="6"/>
  </r>
  <r>
    <n v="39902"/>
    <n v="3203304"/>
    <x v="43"/>
    <n v="0.25"/>
    <n v="1132994.5"/>
    <n v="0"/>
    <n v="1132994.5"/>
    <n v="14241.68"/>
    <n v="171420.49"/>
    <n v="0.54300000000000004"/>
    <n v="21412.17"/>
    <n v="0"/>
    <n v="0"/>
    <x v="4"/>
    <n v="6"/>
  </r>
  <r>
    <n v="39903"/>
    <n v="3203320"/>
    <x v="44"/>
    <n v="0.61599999999999999"/>
    <n v="2791698.53"/>
    <n v="0"/>
    <n v="2791698.53"/>
    <n v="35091.49"/>
    <n v="445331.96"/>
    <n v="1.24"/>
    <n v="52759.57"/>
    <n v="0"/>
    <n v="0"/>
    <x v="4"/>
    <n v="6"/>
  </r>
  <r>
    <n v="39904"/>
    <n v="3203346"/>
    <x v="45"/>
    <n v="0.56699999999999995"/>
    <n v="2569631.6"/>
    <n v="0"/>
    <n v="2569631.6"/>
    <n v="32300.12"/>
    <n v="215516.18"/>
    <n v="0.69199999999999995"/>
    <n v="48562.79"/>
    <n v="0"/>
    <n v="0"/>
    <x v="4"/>
    <n v="6"/>
  </r>
  <r>
    <n v="39905"/>
    <n v="3203353"/>
    <x v="46"/>
    <n v="0.46"/>
    <n v="2084709.96"/>
    <n v="0"/>
    <n v="2084709.96"/>
    <n v="26204.69"/>
    <n v="141526.74"/>
    <n v="0.47"/>
    <n v="39398.379999999997"/>
    <n v="0"/>
    <n v="0"/>
    <x v="4"/>
    <n v="6"/>
  </r>
  <r>
    <n v="39906"/>
    <n v="3203403"/>
    <x v="47"/>
    <n v="0.47499999999999998"/>
    <n v="2152689.6"/>
    <n v="0"/>
    <n v="2152689.6"/>
    <n v="27059.19"/>
    <n v="282890.69"/>
    <n v="0.85899999999999999"/>
    <n v="40683.11"/>
    <n v="0"/>
    <n v="0"/>
    <x v="4"/>
    <n v="6"/>
  </r>
  <r>
    <n v="39907"/>
    <n v="3203502"/>
    <x v="48"/>
    <n v="0.52800000000000002"/>
    <n v="2392884.44"/>
    <n v="0"/>
    <n v="2392884.44"/>
    <n v="30078.42"/>
    <n v="211587.44"/>
    <n v="0.70899999999999996"/>
    <n v="45222.49"/>
    <n v="0"/>
    <n v="0"/>
    <x v="4"/>
    <n v="6"/>
  </r>
  <r>
    <n v="39908"/>
    <n v="3203601"/>
    <x v="49"/>
    <n v="0.29299999999999998"/>
    <n v="1327869.58"/>
    <n v="0"/>
    <n v="1327869.58"/>
    <n v="16691.25"/>
    <n v="56196.160000000003"/>
    <n v="0.30199999999999999"/>
    <n v="25095.05"/>
    <n v="0"/>
    <n v="0"/>
    <x v="4"/>
    <n v="6"/>
  </r>
  <r>
    <n v="39909"/>
    <n v="3203700"/>
    <x v="50"/>
    <n v="0.51800000000000002"/>
    <n v="2347564.67"/>
    <n v="0"/>
    <n v="2347564.67"/>
    <n v="29508.76"/>
    <n v="138431.96"/>
    <n v="0.69899999999999995"/>
    <n v="44366"/>
    <n v="0"/>
    <n v="0"/>
    <x v="4"/>
    <n v="6"/>
  </r>
  <r>
    <n v="39910"/>
    <n v="3203809"/>
    <x v="51"/>
    <n v="0.26700000000000002"/>
    <n v="1210038.1599999999"/>
    <n v="0"/>
    <n v="1210038.1599999999"/>
    <n v="15210.11"/>
    <n v="105892.78"/>
    <n v="0.56499999999999995"/>
    <n v="22868.19"/>
    <n v="0"/>
    <n v="0"/>
    <x v="4"/>
    <n v="6"/>
  </r>
  <r>
    <n v="39911"/>
    <n v="3203908"/>
    <x v="52"/>
    <n v="1.3089999999999999"/>
    <n v="5932359.3799999999"/>
    <n v="0"/>
    <n v="5932359.3799999999"/>
    <n v="74569.42"/>
    <n v="648705.38"/>
    <n v="1.476"/>
    <n v="112114.08"/>
    <n v="0"/>
    <n v="0"/>
    <x v="4"/>
    <n v="6"/>
  </r>
  <r>
    <n v="39912"/>
    <n v="3204005"/>
    <x v="53"/>
    <n v="0.45400000000000001"/>
    <n v="2057518.06"/>
    <n v="0"/>
    <n v="2057518.06"/>
    <n v="25862.89"/>
    <n v="150232.69"/>
    <n v="0.70899999999999996"/>
    <n v="38884.480000000003"/>
    <n v="0"/>
    <n v="0"/>
    <x v="4"/>
    <n v="6"/>
  </r>
  <r>
    <n v="39913"/>
    <n v="3204054"/>
    <x v="54"/>
    <n v="0.316"/>
    <n v="1432105.09"/>
    <n v="0"/>
    <n v="1432105.09"/>
    <n v="18001.48"/>
    <n v="218412.9"/>
    <n v="0.81"/>
    <n v="27064.97"/>
    <n v="0"/>
    <n v="0"/>
    <x v="4"/>
    <n v="6"/>
  </r>
  <r>
    <n v="39914"/>
    <n v="3204104"/>
    <x v="55"/>
    <n v="0.76200000000000001"/>
    <n v="3453367.34"/>
    <n v="0"/>
    <n v="3453367.34"/>
    <n v="43408.63"/>
    <n v="184952.57"/>
    <n v="0.85099999999999998"/>
    <n v="65264.27"/>
    <n v="0"/>
    <n v="0"/>
    <x v="4"/>
    <n v="6"/>
  </r>
  <r>
    <n v="39915"/>
    <n v="3204203"/>
    <x v="56"/>
    <n v="0.26"/>
    <n v="1178314.29"/>
    <n v="0"/>
    <n v="1178314.29"/>
    <n v="14811.34"/>
    <n v="321887.48"/>
    <n v="0.753"/>
    <n v="22268.65"/>
    <n v="0"/>
    <n v="0"/>
    <x v="4"/>
    <n v="6"/>
  </r>
  <r>
    <n v="39916"/>
    <n v="3204252"/>
    <x v="57"/>
    <n v="0.214"/>
    <n v="969843.32"/>
    <n v="0"/>
    <n v="969843.32"/>
    <n v="12190.88"/>
    <n v="55448.07"/>
    <n v="0.316"/>
    <n v="18328.810000000001"/>
    <n v="0"/>
    <n v="0"/>
    <x v="4"/>
    <n v="6"/>
  </r>
  <r>
    <n v="39917"/>
    <n v="1718402"/>
    <x v="58"/>
    <n v="0.39100000000000001"/>
    <n v="1772003.44"/>
    <n v="0"/>
    <n v="1772003.44"/>
    <n v="22273.98"/>
    <n v="215020.31"/>
    <n v="0.56399999999999995"/>
    <n v="33488.620000000003"/>
    <n v="0"/>
    <n v="0"/>
    <x v="4"/>
    <n v="6"/>
  </r>
  <r>
    <n v="39918"/>
    <n v="3204351"/>
    <x v="59"/>
    <n v="0.90300000000000002"/>
    <n v="4092376.25"/>
    <n v="0"/>
    <n v="4092376.25"/>
    <n v="51440.94"/>
    <n v="261731.73"/>
    <n v="0.71399999999999997"/>
    <n v="77340.740000000005"/>
    <n v="0"/>
    <n v="0"/>
    <x v="4"/>
    <n v="6"/>
  </r>
  <r>
    <n v="39919"/>
    <n v="3204401"/>
    <x v="60"/>
    <n v="0.25900000000000001"/>
    <n v="1173782.3400000001"/>
    <n v="0"/>
    <n v="1173782.3400000001"/>
    <n v="14754.38"/>
    <n v="101729.33"/>
    <n v="0.45300000000000001"/>
    <n v="22183"/>
    <n v="0"/>
    <n v="0"/>
    <x v="4"/>
    <n v="6"/>
  </r>
  <r>
    <n v="39920"/>
    <n v="3204500"/>
    <x v="61"/>
    <n v="0.52500000000000002"/>
    <n v="2379288.56"/>
    <n v="0"/>
    <n v="2379288.56"/>
    <n v="29907.52"/>
    <n v="102656.32000000001"/>
    <n v="0.47899999999999998"/>
    <n v="44965.54"/>
    <n v="0"/>
    <n v="0"/>
    <x v="4"/>
    <n v="6"/>
  </r>
  <r>
    <n v="39921"/>
    <n v="3204559"/>
    <x v="62"/>
    <n v="2.34"/>
    <n v="10604828.800000001"/>
    <n v="0"/>
    <n v="10604828.800000001"/>
    <n v="133302.1"/>
    <n v="656306.14"/>
    <n v="1.236"/>
    <n v="200417.85"/>
    <n v="0"/>
    <n v="0"/>
    <x v="4"/>
    <n v="6"/>
  </r>
  <r>
    <n v="39922"/>
    <n v="3204609"/>
    <x v="63"/>
    <n v="0.629"/>
    <n v="2850614.25"/>
    <n v="0"/>
    <n v="2850614.25"/>
    <n v="35832.06"/>
    <n v="286389.05"/>
    <n v="0.82699999999999996"/>
    <n v="53873"/>
    <n v="0"/>
    <n v="0"/>
    <x v="4"/>
    <n v="6"/>
  </r>
  <r>
    <n v="39923"/>
    <n v="3204658"/>
    <x v="64"/>
    <n v="0.40400000000000003"/>
    <n v="1830919.14"/>
    <n v="0"/>
    <n v="1830919.14"/>
    <n v="23014.55"/>
    <n v="109153.83"/>
    <n v="0.34300000000000003"/>
    <n v="34602.050000000003"/>
    <n v="0"/>
    <n v="0"/>
    <x v="4"/>
    <n v="6"/>
  </r>
  <r>
    <n v="39924"/>
    <n v="3204708"/>
    <x v="65"/>
    <n v="0.80200000000000005"/>
    <n v="3634646.48"/>
    <n v="0"/>
    <n v="3634646.48"/>
    <n v="45687.3"/>
    <n v="388858.01"/>
    <n v="1.1040000000000001"/>
    <n v="68690.22"/>
    <n v="0"/>
    <n v="0"/>
    <x v="4"/>
    <n v="6"/>
  </r>
  <r>
    <n v="39925"/>
    <n v="3204807"/>
    <x v="66"/>
    <n v="0.23400000000000001"/>
    <n v="1060482.8799999999"/>
    <n v="0"/>
    <n v="1060482.8799999999"/>
    <n v="13330.21"/>
    <n v="88747.520000000004"/>
    <n v="0.45"/>
    <n v="20041.78"/>
    <n v="0"/>
    <n v="0"/>
    <x v="4"/>
    <n v="6"/>
  </r>
  <r>
    <n v="39926"/>
    <n v="3204906"/>
    <x v="67"/>
    <n v="1.952"/>
    <n v="8846421.3200000003"/>
    <n v="0"/>
    <n v="8846421.3200000003"/>
    <n v="111199.02"/>
    <n v="1449011.36"/>
    <n v="2.9870000000000001"/>
    <n v="167186.17000000001"/>
    <n v="0"/>
    <n v="0"/>
    <x v="4"/>
    <n v="6"/>
  </r>
  <r>
    <n v="39927"/>
    <n v="3204955"/>
    <x v="68"/>
    <n v="0.29699999999999999"/>
    <n v="1345997.49"/>
    <n v="0"/>
    <n v="1345997.49"/>
    <n v="16919.11"/>
    <n v="98706.37"/>
    <n v="0.45"/>
    <n v="25437.65"/>
    <n v="0"/>
    <n v="0"/>
    <x v="4"/>
    <n v="6"/>
  </r>
  <r>
    <n v="39928"/>
    <n v="3205002"/>
    <x v="69"/>
    <n v="14.689"/>
    <n v="66570226.740000002"/>
    <n v="0"/>
    <n v="66570226.740000002"/>
    <n v="836784.01"/>
    <n v="5403994.7000000002"/>
    <n v="8.6910000000000007"/>
    <n v="1258093.02"/>
    <n v="0"/>
    <n v="0"/>
    <x v="4"/>
    <n v="6"/>
  </r>
  <r>
    <n v="39929"/>
    <n v="3205010"/>
    <x v="70"/>
    <n v="0.72799999999999998"/>
    <n v="3299280.1"/>
    <n v="0"/>
    <n v="3299280.1"/>
    <n v="41471.760000000002"/>
    <n v="239736.04"/>
    <n v="0.95199999999999996"/>
    <n v="62352.22"/>
    <n v="0"/>
    <n v="0"/>
    <x v="4"/>
    <n v="6"/>
  </r>
  <r>
    <n v="39930"/>
    <n v="3205036"/>
    <x v="71"/>
    <n v="0.48599999999999999"/>
    <n v="2202541.39"/>
    <n v="0"/>
    <n v="2202541.39"/>
    <n v="27685.82"/>
    <n v="194550.59"/>
    <n v="0.71699999999999997"/>
    <n v="41625.25"/>
    <n v="0"/>
    <n v="0"/>
    <x v="4"/>
    <n v="6"/>
  </r>
  <r>
    <n v="39931"/>
    <n v="3205069"/>
    <x v="72"/>
    <n v="0.61899999999999999"/>
    <n v="2805294.44"/>
    <n v="0"/>
    <n v="2805294.44"/>
    <n v="35262.39"/>
    <n v="376493.7"/>
    <n v="0.85"/>
    <n v="53016.52"/>
    <n v="0"/>
    <n v="0"/>
    <x v="4"/>
    <n v="6"/>
  </r>
  <r>
    <n v="39932"/>
    <n v="2112803"/>
    <x v="73"/>
    <n v="2.823"/>
    <n v="12793774.279999999"/>
    <n v="0"/>
    <n v="12793774.279999999"/>
    <n v="160817.01999999999"/>
    <n v="628593.44999999995"/>
    <n v="1.9590000000000001"/>
    <n v="241786.14"/>
    <n v="0"/>
    <n v="0"/>
    <x v="4"/>
    <n v="6"/>
  </r>
  <r>
    <n v="39933"/>
    <n v="3205150"/>
    <x v="74"/>
    <n v="0.313"/>
    <n v="1418509.14"/>
    <n v="0"/>
    <n v="1418509.14"/>
    <n v="17830.580000000002"/>
    <n v="90364.27"/>
    <n v="0.34699999999999998"/>
    <n v="26808.03"/>
    <n v="0"/>
    <n v="0"/>
    <x v="4"/>
    <n v="6"/>
  </r>
  <r>
    <n v="39934"/>
    <n v="3205176"/>
    <x v="75"/>
    <n v="0.64300000000000002"/>
    <n v="2914061.93"/>
    <n v="0"/>
    <n v="2914061.93"/>
    <n v="36629.599999999999"/>
    <n v="223792.12"/>
    <n v="0.56399999999999995"/>
    <n v="55072.09"/>
    <n v="0"/>
    <n v="0"/>
    <x v="4"/>
    <n v="6"/>
  </r>
  <r>
    <n v="39935"/>
    <n v="3205200"/>
    <x v="76"/>
    <n v="4.97"/>
    <n v="22523931.300000001"/>
    <n v="0"/>
    <n v="22523931.300000001"/>
    <n v="283124.55"/>
    <n v="6374240.0599999996"/>
    <n v="8.0009999999999994"/>
    <n v="425673.79"/>
    <n v="0"/>
    <n v="0"/>
    <x v="4"/>
    <n v="6"/>
  </r>
  <r>
    <n v="39936"/>
    <n v="3205309"/>
    <x v="77"/>
    <n v="13.843"/>
    <n v="62736173.390000001"/>
    <n v="0"/>
    <n v="62736173.390000001"/>
    <n v="788590.18"/>
    <n v="6015681.04"/>
    <n v="9.2110000000000003"/>
    <n v="1185634.23"/>
    <n v="0"/>
    <n v="0"/>
    <x v="4"/>
    <n v="6"/>
  </r>
  <r>
    <n v="39937"/>
    <n v="3200102"/>
    <x v="0"/>
    <n v="0.73199999999999998"/>
    <n v="3438350.11"/>
    <n v="0"/>
    <n v="3438350.11"/>
    <n v="36858.9"/>
    <n v="319058.69"/>
    <n v="1.0169999999999999"/>
    <n v="502.36"/>
    <n v="10942.94"/>
    <n v="0.42"/>
    <x v="4"/>
    <n v="7"/>
  </r>
  <r>
    <n v="39938"/>
    <n v="3200169"/>
    <x v="1"/>
    <n v="0.28199999999999997"/>
    <n v="1324610.29"/>
    <n v="0"/>
    <n v="1324610.29"/>
    <n v="14199.74"/>
    <n v="116465.9"/>
    <n v="0.46500000000000002"/>
    <n v="193.53"/>
    <n v="5008.17"/>
    <n v="0.16"/>
    <x v="4"/>
    <n v="7"/>
  </r>
  <r>
    <n v="39939"/>
    <n v="3200136"/>
    <x v="2"/>
    <n v="0.46"/>
    <n v="2160711.79"/>
    <n v="0"/>
    <n v="2160711.79"/>
    <n v="23162.69"/>
    <n v="114053.47"/>
    <n v="0.35799999999999998"/>
    <n v="315.69"/>
    <n v="3851.53"/>
    <n v="0.26"/>
    <x v="4"/>
    <n v="7"/>
  </r>
  <r>
    <n v="39940"/>
    <n v="3200201"/>
    <x v="3"/>
    <n v="0.46800000000000003"/>
    <n v="2198289.38"/>
    <n v="0"/>
    <n v="2198289.38"/>
    <n v="23565.52"/>
    <n v="246425.22"/>
    <n v="0.98699999999999999"/>
    <n v="321.18"/>
    <n v="10621.56"/>
    <n v="0.27"/>
    <x v="4"/>
    <n v="7"/>
  </r>
  <r>
    <n v="39941"/>
    <n v="3200300"/>
    <x v="4"/>
    <n v="0.45800000000000002"/>
    <n v="2151317.42"/>
    <n v="0"/>
    <n v="2151317.42"/>
    <n v="23061.99"/>
    <n v="205693.96"/>
    <n v="0.56599999999999995"/>
    <n v="314.32"/>
    <n v="6089.42"/>
    <n v="0.26"/>
    <x v="4"/>
    <n v="7"/>
  </r>
  <r>
    <n v="39942"/>
    <n v="3200359"/>
    <x v="5"/>
    <n v="0.23"/>
    <n v="1080355.8999999999"/>
    <n v="0"/>
    <n v="1080355.8999999999"/>
    <n v="11581.35"/>
    <n v="72152.94"/>
    <n v="0.32800000000000001"/>
    <n v="157.84"/>
    <n v="3531.85"/>
    <n v="0.13"/>
    <x v="4"/>
    <n v="7"/>
  </r>
  <r>
    <n v="39943"/>
    <n v="3200409"/>
    <x v="6"/>
    <n v="4.2549999999999999"/>
    <n v="19986584.199999999"/>
    <n v="0"/>
    <n v="19986584.199999999"/>
    <n v="214254.92"/>
    <n v="323524.90999999997"/>
    <n v="0.93"/>
    <n v="2920.12"/>
    <n v="10015.27"/>
    <n v="2.42"/>
    <x v="4"/>
    <n v="7"/>
  </r>
  <r>
    <n v="39944"/>
    <n v="3200508"/>
    <x v="7"/>
    <n v="0.188"/>
    <n v="883073.51"/>
    <n v="0"/>
    <n v="883073.51"/>
    <n v="9466.49"/>
    <n v="96861.22"/>
    <n v="0.32500000000000001"/>
    <n v="129.02000000000001"/>
    <n v="3502.23"/>
    <n v="0.11"/>
    <x v="4"/>
    <n v="7"/>
  </r>
  <r>
    <n v="39945"/>
    <n v="3200607"/>
    <x v="8"/>
    <n v="3.7869999999999999"/>
    <n v="17788294.780000001"/>
    <n v="0"/>
    <n v="17788294.780000001"/>
    <n v="190689.4"/>
    <n v="1169823.75"/>
    <n v="2.456"/>
    <n v="2598.9499999999998"/>
    <n v="26437.61"/>
    <n v="2.15"/>
    <x v="4"/>
    <n v="7"/>
  </r>
  <r>
    <n v="39946"/>
    <n v="3200706"/>
    <x v="9"/>
    <n v="0.32400000000000001"/>
    <n v="1521892.66"/>
    <n v="0"/>
    <n v="1521892.66"/>
    <n v="16314.59"/>
    <n v="98137.42"/>
    <n v="0.44600000000000001"/>
    <n v="222.35"/>
    <n v="4797.29"/>
    <n v="0.18"/>
    <x v="4"/>
    <n v="7"/>
  </r>
  <r>
    <n v="39947"/>
    <n v="3200805"/>
    <x v="10"/>
    <n v="0.59299999999999997"/>
    <n v="2785439.38"/>
    <n v="0"/>
    <n v="2785439.38"/>
    <n v="29859.73"/>
    <n v="533589.21"/>
    <n v="1.016"/>
    <n v="406.96"/>
    <n v="10941.53"/>
    <n v="0.34"/>
    <x v="4"/>
    <n v="7"/>
  </r>
  <r>
    <n v="39948"/>
    <n v="3200904"/>
    <x v="11"/>
    <n v="0.88400000000000001"/>
    <n v="4152324.43"/>
    <n v="0"/>
    <n v="4152324.43"/>
    <n v="44512.66"/>
    <n v="607794.02"/>
    <n v="1.3140000000000001"/>
    <n v="606.66999999999996"/>
    <n v="14143.72"/>
    <n v="0.5"/>
    <x v="4"/>
    <n v="7"/>
  </r>
  <r>
    <n v="39949"/>
    <n v="3107109"/>
    <x v="12"/>
    <n v="0.41899999999999998"/>
    <n v="1968126.61"/>
    <n v="0"/>
    <n v="1968126.61"/>
    <n v="21098.19"/>
    <n v="162174.32999999999"/>
    <n v="0.56299999999999994"/>
    <n v="287.55"/>
    <n v="6057.41"/>
    <n v="0.24"/>
    <x v="4"/>
    <n v="7"/>
  </r>
  <r>
    <n v="39950"/>
    <n v="3201100"/>
    <x v="13"/>
    <n v="0.16700000000000001"/>
    <n v="784432.34"/>
    <n v="0"/>
    <n v="784432.34"/>
    <n v="8409.06"/>
    <n v="313418.11"/>
    <n v="0.442"/>
    <n v="114.61"/>
    <n v="4757.1400000000003"/>
    <n v="0.09"/>
    <x v="4"/>
    <n v="7"/>
  </r>
  <r>
    <n v="39951"/>
    <n v="3201159"/>
    <x v="14"/>
    <n v="0.41599999999999998"/>
    <n v="1954035.03"/>
    <n v="0"/>
    <n v="1954035.03"/>
    <n v="20947.13"/>
    <n v="149651.53"/>
    <n v="0.47799999999999998"/>
    <n v="285.49"/>
    <n v="5140.55"/>
    <n v="0.24"/>
    <x v="4"/>
    <n v="7"/>
  </r>
  <r>
    <n v="39952"/>
    <n v="3201209"/>
    <x v="15"/>
    <n v="2.7570000000000001"/>
    <n v="12950179.23"/>
    <n v="0"/>
    <n v="12950179.23"/>
    <n v="138825.1"/>
    <n v="2462688.11"/>
    <n v="4.3239999999999998"/>
    <n v="1892.08"/>
    <n v="46546.19"/>
    <n v="1.56"/>
    <x v="4"/>
    <n v="7"/>
  </r>
  <r>
    <n v="39953"/>
    <n v="3201308"/>
    <x v="16"/>
    <n v="7.1219999999999999"/>
    <n v="33453455.370000001"/>
    <n v="0"/>
    <n v="33453455.370000001"/>
    <n v="358618.93"/>
    <n v="3180930.14"/>
    <n v="6.5110000000000001"/>
    <n v="4887.6899999999996"/>
    <n v="70090.929999999993"/>
    <n v="4.04"/>
    <x v="4"/>
    <n v="7"/>
  </r>
  <r>
    <n v="39954"/>
    <n v="3201407"/>
    <x v="17"/>
    <n v="0.82899999999999996"/>
    <n v="3893978.45"/>
    <n v="0"/>
    <n v="3893978.45"/>
    <n v="41743.199999999997"/>
    <n v="586192.21"/>
    <n v="1.165"/>
    <n v="568.92999999999995"/>
    <n v="12536.02"/>
    <n v="0.47"/>
    <x v="4"/>
    <n v="7"/>
  </r>
  <r>
    <n v="39955"/>
    <n v="3201506"/>
    <x v="18"/>
    <n v="2.141"/>
    <n v="10056704.279999999"/>
    <n v="0"/>
    <n v="10056704.279999999"/>
    <n v="107807.23"/>
    <n v="1609119.44"/>
    <n v="2.875"/>
    <n v="1469.33"/>
    <n v="30951.46"/>
    <n v="1.22"/>
    <x v="4"/>
    <n v="7"/>
  </r>
  <r>
    <n v="39956"/>
    <n v="3201605"/>
    <x v="19"/>
    <n v="0.76100000000000001"/>
    <n v="3574568.87"/>
    <n v="0"/>
    <n v="3574568.87"/>
    <n v="38319.15"/>
    <n v="193064.08"/>
    <n v="0.96399999999999997"/>
    <n v="522.26"/>
    <n v="10380.23"/>
    <n v="0.43"/>
    <x v="4"/>
    <n v="7"/>
  </r>
  <r>
    <n v="39957"/>
    <n v="3201704"/>
    <x v="20"/>
    <n v="0.40500000000000003"/>
    <n v="1902365.83"/>
    <n v="0"/>
    <n v="1902365.83"/>
    <n v="20393.240000000002"/>
    <n v="115503.97"/>
    <n v="0.46400000000000002"/>
    <n v="277.94"/>
    <n v="4993.42"/>
    <n v="0.23"/>
    <x v="4"/>
    <n v="7"/>
  </r>
  <r>
    <n v="39958"/>
    <n v="3201803"/>
    <x v="21"/>
    <n v="0.18"/>
    <n v="845495.92"/>
    <n v="0"/>
    <n v="845495.92"/>
    <n v="9063.66"/>
    <n v="38899.360000000001"/>
    <n v="0.29699999999999999"/>
    <n v="123.53"/>
    <n v="3201.78"/>
    <n v="0.1"/>
    <x v="4"/>
    <n v="7"/>
  </r>
  <r>
    <n v="39959"/>
    <n v="3201902"/>
    <x v="22"/>
    <n v="1.2070000000000001"/>
    <n v="5669519.8899999997"/>
    <n v="0"/>
    <n v="5669519.8899999997"/>
    <n v="60776.9"/>
    <n v="424188.03"/>
    <n v="1.0780000000000001"/>
    <n v="828.34"/>
    <n v="11607.27"/>
    <n v="0.69"/>
    <x v="4"/>
    <n v="7"/>
  </r>
  <r>
    <n v="39960"/>
    <n v="3202009"/>
    <x v="23"/>
    <n v="0.25800000000000001"/>
    <n v="1211877.48"/>
    <n v="0"/>
    <n v="1211877.48"/>
    <n v="12991.25"/>
    <n v="130082.96"/>
    <n v="0.317"/>
    <n v="177.06"/>
    <n v="3414.19"/>
    <n v="0.15"/>
    <x v="4"/>
    <n v="7"/>
  </r>
  <r>
    <n v="39961"/>
    <n v="3202108"/>
    <x v="24"/>
    <n v="0.7"/>
    <n v="3288039.72"/>
    <n v="0"/>
    <n v="3288039.72"/>
    <n v="35247.58"/>
    <n v="226397.36"/>
    <n v="0.81599999999999995"/>
    <n v="480.4"/>
    <n v="8786.84"/>
    <n v="0.4"/>
    <x v="4"/>
    <n v="7"/>
  </r>
  <r>
    <n v="39962"/>
    <n v="3202207"/>
    <x v="25"/>
    <n v="0.26800000000000002"/>
    <n v="1258849.48"/>
    <n v="0"/>
    <n v="1258849.48"/>
    <n v="13494.79"/>
    <n v="171980.68"/>
    <n v="0.69699999999999995"/>
    <n v="183.92"/>
    <n v="7505.37"/>
    <n v="0.15"/>
    <x v="4"/>
    <n v="7"/>
  </r>
  <r>
    <n v="39963"/>
    <n v="3202256"/>
    <x v="26"/>
    <n v="0.48899999999999999"/>
    <n v="2296930.61"/>
    <n v="0"/>
    <n v="2296930.61"/>
    <n v="24622.95"/>
    <n v="173886.91"/>
    <n v="0.45200000000000001"/>
    <n v="335.59"/>
    <n v="4863.1400000000003"/>
    <n v="0.28000000000000003"/>
    <x v="4"/>
    <n v="7"/>
  </r>
  <r>
    <n v="39964"/>
    <n v="3202306"/>
    <x v="27"/>
    <n v="0.33700000000000002"/>
    <n v="1582956.24"/>
    <n v="0"/>
    <n v="1582956.24"/>
    <n v="16969.189999999999"/>
    <n v="374409.94"/>
    <n v="0.98899999999999999"/>
    <n v="231.28"/>
    <n v="10646.98"/>
    <n v="0.19"/>
    <x v="4"/>
    <n v="7"/>
  </r>
  <r>
    <n v="39965"/>
    <n v="3202405"/>
    <x v="28"/>
    <n v="0.72499999999999998"/>
    <n v="3405469.69"/>
    <n v="0"/>
    <n v="3405469.69"/>
    <n v="36506.42"/>
    <n v="2261785.4500000002"/>
    <n v="2.9359999999999999"/>
    <n v="497.55"/>
    <n v="31600.5"/>
    <n v="0.41"/>
    <x v="4"/>
    <n v="7"/>
  </r>
  <r>
    <n v="39966"/>
    <n v="3202454"/>
    <x v="29"/>
    <n v="0.33300000000000002"/>
    <n v="1564167.48"/>
    <n v="0"/>
    <n v="1564167.48"/>
    <n v="16767.78"/>
    <n v="392259.72"/>
    <n v="0.87"/>
    <n v="228.53"/>
    <n v="9368.9"/>
    <n v="0.19"/>
    <x v="4"/>
    <n v="7"/>
  </r>
  <r>
    <n v="39967"/>
    <n v="3202504"/>
    <x v="30"/>
    <n v="0.22700000000000001"/>
    <n v="1066264.32"/>
    <n v="0"/>
    <n v="1066264.32"/>
    <n v="11430.29"/>
    <n v="143619.51"/>
    <n v="0.46100000000000002"/>
    <n v="155.79"/>
    <n v="4963.38"/>
    <n v="0.13"/>
    <x v="4"/>
    <n v="7"/>
  </r>
  <r>
    <n v="39968"/>
    <n v="3202553"/>
    <x v="31"/>
    <n v="0.23400000000000001"/>
    <n v="1099144.71"/>
    <n v="0"/>
    <n v="1099144.71"/>
    <n v="11782.76"/>
    <n v="81718.38"/>
    <n v="0.35499999999999998"/>
    <n v="160.59"/>
    <n v="3824.71"/>
    <n v="0.13"/>
    <x v="4"/>
    <n v="7"/>
  </r>
  <r>
    <n v="39969"/>
    <n v="3202603"/>
    <x v="32"/>
    <n v="0.28699999999999998"/>
    <n v="1348096.29"/>
    <n v="0"/>
    <n v="1348096.29"/>
    <n v="14451.51"/>
    <n v="222650.27"/>
    <n v="0.53700000000000003"/>
    <n v="196.96"/>
    <n v="5777.83"/>
    <n v="0.16"/>
    <x v="4"/>
    <n v="7"/>
  </r>
  <r>
    <n v="39970"/>
    <n v="3202652"/>
    <x v="33"/>
    <n v="0.28799999999999998"/>
    <n v="1352793.48"/>
    <n v="0"/>
    <n v="1352793.48"/>
    <n v="14501.86"/>
    <n v="207528.45"/>
    <n v="0.56399999999999995"/>
    <n v="197.65"/>
    <n v="6071.73"/>
    <n v="0.16"/>
    <x v="4"/>
    <n v="7"/>
  </r>
  <r>
    <n v="39971"/>
    <n v="3202702"/>
    <x v="34"/>
    <n v="0.33800000000000002"/>
    <n v="1587653.47"/>
    <n v="0"/>
    <n v="1587653.47"/>
    <n v="17019.54"/>
    <n v="106270.04"/>
    <n v="0.56200000000000006"/>
    <n v="231.96"/>
    <n v="6054.74"/>
    <n v="0.19"/>
    <x v="4"/>
    <n v="7"/>
  </r>
  <r>
    <n v="39972"/>
    <n v="3202801"/>
    <x v="35"/>
    <n v="3.8050000000000002"/>
    <n v="17872844.399999999"/>
    <n v="0"/>
    <n v="17872844.399999999"/>
    <n v="191595.76"/>
    <n v="332431.15999999997"/>
    <n v="1.2130000000000001"/>
    <n v="2611.3000000000002"/>
    <n v="13056.64"/>
    <n v="2.16"/>
    <x v="4"/>
    <n v="7"/>
  </r>
  <r>
    <n v="39973"/>
    <n v="3202900"/>
    <x v="36"/>
    <n v="0.35299999999999998"/>
    <n v="1658111.45"/>
    <n v="0"/>
    <n v="1658111.45"/>
    <n v="17774.849999999999"/>
    <n v="98898"/>
    <n v="0.44600000000000001"/>
    <n v="242.26"/>
    <n v="4805.3"/>
    <n v="0.2"/>
    <x v="4"/>
    <n v="7"/>
  </r>
  <r>
    <n v="39974"/>
    <n v="3203007"/>
    <x v="37"/>
    <n v="0.46899999999999997"/>
    <n v="2202986.62"/>
    <n v="0"/>
    <n v="2202986.62"/>
    <n v="23615.88"/>
    <n v="336925.75"/>
    <n v="0.91200000000000003"/>
    <n v="321.87"/>
    <n v="9819.57"/>
    <n v="0.27"/>
    <x v="4"/>
    <n v="7"/>
  </r>
  <r>
    <n v="39975"/>
    <n v="3203056"/>
    <x v="38"/>
    <n v="1.0740000000000001"/>
    <n v="5044792.3600000003"/>
    <n v="0"/>
    <n v="5044792.3600000003"/>
    <n v="54079.86"/>
    <n v="381701.99"/>
    <n v="0.98399999999999999"/>
    <n v="737.07"/>
    <n v="10587.03"/>
    <n v="0.61"/>
    <x v="4"/>
    <n v="7"/>
  </r>
  <r>
    <n v="39976"/>
    <n v="3203106"/>
    <x v="39"/>
    <n v="0.20100000000000001"/>
    <n v="944137.11"/>
    <n v="0"/>
    <n v="944137.11"/>
    <n v="10121.09"/>
    <n v="69878.02"/>
    <n v="0.45900000000000002"/>
    <n v="137.94"/>
    <n v="4942.6000000000004"/>
    <n v="0.11"/>
    <x v="4"/>
    <n v="7"/>
  </r>
  <r>
    <n v="39977"/>
    <n v="3203130"/>
    <x v="40"/>
    <n v="0.38300000000000001"/>
    <n v="1799027.44"/>
    <n v="0"/>
    <n v="1799027.44"/>
    <n v="19285.46"/>
    <n v="162631.60999999999"/>
    <n v="0.63600000000000001"/>
    <n v="262.85000000000002"/>
    <n v="6849.93"/>
    <n v="0.22"/>
    <x v="4"/>
    <n v="7"/>
  </r>
  <r>
    <n v="39978"/>
    <n v="3203163"/>
    <x v="41"/>
    <n v="0.377"/>
    <n v="1770844.25"/>
    <n v="0"/>
    <n v="1770844.25"/>
    <n v="18983.34"/>
    <n v="77321.100000000006"/>
    <n v="0.45300000000000001"/>
    <n v="258.73"/>
    <n v="4875.08"/>
    <n v="0.21"/>
    <x v="4"/>
    <n v="7"/>
  </r>
  <r>
    <n v="39979"/>
    <n v="3203205"/>
    <x v="42"/>
    <n v="4.6500000000000004"/>
    <n v="21841978.010000002"/>
    <n v="0"/>
    <n v="21841978.010000002"/>
    <n v="234144.62"/>
    <n v="2299477.5"/>
    <n v="4.0759999999999996"/>
    <n v="3191.21"/>
    <n v="43878.7"/>
    <n v="2.64"/>
    <x v="4"/>
    <n v="7"/>
  </r>
  <r>
    <n v="39980"/>
    <n v="3203304"/>
    <x v="43"/>
    <n v="0.25"/>
    <n v="1174299.8799999999"/>
    <n v="0"/>
    <n v="1174299.8799999999"/>
    <n v="12588.42"/>
    <n v="156908.37"/>
    <n v="0.54300000000000004"/>
    <n v="171.57"/>
    <n v="5840.16"/>
    <n v="0.14000000000000001"/>
    <x v="4"/>
    <n v="7"/>
  </r>
  <r>
    <n v="39981"/>
    <n v="3203320"/>
    <x v="44"/>
    <n v="0.61599999999999999"/>
    <n v="2893474.94"/>
    <n v="0"/>
    <n v="2893474.94"/>
    <n v="31017.87"/>
    <n v="490202.44"/>
    <n v="1.24"/>
    <n v="422.75"/>
    <n v="13351.05"/>
    <n v="0.35"/>
    <x v="4"/>
    <n v="7"/>
  </r>
  <r>
    <n v="39982"/>
    <n v="3203346"/>
    <x v="45"/>
    <n v="0.56699999999999995"/>
    <n v="2663312.17"/>
    <n v="0"/>
    <n v="2663312.17"/>
    <n v="28550.54"/>
    <n v="191404.68"/>
    <n v="0.69199999999999995"/>
    <n v="389.12"/>
    <n v="7453"/>
    <n v="0.32"/>
    <x v="4"/>
    <n v="7"/>
  </r>
  <r>
    <n v="39983"/>
    <n v="3203353"/>
    <x v="46"/>
    <n v="0.46"/>
    <n v="2160711.79"/>
    <n v="0"/>
    <n v="2160711.79"/>
    <n v="23162.69"/>
    <n v="141872.26"/>
    <n v="0.47"/>
    <n v="315.69"/>
    <n v="5056.6000000000004"/>
    <n v="0.26"/>
    <x v="4"/>
    <n v="7"/>
  </r>
  <r>
    <n v="39984"/>
    <n v="3203403"/>
    <x v="47"/>
    <n v="0.47499999999999998"/>
    <n v="2231169.8199999998"/>
    <n v="0"/>
    <n v="2231169.8199999998"/>
    <n v="23918"/>
    <n v="266926.90999999997"/>
    <n v="0.85899999999999999"/>
    <n v="325.98"/>
    <n v="9241.84"/>
    <n v="0.27"/>
    <x v="4"/>
    <n v="7"/>
  </r>
  <r>
    <n v="39985"/>
    <n v="3203502"/>
    <x v="48"/>
    <n v="0.52800000000000002"/>
    <n v="2480121.38"/>
    <n v="0"/>
    <n v="2480121.38"/>
    <n v="26586.74"/>
    <n v="224410.65"/>
    <n v="0.70899999999999996"/>
    <n v="362.36"/>
    <n v="7629.76"/>
    <n v="0.3"/>
    <x v="4"/>
    <n v="7"/>
  </r>
  <r>
    <n v="39986"/>
    <n v="3203601"/>
    <x v="49"/>
    <n v="0.29299999999999998"/>
    <n v="1376279.49"/>
    <n v="0"/>
    <n v="1376279.49"/>
    <n v="14753.63"/>
    <n v="52711.07"/>
    <n v="0.30199999999999999"/>
    <n v="201.08"/>
    <n v="3255.56"/>
    <n v="0.17"/>
    <x v="4"/>
    <n v="7"/>
  </r>
  <r>
    <n v="39987"/>
    <n v="3203700"/>
    <x v="50"/>
    <n v="0.51800000000000002"/>
    <n v="2433149.38"/>
    <n v="0"/>
    <n v="2433149.38"/>
    <n v="26083.21"/>
    <n v="145910.14000000001"/>
    <n v="0.69899999999999995"/>
    <n v="355.49"/>
    <n v="7524.89"/>
    <n v="0.28999999999999998"/>
    <x v="4"/>
    <n v="7"/>
  </r>
  <r>
    <n v="39988"/>
    <n v="3203809"/>
    <x v="51"/>
    <n v="0.26700000000000002"/>
    <n v="1254152.28"/>
    <n v="0"/>
    <n v="1254152.28"/>
    <n v="13444.43"/>
    <n v="113585.89"/>
    <n v="0.56499999999999995"/>
    <n v="183.24"/>
    <n v="6076.64"/>
    <n v="0.15"/>
    <x v="4"/>
    <n v="7"/>
  </r>
  <r>
    <n v="39989"/>
    <n v="3203908"/>
    <x v="52"/>
    <n v="1.3089999999999999"/>
    <n v="6148634.2400000002"/>
    <n v="0"/>
    <n v="6148634.2400000002"/>
    <n v="65912.97"/>
    <n v="675414.84"/>
    <n v="1.476"/>
    <n v="898.34"/>
    <n v="15891.69"/>
    <n v="0.74"/>
    <x v="4"/>
    <n v="7"/>
  </r>
  <r>
    <n v="39990"/>
    <n v="3204005"/>
    <x v="53"/>
    <n v="0.45400000000000001"/>
    <n v="2132528.6"/>
    <n v="0"/>
    <n v="2132528.6"/>
    <n v="22860.57"/>
    <n v="175738.84"/>
    <n v="0.70899999999999996"/>
    <n v="311.57"/>
    <n v="7628.78"/>
    <n v="0.26"/>
    <x v="4"/>
    <n v="7"/>
  </r>
  <r>
    <n v="39991"/>
    <n v="3204054"/>
    <x v="54"/>
    <n v="0.316"/>
    <n v="1484315.06"/>
    <n v="0"/>
    <n v="1484315.06"/>
    <n v="15911.76"/>
    <n v="227065.36"/>
    <n v="0.81"/>
    <n v="216.86"/>
    <n v="8720.86"/>
    <n v="0.18"/>
    <x v="4"/>
    <n v="7"/>
  </r>
  <r>
    <n v="39992"/>
    <n v="3204104"/>
    <x v="55"/>
    <n v="0.76200000000000001"/>
    <n v="3579266.07"/>
    <n v="0"/>
    <n v="3579266.07"/>
    <n v="38369.51"/>
    <n v="212768.08"/>
    <n v="0.85099999999999998"/>
    <n v="522.95000000000005"/>
    <n v="9163.2199999999993"/>
    <n v="0.43"/>
    <x v="4"/>
    <n v="7"/>
  </r>
  <r>
    <n v="39993"/>
    <n v="3204203"/>
    <x v="56"/>
    <n v="0.26"/>
    <n v="1221271.8799999999"/>
    <n v="0"/>
    <n v="1221271.8799999999"/>
    <n v="13091.96"/>
    <n v="306364.7"/>
    <n v="0.753"/>
    <n v="178.43"/>
    <n v="8107.1"/>
    <n v="0.15"/>
    <x v="4"/>
    <n v="7"/>
  </r>
  <r>
    <n v="39994"/>
    <n v="3204252"/>
    <x v="57"/>
    <n v="0.214"/>
    <n v="1005200.7"/>
    <n v="0"/>
    <n v="1005200.7"/>
    <n v="10775.69"/>
    <n v="63435.03"/>
    <n v="0.316"/>
    <n v="146.86000000000001"/>
    <n v="3400.3"/>
    <n v="0.12"/>
    <x v="4"/>
    <n v="7"/>
  </r>
  <r>
    <n v="39995"/>
    <n v="1718402"/>
    <x v="58"/>
    <n v="0.39100000000000001"/>
    <n v="1836605.05"/>
    <n v="0"/>
    <n v="1836605.05"/>
    <n v="19688.29"/>
    <n v="175516.11"/>
    <n v="0.56399999999999995"/>
    <n v="268.33999999999997"/>
    <n v="6069.77"/>
    <n v="0.22"/>
    <x v="4"/>
    <n v="7"/>
  </r>
  <r>
    <n v="39996"/>
    <n v="3204351"/>
    <x v="59"/>
    <n v="0.90300000000000002"/>
    <n v="4241571.22"/>
    <n v="0"/>
    <n v="4241571.22"/>
    <n v="45469.38"/>
    <n v="302827.58"/>
    <n v="0.71399999999999997"/>
    <n v="619.71"/>
    <n v="7682.27"/>
    <n v="0.51"/>
    <x v="4"/>
    <n v="7"/>
  </r>
  <r>
    <n v="39997"/>
    <n v="3204401"/>
    <x v="60"/>
    <n v="0.25900000000000001"/>
    <n v="1216574.68"/>
    <n v="0"/>
    <n v="1216574.68"/>
    <n v="13041.6"/>
    <n v="104050.73"/>
    <n v="0.45300000000000001"/>
    <n v="177.75"/>
    <n v="4871.57"/>
    <n v="0.15"/>
    <x v="4"/>
    <n v="7"/>
  </r>
  <r>
    <n v="39998"/>
    <n v="3204500"/>
    <x v="61"/>
    <n v="0.52500000000000002"/>
    <n v="2466029.75"/>
    <n v="0"/>
    <n v="2466029.75"/>
    <n v="26435.68"/>
    <n v="74258.92"/>
    <n v="0.47899999999999998"/>
    <n v="360.3"/>
    <n v="5157.54"/>
    <n v="0.3"/>
    <x v="4"/>
    <n v="7"/>
  </r>
  <r>
    <n v="39999"/>
    <n v="3204559"/>
    <x v="62"/>
    <n v="2.34"/>
    <n v="10991446.99"/>
    <n v="0"/>
    <n v="10991446.99"/>
    <n v="117827.62"/>
    <n v="600019.52"/>
    <n v="1.236"/>
    <n v="1605.9"/>
    <n v="13309.91"/>
    <n v="1.33"/>
    <x v="4"/>
    <n v="7"/>
  </r>
  <r>
    <n v="40000"/>
    <n v="3204609"/>
    <x v="63"/>
    <n v="0.629"/>
    <n v="2954538.53"/>
    <n v="0"/>
    <n v="2954538.53"/>
    <n v="31672.47"/>
    <n v="289260.65000000002"/>
    <n v="0.82699999999999996"/>
    <n v="431.67"/>
    <n v="8901.41"/>
    <n v="0.36"/>
    <x v="4"/>
    <n v="7"/>
  </r>
  <r>
    <n v="40001"/>
    <n v="3204658"/>
    <x v="64"/>
    <n v="0.40400000000000003"/>
    <n v="1897668.64"/>
    <n v="0"/>
    <n v="1897668.64"/>
    <n v="20342.89"/>
    <n v="110218.07"/>
    <n v="0.34300000000000003"/>
    <n v="277.26"/>
    <n v="3694"/>
    <n v="0.23"/>
    <x v="4"/>
    <n v="7"/>
  </r>
  <r>
    <n v="40002"/>
    <n v="3204708"/>
    <x v="65"/>
    <n v="0.80200000000000005"/>
    <n v="3767154.06"/>
    <n v="0"/>
    <n v="3767154.06"/>
    <n v="40383.65"/>
    <n v="464893.78"/>
    <n v="1.1040000000000001"/>
    <n v="550.4"/>
    <n v="11879.26"/>
    <n v="0.46"/>
    <x v="4"/>
    <n v="7"/>
  </r>
  <r>
    <n v="40003"/>
    <n v="3204807"/>
    <x v="66"/>
    <n v="0.23400000000000001"/>
    <n v="1099144.71"/>
    <n v="0"/>
    <n v="1099144.71"/>
    <n v="11782.76"/>
    <n v="96612.69"/>
    <n v="0.45"/>
    <n v="160.59"/>
    <n v="4844.74"/>
    <n v="0.13"/>
    <x v="4"/>
    <n v="7"/>
  </r>
  <r>
    <n v="40004"/>
    <n v="3204906"/>
    <x v="67"/>
    <n v="1.952"/>
    <n v="9168933.5500000007"/>
    <n v="0"/>
    <n v="9168933.5500000007"/>
    <n v="98290.39"/>
    <n v="1476599.55"/>
    <n v="2.9870000000000001"/>
    <n v="1339.62"/>
    <n v="32159.18"/>
    <n v="1.1100000000000001"/>
    <x v="4"/>
    <n v="7"/>
  </r>
  <r>
    <n v="40005"/>
    <n v="3204955"/>
    <x v="68"/>
    <n v="0.29699999999999999"/>
    <n v="1395068.27"/>
    <n v="0"/>
    <n v="1395068.27"/>
    <n v="14955.04"/>
    <n v="107837.11"/>
    <n v="0.45"/>
    <n v="203.83"/>
    <n v="4845.87"/>
    <n v="0.17"/>
    <x v="4"/>
    <n v="7"/>
  </r>
  <r>
    <n v="40006"/>
    <n v="3205002"/>
    <x v="69"/>
    <n v="14.689"/>
    <n v="68997164.519999996"/>
    <n v="0"/>
    <n v="68997164.519999996"/>
    <n v="739645.24"/>
    <n v="5817709.2699999996"/>
    <n v="8.6910000000000007"/>
    <n v="10080.780000000001"/>
    <n v="93559.44"/>
    <n v="8.34"/>
    <x v="4"/>
    <n v="7"/>
  </r>
  <r>
    <n v="40007"/>
    <n v="3205010"/>
    <x v="70"/>
    <n v="0.72799999999999998"/>
    <n v="3419561.26"/>
    <n v="0"/>
    <n v="3419561.26"/>
    <n v="36657.480000000003"/>
    <n v="265251.46000000002"/>
    <n v="0.95199999999999996"/>
    <n v="499.61"/>
    <n v="10246.01"/>
    <n v="0.41"/>
    <x v="4"/>
    <n v="7"/>
  </r>
  <r>
    <n v="40008"/>
    <n v="3205036"/>
    <x v="71"/>
    <n v="0.48599999999999999"/>
    <n v="2282839.0099999998"/>
    <n v="0"/>
    <n v="2282839.0099999998"/>
    <n v="24471.89"/>
    <n v="204024.59"/>
    <n v="0.71699999999999997"/>
    <n v="333.53"/>
    <n v="7722.84"/>
    <n v="0.28000000000000003"/>
    <x v="4"/>
    <n v="7"/>
  </r>
  <r>
    <n v="40009"/>
    <n v="3205069"/>
    <x v="72"/>
    <n v="0.61899999999999999"/>
    <n v="2907566.51"/>
    <n v="0"/>
    <n v="2907566.51"/>
    <n v="31168.93"/>
    <n v="388757.17"/>
    <n v="0.85"/>
    <n v="424.81"/>
    <n v="9151.43"/>
    <n v="0.35"/>
    <x v="4"/>
    <n v="7"/>
  </r>
  <r>
    <n v="40010"/>
    <n v="2112803"/>
    <x v="73"/>
    <n v="2.823"/>
    <n v="13260194.4"/>
    <n v="0"/>
    <n v="13260194.4"/>
    <n v="142148.45000000001"/>
    <n v="766571.46"/>
    <n v="1.9590000000000001"/>
    <n v="1937.37"/>
    <n v="21090.17"/>
    <n v="1.6"/>
    <x v="4"/>
    <n v="7"/>
  </r>
  <r>
    <n v="40011"/>
    <n v="3205150"/>
    <x v="74"/>
    <n v="0.313"/>
    <n v="1470223.47"/>
    <n v="0"/>
    <n v="1470223.47"/>
    <n v="15760.7"/>
    <n v="87180.39"/>
    <n v="0.34699999999999998"/>
    <n v="214.81"/>
    <n v="3739.21"/>
    <n v="0.18"/>
    <x v="4"/>
    <n v="7"/>
  </r>
  <r>
    <n v="40012"/>
    <n v="3205176"/>
    <x v="75"/>
    <n v="0.64300000000000002"/>
    <n v="3020299.32"/>
    <n v="0"/>
    <n v="3020299.32"/>
    <n v="32377.42"/>
    <n v="268211.55"/>
    <n v="0.56399999999999995"/>
    <n v="441.28"/>
    <n v="6074.25"/>
    <n v="0.36"/>
    <x v="4"/>
    <n v="7"/>
  </r>
  <r>
    <n v="40013"/>
    <n v="3205200"/>
    <x v="76"/>
    <n v="4.97"/>
    <n v="23345081.870000001"/>
    <n v="0"/>
    <n v="23345081.870000001"/>
    <n v="250257.8"/>
    <n v="6649897.3600000003"/>
    <n v="8.0009999999999994"/>
    <n v="3410.82"/>
    <n v="86128.26"/>
    <n v="2.82"/>
    <x v="4"/>
    <n v="7"/>
  </r>
  <r>
    <n v="40014"/>
    <n v="3205309"/>
    <x v="77"/>
    <n v="13.843"/>
    <n v="65023333.590000004"/>
    <n v="0"/>
    <n v="65023333.590000004"/>
    <n v="697046.03"/>
    <n v="6210884.8200000003"/>
    <n v="9.2110000000000003"/>
    <n v="9500.15"/>
    <n v="99151.79"/>
    <n v="7.85"/>
    <x v="4"/>
    <n v="7"/>
  </r>
  <r>
    <n v="40015"/>
    <n v="3200102"/>
    <x v="0"/>
    <n v="0.73199999999999998"/>
    <n v="3267503.67"/>
    <n v="0"/>
    <n v="3267503.67"/>
    <n v="49882.400000000001"/>
    <n v="252356.01"/>
    <n v="1.0169999999999999"/>
    <n v="113206.14"/>
    <n v="0"/>
    <n v="0"/>
    <x v="4"/>
    <n v="8"/>
  </r>
  <r>
    <n v="40016"/>
    <n v="3200169"/>
    <x v="1"/>
    <n v="0.28199999999999997"/>
    <n v="1258792.3799999999"/>
    <n v="0"/>
    <n v="1258792.3799999999"/>
    <n v="19216.990000000002"/>
    <n v="99569.95"/>
    <n v="0.46500000000000002"/>
    <n v="43612.2"/>
    <n v="0"/>
    <n v="0"/>
    <x v="4"/>
    <n v="8"/>
  </r>
  <r>
    <n v="40017"/>
    <n v="3200136"/>
    <x v="2"/>
    <n v="0.46"/>
    <n v="2053349.28"/>
    <n v="0"/>
    <n v="2053349.28"/>
    <n v="31346.86"/>
    <n v="88560.35"/>
    <n v="0.35799999999999998"/>
    <n v="71140.460000000006"/>
    <n v="0"/>
    <n v="0"/>
    <x v="4"/>
    <n v="8"/>
  </r>
  <r>
    <n v="40018"/>
    <n v="3200201"/>
    <x v="3"/>
    <n v="0.46800000000000003"/>
    <n v="2089059.7"/>
    <n v="0"/>
    <n v="2089059.7"/>
    <n v="31892.02"/>
    <n v="232849.14"/>
    <n v="0.98699999999999999"/>
    <n v="72377.69"/>
    <n v="0"/>
    <n v="0"/>
    <x v="4"/>
    <n v="8"/>
  </r>
  <r>
    <n v="40019"/>
    <n v="3200300"/>
    <x v="4"/>
    <n v="0.45800000000000002"/>
    <n v="2044421.71"/>
    <n v="0"/>
    <n v="2044421.71"/>
    <n v="31210.57"/>
    <n v="198486.94"/>
    <n v="0.56599999999999995"/>
    <n v="70831.16"/>
    <n v="0"/>
    <n v="0"/>
    <x v="4"/>
    <n v="8"/>
  </r>
  <r>
    <n v="40020"/>
    <n v="3200359"/>
    <x v="5"/>
    <n v="0.23"/>
    <n v="1026674.65"/>
    <n v="0"/>
    <n v="1026674.65"/>
    <n v="15673.43"/>
    <n v="90698.79"/>
    <n v="0.32800000000000001"/>
    <n v="35570.239999999998"/>
    <n v="0"/>
    <n v="0"/>
    <x v="4"/>
    <n v="8"/>
  </r>
  <r>
    <n v="40021"/>
    <n v="3200409"/>
    <x v="6"/>
    <n v="4.2549999999999999"/>
    <n v="18993481.010000002"/>
    <n v="0"/>
    <n v="18993481.010000002"/>
    <n v="289958.46000000002"/>
    <n v="307435.25"/>
    <n v="0.93"/>
    <n v="658049.30000000005"/>
    <n v="0"/>
    <n v="0"/>
    <x v="4"/>
    <n v="8"/>
  </r>
  <r>
    <n v="40022"/>
    <n v="3200508"/>
    <x v="7"/>
    <n v="0.188"/>
    <n v="839194.95"/>
    <n v="0"/>
    <n v="839194.95"/>
    <n v="12811.32"/>
    <n v="77868.62"/>
    <n v="0.32500000000000001"/>
    <n v="29074.799999999999"/>
    <n v="0"/>
    <n v="0"/>
    <x v="4"/>
    <n v="8"/>
  </r>
  <r>
    <n v="40023"/>
    <n v="3200607"/>
    <x v="8"/>
    <n v="3.7869999999999999"/>
    <n v="16904421.289999999"/>
    <n v="0"/>
    <n v="16904421.289999999"/>
    <n v="258066.43"/>
    <n v="1112099.3999999999"/>
    <n v="2.456"/>
    <n v="585671.61"/>
    <n v="0"/>
    <n v="0"/>
    <x v="4"/>
    <n v="8"/>
  </r>
  <r>
    <n v="40024"/>
    <n v="3200706"/>
    <x v="9"/>
    <n v="0.32400000000000001"/>
    <n v="1446272.09"/>
    <n v="0"/>
    <n v="1446272.09"/>
    <n v="22079.09"/>
    <n v="76750.37"/>
    <n v="0.44600000000000001"/>
    <n v="50107.64"/>
    <n v="0"/>
    <n v="0"/>
    <x v="4"/>
    <n v="8"/>
  </r>
  <r>
    <n v="40025"/>
    <n v="3200805"/>
    <x v="10"/>
    <n v="0.59299999999999997"/>
    <n v="2647035.09"/>
    <n v="0"/>
    <n v="2647035.09"/>
    <n v="40410.19"/>
    <n v="487900.99"/>
    <n v="1.016"/>
    <n v="91709.34"/>
    <n v="0"/>
    <n v="0"/>
    <x v="4"/>
    <n v="8"/>
  </r>
  <r>
    <n v="40026"/>
    <n v="3200904"/>
    <x v="11"/>
    <n v="0.88400000000000001"/>
    <n v="3946001.69"/>
    <n v="0"/>
    <n v="3946001.69"/>
    <n v="60240.49"/>
    <n v="487028.43"/>
    <n v="1.3140000000000001"/>
    <n v="136713.42000000001"/>
    <n v="0"/>
    <n v="0"/>
    <x v="4"/>
    <n v="8"/>
  </r>
  <r>
    <n v="40027"/>
    <n v="3107109"/>
    <x v="12"/>
    <n v="0.41899999999999998"/>
    <n v="1870333.38"/>
    <n v="0"/>
    <n v="1870333.38"/>
    <n v="28552.9"/>
    <n v="114779.83"/>
    <n v="0.56299999999999994"/>
    <n v="64799.69"/>
    <n v="0"/>
    <n v="0"/>
    <x v="4"/>
    <n v="8"/>
  </r>
  <r>
    <n v="40028"/>
    <n v="3201100"/>
    <x v="13"/>
    <n v="0.16700000000000001"/>
    <n v="745455.07"/>
    <n v="0"/>
    <n v="745455.07"/>
    <n v="11380.27"/>
    <n v="231021"/>
    <n v="0.442"/>
    <n v="25827.09"/>
    <n v="0"/>
    <n v="0"/>
    <x v="4"/>
    <n v="8"/>
  </r>
  <r>
    <n v="40029"/>
    <n v="3201159"/>
    <x v="14"/>
    <n v="0.41599999999999998"/>
    <n v="1856941.99"/>
    <n v="0"/>
    <n v="1856941.99"/>
    <n v="28348.46"/>
    <n v="132426.84"/>
    <n v="0.47799999999999998"/>
    <n v="64335.73"/>
    <n v="0"/>
    <n v="0"/>
    <x v="4"/>
    <n v="8"/>
  </r>
  <r>
    <n v="40030"/>
    <n v="3201209"/>
    <x v="15"/>
    <n v="2.7570000000000001"/>
    <n v="12306704.380000001"/>
    <n v="0"/>
    <n v="12306704.380000001"/>
    <n v="187876.73"/>
    <n v="2168481.84"/>
    <n v="4.3239999999999998"/>
    <n v="426378.83"/>
    <n v="0"/>
    <n v="0"/>
    <x v="4"/>
    <n v="8"/>
  </r>
  <r>
    <n v="40031"/>
    <n v="3201308"/>
    <x v="16"/>
    <n v="7.1219999999999999"/>
    <n v="31791203.690000001"/>
    <n v="0"/>
    <n v="31791203.690000001"/>
    <n v="485331.17"/>
    <n v="3224738.48"/>
    <n v="6.5110000000000001"/>
    <n v="1101439.98"/>
    <n v="0"/>
    <n v="0"/>
    <x v="4"/>
    <n v="8"/>
  </r>
  <r>
    <n v="40032"/>
    <n v="3201407"/>
    <x v="17"/>
    <n v="0.82899999999999996"/>
    <n v="3700492.55"/>
    <n v="0"/>
    <n v="3700492.55"/>
    <n v="56492.49"/>
    <n v="676912.31"/>
    <n v="1.165"/>
    <n v="128207.49"/>
    <n v="0"/>
    <n v="0"/>
    <x v="4"/>
    <n v="8"/>
  </r>
  <r>
    <n v="40033"/>
    <n v="3201506"/>
    <x v="18"/>
    <n v="2.141"/>
    <n v="9557001.8200000003"/>
    <n v="0"/>
    <n v="9557001.8200000003"/>
    <n v="145899.19"/>
    <n v="1549054.4"/>
    <n v="2.875"/>
    <n v="331112.46999999997"/>
    <n v="0"/>
    <n v="0"/>
    <x v="4"/>
    <n v="8"/>
  </r>
  <r>
    <n v="40034"/>
    <n v="3201605"/>
    <x v="19"/>
    <n v="0.76100000000000001"/>
    <n v="3396953.95"/>
    <n v="0"/>
    <n v="3396953.95"/>
    <n v="51858.61"/>
    <n v="182727.94"/>
    <n v="0.96399999999999997"/>
    <n v="117691.08"/>
    <n v="0"/>
    <n v="0"/>
    <x v="4"/>
    <n v="8"/>
  </r>
  <r>
    <n v="40035"/>
    <n v="3201704"/>
    <x v="20"/>
    <n v="0.40500000000000003"/>
    <n v="1807840.13"/>
    <n v="0"/>
    <n v="1807840.13"/>
    <n v="27598.87"/>
    <n v="100200.72"/>
    <n v="0.46400000000000002"/>
    <n v="62634.54"/>
    <n v="0"/>
    <n v="0"/>
    <x v="4"/>
    <n v="8"/>
  </r>
  <r>
    <n v="40036"/>
    <n v="3201803"/>
    <x v="21"/>
    <n v="0.18"/>
    <n v="803484.5"/>
    <n v="0"/>
    <n v="803484.5"/>
    <n v="12266.16"/>
    <n v="37197.440000000002"/>
    <n v="0.29699999999999999"/>
    <n v="27837.57"/>
    <n v="0"/>
    <n v="0"/>
    <x v="4"/>
    <n v="8"/>
  </r>
  <r>
    <n v="40037"/>
    <n v="3201902"/>
    <x v="22"/>
    <n v="1.2070000000000001"/>
    <n v="5387810.0099999998"/>
    <n v="0"/>
    <n v="5387810.0099999998"/>
    <n v="82251.44"/>
    <n v="395281.98"/>
    <n v="1.0780000000000001"/>
    <n v="186666.39"/>
    <n v="0"/>
    <n v="0"/>
    <x v="4"/>
    <n v="8"/>
  </r>
  <r>
    <n v="40038"/>
    <n v="3202009"/>
    <x v="23"/>
    <n v="0.25800000000000001"/>
    <n v="1151661.1100000001"/>
    <n v="0"/>
    <n v="1151661.1100000001"/>
    <n v="17581.5"/>
    <n v="105306.09"/>
    <n v="0.317"/>
    <n v="39900.519999999997"/>
    <n v="0"/>
    <n v="0"/>
    <x v="4"/>
    <n v="8"/>
  </r>
  <r>
    <n v="40039"/>
    <n v="3202108"/>
    <x v="24"/>
    <n v="0.7"/>
    <n v="3124661.94"/>
    <n v="0"/>
    <n v="3124661.94"/>
    <n v="47701.74"/>
    <n v="156451.62"/>
    <n v="0.81599999999999995"/>
    <n v="108257.23"/>
    <n v="0"/>
    <n v="0"/>
    <x v="4"/>
    <n v="8"/>
  </r>
  <r>
    <n v="40040"/>
    <n v="3202207"/>
    <x v="25"/>
    <n v="0.26800000000000002"/>
    <n v="1196299.1499999999"/>
    <n v="0"/>
    <n v="1196299.1499999999"/>
    <n v="18262.95"/>
    <n v="140609.26999999999"/>
    <n v="0.69699999999999995"/>
    <n v="41447.050000000003"/>
    <n v="0"/>
    <n v="0"/>
    <x v="4"/>
    <n v="8"/>
  </r>
  <r>
    <n v="40041"/>
    <n v="3202256"/>
    <x v="26"/>
    <n v="0.48899999999999999"/>
    <n v="2182799.6"/>
    <n v="0"/>
    <n v="2182799.6"/>
    <n v="33323.07"/>
    <n v="116954.27"/>
    <n v="0.45200000000000001"/>
    <n v="75625.399999999994"/>
    <n v="0"/>
    <n v="0"/>
    <x v="4"/>
    <n v="8"/>
  </r>
  <r>
    <n v="40042"/>
    <n v="3202306"/>
    <x v="27"/>
    <n v="0.33700000000000002"/>
    <n v="1504301.59"/>
    <n v="0"/>
    <n v="1504301.59"/>
    <n v="22964.98"/>
    <n v="322199.40999999997"/>
    <n v="0.98899999999999999"/>
    <n v="52118.12"/>
    <n v="0"/>
    <n v="0"/>
    <x v="4"/>
    <n v="8"/>
  </r>
  <r>
    <n v="40043"/>
    <n v="3202405"/>
    <x v="28"/>
    <n v="0.72499999999999998"/>
    <n v="3236257.07"/>
    <n v="0"/>
    <n v="3236257.07"/>
    <n v="49405.38"/>
    <n v="1972636.48"/>
    <n v="2.9359999999999999"/>
    <n v="112123.56"/>
    <n v="0"/>
    <n v="0"/>
    <x v="4"/>
    <n v="8"/>
  </r>
  <r>
    <n v="40044"/>
    <n v="3202454"/>
    <x v="29"/>
    <n v="0.33300000000000002"/>
    <n v="1486446.34"/>
    <n v="0"/>
    <n v="1486446.34"/>
    <n v="22692.400000000001"/>
    <n v="305313.45"/>
    <n v="0.87"/>
    <n v="51499.51"/>
    <n v="0"/>
    <n v="0"/>
    <x v="4"/>
    <n v="8"/>
  </r>
  <r>
    <n v="40045"/>
    <n v="3202504"/>
    <x v="30"/>
    <n v="0.22700000000000001"/>
    <n v="1013283.26"/>
    <n v="0"/>
    <n v="1013283.26"/>
    <n v="15468.99"/>
    <n v="134303"/>
    <n v="0.46100000000000002"/>
    <n v="35106.28"/>
    <n v="0"/>
    <n v="0"/>
    <x v="4"/>
    <n v="8"/>
  </r>
  <r>
    <n v="40046"/>
    <n v="3202553"/>
    <x v="31"/>
    <n v="0.23400000000000001"/>
    <n v="1044529.85"/>
    <n v="0"/>
    <n v="1044529.85"/>
    <n v="15946.01"/>
    <n v="69093.36"/>
    <n v="0.35499999999999998"/>
    <n v="36188.85"/>
    <n v="0"/>
    <n v="0"/>
    <x v="4"/>
    <n v="8"/>
  </r>
  <r>
    <n v="40047"/>
    <n v="3202603"/>
    <x v="32"/>
    <n v="0.28699999999999998"/>
    <n v="1281111.3799999999"/>
    <n v="0"/>
    <n v="1281111.3799999999"/>
    <n v="19557.72"/>
    <n v="191575.03"/>
    <n v="0.53700000000000003"/>
    <n v="44385.47"/>
    <n v="0"/>
    <n v="0"/>
    <x v="4"/>
    <n v="8"/>
  </r>
  <r>
    <n v="40048"/>
    <n v="3202652"/>
    <x v="33"/>
    <n v="0.28799999999999998"/>
    <n v="1285575.21"/>
    <n v="0"/>
    <n v="1285575.21"/>
    <n v="19625.86"/>
    <n v="170097.66"/>
    <n v="0.56399999999999995"/>
    <n v="44540.12"/>
    <n v="0"/>
    <n v="0"/>
    <x v="4"/>
    <n v="8"/>
  </r>
  <r>
    <n v="40049"/>
    <n v="3202702"/>
    <x v="34"/>
    <n v="0.33800000000000002"/>
    <n v="1508765.36"/>
    <n v="0"/>
    <n v="1508765.36"/>
    <n v="23033.13"/>
    <n v="108143.32"/>
    <n v="0.56200000000000006"/>
    <n v="52272.77"/>
    <n v="0"/>
    <n v="0"/>
    <x v="4"/>
    <n v="8"/>
  </r>
  <r>
    <n v="40050"/>
    <n v="3202801"/>
    <x v="35"/>
    <n v="3.8050000000000002"/>
    <n v="16984769.73"/>
    <n v="0"/>
    <n v="16984769.73"/>
    <n v="259293.05"/>
    <n v="293355.61"/>
    <n v="1.2130000000000001"/>
    <n v="588455.36"/>
    <n v="0"/>
    <n v="0"/>
    <x v="4"/>
    <n v="8"/>
  </r>
  <r>
    <n v="40051"/>
    <n v="3202900"/>
    <x v="36"/>
    <n v="0.35299999999999998"/>
    <n v="1575722.38"/>
    <n v="0"/>
    <n v="1575722.38"/>
    <n v="24055.31"/>
    <n v="101471.1"/>
    <n v="0.44600000000000001"/>
    <n v="54592.58"/>
    <n v="0"/>
    <n v="0"/>
    <x v="4"/>
    <n v="8"/>
  </r>
  <r>
    <n v="40052"/>
    <n v="3203007"/>
    <x v="37"/>
    <n v="0.46899999999999997"/>
    <n v="2093523.52"/>
    <n v="0"/>
    <n v="2093523.52"/>
    <n v="31960.17"/>
    <n v="289263.77"/>
    <n v="0.91200000000000003"/>
    <n v="72532.34"/>
    <n v="0"/>
    <n v="0"/>
    <x v="4"/>
    <n v="8"/>
  </r>
  <r>
    <n v="40053"/>
    <n v="3203056"/>
    <x v="38"/>
    <n v="1.0740000000000001"/>
    <n v="4794124.2300000004"/>
    <n v="0"/>
    <n v="4794124.2300000004"/>
    <n v="73188.100000000006"/>
    <n v="302283.13"/>
    <n v="0.98399999999999999"/>
    <n v="166097.51999999999"/>
    <n v="0"/>
    <n v="0"/>
    <x v="4"/>
    <n v="8"/>
  </r>
  <r>
    <n v="40054"/>
    <n v="3203106"/>
    <x v="39"/>
    <n v="0.20100000000000001"/>
    <n v="897224.36"/>
    <n v="0"/>
    <n v="897224.36"/>
    <n v="13697.22"/>
    <n v="65250.35"/>
    <n v="0.45900000000000002"/>
    <n v="31085.29"/>
    <n v="0"/>
    <n v="0"/>
    <x v="4"/>
    <n v="8"/>
  </r>
  <r>
    <n v="40055"/>
    <n v="3203130"/>
    <x v="40"/>
    <n v="0.38300000000000001"/>
    <n v="1709636.49"/>
    <n v="0"/>
    <n v="1709636.49"/>
    <n v="26099.67"/>
    <n v="159514.59"/>
    <n v="0.63600000000000001"/>
    <n v="59232.17"/>
    <n v="0"/>
    <n v="0"/>
    <x v="4"/>
    <n v="8"/>
  </r>
  <r>
    <n v="40056"/>
    <n v="3203163"/>
    <x v="41"/>
    <n v="0.377"/>
    <n v="1682853.68"/>
    <n v="0"/>
    <n v="1682853.68"/>
    <n v="25690.799999999999"/>
    <n v="70636.19"/>
    <n v="0.45300000000000001"/>
    <n v="58304.25"/>
    <n v="0"/>
    <n v="0"/>
    <x v="4"/>
    <n v="8"/>
  </r>
  <r>
    <n v="40057"/>
    <n v="3203205"/>
    <x v="42"/>
    <n v="4.6500000000000004"/>
    <n v="20756683.109999999"/>
    <n v="0"/>
    <n v="20756683.109999999"/>
    <n v="316875.87"/>
    <n v="1941469.7"/>
    <n v="4.0759999999999996"/>
    <n v="719137.31"/>
    <n v="0"/>
    <n v="0"/>
    <x v="4"/>
    <n v="8"/>
  </r>
  <r>
    <n v="40058"/>
    <n v="3203304"/>
    <x v="43"/>
    <n v="0.25"/>
    <n v="1115950.72"/>
    <n v="0"/>
    <n v="1115950.72"/>
    <n v="17036.34"/>
    <n v="141266.9"/>
    <n v="0.54300000000000004"/>
    <n v="38663.300000000003"/>
    <n v="0"/>
    <n v="0"/>
    <x v="4"/>
    <n v="8"/>
  </r>
  <r>
    <n v="40059"/>
    <n v="3203320"/>
    <x v="44"/>
    <n v="0.61599999999999999"/>
    <n v="2749702.54"/>
    <n v="0"/>
    <n v="2749702.54"/>
    <n v="41977.54"/>
    <n v="444128.34"/>
    <n v="1.24"/>
    <n v="95266.36"/>
    <n v="0"/>
    <n v="0"/>
    <x v="4"/>
    <n v="8"/>
  </r>
  <r>
    <n v="40060"/>
    <n v="3203346"/>
    <x v="45"/>
    <n v="0.56699999999999995"/>
    <n v="2530976.2000000002"/>
    <n v="0"/>
    <n v="2530976.2000000002"/>
    <n v="38638.410000000003"/>
    <n v="177321.33"/>
    <n v="0.69199999999999995"/>
    <n v="87688.36"/>
    <n v="0"/>
    <n v="0"/>
    <x v="4"/>
    <n v="8"/>
  </r>
  <r>
    <n v="40061"/>
    <n v="3203353"/>
    <x v="46"/>
    <n v="0.46"/>
    <n v="2053349.28"/>
    <n v="0"/>
    <n v="2053349.28"/>
    <n v="31346.86"/>
    <n v="122492.2"/>
    <n v="0.47"/>
    <n v="71140.460000000006"/>
    <n v="0"/>
    <n v="0"/>
    <x v="4"/>
    <n v="8"/>
  </r>
  <r>
    <n v="40062"/>
    <n v="3203403"/>
    <x v="47"/>
    <n v="0.47499999999999998"/>
    <n v="2120306.34"/>
    <n v="0"/>
    <n v="2120306.34"/>
    <n v="32369.040000000001"/>
    <n v="193656.17"/>
    <n v="0.85899999999999999"/>
    <n v="73460.259999999995"/>
    <n v="0"/>
    <n v="0"/>
    <x v="4"/>
    <n v="8"/>
  </r>
  <r>
    <n v="40063"/>
    <n v="3203502"/>
    <x v="48"/>
    <n v="0.52800000000000002"/>
    <n v="2356887.89"/>
    <n v="0"/>
    <n v="2356887.89"/>
    <n v="35980.74"/>
    <n v="205165.93"/>
    <n v="0.70899999999999996"/>
    <n v="81656.88"/>
    <n v="0"/>
    <n v="0"/>
    <x v="4"/>
    <n v="8"/>
  </r>
  <r>
    <n v="40064"/>
    <n v="3203601"/>
    <x v="49"/>
    <n v="0.29299999999999998"/>
    <n v="1307894.23"/>
    <n v="0"/>
    <n v="1307894.23"/>
    <n v="19966.59"/>
    <n v="49421.87"/>
    <n v="0.30199999999999999"/>
    <n v="45313.39"/>
    <n v="0"/>
    <n v="0"/>
    <x v="4"/>
    <n v="8"/>
  </r>
  <r>
    <n v="40065"/>
    <n v="3203700"/>
    <x v="50"/>
    <n v="0.51800000000000002"/>
    <n v="2312249.87"/>
    <n v="0"/>
    <n v="2312249.87"/>
    <n v="35299.29"/>
    <n v="141848.76"/>
    <n v="0.69899999999999995"/>
    <n v="80110.350000000006"/>
    <n v="0"/>
    <n v="0"/>
    <x v="4"/>
    <n v="8"/>
  </r>
  <r>
    <n v="40066"/>
    <n v="3203809"/>
    <x v="51"/>
    <n v="0.26700000000000002"/>
    <n v="1191835.3500000001"/>
    <n v="0"/>
    <n v="1191835.3500000001"/>
    <n v="18194.810000000001"/>
    <n v="94140.99"/>
    <n v="0.56499999999999995"/>
    <n v="41292.400000000001"/>
    <n v="0"/>
    <n v="0"/>
    <x v="4"/>
    <n v="8"/>
  </r>
  <r>
    <n v="40067"/>
    <n v="3203908"/>
    <x v="52"/>
    <n v="1.3089999999999999"/>
    <n v="5843117.8799999999"/>
    <n v="0"/>
    <n v="5843117.8799999999"/>
    <n v="89202.26"/>
    <n v="546976.18000000005"/>
    <n v="1.476"/>
    <n v="202441.02"/>
    <n v="0"/>
    <n v="0"/>
    <x v="4"/>
    <n v="8"/>
  </r>
  <r>
    <n v="40068"/>
    <n v="3204005"/>
    <x v="53"/>
    <n v="0.45400000000000001"/>
    <n v="2026566.47"/>
    <n v="0"/>
    <n v="2026566.47"/>
    <n v="30937.99"/>
    <n v="135380.19"/>
    <n v="0.70899999999999996"/>
    <n v="70212.539999999994"/>
    <n v="0"/>
    <n v="0"/>
    <x v="4"/>
    <n v="8"/>
  </r>
  <r>
    <n v="40069"/>
    <n v="3204054"/>
    <x v="54"/>
    <n v="0.316"/>
    <n v="1410561.69"/>
    <n v="0"/>
    <n v="1410561.69"/>
    <n v="21533.93"/>
    <n v="205779.61"/>
    <n v="0.81"/>
    <n v="48870.41"/>
    <n v="0"/>
    <n v="0"/>
    <x v="4"/>
    <n v="8"/>
  </r>
  <r>
    <n v="40070"/>
    <n v="3204104"/>
    <x v="55"/>
    <n v="0.76200000000000001"/>
    <n v="3401417.74"/>
    <n v="0"/>
    <n v="3401417.74"/>
    <n v="51926.76"/>
    <n v="166621.44"/>
    <n v="0.85099999999999998"/>
    <n v="117845.73"/>
    <n v="0"/>
    <n v="0"/>
    <x v="4"/>
    <n v="8"/>
  </r>
  <r>
    <n v="40071"/>
    <n v="3204203"/>
    <x v="56"/>
    <n v="0.26"/>
    <n v="1160588.7"/>
    <n v="0"/>
    <n v="1160588.7"/>
    <n v="17717.79"/>
    <n v="271353.86"/>
    <n v="0.753"/>
    <n v="40209.83"/>
    <n v="0"/>
    <n v="0"/>
    <x v="4"/>
    <n v="8"/>
  </r>
  <r>
    <n v="40072"/>
    <n v="3204252"/>
    <x v="57"/>
    <n v="0.214"/>
    <n v="955253.81"/>
    <n v="0"/>
    <n v="955253.81"/>
    <n v="14583.1"/>
    <n v="50498.68"/>
    <n v="0.316"/>
    <n v="33095.78"/>
    <n v="0"/>
    <n v="0"/>
    <x v="4"/>
    <n v="8"/>
  </r>
  <r>
    <n v="40073"/>
    <n v="1718402"/>
    <x v="58"/>
    <n v="0.39100000000000001"/>
    <n v="1745346.9"/>
    <n v="0"/>
    <n v="1745346.9"/>
    <n v="26644.83"/>
    <n v="203788.66"/>
    <n v="0.56399999999999995"/>
    <n v="60469.39"/>
    <n v="0"/>
    <n v="0"/>
    <x v="4"/>
    <n v="8"/>
  </r>
  <r>
    <n v="40074"/>
    <n v="3204351"/>
    <x v="59"/>
    <n v="0.90300000000000002"/>
    <n v="4030813.96"/>
    <n v="0"/>
    <n v="4030813.96"/>
    <n v="61535.25"/>
    <n v="211983.54"/>
    <n v="0.71399999999999997"/>
    <n v="139651.82"/>
    <n v="0"/>
    <n v="0"/>
    <x v="4"/>
    <n v="8"/>
  </r>
  <r>
    <n v="40075"/>
    <n v="3204401"/>
    <x v="60"/>
    <n v="0.25900000000000001"/>
    <n v="1156124.92"/>
    <n v="0"/>
    <n v="1156124.92"/>
    <n v="17649.64"/>
    <n v="97604.06"/>
    <n v="0.45300000000000001"/>
    <n v="40055.18"/>
    <n v="0"/>
    <n v="0"/>
    <x v="4"/>
    <n v="8"/>
  </r>
  <r>
    <n v="40076"/>
    <n v="3204500"/>
    <x v="61"/>
    <n v="0.52500000000000002"/>
    <n v="2343496.5"/>
    <n v="0"/>
    <n v="2343496.5"/>
    <n v="35776.31"/>
    <n v="55288.2"/>
    <n v="0.47899999999999998"/>
    <n v="81192.92"/>
    <n v="0"/>
    <n v="0"/>
    <x v="4"/>
    <n v="8"/>
  </r>
  <r>
    <n v="40077"/>
    <n v="3204559"/>
    <x v="62"/>
    <n v="2.34"/>
    <n v="10445298.58"/>
    <n v="0"/>
    <n v="10445298.58"/>
    <n v="159460.12"/>
    <n v="588948.06999999995"/>
    <n v="1.236"/>
    <n v="361888.45"/>
    <n v="0"/>
    <n v="0"/>
    <x v="4"/>
    <n v="8"/>
  </r>
  <r>
    <n v="40078"/>
    <n v="3204609"/>
    <x v="63"/>
    <n v="0.629"/>
    <n v="2807731.98"/>
    <n v="0"/>
    <n v="2807731.98"/>
    <n v="42863.42"/>
    <n v="289146.07"/>
    <n v="0.82699999999999996"/>
    <n v="97276.85"/>
    <n v="0"/>
    <n v="0"/>
    <x v="4"/>
    <n v="8"/>
  </r>
  <r>
    <n v="40079"/>
    <n v="3204658"/>
    <x v="64"/>
    <n v="0.40400000000000003"/>
    <n v="1803376.33"/>
    <n v="0"/>
    <n v="1803376.33"/>
    <n v="27530.720000000001"/>
    <n v="88511.52"/>
    <n v="0.34300000000000003"/>
    <n v="62479.89"/>
    <n v="0"/>
    <n v="0"/>
    <x v="4"/>
    <n v="8"/>
  </r>
  <r>
    <n v="40080"/>
    <n v="3204708"/>
    <x v="65"/>
    <n v="0.80200000000000005"/>
    <n v="3579969.84"/>
    <n v="0"/>
    <n v="3579969.84"/>
    <n v="54652.57"/>
    <n v="376100.72"/>
    <n v="1.1040000000000001"/>
    <n v="124031.85"/>
    <n v="0"/>
    <n v="0"/>
    <x v="4"/>
    <n v="8"/>
  </r>
  <r>
    <n v="40081"/>
    <n v="3204807"/>
    <x v="66"/>
    <n v="0.23400000000000001"/>
    <n v="1044529.85"/>
    <n v="0"/>
    <n v="1044529.85"/>
    <n v="15946.01"/>
    <n v="74860.27"/>
    <n v="0.45"/>
    <n v="36188.85"/>
    <n v="0"/>
    <n v="0"/>
    <x v="4"/>
    <n v="8"/>
  </r>
  <r>
    <n v="40082"/>
    <n v="3204906"/>
    <x v="67"/>
    <n v="1.952"/>
    <n v="8713343.1199999992"/>
    <n v="0"/>
    <n v="8713343.1199999992"/>
    <n v="133019.72"/>
    <n v="1242633.8799999999"/>
    <n v="2.9870000000000001"/>
    <n v="301883.02"/>
    <n v="0"/>
    <n v="0"/>
    <x v="4"/>
    <n v="8"/>
  </r>
  <r>
    <n v="40083"/>
    <n v="3204955"/>
    <x v="68"/>
    <n v="0.29699999999999999"/>
    <n v="1325749.43"/>
    <n v="0"/>
    <n v="1325749.43"/>
    <n v="20239.169999999998"/>
    <n v="76339.7"/>
    <n v="0.45"/>
    <n v="45932"/>
    <n v="0"/>
    <n v="0"/>
    <x v="4"/>
    <n v="8"/>
  </r>
  <r>
    <n v="40084"/>
    <n v="3205002"/>
    <x v="69"/>
    <n v="14.689"/>
    <n v="65568799.619999997"/>
    <n v="0"/>
    <n v="65568799.619999997"/>
    <n v="1000987.02"/>
    <n v="5184966.1500000004"/>
    <n v="8.6910000000000007"/>
    <n v="2271700.63"/>
    <n v="0"/>
    <n v="0"/>
    <x v="4"/>
    <n v="8"/>
  </r>
  <r>
    <n v="40085"/>
    <n v="3205010"/>
    <x v="70"/>
    <n v="0.72799999999999998"/>
    <n v="3249648.45"/>
    <n v="0"/>
    <n v="3249648.45"/>
    <n v="49609.81"/>
    <n v="232774.35"/>
    <n v="0.95199999999999996"/>
    <n v="112587.52"/>
    <n v="0"/>
    <n v="0"/>
    <x v="4"/>
    <n v="8"/>
  </r>
  <r>
    <n v="40086"/>
    <n v="3205036"/>
    <x v="71"/>
    <n v="0.48599999999999999"/>
    <n v="2169408.17"/>
    <n v="0"/>
    <n v="2169408.17"/>
    <n v="33118.639999999999"/>
    <n v="196912.58"/>
    <n v="0.71699999999999997"/>
    <n v="75161.440000000002"/>
    <n v="0"/>
    <n v="0"/>
    <x v="4"/>
    <n v="8"/>
  </r>
  <r>
    <n v="40087"/>
    <n v="3205069"/>
    <x v="72"/>
    <n v="0.61899999999999999"/>
    <n v="2763093.95"/>
    <n v="0"/>
    <n v="2763093.95"/>
    <n v="42181.97"/>
    <n v="295551.84999999998"/>
    <n v="0.85"/>
    <n v="95730.32"/>
    <n v="0"/>
    <n v="0"/>
    <x v="4"/>
    <n v="8"/>
  </r>
  <r>
    <n v="40088"/>
    <n v="2112803"/>
    <x v="73"/>
    <n v="2.823"/>
    <n v="12601315.369999999"/>
    <n v="0"/>
    <n v="12601315.369999999"/>
    <n v="192374.32"/>
    <n v="613068.38"/>
    <n v="1.9590000000000001"/>
    <n v="436585.94"/>
    <n v="0"/>
    <n v="0"/>
    <x v="4"/>
    <n v="8"/>
  </r>
  <r>
    <n v="40089"/>
    <n v="3205150"/>
    <x v="74"/>
    <n v="0.313"/>
    <n v="1397170.28"/>
    <n v="0"/>
    <n v="1397170.28"/>
    <n v="21329.49"/>
    <n v="65617.11"/>
    <n v="0.34699999999999998"/>
    <n v="48406.45"/>
    <n v="0"/>
    <n v="0"/>
    <x v="4"/>
    <n v="8"/>
  </r>
  <r>
    <n v="40090"/>
    <n v="3205176"/>
    <x v="75"/>
    <n v="0.64300000000000002"/>
    <n v="2870225.21"/>
    <n v="0"/>
    <n v="2870225.21"/>
    <n v="43817.46"/>
    <n v="176305.55"/>
    <n v="0.56399999999999995"/>
    <n v="99441.99"/>
    <n v="0"/>
    <n v="0"/>
    <x v="4"/>
    <n v="8"/>
  </r>
  <r>
    <n v="40091"/>
    <n v="3205200"/>
    <x v="76"/>
    <n v="4.97"/>
    <n v="22185100.010000002"/>
    <n v="0"/>
    <n v="22185100.010000002"/>
    <n v="338682.38"/>
    <n v="6211182.0999999996"/>
    <n v="8.0009999999999994"/>
    <n v="768626.33"/>
    <n v="0"/>
    <n v="0"/>
    <x v="4"/>
    <n v="8"/>
  </r>
  <r>
    <n v="40092"/>
    <n v="3205309"/>
    <x v="77"/>
    <n v="13.843"/>
    <n v="61792422.409999996"/>
    <n v="0"/>
    <n v="61792422.409999996"/>
    <n v="943336.06"/>
    <n v="5467166.1399999997"/>
    <n v="9.2110000000000003"/>
    <n v="2140863.9900000002"/>
    <n v="0"/>
    <n v="0"/>
    <x v="4"/>
    <n v="8"/>
  </r>
  <r>
    <n v="40093"/>
    <n v="3200102"/>
    <x v="0"/>
    <n v="0.73199999999999998"/>
    <n v="3134665.95"/>
    <n v="0"/>
    <n v="3134665.95"/>
    <n v="54451.68"/>
    <n v="238315.45"/>
    <n v="1.0169999999999999"/>
    <n v="61713.08"/>
    <n v="0"/>
    <n v="0"/>
    <x v="4"/>
    <n v="9"/>
  </r>
  <r>
    <n v="40094"/>
    <n v="3200169"/>
    <x v="1"/>
    <n v="0.28199999999999997"/>
    <n v="1207617.2"/>
    <n v="0"/>
    <n v="1207617.2"/>
    <n v="20977.279999999999"/>
    <n v="79845.039999999994"/>
    <n v="0.46500000000000002"/>
    <n v="23774.71"/>
    <n v="0"/>
    <n v="0"/>
    <x v="4"/>
    <n v="9"/>
  </r>
  <r>
    <n v="40095"/>
    <n v="3200136"/>
    <x v="2"/>
    <n v="0.46"/>
    <n v="1969872.02"/>
    <n v="0"/>
    <n v="1969872.02"/>
    <n v="34218.269999999997"/>
    <n v="87342.02"/>
    <n v="0.35799999999999998"/>
    <n v="38781.449999999997"/>
    <n v="0"/>
    <n v="0"/>
    <x v="4"/>
    <n v="9"/>
  </r>
  <r>
    <n v="40096"/>
    <n v="3200201"/>
    <x v="3"/>
    <n v="0.46800000000000003"/>
    <n v="2004130.67"/>
    <n v="0"/>
    <n v="2004130.67"/>
    <n v="34813.370000000003"/>
    <n v="214902.86"/>
    <n v="0.98699999999999999"/>
    <n v="39455.9"/>
    <n v="0"/>
    <n v="0"/>
    <x v="4"/>
    <n v="9"/>
  </r>
  <r>
    <n v="40097"/>
    <n v="3200300"/>
    <x v="4"/>
    <n v="0.45800000000000002"/>
    <n v="1961307.38"/>
    <n v="0"/>
    <n v="1961307.38"/>
    <n v="34069.49"/>
    <n v="151176.69"/>
    <n v="0.56599999999999995"/>
    <n v="38612.839999999997"/>
    <n v="0"/>
    <n v="0"/>
    <x v="4"/>
    <n v="9"/>
  </r>
  <r>
    <n v="40098"/>
    <n v="3200359"/>
    <x v="5"/>
    <n v="0.23"/>
    <n v="984936.01"/>
    <n v="0"/>
    <n v="984936.01"/>
    <n v="17109.13"/>
    <n v="52989.49"/>
    <n v="0.32800000000000001"/>
    <n v="19390.72"/>
    <n v="0"/>
    <n v="0"/>
    <x v="4"/>
    <n v="9"/>
  </r>
  <r>
    <n v="40099"/>
    <n v="3200409"/>
    <x v="6"/>
    <n v="4.2549999999999999"/>
    <n v="18221316.350000001"/>
    <n v="0"/>
    <n v="18221316.350000001"/>
    <n v="316518.96000000002"/>
    <n v="322419.03000000003"/>
    <n v="0.93"/>
    <n v="358728.36"/>
    <n v="0"/>
    <n v="0"/>
    <x v="4"/>
    <n v="9"/>
  </r>
  <r>
    <n v="40100"/>
    <n v="3200508"/>
    <x v="7"/>
    <n v="0.188"/>
    <n v="805078.13"/>
    <n v="0"/>
    <n v="805078.13"/>
    <n v="13984.86"/>
    <n v="75210.649999999994"/>
    <n v="0.32500000000000001"/>
    <n v="15849.81"/>
    <n v="0"/>
    <n v="0"/>
    <x v="4"/>
    <n v="9"/>
  </r>
  <r>
    <n v="40101"/>
    <n v="3200607"/>
    <x v="8"/>
    <n v="3.7869999999999999"/>
    <n v="16217185.66"/>
    <n v="0"/>
    <n v="16217185.66"/>
    <n v="281705.59000000003"/>
    <n v="1125506.45"/>
    <n v="2.456"/>
    <n v="319272.46000000002"/>
    <n v="0"/>
    <n v="0"/>
    <x v="4"/>
    <n v="9"/>
  </r>
  <r>
    <n v="40102"/>
    <n v="3200706"/>
    <x v="9"/>
    <n v="0.32400000000000001"/>
    <n v="1387475.09"/>
    <n v="0"/>
    <n v="1387475.09"/>
    <n v="24101.56"/>
    <n v="70427.8"/>
    <n v="0.44600000000000001"/>
    <n v="27315.63"/>
    <n v="0"/>
    <n v="0"/>
    <x v="4"/>
    <n v="9"/>
  </r>
  <r>
    <n v="40103"/>
    <n v="3200805"/>
    <x v="10"/>
    <n v="0.59299999999999997"/>
    <n v="2539421.9700000002"/>
    <n v="0"/>
    <n v="2539421.9700000002"/>
    <n v="44111.81"/>
    <n v="455197.14"/>
    <n v="1.016"/>
    <n v="49994.34"/>
    <n v="0"/>
    <n v="0"/>
    <x v="4"/>
    <n v="9"/>
  </r>
  <r>
    <n v="40104"/>
    <n v="3200904"/>
    <x v="11"/>
    <n v="0.88400000000000001"/>
    <n v="3785580.19"/>
    <n v="0"/>
    <n v="3785580.19"/>
    <n v="65758.58"/>
    <n v="485504.44"/>
    <n v="1.3140000000000001"/>
    <n v="74527.820000000007"/>
    <n v="0"/>
    <n v="0"/>
    <x v="4"/>
    <n v="9"/>
  </r>
  <r>
    <n v="40105"/>
    <n v="3107109"/>
    <x v="12"/>
    <n v="0.41899999999999998"/>
    <n v="1794296.48"/>
    <n v="0"/>
    <n v="1794296.48"/>
    <n v="31168.38"/>
    <n v="100116.46"/>
    <n v="0.56299999999999994"/>
    <n v="35324.839999999997"/>
    <n v="0"/>
    <n v="0"/>
    <x v="4"/>
    <n v="9"/>
  </r>
  <r>
    <n v="40106"/>
    <n v="3201100"/>
    <x v="13"/>
    <n v="0.16700000000000001"/>
    <n v="715149.2"/>
    <n v="0"/>
    <n v="715149.2"/>
    <n v="12422.72"/>
    <n v="225899.09"/>
    <n v="0.442"/>
    <n v="14079.35"/>
    <n v="0"/>
    <n v="0"/>
    <x v="4"/>
    <n v="9"/>
  </r>
  <r>
    <n v="40107"/>
    <n v="3201159"/>
    <x v="14"/>
    <n v="0.41599999999999998"/>
    <n v="1781449.5"/>
    <n v="0"/>
    <n v="1781449.5"/>
    <n v="30945.21"/>
    <n v="111788.28"/>
    <n v="0.47799999999999998"/>
    <n v="35071.919999999998"/>
    <n v="0"/>
    <n v="0"/>
    <x v="4"/>
    <n v="9"/>
  </r>
  <r>
    <n v="40108"/>
    <n v="3201209"/>
    <x v="15"/>
    <n v="2.7570000000000001"/>
    <n v="11806385.23"/>
    <n v="0"/>
    <n v="11806385.23"/>
    <n v="205086.43"/>
    <n v="2146462.34"/>
    <n v="4.3239999999999998"/>
    <n v="232435.74"/>
    <n v="0"/>
    <n v="0"/>
    <x v="4"/>
    <n v="9"/>
  </r>
  <r>
    <n v="40109"/>
    <n v="3201308"/>
    <x v="16"/>
    <n v="7.1219999999999999"/>
    <n v="30498757.940000001"/>
    <n v="0"/>
    <n v="30498757.940000001"/>
    <n v="529788.02"/>
    <n v="3338444.76"/>
    <n v="6.5110000000000001"/>
    <n v="600437.93000000005"/>
    <n v="0"/>
    <n v="0"/>
    <x v="4"/>
    <n v="9"/>
  </r>
  <r>
    <n v="40110"/>
    <n v="3201407"/>
    <x v="17"/>
    <n v="0.82899999999999996"/>
    <n v="3550051.98"/>
    <n v="0"/>
    <n v="3550051.98"/>
    <n v="61667.27"/>
    <n v="545159.18000000005"/>
    <n v="1.165"/>
    <n v="69890.91"/>
    <n v="0"/>
    <n v="0"/>
    <x v="4"/>
    <n v="9"/>
  </r>
  <r>
    <n v="40111"/>
    <n v="3201506"/>
    <x v="18"/>
    <n v="2.141"/>
    <n v="9168469.6699999999"/>
    <n v="0"/>
    <n v="9168469.6699999999"/>
    <n v="159263.71"/>
    <n v="1518952.34"/>
    <n v="2.875"/>
    <n v="180502.33"/>
    <n v="0"/>
    <n v="0"/>
    <x v="4"/>
    <n v="9"/>
  </r>
  <r>
    <n v="40112"/>
    <n v="3201605"/>
    <x v="19"/>
    <n v="0.76100000000000001"/>
    <n v="3258853.52"/>
    <n v="0"/>
    <n v="3258853.52"/>
    <n v="56608.91"/>
    <n v="208723.15"/>
    <n v="0.96399999999999997"/>
    <n v="64158"/>
    <n v="0"/>
    <n v="0"/>
    <x v="4"/>
    <n v="9"/>
  </r>
  <r>
    <n v="40113"/>
    <n v="3201704"/>
    <x v="20"/>
    <n v="0.40500000000000003"/>
    <n v="1734343.88"/>
    <n v="0"/>
    <n v="1734343.88"/>
    <n v="30126.95"/>
    <n v="93375.57"/>
    <n v="0.46400000000000002"/>
    <n v="34144.54"/>
    <n v="0"/>
    <n v="0"/>
    <x v="4"/>
    <n v="9"/>
  </r>
  <r>
    <n v="40114"/>
    <n v="3201803"/>
    <x v="21"/>
    <n v="0.18"/>
    <n v="770819.48"/>
    <n v="0"/>
    <n v="770819.48"/>
    <n v="13389.76"/>
    <n v="45262.63"/>
    <n v="0.29699999999999999"/>
    <n v="15175.34"/>
    <n v="0"/>
    <n v="0"/>
    <x v="4"/>
    <n v="9"/>
  </r>
  <r>
    <n v="40115"/>
    <n v="3201902"/>
    <x v="22"/>
    <n v="1.2070000000000001"/>
    <n v="5168772.91"/>
    <n v="0"/>
    <n v="5168772.91"/>
    <n v="89785.75"/>
    <n v="384705.73"/>
    <n v="1.0780000000000001"/>
    <n v="101759.14"/>
    <n v="0"/>
    <n v="0"/>
    <x v="4"/>
    <n v="9"/>
  </r>
  <r>
    <n v="40116"/>
    <n v="3202009"/>
    <x v="23"/>
    <n v="0.25800000000000001"/>
    <n v="1104841.29"/>
    <n v="0"/>
    <n v="1104841.29"/>
    <n v="19191.98"/>
    <n v="110447.63"/>
    <n v="0.317"/>
    <n v="21751.33"/>
    <n v="0"/>
    <n v="0"/>
    <x v="4"/>
    <n v="9"/>
  </r>
  <r>
    <n v="40117"/>
    <n v="3202108"/>
    <x v="24"/>
    <n v="0.7"/>
    <n v="2997631.37"/>
    <n v="0"/>
    <n v="2997631.37"/>
    <n v="52071.27"/>
    <n v="142215.37"/>
    <n v="0.81599999999999995"/>
    <n v="59015.23"/>
    <n v="0"/>
    <n v="0"/>
    <x v="4"/>
    <n v="9"/>
  </r>
  <r>
    <n v="40118"/>
    <n v="3202207"/>
    <x v="25"/>
    <n v="0.26800000000000002"/>
    <n v="1147664.6000000001"/>
    <n v="0"/>
    <n v="1147664.6000000001"/>
    <n v="19935.86"/>
    <n v="163403.20000000001"/>
    <n v="0.69699999999999995"/>
    <n v="22594.41"/>
    <n v="0"/>
    <n v="0"/>
    <x v="4"/>
    <n v="9"/>
  </r>
  <r>
    <n v="40119"/>
    <n v="3202256"/>
    <x v="26"/>
    <n v="0.48899999999999999"/>
    <n v="2094059.63"/>
    <n v="0"/>
    <n v="2094059.63"/>
    <n v="36375.5"/>
    <n v="122190.16"/>
    <n v="0.45200000000000001"/>
    <n v="41226.36"/>
    <n v="0"/>
    <n v="0"/>
    <x v="4"/>
    <n v="9"/>
  </r>
  <r>
    <n v="40120"/>
    <n v="3202306"/>
    <x v="27"/>
    <n v="0.33700000000000002"/>
    <n v="1443145.35"/>
    <n v="0"/>
    <n v="1443145.35"/>
    <n v="25068.6"/>
    <n v="317446.55"/>
    <n v="0.98899999999999999"/>
    <n v="28411.62"/>
    <n v="0"/>
    <n v="0"/>
    <x v="4"/>
    <n v="9"/>
  </r>
  <r>
    <n v="40121"/>
    <n v="3202405"/>
    <x v="28"/>
    <n v="0.72499999999999998"/>
    <n v="3104689.62"/>
    <n v="0"/>
    <n v="3104689.62"/>
    <n v="53930.96"/>
    <n v="1940676.42"/>
    <n v="2.9359999999999999"/>
    <n v="61122.93"/>
    <n v="0"/>
    <n v="0"/>
    <x v="4"/>
    <n v="9"/>
  </r>
  <r>
    <n v="40122"/>
    <n v="3202454"/>
    <x v="29"/>
    <n v="0.33300000000000002"/>
    <n v="1426016.09"/>
    <n v="0"/>
    <n v="1426016.09"/>
    <n v="24771.05"/>
    <n v="276724.21999999997"/>
    <n v="0.87"/>
    <n v="28074.38"/>
    <n v="0"/>
    <n v="0"/>
    <x v="4"/>
    <n v="9"/>
  </r>
  <r>
    <n v="40123"/>
    <n v="3202504"/>
    <x v="30"/>
    <n v="0.22700000000000001"/>
    <n v="972089.03"/>
    <n v="0"/>
    <n v="972089.03"/>
    <n v="16885.97"/>
    <n v="128034.47"/>
    <n v="0.46100000000000002"/>
    <n v="19137.8"/>
    <n v="0"/>
    <n v="0"/>
    <x v="4"/>
    <n v="9"/>
  </r>
  <r>
    <n v="40124"/>
    <n v="3202553"/>
    <x v="31"/>
    <n v="0.23400000000000001"/>
    <n v="1002065.34"/>
    <n v="0"/>
    <n v="1002065.34"/>
    <n v="17406.68"/>
    <n v="65502.46"/>
    <n v="0.35499999999999998"/>
    <n v="19727.96"/>
    <n v="0"/>
    <n v="0"/>
    <x v="4"/>
    <n v="9"/>
  </r>
  <r>
    <n v="40125"/>
    <n v="3202603"/>
    <x v="32"/>
    <n v="0.28699999999999998"/>
    <n v="1229028.8700000001"/>
    <n v="0"/>
    <n v="1229028.8700000001"/>
    <n v="21349.22"/>
    <n v="212476.59"/>
    <n v="0.53700000000000003"/>
    <n v="24196.25"/>
    <n v="0"/>
    <n v="0"/>
    <x v="4"/>
    <n v="9"/>
  </r>
  <r>
    <n v="40126"/>
    <n v="3202652"/>
    <x v="33"/>
    <n v="0.28799999999999998"/>
    <n v="1233311.21"/>
    <n v="0"/>
    <n v="1233311.21"/>
    <n v="21423.61"/>
    <n v="145134.98000000001"/>
    <n v="0.56399999999999995"/>
    <n v="24280.560000000001"/>
    <n v="0"/>
    <n v="0"/>
    <x v="4"/>
    <n v="9"/>
  </r>
  <r>
    <n v="40127"/>
    <n v="3202702"/>
    <x v="34"/>
    <n v="0.33800000000000002"/>
    <n v="1447427.73"/>
    <n v="0"/>
    <n v="1447427.73"/>
    <n v="25142.99"/>
    <n v="96183.99"/>
    <n v="0.56200000000000006"/>
    <n v="28495.94"/>
    <n v="0"/>
    <n v="0"/>
    <x v="4"/>
    <n v="9"/>
  </r>
  <r>
    <n v="40128"/>
    <n v="3202801"/>
    <x v="35"/>
    <n v="3.8050000000000002"/>
    <n v="16294267.640000001"/>
    <n v="0"/>
    <n v="16294267.640000001"/>
    <n v="283044.57"/>
    <n v="292200.46999999997"/>
    <n v="1.2130000000000001"/>
    <n v="320789.99"/>
    <n v="0"/>
    <n v="0"/>
    <x v="4"/>
    <n v="9"/>
  </r>
  <r>
    <n v="40129"/>
    <n v="3202900"/>
    <x v="36"/>
    <n v="0.35299999999999998"/>
    <n v="1511662.65"/>
    <n v="0"/>
    <n v="1511662.65"/>
    <n v="26258.799999999999"/>
    <n v="85908.800000000003"/>
    <n v="0.44600000000000001"/>
    <n v="29760.55"/>
    <n v="0"/>
    <n v="0"/>
    <x v="4"/>
    <n v="9"/>
  </r>
  <r>
    <n v="40130"/>
    <n v="3203007"/>
    <x v="37"/>
    <n v="0.46899999999999997"/>
    <n v="2008413.01"/>
    <n v="0"/>
    <n v="2008413.01"/>
    <n v="34887.75"/>
    <n v="290998.83"/>
    <n v="0.91200000000000003"/>
    <n v="39540.21"/>
    <n v="0"/>
    <n v="0"/>
    <x v="4"/>
    <n v="9"/>
  </r>
  <r>
    <n v="40131"/>
    <n v="3203056"/>
    <x v="38"/>
    <n v="1.0740000000000001"/>
    <n v="4599222.97"/>
    <n v="0"/>
    <n v="4599222.97"/>
    <n v="79892.210000000006"/>
    <n v="274396.89"/>
    <n v="0.98399999999999999"/>
    <n v="90546.25"/>
    <n v="0"/>
    <n v="0"/>
    <x v="4"/>
    <n v="9"/>
  </r>
  <r>
    <n v="40132"/>
    <n v="3203106"/>
    <x v="39"/>
    <n v="0.20100000000000001"/>
    <n v="860748.44"/>
    <n v="0"/>
    <n v="860748.44"/>
    <n v="14951.89"/>
    <n v="68458.11"/>
    <n v="0.45900000000000002"/>
    <n v="16945.810000000001"/>
    <n v="0"/>
    <n v="0"/>
    <x v="4"/>
    <n v="9"/>
  </r>
  <r>
    <n v="40133"/>
    <n v="3203130"/>
    <x v="40"/>
    <n v="0.38300000000000001"/>
    <n v="1640132.59"/>
    <n v="0"/>
    <n v="1640132.59"/>
    <n v="28490.42"/>
    <n v="165401.39000000001"/>
    <n v="0.63600000000000001"/>
    <n v="32289.759999999998"/>
    <n v="0"/>
    <n v="0"/>
    <x v="4"/>
    <n v="9"/>
  </r>
  <r>
    <n v="40134"/>
    <n v="3203163"/>
    <x v="41"/>
    <n v="0.377"/>
    <n v="1614438.59"/>
    <n v="0"/>
    <n v="1614438.59"/>
    <n v="28044.1"/>
    <n v="51730.34"/>
    <n v="0.45300000000000001"/>
    <n v="31783.919999999998"/>
    <n v="0"/>
    <n v="0"/>
    <x v="4"/>
    <n v="9"/>
  </r>
  <r>
    <n v="40135"/>
    <n v="3203205"/>
    <x v="42"/>
    <n v="4.6500000000000004"/>
    <n v="19912836.91"/>
    <n v="0"/>
    <n v="19912836.91"/>
    <n v="345902.03"/>
    <n v="2046930.19"/>
    <n v="4.0759999999999996"/>
    <n v="392029.82"/>
    <n v="0"/>
    <n v="0"/>
    <x v="4"/>
    <n v="9"/>
  </r>
  <r>
    <n v="40136"/>
    <n v="3203304"/>
    <x v="43"/>
    <n v="0.25"/>
    <n v="1070582.6399999999"/>
    <n v="0"/>
    <n v="1070582.6399999999"/>
    <n v="18596.88"/>
    <n v="119222.04"/>
    <n v="0.54300000000000004"/>
    <n v="21076.87"/>
    <n v="0"/>
    <n v="0"/>
    <x v="4"/>
    <n v="9"/>
  </r>
  <r>
    <n v="40137"/>
    <n v="3203320"/>
    <x v="44"/>
    <n v="0.61599999999999999"/>
    <n v="2637915.6"/>
    <n v="0"/>
    <n v="2637915.6"/>
    <n v="45822.720000000001"/>
    <n v="439206.9"/>
    <n v="1.24"/>
    <n v="51933.41"/>
    <n v="0"/>
    <n v="0"/>
    <x v="4"/>
    <n v="9"/>
  </r>
  <r>
    <n v="40138"/>
    <n v="3203346"/>
    <x v="45"/>
    <n v="0.56699999999999995"/>
    <n v="2428081.39"/>
    <n v="0"/>
    <n v="2428081.39"/>
    <n v="42177.73"/>
    <n v="216863.58"/>
    <n v="0.69199999999999995"/>
    <n v="47802.35"/>
    <n v="0"/>
    <n v="0"/>
    <x v="4"/>
    <n v="9"/>
  </r>
  <r>
    <n v="40139"/>
    <n v="3203353"/>
    <x v="46"/>
    <n v="0.46"/>
    <n v="1969872.02"/>
    <n v="0"/>
    <n v="1969872.02"/>
    <n v="34218.269999999997"/>
    <n v="229578.72"/>
    <n v="0.47"/>
    <n v="38781.449999999997"/>
    <n v="0"/>
    <n v="0"/>
    <x v="4"/>
    <n v="9"/>
  </r>
  <r>
    <n v="40140"/>
    <n v="3203403"/>
    <x v="47"/>
    <n v="0.47499999999999998"/>
    <n v="2034106.99"/>
    <n v="0"/>
    <n v="2034106.99"/>
    <n v="35334.080000000002"/>
    <n v="173403.96"/>
    <n v="0.85899999999999999"/>
    <n v="40046.06"/>
    <n v="0"/>
    <n v="0"/>
    <x v="4"/>
    <n v="9"/>
  </r>
  <r>
    <n v="40141"/>
    <n v="3203502"/>
    <x v="48"/>
    <n v="0.52800000000000002"/>
    <n v="2261070.48"/>
    <n v="0"/>
    <n v="2261070.48"/>
    <n v="39276.620000000003"/>
    <n v="185994.46"/>
    <n v="0.70899999999999996"/>
    <n v="44514.35"/>
    <n v="0"/>
    <n v="0"/>
    <x v="4"/>
    <n v="9"/>
  </r>
  <r>
    <n v="40142"/>
    <n v="3203601"/>
    <x v="49"/>
    <n v="0.29299999999999998"/>
    <n v="1254722.8400000001"/>
    <n v="0"/>
    <n v="1254722.8400000001"/>
    <n v="21795.55"/>
    <n v="52540.77"/>
    <n v="0.30199999999999999"/>
    <n v="24702.1"/>
    <n v="0"/>
    <n v="0"/>
    <x v="4"/>
    <n v="9"/>
  </r>
  <r>
    <n v="40143"/>
    <n v="3203700"/>
    <x v="50"/>
    <n v="0.51800000000000002"/>
    <n v="2218247.2200000002"/>
    <n v="0"/>
    <n v="2218247.2200000002"/>
    <n v="38532.74"/>
    <n v="125393.16"/>
    <n v="0.69899999999999995"/>
    <n v="43671.28"/>
    <n v="0"/>
    <n v="0"/>
    <x v="4"/>
    <n v="9"/>
  </r>
  <r>
    <n v="40144"/>
    <n v="3203809"/>
    <x v="51"/>
    <n v="0.26700000000000002"/>
    <n v="1143382.25"/>
    <n v="0"/>
    <n v="1143382.25"/>
    <n v="19861.47"/>
    <n v="88507.86"/>
    <n v="0.56499999999999995"/>
    <n v="22510.1"/>
    <n v="0"/>
    <n v="0"/>
    <x v="4"/>
    <n v="9"/>
  </r>
  <r>
    <n v="40145"/>
    <n v="3203908"/>
    <x v="52"/>
    <n v="1.3089999999999999"/>
    <n v="5605570.6500000004"/>
    <n v="0"/>
    <n v="5605570.6500000004"/>
    <n v="97373.28"/>
    <n v="497410.69"/>
    <n v="1.476"/>
    <n v="110358.5"/>
    <n v="0"/>
    <n v="0"/>
    <x v="4"/>
    <n v="9"/>
  </r>
  <r>
    <n v="40146"/>
    <n v="3204005"/>
    <x v="53"/>
    <n v="0.45400000000000001"/>
    <n v="1944178.07"/>
    <n v="0"/>
    <n v="1944178.07"/>
    <n v="33771.94"/>
    <n v="139284.69"/>
    <n v="0.70899999999999996"/>
    <n v="38275.599999999999"/>
    <n v="0"/>
    <n v="0"/>
    <x v="4"/>
    <n v="9"/>
  </r>
  <r>
    <n v="40147"/>
    <n v="3204054"/>
    <x v="54"/>
    <n v="0.316"/>
    <n v="1353216.43"/>
    <n v="0"/>
    <n v="1353216.43"/>
    <n v="23506.46"/>
    <n v="250685.45"/>
    <n v="0.81"/>
    <n v="26641.16"/>
    <n v="0"/>
    <n v="0"/>
    <x v="4"/>
    <n v="9"/>
  </r>
  <r>
    <n v="40148"/>
    <n v="3204104"/>
    <x v="55"/>
    <n v="0.76200000000000001"/>
    <n v="3263135.86"/>
    <n v="0"/>
    <n v="3263135.86"/>
    <n v="56683.3"/>
    <n v="179551.59"/>
    <n v="0.85099999999999998"/>
    <n v="64242.31"/>
    <n v="0"/>
    <n v="0"/>
    <x v="4"/>
    <n v="9"/>
  </r>
  <r>
    <n v="40149"/>
    <n v="3204203"/>
    <x v="56"/>
    <n v="0.26"/>
    <n v="1113405.93"/>
    <n v="0"/>
    <n v="1113405.93"/>
    <n v="19340.759999999998"/>
    <n v="294841.34000000003"/>
    <n v="0.753"/>
    <n v="21919.95"/>
    <n v="0"/>
    <n v="0"/>
    <x v="4"/>
    <n v="9"/>
  </r>
  <r>
    <n v="40150"/>
    <n v="3204252"/>
    <x v="57"/>
    <n v="0.214"/>
    <n v="916418.77"/>
    <n v="0"/>
    <n v="916418.77"/>
    <n v="15918.93"/>
    <n v="50355.15"/>
    <n v="0.316"/>
    <n v="18041.8"/>
    <n v="0"/>
    <n v="0"/>
    <x v="4"/>
    <n v="9"/>
  </r>
  <r>
    <n v="40151"/>
    <n v="1718402"/>
    <x v="58"/>
    <n v="0.39100000000000001"/>
    <n v="1674391.21"/>
    <n v="0"/>
    <n v="1674391.21"/>
    <n v="29085.53"/>
    <n v="153609.79999999999"/>
    <n v="0.56399999999999995"/>
    <n v="32964.239999999998"/>
    <n v="0"/>
    <n v="0"/>
    <x v="4"/>
    <n v="9"/>
  </r>
  <r>
    <n v="40152"/>
    <n v="3204351"/>
    <x v="59"/>
    <n v="0.90300000000000002"/>
    <n v="3866944.47"/>
    <n v="0"/>
    <n v="3866944.47"/>
    <n v="67171.94"/>
    <n v="186584.37"/>
    <n v="0.71399999999999997"/>
    <n v="76129.66"/>
    <n v="0"/>
    <n v="0"/>
    <x v="4"/>
    <n v="9"/>
  </r>
  <r>
    <n v="40153"/>
    <n v="3204401"/>
    <x v="60"/>
    <n v="0.25900000000000001"/>
    <n v="1109123.6000000001"/>
    <n v="0"/>
    <n v="1109123.6000000001"/>
    <n v="19266.37"/>
    <n v="98433.5"/>
    <n v="0.45300000000000001"/>
    <n v="21835.64"/>
    <n v="0"/>
    <n v="0"/>
    <x v="4"/>
    <n v="9"/>
  </r>
  <r>
    <n v="40154"/>
    <n v="3204500"/>
    <x v="61"/>
    <n v="0.52500000000000002"/>
    <n v="2248223.5299999998"/>
    <n v="0"/>
    <n v="2248223.5299999998"/>
    <n v="39053.46"/>
    <n v="90206.34"/>
    <n v="0.47899999999999998"/>
    <n v="44261.43"/>
    <n v="0"/>
    <n v="0"/>
    <x v="4"/>
    <n v="9"/>
  </r>
  <r>
    <n v="40155"/>
    <n v="3204559"/>
    <x v="62"/>
    <n v="2.34"/>
    <n v="10020653.42"/>
    <n v="0"/>
    <n v="10020653.42"/>
    <n v="174066.83"/>
    <n v="562361.92000000004"/>
    <n v="1.236"/>
    <n v="197279.52"/>
    <n v="0"/>
    <n v="0"/>
    <x v="4"/>
    <n v="9"/>
  </r>
  <r>
    <n v="40156"/>
    <n v="3204609"/>
    <x v="63"/>
    <n v="0.629"/>
    <n v="2693585.89"/>
    <n v="0"/>
    <n v="2693585.89"/>
    <n v="46789.760000000002"/>
    <n v="273950.2"/>
    <n v="0.82699999999999996"/>
    <n v="53029.41"/>
    <n v="0"/>
    <n v="0"/>
    <x v="4"/>
    <n v="9"/>
  </r>
  <r>
    <n v="40157"/>
    <n v="3204658"/>
    <x v="64"/>
    <n v="0.40400000000000003"/>
    <n v="1730061.54"/>
    <n v="0"/>
    <n v="1730061.54"/>
    <n v="30052.560000000001"/>
    <n v="84928.22"/>
    <n v="0.34300000000000003"/>
    <n v="34060.230000000003"/>
    <n v="0"/>
    <n v="0"/>
    <x v="4"/>
    <n v="9"/>
  </r>
  <r>
    <n v="40158"/>
    <n v="3204708"/>
    <x v="65"/>
    <n v="0.80200000000000005"/>
    <n v="3434429.06"/>
    <n v="0"/>
    <n v="3434429.06"/>
    <n v="59658.8"/>
    <n v="345144.29"/>
    <n v="1.1040000000000001"/>
    <n v="67614.600000000006"/>
    <n v="0"/>
    <n v="0"/>
    <x v="4"/>
    <n v="9"/>
  </r>
  <r>
    <n v="40159"/>
    <n v="3204807"/>
    <x v="66"/>
    <n v="0.23400000000000001"/>
    <n v="1002065.34"/>
    <n v="0"/>
    <n v="1002065.34"/>
    <n v="17406.68"/>
    <n v="67879.289999999994"/>
    <n v="0.45"/>
    <n v="19727.96"/>
    <n v="0"/>
    <n v="0"/>
    <x v="4"/>
    <n v="9"/>
  </r>
  <r>
    <n v="40160"/>
    <n v="3204906"/>
    <x v="67"/>
    <n v="1.952"/>
    <n v="8359109.1699999999"/>
    <n v="0"/>
    <n v="8359109.1699999999"/>
    <n v="145204.47"/>
    <n v="1333527.73"/>
    <n v="2.9870000000000001"/>
    <n v="164568.22"/>
    <n v="0"/>
    <n v="0"/>
    <x v="4"/>
    <n v="9"/>
  </r>
  <r>
    <n v="40161"/>
    <n v="3204955"/>
    <x v="68"/>
    <n v="0.29699999999999999"/>
    <n v="1271852.1499999999"/>
    <n v="0"/>
    <n v="1271852.1499999999"/>
    <n v="22093.1"/>
    <n v="68428.22"/>
    <n v="0.45"/>
    <n v="25039.33"/>
    <n v="0"/>
    <n v="0"/>
    <x v="4"/>
    <n v="9"/>
  </r>
  <r>
    <n v="40162"/>
    <n v="3205002"/>
    <x v="69"/>
    <n v="14.689"/>
    <n v="62903152.969999999"/>
    <n v="0"/>
    <n v="62903152.969999999"/>
    <n v="1092678.48"/>
    <n v="5487221.1200000001"/>
    <n v="8.6910000000000007"/>
    <n v="1238392.69"/>
    <n v="0"/>
    <n v="0"/>
    <x v="4"/>
    <n v="9"/>
  </r>
  <r>
    <n v="40163"/>
    <n v="3205010"/>
    <x v="70"/>
    <n v="0.72799999999999998"/>
    <n v="3117536.64"/>
    <n v="0"/>
    <n v="3117536.64"/>
    <n v="54154.12"/>
    <n v="199313.28"/>
    <n v="0.95199999999999996"/>
    <n v="61375.85"/>
    <n v="0"/>
    <n v="0"/>
    <x v="4"/>
    <n v="9"/>
  </r>
  <r>
    <n v="40164"/>
    <n v="3205036"/>
    <x v="71"/>
    <n v="0.48599999999999999"/>
    <n v="2081212.64"/>
    <n v="0"/>
    <n v="2081212.64"/>
    <n v="36152.339999999997"/>
    <n v="166056.85"/>
    <n v="0.71699999999999997"/>
    <n v="40973.440000000002"/>
    <n v="0"/>
    <n v="0"/>
    <x v="4"/>
    <n v="9"/>
  </r>
  <r>
    <n v="40165"/>
    <n v="3205069"/>
    <x v="72"/>
    <n v="0.61899999999999999"/>
    <n v="2650762.59"/>
    <n v="0"/>
    <n v="2650762.59"/>
    <n v="46045.88"/>
    <n v="322954.39"/>
    <n v="0.85"/>
    <n v="52186.33"/>
    <n v="0"/>
    <n v="0"/>
    <x v="4"/>
    <n v="9"/>
  </r>
  <r>
    <n v="40166"/>
    <n v="2112803"/>
    <x v="73"/>
    <n v="2.823"/>
    <n v="12089019.050000001"/>
    <n v="0"/>
    <n v="12089019.050000001"/>
    <n v="209996.01"/>
    <n v="696954.24"/>
    <n v="1.9590000000000001"/>
    <n v="238000.03"/>
    <n v="0"/>
    <n v="0"/>
    <x v="4"/>
    <n v="9"/>
  </r>
  <r>
    <n v="40167"/>
    <n v="3205150"/>
    <x v="74"/>
    <n v="0.313"/>
    <n v="1340369.45"/>
    <n v="0"/>
    <n v="1340369.45"/>
    <n v="23283.3"/>
    <n v="58883.57"/>
    <n v="0.34699999999999998"/>
    <n v="26388.240000000002"/>
    <n v="0"/>
    <n v="0"/>
    <x v="4"/>
    <n v="9"/>
  </r>
  <r>
    <n v="40168"/>
    <n v="3205176"/>
    <x v="75"/>
    <n v="0.64300000000000002"/>
    <n v="2753538.53"/>
    <n v="0"/>
    <n v="2753538.53"/>
    <n v="47831.18"/>
    <n v="146241.82999999999"/>
    <n v="0.56399999999999995"/>
    <n v="54209.71"/>
    <n v="0"/>
    <n v="0"/>
    <x v="4"/>
    <n v="9"/>
  </r>
  <r>
    <n v="40169"/>
    <n v="3205200"/>
    <x v="76"/>
    <n v="4.97"/>
    <n v="21283182.670000002"/>
    <n v="0"/>
    <n v="21283182.670000002"/>
    <n v="369706.04"/>
    <n v="6529317.7300000004"/>
    <n v="8.0009999999999994"/>
    <n v="419008.22"/>
    <n v="0"/>
    <n v="0"/>
    <x v="4"/>
    <n v="9"/>
  </r>
  <r>
    <n v="40170"/>
    <n v="3205309"/>
    <x v="77"/>
    <n v="13.843"/>
    <n v="59280301.340000004"/>
    <n v="0"/>
    <n v="59280301.340000004"/>
    <n v="1029746.63"/>
    <n v="5990099.3399999999"/>
    <n v="9.2110000000000003"/>
    <n v="1167068.54"/>
    <n v="0"/>
    <n v="0"/>
    <x v="4"/>
    <n v="9"/>
  </r>
  <r>
    <n v="40171"/>
    <n v="3200102"/>
    <x v="0"/>
    <n v="0.73199999999999998"/>
    <n v="3219777.44"/>
    <n v="0"/>
    <n v="3219777.44"/>
    <n v="36968.89"/>
    <n v="136162.46"/>
    <n v="1.0169999999999999"/>
    <n v="57681.46"/>
    <n v="18174.37"/>
    <n v="0"/>
    <x v="4"/>
    <n v="10"/>
  </r>
  <r>
    <n v="40172"/>
    <n v="3200169"/>
    <x v="1"/>
    <n v="0.28199999999999997"/>
    <n v="1240406.07"/>
    <n v="0"/>
    <n v="1240406.07"/>
    <n v="14242.11"/>
    <n v="53062.19"/>
    <n v="0.46500000000000002"/>
    <n v="22221.54"/>
    <n v="8317.73"/>
    <n v="0"/>
    <x v="4"/>
    <n v="10"/>
  </r>
  <r>
    <n v="40173"/>
    <n v="3200136"/>
    <x v="2"/>
    <n v="0.46"/>
    <n v="2023357.42"/>
    <n v="0"/>
    <n v="2023357.42"/>
    <n v="23231.82"/>
    <n v="61383.76"/>
    <n v="0.35799999999999998"/>
    <n v="36247.910000000003"/>
    <n v="6396.73"/>
    <n v="0"/>
    <x v="4"/>
    <n v="10"/>
  </r>
  <r>
    <n v="40174"/>
    <n v="3200201"/>
    <x v="3"/>
    <n v="0.46800000000000003"/>
    <n v="2058546.24"/>
    <n v="0"/>
    <n v="2058546.24"/>
    <n v="23635.85"/>
    <n v="140762.34"/>
    <n v="0.98699999999999999"/>
    <n v="36878.32"/>
    <n v="17640.62"/>
    <n v="0"/>
    <x v="4"/>
    <n v="10"/>
  </r>
  <r>
    <n v="40175"/>
    <n v="3200300"/>
    <x v="4"/>
    <n v="0.45800000000000002"/>
    <n v="2014560.21"/>
    <n v="0"/>
    <n v="2014560.21"/>
    <n v="23130.81"/>
    <n v="107284.48"/>
    <n v="0.56599999999999995"/>
    <n v="36090.32"/>
    <n v="10113.5"/>
    <n v="0"/>
    <x v="4"/>
    <n v="10"/>
  </r>
  <r>
    <n v="40176"/>
    <n v="3200359"/>
    <x v="5"/>
    <n v="0.23"/>
    <n v="1011678.7"/>
    <n v="0"/>
    <n v="1011678.7"/>
    <n v="11615.91"/>
    <n v="40037.08"/>
    <n v="0.32800000000000001"/>
    <n v="18123.95"/>
    <n v="5865.81"/>
    <n v="0"/>
    <x v="4"/>
    <n v="10"/>
  </r>
  <r>
    <n v="40177"/>
    <n v="3200409"/>
    <x v="6"/>
    <n v="4.2549999999999999"/>
    <n v="18716056.149999999"/>
    <n v="0"/>
    <n v="18716056.149999999"/>
    <n v="214894.31"/>
    <n v="269643.34000000003"/>
    <n v="0.93"/>
    <n v="335293.21999999997"/>
    <n v="16633.66"/>
    <n v="0"/>
    <x v="4"/>
    <n v="10"/>
  </r>
  <r>
    <n v="40178"/>
    <n v="3200508"/>
    <x v="7"/>
    <n v="0.188"/>
    <n v="826937.42"/>
    <n v="0"/>
    <n v="826937.42"/>
    <n v="9494.74"/>
    <n v="61591.08"/>
    <n v="0.32500000000000001"/>
    <n v="14814.36"/>
    <n v="5816.61"/>
    <n v="0"/>
    <x v="4"/>
    <n v="10"/>
  </r>
  <r>
    <n v="40179"/>
    <n v="3200607"/>
    <x v="8"/>
    <n v="3.7869999999999999"/>
    <n v="16657509.91"/>
    <n v="0"/>
    <n v="16657509.91"/>
    <n v="191258.46"/>
    <n v="719235.03"/>
    <n v="2.456"/>
    <n v="298414.92"/>
    <n v="43908.39"/>
    <n v="0"/>
    <x v="4"/>
    <n v="10"/>
  </r>
  <r>
    <n v="40180"/>
    <n v="3200706"/>
    <x v="9"/>
    <n v="0.32400000000000001"/>
    <n v="1425147.38"/>
    <n v="0"/>
    <n v="1425147.38"/>
    <n v="16363.28"/>
    <n v="58597.31"/>
    <n v="0.44600000000000001"/>
    <n v="25531.14"/>
    <n v="7967.49"/>
    <n v="0"/>
    <x v="4"/>
    <n v="10"/>
  </r>
  <r>
    <n v="40181"/>
    <n v="3200805"/>
    <x v="10"/>
    <n v="0.59299999999999997"/>
    <n v="2608371.64"/>
    <n v="0"/>
    <n v="2608371.64"/>
    <n v="29948.84"/>
    <n v="303127.44"/>
    <n v="1.016"/>
    <n v="46728.3"/>
    <n v="18172.03"/>
    <n v="0"/>
    <x v="4"/>
    <n v="10"/>
  </r>
  <r>
    <n v="40182"/>
    <n v="3200904"/>
    <x v="11"/>
    <n v="0.88400000000000001"/>
    <n v="3888365.15"/>
    <n v="0"/>
    <n v="3888365.15"/>
    <n v="44645.49"/>
    <n v="301463.86"/>
    <n v="1.3140000000000001"/>
    <n v="69659.039999999994"/>
    <n v="23490.33"/>
    <n v="0"/>
    <x v="4"/>
    <n v="10"/>
  </r>
  <r>
    <n v="40183"/>
    <n v="3107109"/>
    <x v="12"/>
    <n v="0.41899999999999998"/>
    <n v="1843014.71"/>
    <n v="0"/>
    <n v="1843014.71"/>
    <n v="21161.16"/>
    <n v="77988.69"/>
    <n v="0.56299999999999994"/>
    <n v="33017.120000000003"/>
    <n v="10060.33"/>
    <n v="0"/>
    <x v="4"/>
    <n v="10"/>
  </r>
  <r>
    <n v="40184"/>
    <n v="3201100"/>
    <x v="13"/>
    <n v="0.16700000000000001"/>
    <n v="734566.72"/>
    <n v="0"/>
    <n v="734566.72"/>
    <n v="8434.16"/>
    <n v="150157.03"/>
    <n v="0.442"/>
    <n v="13159.58"/>
    <n v="7900.81"/>
    <n v="0"/>
    <x v="4"/>
    <n v="10"/>
  </r>
  <r>
    <n v="40185"/>
    <n v="3201159"/>
    <x v="14"/>
    <n v="0.41599999999999998"/>
    <n v="1829818.88"/>
    <n v="0"/>
    <n v="1829818.88"/>
    <n v="21009.64"/>
    <n v="88653.82"/>
    <n v="0.47799999999999998"/>
    <n v="32780.720000000001"/>
    <n v="8537.59"/>
    <n v="0"/>
    <x v="4"/>
    <n v="10"/>
  </r>
  <r>
    <n v="40186"/>
    <n v="3201209"/>
    <x v="15"/>
    <n v="2.7570000000000001"/>
    <n v="12126948.720000001"/>
    <n v="0"/>
    <n v="12126948.720000001"/>
    <n v="139239.39000000001"/>
    <n v="1411006.1"/>
    <n v="4.3239999999999998"/>
    <n v="217251.11"/>
    <n v="77305.33"/>
    <n v="0"/>
    <x v="4"/>
    <n v="10"/>
  </r>
  <r>
    <n v="40187"/>
    <n v="3201308"/>
    <x v="16"/>
    <n v="7.1219999999999999"/>
    <n v="31326851.219999999"/>
    <n v="0"/>
    <n v="31326851.219999999"/>
    <n v="359689.14"/>
    <n v="2307801.86"/>
    <n v="6.5110000000000001"/>
    <n v="561212.30000000005"/>
    <n v="116409.17"/>
    <n v="0"/>
    <x v="4"/>
    <n v="10"/>
  </r>
  <r>
    <n v="40188"/>
    <n v="3201407"/>
    <x v="17"/>
    <n v="0.82899999999999996"/>
    <n v="3646441.95"/>
    <n v="0"/>
    <n v="3646441.95"/>
    <n v="41867.78"/>
    <n v="413791.64"/>
    <n v="1.165"/>
    <n v="65325.04"/>
    <n v="20820.21"/>
    <n v="0"/>
    <x v="4"/>
    <n v="10"/>
  </r>
  <r>
    <n v="40189"/>
    <n v="3201506"/>
    <x v="18"/>
    <n v="2.141"/>
    <n v="9417409.25"/>
    <n v="0"/>
    <n v="9417409.25"/>
    <n v="108128.96000000001"/>
    <n v="1006095.31"/>
    <n v="2.875"/>
    <n v="168710.39999999999"/>
    <n v="51405.13"/>
    <n v="0"/>
    <x v="4"/>
    <n v="10"/>
  </r>
  <r>
    <n v="40190"/>
    <n v="3201605"/>
    <x v="19"/>
    <n v="0.76100000000000001"/>
    <n v="3347336.96"/>
    <n v="0"/>
    <n v="3347336.96"/>
    <n v="38433.51"/>
    <n v="145339.81"/>
    <n v="0.96399999999999997"/>
    <n v="59966.66"/>
    <n v="17239.8"/>
    <n v="0"/>
    <x v="4"/>
    <n v="10"/>
  </r>
  <r>
    <n v="40191"/>
    <n v="3201704"/>
    <x v="20"/>
    <n v="0.40500000000000003"/>
    <n v="1781434.25"/>
    <n v="0"/>
    <n v="1781434.25"/>
    <n v="20454.099999999999"/>
    <n v="71888.72"/>
    <n v="0.46400000000000002"/>
    <n v="31913.919999999998"/>
    <n v="8293.23"/>
    <n v="0"/>
    <x v="4"/>
    <n v="10"/>
  </r>
  <r>
    <n v="40192"/>
    <n v="3201803"/>
    <x v="21"/>
    <n v="0.18"/>
    <n v="791748.55"/>
    <n v="0"/>
    <n v="791748.55"/>
    <n v="9090.7099999999991"/>
    <n v="21408.97"/>
    <n v="0.29699999999999999"/>
    <n v="14183.96"/>
    <n v="5317.61"/>
    <n v="0"/>
    <x v="4"/>
    <n v="10"/>
  </r>
  <r>
    <n v="40193"/>
    <n v="3201902"/>
    <x v="22"/>
    <n v="1.2070000000000001"/>
    <n v="5309113.93"/>
    <n v="0"/>
    <n v="5309113.93"/>
    <n v="60958.27"/>
    <n v="247934.88"/>
    <n v="1.0780000000000001"/>
    <n v="95111.38"/>
    <n v="19277.72"/>
    <n v="0"/>
    <x v="4"/>
    <n v="10"/>
  </r>
  <r>
    <n v="40194"/>
    <n v="3202009"/>
    <x v="23"/>
    <n v="0.25800000000000001"/>
    <n v="1134839.5900000001"/>
    <n v="0"/>
    <n v="1134839.5900000001"/>
    <n v="13030.02"/>
    <n v="83799.899999999994"/>
    <n v="0.317"/>
    <n v="20330.349999999999"/>
    <n v="5670.4"/>
    <n v="0"/>
    <x v="4"/>
    <n v="10"/>
  </r>
  <r>
    <n v="40195"/>
    <n v="3202108"/>
    <x v="24"/>
    <n v="0.7"/>
    <n v="3079022.17"/>
    <n v="0"/>
    <n v="3079022.17"/>
    <n v="35352.769999999997"/>
    <n v="100912.42"/>
    <n v="0.81599999999999995"/>
    <n v="55159.87"/>
    <n v="14593.46"/>
    <n v="0"/>
    <x v="4"/>
    <n v="10"/>
  </r>
  <r>
    <n v="40196"/>
    <n v="3202207"/>
    <x v="25"/>
    <n v="0.26800000000000002"/>
    <n v="1178825.6299999999"/>
    <n v="0"/>
    <n v="1178825.6299999999"/>
    <n v="13535.06"/>
    <n v="87986.35"/>
    <n v="0.69699999999999995"/>
    <n v="21118.34"/>
    <n v="12465.16"/>
    <n v="0"/>
    <x v="4"/>
    <n v="10"/>
  </r>
  <r>
    <n v="40197"/>
    <n v="3202256"/>
    <x v="26"/>
    <n v="0.48899999999999999"/>
    <n v="2150916.92"/>
    <n v="0"/>
    <n v="2150916.92"/>
    <n v="24696.43"/>
    <n v="76605.98"/>
    <n v="0.45200000000000001"/>
    <n v="38533.11"/>
    <n v="8076.85"/>
    <n v="0"/>
    <x v="4"/>
    <n v="10"/>
  </r>
  <r>
    <n v="40198"/>
    <n v="3202306"/>
    <x v="27"/>
    <n v="0.33700000000000002"/>
    <n v="1482329.26"/>
    <n v="0"/>
    <n v="1482329.26"/>
    <n v="17019.830000000002"/>
    <n v="187836.28"/>
    <n v="0.98899999999999999"/>
    <n v="26555.53"/>
    <n v="17682.830000000002"/>
    <n v="0"/>
    <x v="4"/>
    <n v="10"/>
  </r>
  <r>
    <n v="40199"/>
    <n v="3202405"/>
    <x v="28"/>
    <n v="0.72499999999999998"/>
    <n v="3188987.21"/>
    <n v="0"/>
    <n v="3188987.21"/>
    <n v="36615.360000000001"/>
    <n v="1233304.56"/>
    <n v="2.9359999999999999"/>
    <n v="57129.86"/>
    <n v="52483.08"/>
    <n v="0"/>
    <x v="4"/>
    <n v="10"/>
  </r>
  <r>
    <n v="40200"/>
    <n v="3202454"/>
    <x v="29"/>
    <n v="0.33300000000000002"/>
    <n v="1464734.83"/>
    <n v="0"/>
    <n v="1464734.83"/>
    <n v="16817.82"/>
    <n v="184131.05"/>
    <n v="0.87"/>
    <n v="26240.35"/>
    <n v="15560.15"/>
    <n v="0"/>
    <x v="4"/>
    <n v="10"/>
  </r>
  <r>
    <n v="40201"/>
    <n v="3202504"/>
    <x v="30"/>
    <n v="0.22700000000000001"/>
    <n v="998482.92"/>
    <n v="0"/>
    <n v="998482.92"/>
    <n v="11464.4"/>
    <n v="83216.03"/>
    <n v="0.46100000000000002"/>
    <n v="17887.560000000001"/>
    <n v="8243.33"/>
    <n v="0"/>
    <x v="4"/>
    <n v="10"/>
  </r>
  <r>
    <n v="40202"/>
    <n v="3202553"/>
    <x v="31"/>
    <n v="0.23400000000000001"/>
    <n v="1029273.12"/>
    <n v="0"/>
    <n v="1029273.12"/>
    <n v="11817.92"/>
    <n v="56065.38"/>
    <n v="0.35499999999999998"/>
    <n v="18439.16"/>
    <n v="6352.2"/>
    <n v="0"/>
    <x v="4"/>
    <n v="10"/>
  </r>
  <r>
    <n v="40203"/>
    <n v="3202603"/>
    <x v="32"/>
    <n v="0.28699999999999998"/>
    <n v="1262399.1000000001"/>
    <n v="0"/>
    <n v="1262399.1000000001"/>
    <n v="14494.63"/>
    <n v="120213.21"/>
    <n v="0.53700000000000003"/>
    <n v="22615.54"/>
    <n v="9596"/>
    <n v="0"/>
    <x v="4"/>
    <n v="10"/>
  </r>
  <r>
    <n v="40204"/>
    <n v="3202652"/>
    <x v="33"/>
    <n v="0.28799999999999998"/>
    <n v="1266797.68"/>
    <n v="0"/>
    <n v="1266797.68"/>
    <n v="14545.14"/>
    <n v="122393.46"/>
    <n v="0.56399999999999995"/>
    <n v="22694.34"/>
    <n v="10084.120000000001"/>
    <n v="0"/>
    <x v="4"/>
    <n v="10"/>
  </r>
  <r>
    <n v="40205"/>
    <n v="3202702"/>
    <x v="34"/>
    <n v="0.33800000000000002"/>
    <n v="1486727.86"/>
    <n v="0"/>
    <n v="1486727.86"/>
    <n v="17070.34"/>
    <n v="67122.679999999993"/>
    <n v="0.56200000000000006"/>
    <n v="26634.34"/>
    <n v="10055.89"/>
    <n v="0"/>
    <x v="4"/>
    <n v="10"/>
  </r>
  <r>
    <n v="40206"/>
    <n v="3202801"/>
    <x v="35"/>
    <n v="3.8050000000000002"/>
    <n v="16736684.77"/>
    <n v="0"/>
    <n v="16736684.77"/>
    <n v="192167.53"/>
    <n v="247074.22"/>
    <n v="1.2130000000000001"/>
    <n v="299833.31"/>
    <n v="21684.87"/>
    <n v="0"/>
    <x v="4"/>
    <n v="10"/>
  </r>
  <r>
    <n v="40207"/>
    <n v="3202900"/>
    <x v="36"/>
    <n v="0.35299999999999998"/>
    <n v="1552706.88"/>
    <n v="0"/>
    <n v="1552706.88"/>
    <n v="17827.900000000001"/>
    <n v="82161.210000000006"/>
    <n v="0.44600000000000001"/>
    <n v="27816.33"/>
    <n v="7980.79"/>
    <n v="0"/>
    <x v="4"/>
    <n v="10"/>
  </r>
  <r>
    <n v="40208"/>
    <n v="3203007"/>
    <x v="37"/>
    <n v="0.46899999999999997"/>
    <n v="2062944.86"/>
    <n v="0"/>
    <n v="2062944.86"/>
    <n v="23686.35"/>
    <n v="199270.55"/>
    <n v="0.91200000000000003"/>
    <n v="36957.11"/>
    <n v="16308.64"/>
    <n v="0"/>
    <x v="4"/>
    <n v="10"/>
  </r>
  <r>
    <n v="40209"/>
    <n v="3203056"/>
    <x v="38"/>
    <n v="1.0740000000000001"/>
    <n v="4724099.72"/>
    <n v="0"/>
    <n v="4724099.72"/>
    <n v="54241.24"/>
    <n v="163821.04999999999"/>
    <n v="0.98399999999999999"/>
    <n v="84631.01"/>
    <n v="17583.259999999998"/>
    <n v="0"/>
    <x v="4"/>
    <n v="10"/>
  </r>
  <r>
    <n v="40210"/>
    <n v="3203106"/>
    <x v="39"/>
    <n v="0.20100000000000001"/>
    <n v="884119.19"/>
    <n v="0"/>
    <n v="884119.19"/>
    <n v="10151.290000000001"/>
    <n v="41299.919999999998"/>
    <n v="0.45900000000000002"/>
    <n v="15838.76"/>
    <n v="8208.83"/>
    <n v="0"/>
    <x v="4"/>
    <n v="10"/>
  </r>
  <r>
    <n v="40211"/>
    <n v="3203130"/>
    <x v="40"/>
    <n v="0.38300000000000001"/>
    <n v="1684665"/>
    <n v="0"/>
    <n v="1684665"/>
    <n v="19343.009999999998"/>
    <n v="111097.3"/>
    <n v="0.63600000000000001"/>
    <n v="30180.33"/>
    <n v="11376.57"/>
    <n v="0"/>
    <x v="4"/>
    <n v="10"/>
  </r>
  <r>
    <n v="40212"/>
    <n v="3203163"/>
    <x v="41"/>
    <n v="0.377"/>
    <n v="1658273.37"/>
    <n v="0"/>
    <n v="1658273.37"/>
    <n v="19039.990000000002"/>
    <n v="36313.629999999997"/>
    <n v="0.45300000000000001"/>
    <n v="29707.52"/>
    <n v="8096.68"/>
    <n v="0"/>
    <x v="4"/>
    <n v="10"/>
  </r>
  <r>
    <n v="40213"/>
    <n v="3203205"/>
    <x v="42"/>
    <n v="4.6500000000000004"/>
    <n v="20453504.379999999"/>
    <n v="0"/>
    <n v="20453504.379999999"/>
    <n v="234843.37"/>
    <n v="1404802.29"/>
    <n v="4.0759999999999996"/>
    <n v="366419.16"/>
    <n v="72875.09"/>
    <n v="0"/>
    <x v="4"/>
    <n v="10"/>
  </r>
  <r>
    <n v="40214"/>
    <n v="3203304"/>
    <x v="43"/>
    <n v="0.25"/>
    <n v="1099650.79"/>
    <n v="0"/>
    <n v="1099650.79"/>
    <n v="12625.99"/>
    <n v="76939.59"/>
    <n v="0.54300000000000004"/>
    <n v="19699.95"/>
    <n v="9699.51"/>
    <n v="0"/>
    <x v="4"/>
    <n v="10"/>
  </r>
  <r>
    <n v="40215"/>
    <n v="3203320"/>
    <x v="44"/>
    <n v="0.61599999999999999"/>
    <n v="2709539.5"/>
    <n v="0"/>
    <n v="2709539.5"/>
    <n v="31110.43"/>
    <n v="377128.07"/>
    <n v="1.24"/>
    <n v="48540.68"/>
    <n v="22173.84"/>
    <n v="0"/>
    <x v="4"/>
    <n v="10"/>
  </r>
  <r>
    <n v="40216"/>
    <n v="3203346"/>
    <x v="45"/>
    <n v="0.56699999999999995"/>
    <n v="2494007.9500000002"/>
    <n v="0"/>
    <n v="2494007.9500000002"/>
    <n v="28635.74"/>
    <n v="117855.54"/>
    <n v="0.69199999999999995"/>
    <n v="44679.49"/>
    <n v="12378.18"/>
    <n v="0"/>
    <x v="4"/>
    <n v="10"/>
  </r>
  <r>
    <n v="40217"/>
    <n v="3203353"/>
    <x v="46"/>
    <n v="0.46"/>
    <n v="2023357.42"/>
    <n v="0"/>
    <n v="2023357.42"/>
    <n v="23231.82"/>
    <n v="115776.35"/>
    <n v="0.47"/>
    <n v="36247.910000000003"/>
    <n v="8398.16"/>
    <n v="0"/>
    <x v="4"/>
    <n v="10"/>
  </r>
  <r>
    <n v="40218"/>
    <n v="3203403"/>
    <x v="47"/>
    <n v="0.47499999999999998"/>
    <n v="2089336.46"/>
    <n v="0"/>
    <n v="2089336.46"/>
    <n v="23989.38"/>
    <n v="152026.96"/>
    <n v="0.85899999999999999"/>
    <n v="37429.910000000003"/>
    <n v="15349.14"/>
    <n v="0"/>
    <x v="4"/>
    <n v="10"/>
  </r>
  <r>
    <n v="40219"/>
    <n v="3203502"/>
    <x v="48"/>
    <n v="0.52800000000000002"/>
    <n v="2322462.44"/>
    <n v="0"/>
    <n v="2322462.44"/>
    <n v="26666.09"/>
    <n v="142002.38"/>
    <n v="0.70899999999999996"/>
    <n v="41606.300000000003"/>
    <n v="12671.74"/>
    <n v="0"/>
    <x v="4"/>
    <n v="10"/>
  </r>
  <r>
    <n v="40220"/>
    <n v="3203601"/>
    <x v="49"/>
    <n v="0.29299999999999998"/>
    <n v="1288790.71"/>
    <n v="0"/>
    <n v="1288790.71"/>
    <n v="14797.66"/>
    <n v="28763.01"/>
    <n v="0.30199999999999999"/>
    <n v="23088.34"/>
    <n v="5406.93"/>
    <n v="0"/>
    <x v="4"/>
    <n v="10"/>
  </r>
  <r>
    <n v="40221"/>
    <n v="3203700"/>
    <x v="50"/>
    <n v="0.51800000000000002"/>
    <n v="2278476.42"/>
    <n v="0"/>
    <n v="2278476.42"/>
    <n v="26161.05"/>
    <n v="70932.08"/>
    <n v="0.69899999999999995"/>
    <n v="40818.300000000003"/>
    <n v="12497.57"/>
    <n v="0"/>
    <x v="4"/>
    <n v="10"/>
  </r>
  <r>
    <n v="40222"/>
    <n v="3203809"/>
    <x v="51"/>
    <n v="0.26700000000000002"/>
    <n v="1174427"/>
    <n v="0"/>
    <n v="1174427"/>
    <n v="13484.56"/>
    <n v="57576.85"/>
    <n v="0.56499999999999995"/>
    <n v="21039.55"/>
    <n v="10092.280000000001"/>
    <n v="0"/>
    <x v="4"/>
    <n v="10"/>
  </r>
  <r>
    <n v="40223"/>
    <n v="3203908"/>
    <x v="52"/>
    <n v="1.3089999999999999"/>
    <n v="5757771.4699999997"/>
    <n v="0"/>
    <n v="5757771.4699999997"/>
    <n v="66109.67"/>
    <n v="384005.24"/>
    <n v="1.476"/>
    <n v="103148.95"/>
    <n v="26393.41"/>
    <n v="0"/>
    <x v="4"/>
    <n v="10"/>
  </r>
  <r>
    <n v="40224"/>
    <n v="3204005"/>
    <x v="53"/>
    <n v="0.45400000000000001"/>
    <n v="1996965.78"/>
    <n v="0"/>
    <n v="1996965.78"/>
    <n v="22928.79"/>
    <n v="103209.32"/>
    <n v="0.70899999999999996"/>
    <n v="35775.120000000003"/>
    <n v="12670.11"/>
    <n v="0"/>
    <x v="4"/>
    <n v="10"/>
  </r>
  <r>
    <n v="40225"/>
    <n v="3204054"/>
    <x v="54"/>
    <n v="0.316"/>
    <n v="1389958.59"/>
    <n v="0"/>
    <n v="1389958.59"/>
    <n v="15959.25"/>
    <n v="200282.76"/>
    <n v="0.81"/>
    <n v="24900.75"/>
    <n v="14483.87"/>
    <n v="0"/>
    <x v="4"/>
    <n v="10"/>
  </r>
  <r>
    <n v="40226"/>
    <n v="3204104"/>
    <x v="55"/>
    <n v="0.76200000000000001"/>
    <n v="3351735.53"/>
    <n v="0"/>
    <n v="3351735.53"/>
    <n v="38484.01"/>
    <n v="140538.06"/>
    <n v="0.85099999999999998"/>
    <n v="60045.46"/>
    <n v="15218.55"/>
    <n v="0"/>
    <x v="4"/>
    <n v="10"/>
  </r>
  <r>
    <n v="40227"/>
    <n v="3204203"/>
    <x v="56"/>
    <n v="0.26"/>
    <n v="1143636.83"/>
    <n v="0"/>
    <n v="1143636.83"/>
    <n v="13131.03"/>
    <n v="184738.8"/>
    <n v="0.753"/>
    <n v="20487.95"/>
    <n v="13464.53"/>
    <n v="0"/>
    <x v="4"/>
    <n v="10"/>
  </r>
  <r>
    <n v="40228"/>
    <n v="3204252"/>
    <x v="57"/>
    <n v="0.214"/>
    <n v="941301.06"/>
    <n v="0"/>
    <n v="941301.06"/>
    <n v="10807.84"/>
    <n v="44156.37"/>
    <n v="0.316"/>
    <n v="16863.150000000001"/>
    <n v="5647.32"/>
    <n v="0"/>
    <x v="4"/>
    <n v="10"/>
  </r>
  <r>
    <n v="40229"/>
    <n v="1718402"/>
    <x v="58"/>
    <n v="0.39100000000000001"/>
    <n v="1719853.8"/>
    <n v="0"/>
    <n v="1719853.8"/>
    <n v="19747.04"/>
    <n v="135248.25"/>
    <n v="0.56399999999999995"/>
    <n v="30810.720000000001"/>
    <n v="10080.85"/>
    <n v="0"/>
    <x v="4"/>
    <n v="10"/>
  </r>
  <r>
    <n v="40230"/>
    <n v="3204351"/>
    <x v="59"/>
    <n v="0.90300000000000002"/>
    <n v="3971938.58"/>
    <n v="0"/>
    <n v="3971938.58"/>
    <n v="45605.07"/>
    <n v="142409.53"/>
    <n v="0.71399999999999997"/>
    <n v="71156.23"/>
    <n v="12758.95"/>
    <n v="0"/>
    <x v="4"/>
    <n v="10"/>
  </r>
  <r>
    <n v="40231"/>
    <n v="3204401"/>
    <x v="60"/>
    <n v="0.25900000000000001"/>
    <n v="1139238.19"/>
    <n v="0"/>
    <n v="1139238.19"/>
    <n v="13080.52"/>
    <n v="93192.21"/>
    <n v="0.45300000000000001"/>
    <n v="20409.16"/>
    <n v="8090.85"/>
    <n v="0"/>
    <x v="4"/>
    <n v="10"/>
  </r>
  <r>
    <n v="40232"/>
    <n v="3204500"/>
    <x v="61"/>
    <n v="0.52500000000000002"/>
    <n v="2309266.63"/>
    <n v="0"/>
    <n v="2309266.63"/>
    <n v="26514.57"/>
    <n v="34358.46"/>
    <n v="0.47899999999999998"/>
    <n v="41369.9"/>
    <n v="8565.7999999999993"/>
    <n v="0"/>
    <x v="4"/>
    <n v="10"/>
  </r>
  <r>
    <n v="40233"/>
    <n v="3204559"/>
    <x v="62"/>
    <n v="2.34"/>
    <n v="10292731.23"/>
    <n v="0"/>
    <n v="10292731.23"/>
    <n v="118179.24"/>
    <n v="502087.13"/>
    <n v="1.236"/>
    <n v="184391.57"/>
    <n v="22105.51"/>
    <n v="0"/>
    <x v="4"/>
    <n v="10"/>
  </r>
  <r>
    <n v="40234"/>
    <n v="3204609"/>
    <x v="63"/>
    <n v="0.629"/>
    <n v="2766721.35"/>
    <n v="0"/>
    <n v="2766721.35"/>
    <n v="31766.98"/>
    <n v="160467.57999999999"/>
    <n v="0.82699999999999996"/>
    <n v="49565.09"/>
    <n v="14783.74"/>
    <n v="0"/>
    <x v="4"/>
    <n v="10"/>
  </r>
  <r>
    <n v="40235"/>
    <n v="3204658"/>
    <x v="64"/>
    <n v="0.40400000000000003"/>
    <n v="1777035.64"/>
    <n v="0"/>
    <n v="1777035.64"/>
    <n v="20403.599999999999"/>
    <n v="63241.31"/>
    <n v="0.34300000000000003"/>
    <n v="31835.13"/>
    <n v="6135.11"/>
    <n v="0"/>
    <x v="4"/>
    <n v="10"/>
  </r>
  <r>
    <n v="40236"/>
    <n v="3204708"/>
    <x v="65"/>
    <n v="0.80200000000000005"/>
    <n v="3527679.7"/>
    <n v="0"/>
    <n v="3527679.7"/>
    <n v="40504.17"/>
    <n v="242613.45"/>
    <n v="1.1040000000000001"/>
    <n v="63197.45"/>
    <n v="19729.45"/>
    <n v="0"/>
    <x v="4"/>
    <n v="10"/>
  </r>
  <r>
    <n v="40237"/>
    <n v="3204807"/>
    <x v="66"/>
    <n v="0.23400000000000001"/>
    <n v="1029273.12"/>
    <n v="0"/>
    <n v="1029273.12"/>
    <n v="11817.92"/>
    <n v="42786.96"/>
    <n v="0.45"/>
    <n v="18439.16"/>
    <n v="8046.3"/>
    <n v="0"/>
    <x v="4"/>
    <n v="10"/>
  </r>
  <r>
    <n v="40238"/>
    <n v="3204906"/>
    <x v="67"/>
    <n v="1.952"/>
    <n v="8586073.2200000007"/>
    <n v="0"/>
    <n v="8586073.2200000007"/>
    <n v="98583.71"/>
    <n v="979543.19"/>
    <n v="2.9870000000000001"/>
    <n v="153817.23000000001"/>
    <n v="53410.96"/>
    <n v="0"/>
    <x v="4"/>
    <n v="10"/>
  </r>
  <r>
    <n v="40239"/>
    <n v="3204955"/>
    <x v="68"/>
    <n v="0.29699999999999999"/>
    <n v="1306385.1000000001"/>
    <n v="0"/>
    <n v="1306385.1000000001"/>
    <n v="14999.67"/>
    <n v="51019.69"/>
    <n v="0.45"/>
    <n v="23403.56"/>
    <n v="8048.18"/>
    <n v="0"/>
    <x v="4"/>
    <n v="10"/>
  </r>
  <r>
    <n v="40240"/>
    <n v="3205002"/>
    <x v="69"/>
    <n v="14.689"/>
    <n v="64611080.850000001"/>
    <n v="0"/>
    <n v="64611080.850000001"/>
    <n v="741852.54"/>
    <n v="3833167.49"/>
    <n v="8.6910000000000007"/>
    <n v="1157490.51"/>
    <n v="155386.38"/>
    <n v="0"/>
    <x v="4"/>
    <n v="10"/>
  </r>
  <r>
    <n v="40241"/>
    <n v="3205010"/>
    <x v="70"/>
    <n v="0.72799999999999998"/>
    <n v="3202183.03"/>
    <n v="0"/>
    <n v="3202183.03"/>
    <n v="36766.879999999997"/>
    <n v="139421.87"/>
    <n v="0.95199999999999996"/>
    <n v="57366.26"/>
    <n v="17016.88"/>
    <n v="0"/>
    <x v="4"/>
    <n v="10"/>
  </r>
  <r>
    <n v="40242"/>
    <n v="3205036"/>
    <x v="71"/>
    <n v="0.48599999999999999"/>
    <n v="2137721.12"/>
    <n v="0"/>
    <n v="2137721.12"/>
    <n v="24544.92"/>
    <n v="118365.49"/>
    <n v="0.71699999999999997"/>
    <n v="38296.71"/>
    <n v="12826.33"/>
    <n v="0"/>
    <x v="4"/>
    <n v="10"/>
  </r>
  <r>
    <n v="40243"/>
    <n v="3205069"/>
    <x v="72"/>
    <n v="0.61899999999999999"/>
    <n v="2722735.32"/>
    <n v="0"/>
    <n v="2722735.32"/>
    <n v="31261.95"/>
    <n v="205211.24"/>
    <n v="0.85"/>
    <n v="48777.09"/>
    <n v="15198.98"/>
    <n v="0"/>
    <x v="4"/>
    <n v="10"/>
  </r>
  <r>
    <n v="40244"/>
    <n v="2112803"/>
    <x v="73"/>
    <n v="2.823"/>
    <n v="12417256.529999999"/>
    <n v="0"/>
    <n v="12417256.529999999"/>
    <n v="142572.65"/>
    <n v="519176.57"/>
    <n v="1.9590000000000001"/>
    <n v="222451.88"/>
    <n v="35027.199999999997"/>
    <n v="0"/>
    <x v="4"/>
    <n v="10"/>
  </r>
  <r>
    <n v="40245"/>
    <n v="3205150"/>
    <x v="74"/>
    <n v="0.313"/>
    <n v="1376762.76"/>
    <n v="0"/>
    <n v="1376762.76"/>
    <n v="15807.74"/>
    <n v="48621.38"/>
    <n v="0.34699999999999998"/>
    <n v="24664.35"/>
    <n v="6210.19"/>
    <n v="0"/>
    <x v="4"/>
    <n v="10"/>
  </r>
  <r>
    <n v="40246"/>
    <n v="3205176"/>
    <x v="75"/>
    <n v="0.64300000000000002"/>
    <n v="2828301.8"/>
    <n v="0"/>
    <n v="2828301.8"/>
    <n v="32474.04"/>
    <n v="119109.29"/>
    <n v="0.56399999999999995"/>
    <n v="50668.29"/>
    <n v="10088.31"/>
    <n v="0"/>
    <x v="4"/>
    <n v="10"/>
  </r>
  <r>
    <n v="40247"/>
    <n v="3205200"/>
    <x v="76"/>
    <n v="4.97"/>
    <n v="21861057.359999999"/>
    <n v="0"/>
    <n v="21861057.359999999"/>
    <n v="251004.64"/>
    <n v="3832678.17"/>
    <n v="8.0009999999999994"/>
    <n v="391635.09"/>
    <n v="143044.46"/>
    <n v="0"/>
    <x v="4"/>
    <n v="10"/>
  </r>
  <r>
    <n v="40248"/>
    <n v="3205309"/>
    <x v="77"/>
    <n v="13.843"/>
    <n v="60889862.710000001"/>
    <n v="0"/>
    <n v="60889862.710000001"/>
    <n v="699126.19"/>
    <n v="3655875.9"/>
    <n v="9.2110000000000003"/>
    <n v="1090825.94"/>
    <n v="164674.26"/>
    <n v="0"/>
    <x v="4"/>
    <n v="10"/>
  </r>
  <r>
    <n v="40249"/>
    <n v="3200102"/>
    <x v="0"/>
    <n v="0.73199999999999998"/>
    <n v="3273037.22"/>
    <n v="0"/>
    <n v="3273037.22"/>
    <n v="41055.160000000003"/>
    <n v="111524.86"/>
    <n v="1.0169999999999999"/>
    <n v="55851.27"/>
    <n v="0"/>
    <n v="0"/>
    <x v="4"/>
    <n v="11"/>
  </r>
  <r>
    <n v="40250"/>
    <n v="3200169"/>
    <x v="1"/>
    <n v="0.28199999999999997"/>
    <n v="1260924.18"/>
    <n v="0"/>
    <n v="1260924.18"/>
    <n v="15816.33"/>
    <n v="36010.089999999997"/>
    <n v="0.46500000000000002"/>
    <n v="21516.47"/>
    <n v="0"/>
    <n v="0"/>
    <x v="4"/>
    <n v="11"/>
  </r>
  <r>
    <n v="40251"/>
    <n v="3200136"/>
    <x v="2"/>
    <n v="0.46"/>
    <n v="2056826.66"/>
    <n v="0"/>
    <n v="2056826.66"/>
    <n v="25799.69"/>
    <n v="27288.11"/>
    <n v="0.35799999999999998"/>
    <n v="35097.79"/>
    <n v="0"/>
    <n v="0"/>
    <x v="4"/>
    <n v="11"/>
  </r>
  <r>
    <n v="40252"/>
    <n v="3200201"/>
    <x v="3"/>
    <n v="0.46800000000000003"/>
    <n v="2092597.59"/>
    <n v="0"/>
    <n v="2092597.59"/>
    <n v="26248.38"/>
    <n v="76610.58"/>
    <n v="0.98699999999999999"/>
    <n v="35708.19"/>
    <n v="0"/>
    <n v="0"/>
    <x v="4"/>
    <n v="11"/>
  </r>
  <r>
    <n v="40253"/>
    <n v="3200300"/>
    <x v="4"/>
    <n v="0.45800000000000002"/>
    <n v="2047883.95"/>
    <n v="0"/>
    <n v="2047883.95"/>
    <n v="25687.52"/>
    <n v="51945.9"/>
    <n v="0.56599999999999995"/>
    <n v="34945.19"/>
    <n v="0"/>
    <n v="0"/>
    <x v="4"/>
    <n v="11"/>
  </r>
  <r>
    <n v="40254"/>
    <n v="3200359"/>
    <x v="5"/>
    <n v="0.23"/>
    <n v="1028413.33"/>
    <n v="0"/>
    <n v="1028413.33"/>
    <n v="12899.84"/>
    <n v="23611.29"/>
    <n v="0.32800000000000001"/>
    <n v="17548.89"/>
    <n v="0"/>
    <n v="0"/>
    <x v="4"/>
    <n v="11"/>
  </r>
  <r>
    <n v="40255"/>
    <n v="3200409"/>
    <x v="6"/>
    <n v="4.2549999999999999"/>
    <n v="19025646.690000001"/>
    <n v="0"/>
    <n v="19025646.690000001"/>
    <n v="238647.12"/>
    <n v="96823.47"/>
    <n v="0.93"/>
    <n v="324654.58"/>
    <n v="0"/>
    <n v="0"/>
    <x v="4"/>
    <n v="11"/>
  </r>
  <r>
    <n v="40256"/>
    <n v="3200508"/>
    <x v="7"/>
    <n v="0.188"/>
    <n v="840616.12"/>
    <n v="0"/>
    <n v="840616.12"/>
    <n v="10544.22"/>
    <n v="40958.33"/>
    <n v="0.32500000000000001"/>
    <n v="14344.32"/>
    <n v="0"/>
    <n v="0"/>
    <x v="4"/>
    <n v="11"/>
  </r>
  <r>
    <n v="40257"/>
    <n v="3200607"/>
    <x v="8"/>
    <n v="3.7869999999999999"/>
    <n v="16933049.120000001"/>
    <n v="0"/>
    <n v="16933049.120000001"/>
    <n v="212398.74"/>
    <n v="437242.04"/>
    <n v="2.456"/>
    <n v="288946.38"/>
    <n v="0"/>
    <n v="0"/>
    <x v="4"/>
    <n v="11"/>
  </r>
  <r>
    <n v="40258"/>
    <n v="3200706"/>
    <x v="9"/>
    <n v="0.32400000000000001"/>
    <n v="1448721.42"/>
    <n v="0"/>
    <n v="1448721.42"/>
    <n v="18171.95"/>
    <n v="30823.9"/>
    <n v="0.44600000000000001"/>
    <n v="24721.05"/>
    <n v="0"/>
    <n v="0"/>
    <x v="4"/>
    <n v="11"/>
  </r>
  <r>
    <n v="40259"/>
    <n v="3200805"/>
    <x v="10"/>
    <n v="0.59299999999999997"/>
    <n v="2651517.86"/>
    <n v="0"/>
    <n v="2651517.86"/>
    <n v="33259.160000000003"/>
    <n v="139814.41"/>
    <n v="1.016"/>
    <n v="45245.63"/>
    <n v="0"/>
    <n v="0"/>
    <x v="4"/>
    <n v="11"/>
  </r>
  <r>
    <n v="40260"/>
    <n v="3200904"/>
    <x v="11"/>
    <n v="0.88400000000000001"/>
    <n v="3952684.3"/>
    <n v="0"/>
    <n v="3952684.3"/>
    <n v="49580.27"/>
    <n v="169529.11"/>
    <n v="1.3140000000000001"/>
    <n v="67448.800000000003"/>
    <n v="0"/>
    <n v="0"/>
    <x v="4"/>
    <n v="11"/>
  </r>
  <r>
    <n v="40261"/>
    <n v="3107109"/>
    <x v="12"/>
    <n v="0.41899999999999998"/>
    <n v="1873500.81"/>
    <n v="0"/>
    <n v="1873500.81"/>
    <n v="23500.15"/>
    <n v="49399.98"/>
    <n v="0.56299999999999994"/>
    <n v="31969.51"/>
    <n v="0"/>
    <n v="0"/>
    <x v="4"/>
    <n v="11"/>
  </r>
  <r>
    <n v="40262"/>
    <n v="3201100"/>
    <x v="13"/>
    <n v="0.16700000000000001"/>
    <n v="746717.51"/>
    <n v="0"/>
    <n v="746717.51"/>
    <n v="9366.41"/>
    <n v="108266.85"/>
    <n v="0.442"/>
    <n v="12742.02"/>
    <n v="0"/>
    <n v="0"/>
    <x v="4"/>
    <n v="11"/>
  </r>
  <r>
    <n v="40263"/>
    <n v="3201159"/>
    <x v="14"/>
    <n v="0.41599999999999998"/>
    <n v="1860086.72"/>
    <n v="0"/>
    <n v="1860086.72"/>
    <n v="23331.89"/>
    <n v="42589.2"/>
    <n v="0.47799999999999998"/>
    <n v="31740.61"/>
    <n v="0"/>
    <n v="0"/>
    <x v="4"/>
    <n v="11"/>
  </r>
  <r>
    <n v="40264"/>
    <n v="3201209"/>
    <x v="15"/>
    <n v="2.7570000000000001"/>
    <n v="12327545.92"/>
    <n v="0"/>
    <n v="12327545.92"/>
    <n v="154629.87"/>
    <n v="910623.15"/>
    <n v="4.3239999999999998"/>
    <n v="210357.85"/>
    <n v="0"/>
    <n v="0"/>
    <x v="4"/>
    <n v="11"/>
  </r>
  <r>
    <n v="40265"/>
    <n v="3201308"/>
    <x v="16"/>
    <n v="7.1219999999999999"/>
    <n v="31845042.510000002"/>
    <n v="0"/>
    <n v="31845042.510000002"/>
    <n v="399446.48"/>
    <n v="1023026.16"/>
    <n v="6.5110000000000001"/>
    <n v="543405.37"/>
    <n v="0"/>
    <n v="0"/>
    <x v="4"/>
    <n v="11"/>
  </r>
  <r>
    <n v="40266"/>
    <n v="3201407"/>
    <x v="17"/>
    <n v="0.82899999999999996"/>
    <n v="3706759.38"/>
    <n v="0"/>
    <n v="3706759.38"/>
    <n v="46495.519999999997"/>
    <n v="284952.12"/>
    <n v="1.165"/>
    <n v="63252.32"/>
    <n v="0"/>
    <n v="0"/>
    <x v="4"/>
    <n v="11"/>
  </r>
  <r>
    <n v="40267"/>
    <n v="3201506"/>
    <x v="18"/>
    <n v="2.141"/>
    <n v="9573186.75"/>
    <n v="0"/>
    <n v="9573186.75"/>
    <n v="120080.72"/>
    <n v="517623.76"/>
    <n v="2.875"/>
    <n v="163357.32999999999"/>
    <n v="0"/>
    <n v="0"/>
    <x v="4"/>
    <n v="11"/>
  </r>
  <r>
    <n v="40268"/>
    <n v="3201605"/>
    <x v="19"/>
    <n v="0.76100000000000001"/>
    <n v="3402706.7"/>
    <n v="0"/>
    <n v="3402706.7"/>
    <n v="42681.66"/>
    <n v="79682.34"/>
    <n v="0.96399999999999997"/>
    <n v="58063.96"/>
    <n v="0"/>
    <n v="0"/>
    <x v="4"/>
    <n v="11"/>
  </r>
  <r>
    <n v="40269"/>
    <n v="3201704"/>
    <x v="20"/>
    <n v="0.40500000000000003"/>
    <n v="1810901.76"/>
    <n v="0"/>
    <n v="1810901.76"/>
    <n v="22714.94"/>
    <n v="33060.53"/>
    <n v="0.46400000000000002"/>
    <n v="30901.32"/>
    <n v="0"/>
    <n v="0"/>
    <x v="4"/>
    <n v="11"/>
  </r>
  <r>
    <n v="40270"/>
    <n v="3201803"/>
    <x v="21"/>
    <n v="0.18"/>
    <n v="804845.19"/>
    <n v="0"/>
    <n v="804845.19"/>
    <n v="10095.530000000001"/>
    <n v="8609.77"/>
    <n v="0.29699999999999999"/>
    <n v="13733.92"/>
    <n v="0"/>
    <n v="0"/>
    <x v="4"/>
    <n v="11"/>
  </r>
  <r>
    <n v="40271"/>
    <n v="3201902"/>
    <x v="22"/>
    <n v="1.2070000000000001"/>
    <n v="5396934.3099999996"/>
    <n v="0"/>
    <n v="5396934.3099999996"/>
    <n v="67696.14"/>
    <n v="112441.92"/>
    <n v="1.0780000000000001"/>
    <n v="92093.55"/>
    <n v="0"/>
    <n v="0"/>
    <x v="4"/>
    <n v="11"/>
  </r>
  <r>
    <n v="40272"/>
    <n v="3202009"/>
    <x v="23"/>
    <n v="0.25800000000000001"/>
    <n v="1153611.48"/>
    <n v="0"/>
    <n v="1153611.48"/>
    <n v="14470.26"/>
    <n v="38988.58"/>
    <n v="0.317"/>
    <n v="19685.28"/>
    <n v="0"/>
    <n v="0"/>
    <x v="4"/>
    <n v="11"/>
  </r>
  <r>
    <n v="40273"/>
    <n v="3202108"/>
    <x v="24"/>
    <n v="0.7"/>
    <n v="3129953.61"/>
    <n v="0"/>
    <n v="3129953.61"/>
    <n v="39260.39"/>
    <n v="47636.26"/>
    <n v="0.81599999999999995"/>
    <n v="53409.68"/>
    <n v="0"/>
    <n v="0"/>
    <x v="4"/>
    <n v="11"/>
  </r>
  <r>
    <n v="40274"/>
    <n v="3202207"/>
    <x v="25"/>
    <n v="0.26800000000000002"/>
    <n v="1198325.1000000001"/>
    <n v="0"/>
    <n v="1198325.1000000001"/>
    <n v="15031.12"/>
    <n v="46608.76"/>
    <n v="0.69699999999999995"/>
    <n v="20448.28"/>
    <n v="0"/>
    <n v="0"/>
    <x v="4"/>
    <n v="11"/>
  </r>
  <r>
    <n v="40275"/>
    <n v="3202256"/>
    <x v="26"/>
    <n v="0.48899999999999999"/>
    <n v="2186496.16"/>
    <n v="0"/>
    <n v="2186496.16"/>
    <n v="27426.19"/>
    <n v="63289.91"/>
    <n v="0.45200000000000001"/>
    <n v="37310.480000000003"/>
    <n v="0"/>
    <n v="0"/>
    <x v="4"/>
    <n v="11"/>
  </r>
  <r>
    <n v="40276"/>
    <n v="3202306"/>
    <x v="27"/>
    <n v="0.33700000000000002"/>
    <n v="1506849.1"/>
    <n v="0"/>
    <n v="1506849.1"/>
    <n v="18901.080000000002"/>
    <n v="110561.06"/>
    <n v="0.98899999999999999"/>
    <n v="25712.95"/>
    <n v="0"/>
    <n v="0"/>
    <x v="4"/>
    <n v="11"/>
  </r>
  <r>
    <n v="40277"/>
    <n v="3202405"/>
    <x v="28"/>
    <n v="0.72499999999999998"/>
    <n v="3241737.7"/>
    <n v="0"/>
    <n v="3241737.7"/>
    <n v="40662.550000000003"/>
    <n v="750663.82"/>
    <n v="2.9359999999999999"/>
    <n v="55317.18"/>
    <n v="0"/>
    <n v="0"/>
    <x v="4"/>
    <n v="11"/>
  </r>
  <r>
    <n v="40278"/>
    <n v="3202454"/>
    <x v="29"/>
    <n v="0.33300000000000002"/>
    <n v="1488963.71"/>
    <n v="0"/>
    <n v="1488963.71"/>
    <n v="18676.73"/>
    <n v="95389.33"/>
    <n v="0.87"/>
    <n v="25407.75"/>
    <n v="0"/>
    <n v="0"/>
    <x v="4"/>
    <n v="11"/>
  </r>
  <r>
    <n v="40279"/>
    <n v="3202504"/>
    <x v="30"/>
    <n v="0.22700000000000001"/>
    <n v="1014999.26"/>
    <n v="0"/>
    <n v="1014999.26"/>
    <n v="12731.58"/>
    <n v="26736.12"/>
    <n v="0.46100000000000002"/>
    <n v="17320"/>
    <n v="0"/>
    <n v="0"/>
    <x v="4"/>
    <n v="11"/>
  </r>
  <r>
    <n v="40280"/>
    <n v="3202553"/>
    <x v="31"/>
    <n v="0.23400000000000001"/>
    <n v="1046298.79"/>
    <n v="0"/>
    <n v="1046298.79"/>
    <n v="13124.19"/>
    <n v="31231.63"/>
    <n v="0.35499999999999998"/>
    <n v="17854.09"/>
    <n v="0"/>
    <n v="0"/>
    <x v="4"/>
    <n v="11"/>
  </r>
  <r>
    <n v="40281"/>
    <n v="3202603"/>
    <x v="32"/>
    <n v="0.28699999999999998"/>
    <n v="1283280.98"/>
    <n v="0"/>
    <n v="1283280.98"/>
    <n v="16096.76"/>
    <n v="72493.91"/>
    <n v="0.53700000000000003"/>
    <n v="21897.97"/>
    <n v="0"/>
    <n v="0"/>
    <x v="4"/>
    <n v="11"/>
  </r>
  <r>
    <n v="40282"/>
    <n v="3202652"/>
    <x v="33"/>
    <n v="0.28799999999999998"/>
    <n v="1287752.3500000001"/>
    <n v="0"/>
    <n v="1287752.3500000001"/>
    <n v="16152.85"/>
    <n v="49238.05"/>
    <n v="0.56399999999999995"/>
    <n v="21974.27"/>
    <n v="0"/>
    <n v="0"/>
    <x v="4"/>
    <n v="11"/>
  </r>
  <r>
    <n v="40283"/>
    <n v="3202702"/>
    <x v="34"/>
    <n v="0.33800000000000002"/>
    <n v="1511320.49"/>
    <n v="0"/>
    <n v="1511320.49"/>
    <n v="18957.16"/>
    <n v="37597.360000000001"/>
    <n v="0.56200000000000006"/>
    <n v="25789.25"/>
    <n v="0"/>
    <n v="0"/>
    <x v="4"/>
    <n v="11"/>
  </r>
  <r>
    <n v="40284"/>
    <n v="3202801"/>
    <x v="35"/>
    <n v="3.8050000000000002"/>
    <n v="17013533.66"/>
    <n v="0"/>
    <n v="17013533.66"/>
    <n v="213408.29"/>
    <n v="129036.54"/>
    <n v="1.2130000000000001"/>
    <n v="290319.78000000003"/>
    <n v="0"/>
    <n v="0"/>
    <x v="4"/>
    <n v="11"/>
  </r>
  <r>
    <n v="40285"/>
    <n v="3202900"/>
    <x v="36"/>
    <n v="0.35299999999999998"/>
    <n v="1578390.91"/>
    <n v="0"/>
    <n v="1578390.91"/>
    <n v="19798.46"/>
    <n v="41048.74"/>
    <n v="0.44600000000000001"/>
    <n v="26933.74"/>
    <n v="0"/>
    <n v="0"/>
    <x v="4"/>
    <n v="11"/>
  </r>
  <r>
    <n v="40286"/>
    <n v="3203007"/>
    <x v="37"/>
    <n v="0.46899999999999997"/>
    <n v="2097068.94"/>
    <n v="0"/>
    <n v="2097068.94"/>
    <n v="26304.46"/>
    <n v="98387.78"/>
    <n v="0.91200000000000003"/>
    <n v="35784.49"/>
    <n v="0"/>
    <n v="0"/>
    <x v="4"/>
    <n v="11"/>
  </r>
  <r>
    <n v="40287"/>
    <n v="3203056"/>
    <x v="38"/>
    <n v="1.0740000000000001"/>
    <n v="4802243.1500000004"/>
    <n v="0"/>
    <n v="4802243.1500000004"/>
    <n v="60236.66"/>
    <n v="131572.24"/>
    <n v="0.98399999999999999"/>
    <n v="81945.72"/>
    <n v="0"/>
    <n v="0"/>
    <x v="4"/>
    <n v="11"/>
  </r>
  <r>
    <n v="40288"/>
    <n v="3203106"/>
    <x v="39"/>
    <n v="0.20100000000000001"/>
    <n v="898743.82"/>
    <n v="0"/>
    <n v="898743.82"/>
    <n v="11273.34"/>
    <n v="26469.07"/>
    <n v="0.45900000000000002"/>
    <n v="15336.2"/>
    <n v="0"/>
    <n v="0"/>
    <x v="4"/>
    <n v="11"/>
  </r>
  <r>
    <n v="40289"/>
    <n v="3203130"/>
    <x v="40"/>
    <n v="0.38300000000000001"/>
    <n v="1712531.76"/>
    <n v="0"/>
    <n v="1712531.76"/>
    <n v="21481.040000000001"/>
    <n v="49664.800000000003"/>
    <n v="0.63600000000000001"/>
    <n v="29222.73"/>
    <n v="0"/>
    <n v="0"/>
    <x v="4"/>
    <n v="11"/>
  </r>
  <r>
    <n v="40290"/>
    <n v="3203163"/>
    <x v="41"/>
    <n v="0.377"/>
    <n v="1685703.61"/>
    <n v="0"/>
    <n v="1685703.61"/>
    <n v="21144.53"/>
    <n v="29365.05"/>
    <n v="0.45300000000000001"/>
    <n v="28764.93"/>
    <n v="0"/>
    <n v="0"/>
    <x v="4"/>
    <n v="11"/>
  </r>
  <r>
    <n v="40291"/>
    <n v="3203205"/>
    <x v="42"/>
    <n v="4.6500000000000004"/>
    <n v="20791834.800000001"/>
    <n v="0"/>
    <n v="20791834.800000001"/>
    <n v="260801.2"/>
    <n v="773591.75"/>
    <n v="4.0759999999999996"/>
    <n v="354792.89"/>
    <n v="0"/>
    <n v="0"/>
    <x v="4"/>
    <n v="11"/>
  </r>
  <r>
    <n v="40292"/>
    <n v="3203304"/>
    <x v="43"/>
    <n v="0.25"/>
    <n v="1117840.58"/>
    <n v="0"/>
    <n v="1117840.58"/>
    <n v="14021.57"/>
    <n v="39400.910000000003"/>
    <n v="0.54300000000000004"/>
    <n v="19074.89"/>
    <n v="0"/>
    <n v="0"/>
    <x v="4"/>
    <n v="11"/>
  </r>
  <r>
    <n v="40293"/>
    <n v="3203320"/>
    <x v="44"/>
    <n v="0.61599999999999999"/>
    <n v="2754359.18"/>
    <n v="0"/>
    <n v="2754359.18"/>
    <n v="34549.15"/>
    <n v="211173.96"/>
    <n v="1.24"/>
    <n v="47000.52"/>
    <n v="0"/>
    <n v="0"/>
    <x v="4"/>
    <n v="11"/>
  </r>
  <r>
    <n v="40294"/>
    <n v="3203346"/>
    <x v="45"/>
    <n v="0.56699999999999995"/>
    <n v="2535262.4500000002"/>
    <n v="0"/>
    <n v="2535262.4500000002"/>
    <n v="31800.92"/>
    <n v="54594.02"/>
    <n v="0.69199999999999995"/>
    <n v="43261.84"/>
    <n v="0"/>
    <n v="0"/>
    <x v="4"/>
    <n v="11"/>
  </r>
  <r>
    <n v="40295"/>
    <n v="3203353"/>
    <x v="46"/>
    <n v="0.46"/>
    <n v="2056826.66"/>
    <n v="0"/>
    <n v="2056826.66"/>
    <n v="25799.69"/>
    <n v="64472.800000000003"/>
    <n v="0.47"/>
    <n v="35097.79"/>
    <n v="0"/>
    <n v="0"/>
    <x v="4"/>
    <n v="11"/>
  </r>
  <r>
    <n v="40296"/>
    <n v="3203403"/>
    <x v="47"/>
    <n v="0.47499999999999998"/>
    <n v="2123897.11"/>
    <n v="0"/>
    <n v="2123897.11"/>
    <n v="26640.98"/>
    <n v="64893.97"/>
    <n v="0.85899999999999999"/>
    <n v="36242.28"/>
    <n v="0"/>
    <n v="0"/>
    <x v="4"/>
    <n v="11"/>
  </r>
  <r>
    <n v="40297"/>
    <n v="3203502"/>
    <x v="48"/>
    <n v="0.52800000000000002"/>
    <n v="2360879.29"/>
    <n v="0"/>
    <n v="2360879.29"/>
    <n v="29613.56"/>
    <n v="63375.5"/>
    <n v="0.70899999999999996"/>
    <n v="40286.160000000003"/>
    <n v="0"/>
    <n v="0"/>
    <x v="4"/>
    <n v="11"/>
  </r>
  <r>
    <n v="40298"/>
    <n v="3203601"/>
    <x v="49"/>
    <n v="0.29299999999999998"/>
    <n v="1310109.1399999999"/>
    <n v="0"/>
    <n v="1310109.1399999999"/>
    <n v="16433.28"/>
    <n v="8562.51"/>
    <n v="0.30199999999999999"/>
    <n v="22355.759999999998"/>
    <n v="0"/>
    <n v="0"/>
    <x v="4"/>
    <n v="11"/>
  </r>
  <r>
    <n v="40299"/>
    <n v="3203700"/>
    <x v="50"/>
    <n v="0.51800000000000002"/>
    <n v="2316165.6800000002"/>
    <n v="0"/>
    <n v="2316165.6800000002"/>
    <n v="29052.69"/>
    <n v="59516.24"/>
    <n v="0.69899999999999995"/>
    <n v="39523.17"/>
    <n v="0"/>
    <n v="0"/>
    <x v="4"/>
    <n v="11"/>
  </r>
  <r>
    <n v="40300"/>
    <n v="3203809"/>
    <x v="51"/>
    <n v="0.26700000000000002"/>
    <n v="1193853.72"/>
    <n v="0"/>
    <n v="1193853.72"/>
    <n v="14975.04"/>
    <n v="29232.58"/>
    <n v="0.56499999999999995"/>
    <n v="20371.98"/>
    <n v="0"/>
    <n v="0"/>
    <x v="4"/>
    <n v="11"/>
  </r>
  <r>
    <n v="40301"/>
    <n v="3203908"/>
    <x v="52"/>
    <n v="1.3089999999999999"/>
    <n v="5853013.2800000003"/>
    <n v="0"/>
    <n v="5853013.2800000003"/>
    <n v="73416.94"/>
    <n v="184190.54"/>
    <n v="1.476"/>
    <n v="99876.11"/>
    <n v="0"/>
    <n v="0"/>
    <x v="4"/>
    <n v="11"/>
  </r>
  <r>
    <n v="40302"/>
    <n v="3204005"/>
    <x v="53"/>
    <n v="0.45400000000000001"/>
    <n v="2029998.51"/>
    <n v="0"/>
    <n v="2029998.51"/>
    <n v="25463.17"/>
    <n v="42808.35"/>
    <n v="0.70899999999999996"/>
    <n v="34640"/>
    <n v="0"/>
    <n v="0"/>
    <x v="4"/>
    <n v="11"/>
  </r>
  <r>
    <n v="40303"/>
    <n v="3204054"/>
    <x v="54"/>
    <n v="0.316"/>
    <n v="1412950.51"/>
    <n v="0"/>
    <n v="1412950.51"/>
    <n v="17723.259999999998"/>
    <n v="79462.58"/>
    <n v="0.81"/>
    <n v="24110.66"/>
    <n v="0"/>
    <n v="0"/>
    <x v="4"/>
    <n v="11"/>
  </r>
  <r>
    <n v="40304"/>
    <n v="3204104"/>
    <x v="55"/>
    <n v="0.76200000000000001"/>
    <n v="3407178.08"/>
    <n v="0"/>
    <n v="3407178.08"/>
    <n v="42737.74"/>
    <n v="68893.570000000007"/>
    <n v="0.85099999999999998"/>
    <n v="58140.25"/>
    <n v="0"/>
    <n v="0"/>
    <x v="4"/>
    <n v="11"/>
  </r>
  <r>
    <n v="40305"/>
    <n v="3204203"/>
    <x v="56"/>
    <n v="0.26"/>
    <n v="1162554.21"/>
    <n v="0"/>
    <n v="1162554.21"/>
    <n v="14582.43"/>
    <n v="95334.81"/>
    <n v="0.753"/>
    <n v="19837.89"/>
    <n v="0"/>
    <n v="0"/>
    <x v="4"/>
    <n v="11"/>
  </r>
  <r>
    <n v="40306"/>
    <n v="3204252"/>
    <x v="57"/>
    <n v="0.214"/>
    <n v="956871.55"/>
    <n v="0"/>
    <n v="956871.55"/>
    <n v="12002.46"/>
    <n v="17089.900000000001"/>
    <n v="0.316"/>
    <n v="16328.1"/>
    <n v="0"/>
    <n v="0"/>
    <x v="4"/>
    <n v="11"/>
  </r>
  <r>
    <n v="40307"/>
    <n v="1718402"/>
    <x v="58"/>
    <n v="0.39100000000000001"/>
    <n v="1748302.65"/>
    <n v="0"/>
    <n v="1748302.65"/>
    <n v="21929.74"/>
    <n v="102265.36"/>
    <n v="0.56399999999999995"/>
    <n v="29833.13"/>
    <n v="0"/>
    <n v="0"/>
    <x v="4"/>
    <n v="11"/>
  </r>
  <r>
    <n v="40308"/>
    <n v="3204351"/>
    <x v="59"/>
    <n v="0.90300000000000002"/>
    <n v="4037640.18"/>
    <n v="0"/>
    <n v="4037640.18"/>
    <n v="50645.91"/>
    <n v="85350.83"/>
    <n v="0.71399999999999997"/>
    <n v="68898.490000000005"/>
    <n v="0"/>
    <n v="0"/>
    <x v="4"/>
    <n v="11"/>
  </r>
  <r>
    <n v="40309"/>
    <n v="3204401"/>
    <x v="60"/>
    <n v="0.25900000000000001"/>
    <n v="1158082.8400000001"/>
    <n v="0"/>
    <n v="1158082.8400000001"/>
    <n v="14526.35"/>
    <n v="33749.760000000002"/>
    <n v="0.45300000000000001"/>
    <n v="19761.580000000002"/>
    <n v="0"/>
    <n v="0"/>
    <x v="4"/>
    <n v="11"/>
  </r>
  <r>
    <n v="40310"/>
    <n v="3204500"/>
    <x v="61"/>
    <n v="0.52500000000000002"/>
    <n v="2347465.2400000002"/>
    <n v="0"/>
    <n v="2347465.2400000002"/>
    <n v="29445.3"/>
    <n v="31315.26"/>
    <n v="0.47899999999999998"/>
    <n v="40057.26"/>
    <n v="0"/>
    <n v="0"/>
    <x v="4"/>
    <n v="11"/>
  </r>
  <r>
    <n v="40311"/>
    <n v="3204559"/>
    <x v="62"/>
    <n v="2.34"/>
    <n v="10462987.84"/>
    <n v="0"/>
    <n v="10462987.84"/>
    <n v="131241.89000000001"/>
    <n v="386144.6"/>
    <n v="1.236"/>
    <n v="178540.94"/>
    <n v="0"/>
    <n v="0"/>
    <x v="4"/>
    <n v="11"/>
  </r>
  <r>
    <n v="40312"/>
    <n v="3204609"/>
    <x v="63"/>
    <n v="0.629"/>
    <n v="2812486.9"/>
    <n v="0"/>
    <n v="2812486.9"/>
    <n v="35278.269999999997"/>
    <n v="125660.52"/>
    <n v="0.82699999999999996"/>
    <n v="47992.42"/>
    <n v="0"/>
    <n v="0"/>
    <x v="4"/>
    <n v="11"/>
  </r>
  <r>
    <n v="40313"/>
    <n v="3204658"/>
    <x v="64"/>
    <n v="0.40400000000000003"/>
    <n v="1806430.38"/>
    <n v="0"/>
    <n v="1806430.38"/>
    <n v="22658.86"/>
    <n v="36138.36"/>
    <n v="0.34300000000000003"/>
    <n v="30825.01"/>
    <n v="0"/>
    <n v="0"/>
    <x v="4"/>
    <n v="11"/>
  </r>
  <r>
    <n v="40314"/>
    <n v="3204708"/>
    <x v="65"/>
    <n v="0.80200000000000005"/>
    <n v="3586032.59"/>
    <n v="0"/>
    <n v="3586032.59"/>
    <n v="44981.2"/>
    <n v="125074.27"/>
    <n v="1.1040000000000001"/>
    <n v="61192.23"/>
    <n v="0"/>
    <n v="0"/>
    <x v="4"/>
    <n v="11"/>
  </r>
  <r>
    <n v="40315"/>
    <n v="3204807"/>
    <x v="66"/>
    <n v="0.23400000000000001"/>
    <n v="1046298.79"/>
    <n v="0"/>
    <n v="1046298.79"/>
    <n v="13124.19"/>
    <n v="38136.400000000001"/>
    <n v="0.45"/>
    <n v="17854.09"/>
    <n v="0"/>
    <n v="0"/>
    <x v="4"/>
    <n v="11"/>
  </r>
  <r>
    <n v="40316"/>
    <n v="3204906"/>
    <x v="67"/>
    <n v="1.952"/>
    <n v="8728099.2599999998"/>
    <n v="0"/>
    <n v="8728099.2599999998"/>
    <n v="109480.42"/>
    <n v="524247.05"/>
    <n v="2.9870000000000001"/>
    <n v="148936.72"/>
    <n v="0"/>
    <n v="0"/>
    <x v="4"/>
    <n v="11"/>
  </r>
  <r>
    <n v="40317"/>
    <n v="3204955"/>
    <x v="68"/>
    <n v="0.29699999999999999"/>
    <n v="1327994.6200000001"/>
    <n v="0"/>
    <n v="1327994.6200000001"/>
    <n v="16657.62"/>
    <n v="39536.699999999997"/>
    <n v="0.45"/>
    <n v="22660.959999999999"/>
    <n v="0"/>
    <n v="0"/>
    <x v="4"/>
    <n v="11"/>
  </r>
  <r>
    <n v="40318"/>
    <n v="3205002"/>
    <x v="69"/>
    <n v="14.689"/>
    <n v="65679841.210000001"/>
    <n v="0"/>
    <n v="65679841.210000001"/>
    <n v="823851.34"/>
    <n v="1969677.25"/>
    <n v="8.6910000000000007"/>
    <n v="1120764.04"/>
    <n v="0"/>
    <n v="0"/>
    <x v="4"/>
    <n v="11"/>
  </r>
  <r>
    <n v="40319"/>
    <n v="3205010"/>
    <x v="70"/>
    <n v="0.72799999999999998"/>
    <n v="3255151.77"/>
    <n v="0"/>
    <n v="3255151.77"/>
    <n v="40830.81"/>
    <n v="75438.759999999995"/>
    <n v="0.95199999999999996"/>
    <n v="55546.07"/>
    <n v="0"/>
    <n v="0"/>
    <x v="4"/>
    <n v="11"/>
  </r>
  <r>
    <n v="40320"/>
    <n v="3205036"/>
    <x v="71"/>
    <n v="0.48599999999999999"/>
    <n v="2173082.1"/>
    <n v="0"/>
    <n v="2173082.1"/>
    <n v="27257.93"/>
    <n v="75791.820000000007"/>
    <n v="0.71699999999999997"/>
    <n v="37081.58"/>
    <n v="0"/>
    <n v="0"/>
    <x v="4"/>
    <n v="11"/>
  </r>
  <r>
    <n v="40321"/>
    <n v="3205069"/>
    <x v="72"/>
    <n v="0.61899999999999999"/>
    <n v="2767773.3"/>
    <n v="0"/>
    <n v="2767773.3"/>
    <n v="34717.410000000003"/>
    <n v="93390.85"/>
    <n v="0.85"/>
    <n v="47229.42"/>
    <n v="0"/>
    <n v="0"/>
    <x v="4"/>
    <n v="11"/>
  </r>
  <r>
    <n v="40322"/>
    <n v="2112803"/>
    <x v="73"/>
    <n v="2.823"/>
    <n v="12622655.85"/>
    <n v="0"/>
    <n v="12622655.85"/>
    <n v="158331.56"/>
    <n v="258836.74"/>
    <n v="1.9590000000000001"/>
    <n v="215393.62"/>
    <n v="0"/>
    <n v="0"/>
    <x v="4"/>
    <n v="11"/>
  </r>
  <r>
    <n v="40323"/>
    <n v="3205150"/>
    <x v="74"/>
    <n v="0.313"/>
    <n v="1399536.42"/>
    <n v="0"/>
    <n v="1399536.42"/>
    <n v="17555"/>
    <n v="29487.38"/>
    <n v="0.34699999999999998"/>
    <n v="23881.759999999998"/>
    <n v="0"/>
    <n v="0"/>
    <x v="4"/>
    <n v="11"/>
  </r>
  <r>
    <n v="40324"/>
    <n v="3205176"/>
    <x v="75"/>
    <n v="0.64300000000000002"/>
    <n v="2875085.99"/>
    <n v="0"/>
    <n v="2875085.99"/>
    <n v="36063.480000000003"/>
    <n v="63202.38"/>
    <n v="0.56399999999999995"/>
    <n v="49060.61"/>
    <n v="0"/>
    <n v="0"/>
    <x v="4"/>
    <n v="11"/>
  </r>
  <r>
    <n v="40325"/>
    <n v="3205200"/>
    <x v="76"/>
    <n v="4.97"/>
    <n v="22222670.75"/>
    <n v="0"/>
    <n v="22222670.75"/>
    <n v="278748.79999999999"/>
    <n v="1984154.88"/>
    <n v="8.0009999999999994"/>
    <n v="379208.75"/>
    <n v="0"/>
    <n v="0"/>
    <x v="4"/>
    <n v="11"/>
  </r>
  <r>
    <n v="40326"/>
    <n v="3205309"/>
    <x v="77"/>
    <n v="13.843"/>
    <n v="61897068.659999996"/>
    <n v="0"/>
    <n v="61897068.659999996"/>
    <n v="776402.35"/>
    <n v="1907641.9"/>
    <n v="9.2110000000000003"/>
    <n v="1056214.6000000001"/>
    <n v="0"/>
    <n v="0"/>
    <x v="4"/>
    <n v="11"/>
  </r>
  <r>
    <n v="40483"/>
    <n v="3200102"/>
    <x v="0"/>
    <n v="0.73199999999999998"/>
    <n v="3246791.32"/>
    <n v="0"/>
    <n v="3246791.32"/>
    <n v="48198.85"/>
    <n v="108644.34"/>
    <n v="1.0169999999999999"/>
    <n v="59043.19"/>
    <n v="0"/>
    <n v="0"/>
    <x v="4"/>
    <n v="12"/>
  </r>
  <r>
    <n v="40484"/>
    <n v="3200169"/>
    <x v="1"/>
    <n v="0.28199999999999997"/>
    <n v="1250813.05"/>
    <n v="0"/>
    <n v="1250813.05"/>
    <n v="18568.41"/>
    <n v="29906.91"/>
    <n v="0.46500000000000002"/>
    <n v="22746.14"/>
    <n v="0"/>
    <n v="0"/>
    <x v="4"/>
    <n v="12"/>
  </r>
  <r>
    <n v="40485"/>
    <n v="3200136"/>
    <x v="2"/>
    <n v="0.46"/>
    <n v="2040333.36"/>
    <n v="0"/>
    <n v="2040333.36"/>
    <n v="30288.89"/>
    <n v="31563.62"/>
    <n v="0.35799999999999998"/>
    <n v="37103.64"/>
    <n v="0"/>
    <n v="0"/>
    <x v="4"/>
    <n v="12"/>
  </r>
  <r>
    <n v="40486"/>
    <n v="3200201"/>
    <x v="3"/>
    <n v="0.46800000000000003"/>
    <n v="2075817.42"/>
    <n v="0"/>
    <n v="2075817.42"/>
    <n v="30815.66"/>
    <n v="72480.850000000006"/>
    <n v="0.98699999999999999"/>
    <n v="37748.92"/>
    <n v="0"/>
    <n v="0"/>
    <x v="4"/>
    <n v="12"/>
  </r>
  <r>
    <n v="40487"/>
    <n v="3200300"/>
    <x v="4"/>
    <n v="0.45800000000000002"/>
    <n v="2031462.36"/>
    <n v="0"/>
    <n v="2031462.36"/>
    <n v="30157.200000000001"/>
    <n v="57077.61"/>
    <n v="0.56599999999999995"/>
    <n v="36942.32"/>
    <n v="0"/>
    <n v="0"/>
    <x v="4"/>
    <n v="12"/>
  </r>
  <r>
    <n v="40488"/>
    <n v="3200359"/>
    <x v="5"/>
    <n v="0.23"/>
    <n v="1020166.66"/>
    <n v="0"/>
    <n v="1020166.66"/>
    <n v="15144.45"/>
    <n v="21000.49"/>
    <n v="0.32800000000000001"/>
    <n v="18551.82"/>
    <n v="0"/>
    <n v="0"/>
    <x v="4"/>
    <n v="12"/>
  </r>
  <r>
    <n v="40489"/>
    <n v="3200409"/>
    <x v="6"/>
    <n v="4.2549999999999999"/>
    <n v="18873083.5"/>
    <n v="0"/>
    <n v="18873083.5"/>
    <n v="280172.26"/>
    <n v="133899.66"/>
    <n v="0.93"/>
    <n v="343208.7"/>
    <n v="0"/>
    <n v="0"/>
    <x v="4"/>
    <n v="12"/>
  </r>
  <r>
    <n v="40490"/>
    <n v="3200508"/>
    <x v="7"/>
    <n v="0.188"/>
    <n v="833875.38"/>
    <n v="0"/>
    <n v="833875.38"/>
    <n v="12378.94"/>
    <n v="54755.5"/>
    <n v="0.32500000000000001"/>
    <n v="15164.1"/>
    <n v="0"/>
    <n v="0"/>
    <x v="4"/>
    <n v="12"/>
  </r>
  <r>
    <n v="40491"/>
    <n v="3200607"/>
    <x v="8"/>
    <n v="3.7869999999999999"/>
    <n v="16797266.129999999"/>
    <n v="0"/>
    <n v="16797266.129999999"/>
    <n v="249356.6"/>
    <n v="448658.51"/>
    <n v="2.456"/>
    <n v="305459.77"/>
    <n v="0"/>
    <n v="0"/>
    <x v="4"/>
    <n v="12"/>
  </r>
  <r>
    <n v="40492"/>
    <n v="3200706"/>
    <x v="9"/>
    <n v="0.32400000000000001"/>
    <n v="1437104.36"/>
    <n v="0"/>
    <n v="1437104.36"/>
    <n v="21333.919999999998"/>
    <n v="33612.160000000003"/>
    <n v="0.44600000000000001"/>
    <n v="26133.87"/>
    <n v="0"/>
    <n v="0"/>
    <x v="4"/>
    <n v="12"/>
  </r>
  <r>
    <n v="40493"/>
    <n v="3200805"/>
    <x v="10"/>
    <n v="0.59299999999999997"/>
    <n v="2630255.83"/>
    <n v="0"/>
    <n v="2630255.83"/>
    <n v="39046.33"/>
    <n v="151406.6"/>
    <n v="1.016"/>
    <n v="47831.43"/>
    <n v="0"/>
    <n v="0"/>
    <x v="4"/>
    <n v="12"/>
  </r>
  <r>
    <n v="40494"/>
    <n v="3200904"/>
    <x v="11"/>
    <n v="0.88400000000000001"/>
    <n v="3920988.46"/>
    <n v="0"/>
    <n v="3920988.46"/>
    <n v="58207.35"/>
    <n v="177439.61"/>
    <n v="1.3140000000000001"/>
    <n v="71303.520000000004"/>
    <n v="0"/>
    <n v="0"/>
    <x v="4"/>
    <n v="12"/>
  </r>
  <r>
    <n v="40495"/>
    <n v="3107109"/>
    <x v="12"/>
    <n v="0.41899999999999998"/>
    <n v="1858477.56"/>
    <n v="0"/>
    <n v="1858477.56"/>
    <n v="27589.23"/>
    <n v="52480.01"/>
    <n v="0.56299999999999994"/>
    <n v="33796.58"/>
    <n v="0"/>
    <n v="0"/>
    <x v="4"/>
    <n v="12"/>
  </r>
  <r>
    <n v="40496"/>
    <n v="3201100"/>
    <x v="13"/>
    <n v="0.16700000000000001"/>
    <n v="740729.72"/>
    <n v="0"/>
    <n v="740729.72"/>
    <n v="10996.18"/>
    <n v="106737.16"/>
    <n v="0.442"/>
    <n v="13470.23"/>
    <n v="0"/>
    <n v="0"/>
    <x v="4"/>
    <n v="12"/>
  </r>
  <r>
    <n v="40497"/>
    <n v="3201159"/>
    <x v="14"/>
    <n v="0.41599999999999998"/>
    <n v="1845171.02"/>
    <n v="0"/>
    <n v="1845171.02"/>
    <n v="27391.69"/>
    <n v="34708.25"/>
    <n v="0.47799999999999998"/>
    <n v="33554.6"/>
    <n v="0"/>
    <n v="0"/>
    <x v="4"/>
    <n v="12"/>
  </r>
  <r>
    <n v="40498"/>
    <n v="3201209"/>
    <x v="15"/>
    <n v="2.7570000000000001"/>
    <n v="12228693.609999999"/>
    <n v="0"/>
    <n v="12228693.609999999"/>
    <n v="181535.82"/>
    <n v="1099398.26"/>
    <n v="4.3239999999999998"/>
    <n v="222379.88"/>
    <n v="0"/>
    <n v="0"/>
    <x v="4"/>
    <n v="12"/>
  </r>
  <r>
    <n v="40499"/>
    <n v="3201308"/>
    <x v="16"/>
    <n v="7.1219999999999999"/>
    <n v="31589682.920000002"/>
    <n v="0"/>
    <n v="31589682.920000002"/>
    <n v="468951.07"/>
    <n v="1122322.3400000001"/>
    <n v="6.5110000000000001"/>
    <n v="574461.18000000005"/>
    <n v="0"/>
    <n v="0"/>
    <x v="4"/>
    <n v="12"/>
  </r>
  <r>
    <n v="40500"/>
    <n v="3201407"/>
    <x v="17"/>
    <n v="0.82899999999999996"/>
    <n v="3677035.56"/>
    <n v="0"/>
    <n v="3677035.56"/>
    <n v="54585.85"/>
    <n v="337934.61"/>
    <n v="1.165"/>
    <n v="66867.22"/>
    <n v="0"/>
    <n v="0"/>
    <x v="4"/>
    <n v="12"/>
  </r>
  <r>
    <n v="40501"/>
    <n v="3201506"/>
    <x v="18"/>
    <n v="2.141"/>
    <n v="9496421.1099999994"/>
    <n v="0"/>
    <n v="9496421.1099999994"/>
    <n v="140975.04000000001"/>
    <n v="574209.46"/>
    <n v="2.875"/>
    <n v="172693.26"/>
    <n v="0"/>
    <n v="0"/>
    <x v="4"/>
    <n v="12"/>
  </r>
  <r>
    <n v="40502"/>
    <n v="3201605"/>
    <x v="19"/>
    <n v="0.76100000000000001"/>
    <n v="3375421.05"/>
    <n v="0"/>
    <n v="3375421.05"/>
    <n v="50108.36"/>
    <n v="101545.94"/>
    <n v="0.96399999999999997"/>
    <n v="61382.33"/>
    <n v="0"/>
    <n v="0"/>
    <x v="4"/>
    <n v="12"/>
  </r>
  <r>
    <n v="40503"/>
    <n v="3201704"/>
    <x v="20"/>
    <n v="0.40500000000000003"/>
    <n v="1796380.45"/>
    <n v="0"/>
    <n v="1796380.45"/>
    <n v="26667.39"/>
    <n v="25953.119999999999"/>
    <n v="0.46400000000000002"/>
    <n v="32667.34"/>
    <n v="0"/>
    <n v="0"/>
    <x v="4"/>
    <n v="12"/>
  </r>
  <r>
    <n v="40504"/>
    <n v="3201803"/>
    <x v="21"/>
    <n v="0.18"/>
    <n v="798391.34"/>
    <n v="0"/>
    <n v="798391.34"/>
    <n v="11852.18"/>
    <n v="14645.56"/>
    <n v="0.29699999999999999"/>
    <n v="14518.82"/>
    <n v="0"/>
    <n v="0"/>
    <x v="4"/>
    <n v="12"/>
  </r>
  <r>
    <n v="40505"/>
    <n v="3201902"/>
    <x v="22"/>
    <n v="1.2070000000000001"/>
    <n v="5353657.3"/>
    <n v="0"/>
    <n v="5353657.3"/>
    <n v="79475.42"/>
    <n v="103522.72"/>
    <n v="1.0780000000000001"/>
    <n v="97356.73"/>
    <n v="0"/>
    <n v="0"/>
    <x v="4"/>
    <n v="12"/>
  </r>
  <r>
    <n v="40506"/>
    <n v="3202009"/>
    <x v="23"/>
    <n v="0.25800000000000001"/>
    <n v="1144360.8700000001"/>
    <n v="0"/>
    <n v="1144360.8700000001"/>
    <n v="16988.12"/>
    <n v="34152.29"/>
    <n v="0.317"/>
    <n v="20810.310000000001"/>
    <n v="0"/>
    <n v="0"/>
    <x v="4"/>
    <n v="12"/>
  </r>
  <r>
    <n v="40507"/>
    <n v="3202108"/>
    <x v="24"/>
    <n v="0.7"/>
    <n v="3104855.09"/>
    <n v="0"/>
    <n v="3104855.09"/>
    <n v="46091.79"/>
    <n v="62101.06"/>
    <n v="0.81599999999999995"/>
    <n v="56462.06"/>
    <n v="0"/>
    <n v="0"/>
    <x v="4"/>
    <n v="12"/>
  </r>
  <r>
    <n v="40508"/>
    <n v="3202207"/>
    <x v="25"/>
    <n v="0.26800000000000002"/>
    <n v="1188715.96"/>
    <n v="0"/>
    <n v="1188715.96"/>
    <n v="17646.57"/>
    <n v="45039.46"/>
    <n v="0.69699999999999995"/>
    <n v="21616.91"/>
    <n v="0"/>
    <n v="0"/>
    <x v="4"/>
    <n v="12"/>
  </r>
  <r>
    <n v="40509"/>
    <n v="3202256"/>
    <x v="26"/>
    <n v="0.48899999999999999"/>
    <n v="2168963.0699999998"/>
    <n v="0"/>
    <n v="2168963.0699999998"/>
    <n v="32198.41"/>
    <n v="44271.040000000001"/>
    <n v="0.45200000000000001"/>
    <n v="39442.79"/>
    <n v="0"/>
    <n v="0"/>
    <x v="4"/>
    <n v="12"/>
  </r>
  <r>
    <n v="40510"/>
    <n v="3202306"/>
    <x v="27"/>
    <n v="0.33700000000000002"/>
    <n v="1494765.97"/>
    <n v="0"/>
    <n v="1494765.97"/>
    <n v="22189.91"/>
    <n v="121488.45"/>
    <n v="0.98899999999999999"/>
    <n v="27182.45"/>
    <n v="0"/>
    <n v="0"/>
    <x v="4"/>
    <n v="12"/>
  </r>
  <r>
    <n v="40511"/>
    <n v="3202405"/>
    <x v="28"/>
    <n v="0.72499999999999998"/>
    <n v="3215742.77"/>
    <n v="0"/>
    <n v="3215742.77"/>
    <n v="47737.93"/>
    <n v="765529.83"/>
    <n v="2.9359999999999999"/>
    <n v="58478.57"/>
    <n v="0"/>
    <n v="0"/>
    <x v="4"/>
    <n v="12"/>
  </r>
  <r>
    <n v="40512"/>
    <n v="3202454"/>
    <x v="29"/>
    <n v="0.33300000000000002"/>
    <n v="1477023.92"/>
    <n v="0"/>
    <n v="1477023.92"/>
    <n v="21926.52"/>
    <n v="136250.14000000001"/>
    <n v="0.87"/>
    <n v="26859.81"/>
    <n v="0"/>
    <n v="0"/>
    <x v="4"/>
    <n v="12"/>
  </r>
  <r>
    <n v="40513"/>
    <n v="3202504"/>
    <x v="30"/>
    <n v="0.22700000000000001"/>
    <n v="1006860.15"/>
    <n v="0"/>
    <n v="1006860.15"/>
    <n v="14946.91"/>
    <n v="32409.63"/>
    <n v="0.46100000000000002"/>
    <n v="18309.84"/>
    <n v="0"/>
    <n v="0"/>
    <x v="4"/>
    <n v="12"/>
  </r>
  <r>
    <n v="40514"/>
    <n v="3202553"/>
    <x v="31"/>
    <n v="0.23400000000000001"/>
    <n v="1037908.71"/>
    <n v="0"/>
    <n v="1037908.71"/>
    <n v="15407.83"/>
    <n v="25009.17"/>
    <n v="0.35499999999999998"/>
    <n v="18874.46"/>
    <n v="0"/>
    <n v="0"/>
    <x v="4"/>
    <n v="12"/>
  </r>
  <r>
    <n v="40515"/>
    <n v="3202603"/>
    <x v="32"/>
    <n v="0.28699999999999998"/>
    <n v="1272990.58"/>
    <n v="0"/>
    <n v="1272990.58"/>
    <n v="18897.63"/>
    <n v="58344.17"/>
    <n v="0.53700000000000003"/>
    <n v="23149.439999999999"/>
    <n v="0"/>
    <n v="0"/>
    <x v="4"/>
    <n v="12"/>
  </r>
  <r>
    <n v="40516"/>
    <n v="3202652"/>
    <x v="33"/>
    <n v="0.28799999999999998"/>
    <n v="1277426.0900000001"/>
    <n v="0"/>
    <n v="1277426.0900000001"/>
    <n v="18963.48"/>
    <n v="45179.15"/>
    <n v="0.56399999999999995"/>
    <n v="23230.11"/>
    <n v="0"/>
    <n v="0"/>
    <x v="4"/>
    <n v="12"/>
  </r>
  <r>
    <n v="40517"/>
    <n v="3202702"/>
    <x v="34"/>
    <n v="0.33800000000000002"/>
    <n v="1499201.46"/>
    <n v="0"/>
    <n v="1499201.46"/>
    <n v="22255.75"/>
    <n v="27060"/>
    <n v="0.56200000000000006"/>
    <n v="27263.11"/>
    <n v="0"/>
    <n v="0"/>
    <x v="4"/>
    <n v="12"/>
  </r>
  <r>
    <n v="40518"/>
    <n v="3202801"/>
    <x v="35"/>
    <n v="3.8050000000000002"/>
    <n v="16877105.260000002"/>
    <n v="0"/>
    <n v="16877105.260000002"/>
    <n v="250541.82"/>
    <n v="158739.42000000001"/>
    <n v="1.2130000000000001"/>
    <n v="306911.65000000002"/>
    <n v="0"/>
    <n v="0"/>
    <x v="4"/>
    <n v="12"/>
  </r>
  <r>
    <n v="40519"/>
    <n v="3202900"/>
    <x v="36"/>
    <n v="0.35299999999999998"/>
    <n v="1565734.07"/>
    <n v="0"/>
    <n v="1565734.07"/>
    <n v="23243.43"/>
    <n v="49857.57"/>
    <n v="0.44600000000000001"/>
    <n v="28473.01"/>
    <n v="0"/>
    <n v="0"/>
    <x v="4"/>
    <n v="12"/>
  </r>
  <r>
    <n v="40520"/>
    <n v="3203007"/>
    <x v="37"/>
    <n v="0.46899999999999997"/>
    <n v="2080252.92"/>
    <n v="0"/>
    <n v="2080252.92"/>
    <n v="30881.5"/>
    <n v="106554.07"/>
    <n v="0.91200000000000003"/>
    <n v="37829.58"/>
    <n v="0"/>
    <n v="0"/>
    <x v="4"/>
    <n v="12"/>
  </r>
  <r>
    <n v="40521"/>
    <n v="3203056"/>
    <x v="38"/>
    <n v="1.0740000000000001"/>
    <n v="4763734.82"/>
    <n v="0"/>
    <n v="4763734.82"/>
    <n v="70717.98"/>
    <n v="122271.47"/>
    <n v="0.98399999999999999"/>
    <n v="86628.94"/>
    <n v="0"/>
    <n v="0"/>
    <x v="4"/>
    <n v="12"/>
  </r>
  <r>
    <n v="40522"/>
    <n v="3203106"/>
    <x v="39"/>
    <n v="0.20100000000000001"/>
    <n v="891536.96"/>
    <n v="0"/>
    <n v="891536.96"/>
    <n v="13234.93"/>
    <n v="34530.36"/>
    <n v="0.45900000000000002"/>
    <n v="16212.68"/>
    <n v="0"/>
    <n v="0"/>
    <x v="4"/>
    <n v="12"/>
  </r>
  <r>
    <n v="40523"/>
    <n v="3203130"/>
    <x v="40"/>
    <n v="0.38300000000000001"/>
    <n v="1698799.3"/>
    <n v="0"/>
    <n v="1698799.3"/>
    <n v="25218.799999999999"/>
    <n v="54225.23"/>
    <n v="0.63600000000000001"/>
    <n v="30892.82"/>
    <n v="0"/>
    <n v="0"/>
    <x v="4"/>
    <n v="12"/>
  </r>
  <r>
    <n v="40524"/>
    <n v="3203163"/>
    <x v="41"/>
    <n v="0.377"/>
    <n v="1672186.24"/>
    <n v="0"/>
    <n v="1672186.24"/>
    <n v="24823.72"/>
    <n v="19924.759999999998"/>
    <n v="0.45300000000000001"/>
    <n v="30408.86"/>
    <n v="0"/>
    <n v="0"/>
    <x v="4"/>
    <n v="12"/>
  </r>
  <r>
    <n v="40525"/>
    <n v="3203205"/>
    <x v="42"/>
    <n v="4.6500000000000004"/>
    <n v="20625108.899999999"/>
    <n v="0"/>
    <n v="20625108.899999999"/>
    <n v="306181.2"/>
    <n v="795103.98"/>
    <n v="4.0759999999999996"/>
    <n v="375069.43"/>
    <n v="0"/>
    <n v="0"/>
    <x v="4"/>
    <n v="12"/>
  </r>
  <r>
    <n v="40526"/>
    <n v="3203304"/>
    <x v="43"/>
    <n v="0.25"/>
    <n v="1108876.81"/>
    <n v="0"/>
    <n v="1108876.81"/>
    <n v="16461.36"/>
    <n v="55689.72"/>
    <n v="0.54300000000000004"/>
    <n v="20165.03"/>
    <n v="0"/>
    <n v="0"/>
    <x v="4"/>
    <n v="12"/>
  </r>
  <r>
    <n v="40527"/>
    <n v="3203320"/>
    <x v="44"/>
    <n v="0.61599999999999999"/>
    <n v="2732272.51"/>
    <n v="0"/>
    <n v="2732272.51"/>
    <n v="40560.78"/>
    <n v="265514.61"/>
    <n v="1.24"/>
    <n v="49686.62"/>
    <n v="0"/>
    <n v="0"/>
    <x v="4"/>
    <n v="12"/>
  </r>
  <r>
    <n v="40528"/>
    <n v="3203346"/>
    <x v="45"/>
    <n v="0.56699999999999995"/>
    <n v="2514932.65"/>
    <n v="0"/>
    <n v="2514932.65"/>
    <n v="37334.35"/>
    <n v="43141.91"/>
    <n v="0.69199999999999995"/>
    <n v="45734.27"/>
    <n v="0"/>
    <n v="0"/>
    <x v="4"/>
    <n v="12"/>
  </r>
  <r>
    <n v="40529"/>
    <n v="3203353"/>
    <x v="46"/>
    <n v="0.46"/>
    <n v="2040333.36"/>
    <n v="0"/>
    <n v="2040333.36"/>
    <n v="30288.89"/>
    <n v="42228.72"/>
    <n v="0.47"/>
    <n v="37103.64"/>
    <n v="0"/>
    <n v="0"/>
    <x v="4"/>
    <n v="12"/>
  </r>
  <r>
    <n v="40530"/>
    <n v="3203403"/>
    <x v="47"/>
    <n v="0.47499999999999998"/>
    <n v="2106865.9900000002"/>
    <n v="0"/>
    <n v="2106865.9900000002"/>
    <n v="31276.57"/>
    <n v="88144.19"/>
    <n v="0.85899999999999999"/>
    <n v="38313.54"/>
    <n v="0"/>
    <n v="0"/>
    <x v="4"/>
    <n v="12"/>
  </r>
  <r>
    <n v="40531"/>
    <n v="3203502"/>
    <x v="48"/>
    <n v="0.52800000000000002"/>
    <n v="2341947.88"/>
    <n v="0"/>
    <n v="2341947.88"/>
    <n v="34766.379999999997"/>
    <n v="58725.9"/>
    <n v="0.70899999999999996"/>
    <n v="42588.53"/>
    <n v="0"/>
    <n v="0"/>
    <x v="4"/>
    <n v="12"/>
  </r>
  <r>
    <n v="40532"/>
    <n v="3203601"/>
    <x v="49"/>
    <n v="0.29299999999999998"/>
    <n v="1299603.6299999999"/>
    <n v="0"/>
    <n v="1299603.6299999999"/>
    <n v="19292.71"/>
    <n v="17829.78"/>
    <n v="0.30199999999999999"/>
    <n v="23633.41"/>
    <n v="0"/>
    <n v="0"/>
    <x v="4"/>
    <n v="12"/>
  </r>
  <r>
    <n v="40533"/>
    <n v="3203700"/>
    <x v="50"/>
    <n v="0.51800000000000002"/>
    <n v="2297592.7999999998"/>
    <n v="0"/>
    <n v="2297592.7999999998"/>
    <n v="34107.93"/>
    <n v="33844.879999999997"/>
    <n v="0.69899999999999995"/>
    <n v="41781.919999999998"/>
    <n v="0"/>
    <n v="0"/>
    <x v="4"/>
    <n v="12"/>
  </r>
  <r>
    <n v="40534"/>
    <n v="3203809"/>
    <x v="51"/>
    <n v="0.26700000000000002"/>
    <n v="1184280.45"/>
    <n v="0"/>
    <n v="1184280.45"/>
    <n v="17580.73"/>
    <n v="41722.06"/>
    <n v="0.56499999999999995"/>
    <n v="21536.25"/>
    <n v="0"/>
    <n v="0"/>
    <x v="4"/>
    <n v="12"/>
  </r>
  <r>
    <n v="40535"/>
    <n v="3203908"/>
    <x v="52"/>
    <n v="1.3089999999999999"/>
    <n v="5806079.0499999998"/>
    <n v="0"/>
    <n v="5806079.0499999998"/>
    <n v="86191.65"/>
    <n v="223435.08"/>
    <n v="1.476"/>
    <n v="105584.06"/>
    <n v="0"/>
    <n v="0"/>
    <x v="4"/>
    <n v="12"/>
  </r>
  <r>
    <n v="40536"/>
    <n v="3204005"/>
    <x v="53"/>
    <n v="0.45400000000000001"/>
    <n v="2013720.31"/>
    <n v="0"/>
    <n v="2013720.31"/>
    <n v="29893.82"/>
    <n v="54488.639999999999"/>
    <n v="0.70899999999999996"/>
    <n v="36619.68"/>
    <n v="0"/>
    <n v="0"/>
    <x v="4"/>
    <n v="12"/>
  </r>
  <r>
    <n v="40537"/>
    <n v="3204054"/>
    <x v="54"/>
    <n v="0.316"/>
    <n v="1401620.29"/>
    <n v="0"/>
    <n v="1401620.29"/>
    <n v="20807.150000000001"/>
    <n v="107068.14"/>
    <n v="0.81"/>
    <n v="25488.59"/>
    <n v="0"/>
    <n v="0"/>
    <x v="4"/>
    <n v="12"/>
  </r>
  <r>
    <n v="40538"/>
    <n v="3204104"/>
    <x v="55"/>
    <n v="0.76200000000000001"/>
    <n v="3379856.56"/>
    <n v="0"/>
    <n v="3379856.56"/>
    <n v="50174.21"/>
    <n v="87961.78"/>
    <n v="0.85099999999999998"/>
    <n v="61462.99"/>
    <n v="0"/>
    <n v="0"/>
    <x v="4"/>
    <n v="12"/>
  </r>
  <r>
    <n v="40539"/>
    <n v="3204203"/>
    <x v="56"/>
    <n v="0.26"/>
    <n v="1153231.8999999999"/>
    <n v="0"/>
    <n v="1153231.8999999999"/>
    <n v="17119.810000000001"/>
    <n v="130512.55"/>
    <n v="0.753"/>
    <n v="20971.63"/>
    <n v="0"/>
    <n v="0"/>
    <x v="4"/>
    <n v="12"/>
  </r>
  <r>
    <n v="40540"/>
    <n v="3204252"/>
    <x v="57"/>
    <n v="0.214"/>
    <n v="949198.57"/>
    <n v="0"/>
    <n v="949198.57"/>
    <n v="14090.92"/>
    <n v="18779.73"/>
    <n v="0.316"/>
    <n v="17261.259999999998"/>
    <n v="0"/>
    <n v="0"/>
    <x v="4"/>
    <n v="12"/>
  </r>
  <r>
    <n v="40541"/>
    <n v="1718402"/>
    <x v="58"/>
    <n v="0.39100000000000001"/>
    <n v="1734283.35"/>
    <n v="0"/>
    <n v="1734283.35"/>
    <n v="25745.56"/>
    <n v="110913.61"/>
    <n v="0.56399999999999995"/>
    <n v="31538.09"/>
    <n v="0"/>
    <n v="0"/>
    <x v="4"/>
    <n v="12"/>
  </r>
  <r>
    <n v="40542"/>
    <n v="3204351"/>
    <x v="59"/>
    <n v="0.90300000000000002"/>
    <n v="4005263.09"/>
    <n v="0"/>
    <n v="4005263.09"/>
    <n v="59458.41"/>
    <n v="58513.37"/>
    <n v="0.71399999999999997"/>
    <n v="72836.070000000007"/>
    <n v="0"/>
    <n v="0"/>
    <x v="4"/>
    <n v="12"/>
  </r>
  <r>
    <n v="40543"/>
    <n v="3204401"/>
    <x v="60"/>
    <n v="0.25900000000000001"/>
    <n v="1148796.3700000001"/>
    <n v="0"/>
    <n v="1148796.3700000001"/>
    <n v="17053.96"/>
    <n v="52024.23"/>
    <n v="0.45300000000000001"/>
    <n v="20890.97"/>
    <n v="0"/>
    <n v="0"/>
    <x v="4"/>
    <n v="12"/>
  </r>
  <r>
    <n v="40544"/>
    <n v="3204500"/>
    <x v="61"/>
    <n v="0.52500000000000002"/>
    <n v="2328641.34"/>
    <n v="0"/>
    <n v="2328641.34"/>
    <n v="34568.839999999997"/>
    <n v="23930.66"/>
    <n v="0.47899999999999998"/>
    <n v="42346.55"/>
    <n v="0"/>
    <n v="0"/>
    <x v="4"/>
    <n v="12"/>
  </r>
  <r>
    <n v="40545"/>
    <n v="3204559"/>
    <x v="62"/>
    <n v="2.34"/>
    <n v="10379087.060000001"/>
    <n v="0"/>
    <n v="10379087.060000001"/>
    <n v="154078.28"/>
    <n v="297392.44"/>
    <n v="1.236"/>
    <n v="188744.62"/>
    <n v="0"/>
    <n v="0"/>
    <x v="4"/>
    <n v="12"/>
  </r>
  <r>
    <n v="40546"/>
    <n v="3204609"/>
    <x v="63"/>
    <n v="0.629"/>
    <n v="2789934.08"/>
    <n v="0"/>
    <n v="2789934.08"/>
    <n v="41416.769999999997"/>
    <n v="91971.54"/>
    <n v="0.82699999999999996"/>
    <n v="50735.19"/>
    <n v="0"/>
    <n v="0"/>
    <x v="4"/>
    <n v="12"/>
  </r>
  <r>
    <n v="40547"/>
    <n v="3204658"/>
    <x v="64"/>
    <n v="0.40400000000000003"/>
    <n v="1791944.95"/>
    <n v="0"/>
    <n v="1791944.95"/>
    <n v="26601.55"/>
    <n v="38115.35"/>
    <n v="0.34300000000000003"/>
    <n v="32586.68"/>
    <n v="0"/>
    <n v="0"/>
    <x v="4"/>
    <n v="12"/>
  </r>
  <r>
    <n v="40548"/>
    <n v="3204708"/>
    <x v="65"/>
    <n v="0.80200000000000005"/>
    <n v="3557276.85"/>
    <n v="0"/>
    <n v="3557276.85"/>
    <n v="52808.02"/>
    <n v="157260.71"/>
    <n v="1.1040000000000001"/>
    <n v="64689.4"/>
    <n v="0"/>
    <n v="0"/>
    <x v="4"/>
    <n v="12"/>
  </r>
  <r>
    <n v="40549"/>
    <n v="3204807"/>
    <x v="66"/>
    <n v="0.23400000000000001"/>
    <n v="1037908.71"/>
    <n v="0"/>
    <n v="1037908.71"/>
    <n v="15407.83"/>
    <n v="28089.18"/>
    <n v="0.45"/>
    <n v="18874.46"/>
    <n v="0"/>
    <n v="0"/>
    <x v="4"/>
    <n v="12"/>
  </r>
  <r>
    <n v="40550"/>
    <n v="3204906"/>
    <x v="67"/>
    <n v="1.952"/>
    <n v="8658110.2200000007"/>
    <n v="0"/>
    <n v="8658110.2200000007"/>
    <n v="128530.26"/>
    <n v="588978.86"/>
    <n v="2.9870000000000001"/>
    <n v="157448.5"/>
    <n v="0"/>
    <n v="0"/>
    <x v="4"/>
    <n v="12"/>
  </r>
  <r>
    <n v="40551"/>
    <n v="3204955"/>
    <x v="68"/>
    <n v="0.29699999999999999"/>
    <n v="1317345.6599999999"/>
    <n v="0"/>
    <n v="1317345.6599999999"/>
    <n v="19556.09"/>
    <n v="33724.31"/>
    <n v="0.45"/>
    <n v="23956.05"/>
    <n v="0"/>
    <n v="0"/>
    <x v="4"/>
    <n v="12"/>
  </r>
  <r>
    <n v="40552"/>
    <n v="3205002"/>
    <x v="69"/>
    <n v="14.689"/>
    <n v="65153166.609999999"/>
    <n v="0"/>
    <n v="65153166.609999999"/>
    <n v="967203.35"/>
    <n v="1893297.22"/>
    <n v="8.6910000000000007"/>
    <n v="1184816.1100000001"/>
    <n v="0"/>
    <n v="0"/>
    <x v="4"/>
    <n v="12"/>
  </r>
  <r>
    <n v="40553"/>
    <n v="3205010"/>
    <x v="70"/>
    <n v="0.72799999999999998"/>
    <n v="3229049.28"/>
    <n v="0"/>
    <n v="3229049.28"/>
    <n v="47935.46"/>
    <n v="81621.23"/>
    <n v="0.95199999999999996"/>
    <n v="58720.55"/>
    <n v="0"/>
    <n v="0"/>
    <x v="4"/>
    <n v="12"/>
  </r>
  <r>
    <n v="40554"/>
    <n v="3205036"/>
    <x v="71"/>
    <n v="0.48599999999999999"/>
    <n v="2155656.5299999998"/>
    <n v="0"/>
    <n v="2155656.5299999998"/>
    <n v="32000.87"/>
    <n v="93100.09"/>
    <n v="0.71699999999999997"/>
    <n v="39200.81"/>
    <n v="0"/>
    <n v="0"/>
    <x v="4"/>
    <n v="12"/>
  </r>
  <r>
    <n v="40555"/>
    <n v="3205069"/>
    <x v="72"/>
    <n v="0.61899999999999999"/>
    <n v="2745579.01"/>
    <n v="0"/>
    <n v="2745579.01"/>
    <n v="40758.31"/>
    <n v="83617.320000000007"/>
    <n v="0.85"/>
    <n v="49928.6"/>
    <n v="0"/>
    <n v="0"/>
    <x v="4"/>
    <n v="12"/>
  </r>
  <r>
    <n v="40556"/>
    <n v="2112803"/>
    <x v="73"/>
    <n v="2.823"/>
    <n v="12521437.109999999"/>
    <n v="0"/>
    <n v="12521437.109999999"/>
    <n v="185881.62"/>
    <n v="264993.56"/>
    <n v="1.9590000000000001"/>
    <n v="227703.45"/>
    <n v="0"/>
    <n v="0"/>
    <x v="4"/>
    <n v="12"/>
  </r>
  <r>
    <n v="40557"/>
    <n v="3205150"/>
    <x v="74"/>
    <n v="0.313"/>
    <n v="1388313.77"/>
    <n v="0"/>
    <n v="1388313.77"/>
    <n v="20609.62"/>
    <n v="24889.71"/>
    <n v="0.34699999999999998"/>
    <n v="25246.61"/>
    <n v="0"/>
    <n v="0"/>
    <x v="4"/>
    <n v="12"/>
  </r>
  <r>
    <n v="40558"/>
    <n v="3205176"/>
    <x v="75"/>
    <n v="0.64300000000000002"/>
    <n v="2852031.17"/>
    <n v="0"/>
    <n v="2852031.17"/>
    <n v="42338.6"/>
    <n v="55083.42"/>
    <n v="0.56399999999999995"/>
    <n v="51864.44"/>
    <n v="0"/>
    <n v="0"/>
    <x v="4"/>
    <n v="12"/>
  </r>
  <r>
    <n v="40559"/>
    <n v="3205200"/>
    <x v="76"/>
    <n v="4.97"/>
    <n v="22044471.239999998"/>
    <n v="0"/>
    <n v="22044471.239999998"/>
    <n v="327251.73"/>
    <n v="1934136.76"/>
    <n v="8.0009999999999994"/>
    <n v="400880.67"/>
    <n v="0"/>
    <n v="0"/>
    <x v="4"/>
    <n v="12"/>
  </r>
  <r>
    <n v="40560"/>
    <n v="3205309"/>
    <x v="77"/>
    <n v="13.843"/>
    <n v="61400727.399999999"/>
    <n v="0"/>
    <n v="61400727.399999999"/>
    <n v="911498.13"/>
    <n v="1850612.67"/>
    <n v="9.2110000000000003"/>
    <n v="1116577.6200000001"/>
    <n v="0"/>
    <n v="0"/>
    <x v="4"/>
    <n v="12"/>
  </r>
  <r>
    <n v="40405"/>
    <n v="3200102"/>
    <x v="0"/>
    <n v="0.67100000000000004"/>
    <n v="3055161.86"/>
    <n v="0"/>
    <n v="3055161.86"/>
    <n v="32040.78"/>
    <n v="132414.57"/>
    <n v="1.0169999999999999"/>
    <n v="34719.93"/>
    <n v="12020.76"/>
    <n v="0"/>
    <x v="5"/>
    <n v="1"/>
  </r>
  <r>
    <n v="40406"/>
    <n v="3200169"/>
    <x v="1"/>
    <n v="0.309"/>
    <n v="1397892.26"/>
    <n v="0"/>
    <n v="1397892.26"/>
    <n v="14755"/>
    <n v="42301.97"/>
    <n v="0.46500000000000002"/>
    <n v="15988.76"/>
    <n v="5501.45"/>
    <n v="0"/>
    <x v="5"/>
    <n v="1"/>
  </r>
  <r>
    <n v="40407"/>
    <n v="3200136"/>
    <x v="2"/>
    <n v="0.51900000000000002"/>
    <n v="2345678.63"/>
    <n v="0"/>
    <n v="2345678.63"/>
    <n v="24782.66"/>
    <n v="39007.910000000003"/>
    <n v="0.35799999999999998"/>
    <n v="26854.91"/>
    <n v="4230.88"/>
    <n v="0"/>
    <x v="5"/>
    <n v="1"/>
  </r>
  <r>
    <n v="40408"/>
    <n v="3200201"/>
    <x v="3"/>
    <n v="0.41799999999999998"/>
    <n v="1905182.56"/>
    <n v="0"/>
    <n v="1905182.56"/>
    <n v="19959.830000000002"/>
    <n v="158721.48000000001"/>
    <n v="0.98699999999999999"/>
    <n v="21628.81"/>
    <n v="11667.73"/>
    <n v="0"/>
    <x v="5"/>
    <n v="1"/>
  </r>
  <r>
    <n v="40409"/>
    <n v="3200300"/>
    <x v="4"/>
    <n v="0.442"/>
    <n v="2008527.33"/>
    <n v="0"/>
    <n v="2008527.33"/>
    <n v="21105.85"/>
    <n v="121432.45"/>
    <n v="0.56599999999999995"/>
    <n v="22870.65"/>
    <n v="6689.2"/>
    <n v="0"/>
    <x v="5"/>
    <n v="1"/>
  </r>
  <r>
    <n v="40410"/>
    <n v="3200359"/>
    <x v="5"/>
    <n v="0.25800000000000001"/>
    <n v="1166277.8"/>
    <n v="0"/>
    <n v="1166277.8"/>
    <n v="12319.7"/>
    <n v="27052.09"/>
    <n v="0.32800000000000001"/>
    <n v="13349.84"/>
    <n v="3879.72"/>
    <n v="0"/>
    <x v="5"/>
    <n v="1"/>
  </r>
  <r>
    <n v="40411"/>
    <n v="3200409"/>
    <x v="6"/>
    <n v="3.4780000000000002"/>
    <n v="15911381.609999999"/>
    <n v="0"/>
    <n v="15911381.609999999"/>
    <n v="166077.26"/>
    <n v="209851.54"/>
    <n v="0.93"/>
    <n v="179964.1"/>
    <n v="11001.72"/>
    <n v="0"/>
    <x v="5"/>
    <n v="1"/>
  </r>
  <r>
    <n v="40412"/>
    <n v="3200508"/>
    <x v="7"/>
    <n v="0.23799999999999999"/>
    <n v="1071906.77"/>
    <n v="0"/>
    <n v="1071906.77"/>
    <n v="11364.69"/>
    <n v="104181.54"/>
    <n v="0.32500000000000001"/>
    <n v="12314.97"/>
    <n v="3847.18"/>
    <n v="0"/>
    <x v="5"/>
    <n v="1"/>
  </r>
  <r>
    <n v="40413"/>
    <n v="3200607"/>
    <x v="8"/>
    <n v="4.4800000000000004"/>
    <n v="20217748.309999999"/>
    <n v="0"/>
    <n v="20217748.309999999"/>
    <n v="213923.56"/>
    <n v="537045.29"/>
    <n v="2.456"/>
    <n v="231811.14"/>
    <n v="29041.58"/>
    <n v="0"/>
    <x v="5"/>
    <n v="1"/>
  </r>
  <r>
    <n v="40414"/>
    <n v="3200706"/>
    <x v="9"/>
    <n v="0.39500000000000002"/>
    <n v="1780969.11"/>
    <n v="0"/>
    <n v="1780969.11"/>
    <n v="18861.560000000001"/>
    <n v="62199.08"/>
    <n v="0.44600000000000001"/>
    <n v="20438.7"/>
    <n v="5269.8"/>
    <n v="0"/>
    <x v="5"/>
    <n v="1"/>
  </r>
  <r>
    <n v="40415"/>
    <n v="3200805"/>
    <x v="10"/>
    <n v="0.54"/>
    <n v="2459340.31"/>
    <n v="0"/>
    <n v="2459340.31"/>
    <n v="25785.43"/>
    <n v="327812.32"/>
    <n v="1.016"/>
    <n v="27941.52"/>
    <n v="12019.21"/>
    <n v="0"/>
    <x v="5"/>
    <n v="1"/>
  </r>
  <r>
    <n v="40416"/>
    <n v="3200904"/>
    <x v="11"/>
    <n v="0.81299999999999994"/>
    <n v="3701231.94"/>
    <n v="0"/>
    <n v="3701231.94"/>
    <n v="38821.4"/>
    <n v="350127.7"/>
    <n v="1.3140000000000001"/>
    <n v="42067.51"/>
    <n v="15536.81"/>
    <n v="0"/>
    <x v="5"/>
    <n v="1"/>
  </r>
  <r>
    <n v="40417"/>
    <n v="3107109"/>
    <x v="12"/>
    <n v="0.48699999999999999"/>
    <n v="2198979.52"/>
    <n v="0"/>
    <n v="2198979.52"/>
    <n v="23254.639999999999"/>
    <n v="77196.88"/>
    <n v="0.56299999999999994"/>
    <n v="25199.119999999999"/>
    <n v="6654.03"/>
    <n v="0"/>
    <x v="5"/>
    <n v="1"/>
  </r>
  <r>
    <n v="40418"/>
    <n v="3201100"/>
    <x v="13"/>
    <n v="0.247"/>
    <n v="1107833.5"/>
    <n v="0"/>
    <n v="1107833.5"/>
    <n v="11794.45"/>
    <n v="425197.64"/>
    <n v="0.442"/>
    <n v="12780.66"/>
    <n v="5225.7"/>
    <n v="0"/>
    <x v="5"/>
    <n v="1"/>
  </r>
  <r>
    <n v="40419"/>
    <n v="3201159"/>
    <x v="14"/>
    <n v="0.40699999999999997"/>
    <n v="1848541.33"/>
    <n v="0"/>
    <n v="1848541.33"/>
    <n v="19434.57"/>
    <n v="81036.789999999994"/>
    <n v="0.47799999999999998"/>
    <n v="21059.63"/>
    <n v="5646.87"/>
    <n v="0"/>
    <x v="5"/>
    <n v="1"/>
  </r>
  <r>
    <n v="40420"/>
    <n v="3201209"/>
    <x v="15"/>
    <n v="2.5920000000000001"/>
    <n v="11790179.460000001"/>
    <n v="0"/>
    <n v="11790179.460000001"/>
    <n v="123770.06"/>
    <n v="1620445.21"/>
    <n v="4.3239999999999998"/>
    <n v="134119.29999999999"/>
    <n v="51130.76"/>
    <n v="0"/>
    <x v="5"/>
    <n v="1"/>
  </r>
  <r>
    <n v="40421"/>
    <n v="3201308"/>
    <x v="16"/>
    <n v="8.3239999999999998"/>
    <n v="37579332.630000003"/>
    <n v="0"/>
    <n v="37579332.630000003"/>
    <n v="397477.61"/>
    <n v="2594121.79"/>
    <n v="6.5110000000000001"/>
    <n v="430713.38"/>
    <n v="76994.539999999994"/>
    <n v="0"/>
    <x v="5"/>
    <n v="1"/>
  </r>
  <r>
    <n v="40422"/>
    <n v="3201407"/>
    <x v="17"/>
    <n v="0.80700000000000005"/>
    <n v="3665970.58"/>
    <n v="0"/>
    <n v="3665970.58"/>
    <n v="38534.89"/>
    <n v="490407.12"/>
    <n v="1.165"/>
    <n v="41757.050000000003"/>
    <n v="13770.76"/>
    <n v="0"/>
    <x v="5"/>
    <n v="1"/>
  </r>
  <r>
    <n v="40423"/>
    <n v="3201506"/>
    <x v="18"/>
    <n v="2.0139999999999998"/>
    <n v="9160844.5299999993"/>
    <n v="0"/>
    <n v="9160844.5299999993"/>
    <n v="96170.1"/>
    <n v="864790.33"/>
    <n v="2.875"/>
    <n v="104211.52"/>
    <n v="34000.03"/>
    <n v="0"/>
    <x v="5"/>
    <n v="1"/>
  </r>
  <r>
    <n v="40424"/>
    <n v="3201605"/>
    <x v="19"/>
    <n v="0.60099999999999998"/>
    <n v="2753712.26"/>
    <n v="0"/>
    <n v="2753712.26"/>
    <n v="28698.23"/>
    <n v="139055.82"/>
    <n v="0.96399999999999997"/>
    <n v="31097.88"/>
    <n v="11402.63"/>
    <n v="0"/>
    <x v="5"/>
    <n v="1"/>
  </r>
  <r>
    <n v="40425"/>
    <n v="3201704"/>
    <x v="20"/>
    <n v="0.371"/>
    <n v="1689262.36"/>
    <n v="0"/>
    <n v="1689262.36"/>
    <n v="17715.54"/>
    <n v="78371.87"/>
    <n v="0.46400000000000002"/>
    <n v="19196.86"/>
    <n v="5485.25"/>
    <n v="0"/>
    <x v="5"/>
    <n v="1"/>
  </r>
  <r>
    <n v="40426"/>
    <n v="3201803"/>
    <x v="21"/>
    <n v="0.187"/>
    <n v="847504.56"/>
    <n v="0"/>
    <n v="847504.56"/>
    <n v="8929.4"/>
    <n v="27134.06"/>
    <n v="0.29699999999999999"/>
    <n v="9676.0400000000009"/>
    <n v="3517.14"/>
    <n v="0"/>
    <x v="5"/>
    <n v="1"/>
  </r>
  <r>
    <n v="40427"/>
    <n v="3201902"/>
    <x v="22"/>
    <n v="1.0620000000000001"/>
    <n v="4843384.9000000004"/>
    <n v="0"/>
    <n v="4843384.9000000004"/>
    <n v="50711.34"/>
    <n v="246962.16"/>
    <n v="1.0780000000000001"/>
    <n v="54951.66"/>
    <n v="12750.53"/>
    <n v="0"/>
    <x v="5"/>
    <n v="1"/>
  </r>
  <r>
    <n v="40428"/>
    <n v="3202009"/>
    <x v="23"/>
    <n v="0.34899999999999998"/>
    <n v="1568931.51"/>
    <n v="0"/>
    <n v="1568931.51"/>
    <n v="16665.03"/>
    <n v="164506.17000000001"/>
    <n v="0.317"/>
    <n v="18058.5"/>
    <n v="3750.48"/>
    <n v="0"/>
    <x v="5"/>
    <n v="1"/>
  </r>
  <r>
    <n v="40429"/>
    <n v="3202108"/>
    <x v="24"/>
    <n v="0.57099999999999995"/>
    <n v="2612483.5299999998"/>
    <n v="0"/>
    <n v="2612483.5299999998"/>
    <n v="27265.7"/>
    <n v="97435.77"/>
    <n v="0.81599999999999995"/>
    <n v="29545.58"/>
    <n v="9652.31"/>
    <n v="0"/>
    <x v="5"/>
    <n v="1"/>
  </r>
  <r>
    <n v="40430"/>
    <n v="3202207"/>
    <x v="25"/>
    <n v="0.36799999999999999"/>
    <n v="1653682.93"/>
    <n v="0"/>
    <n v="1653682.93"/>
    <n v="17572.29"/>
    <n v="121220.82"/>
    <n v="0.69699999999999995"/>
    <n v="19041.63"/>
    <n v="8244.6200000000008"/>
    <n v="0"/>
    <x v="5"/>
    <n v="1"/>
  </r>
  <r>
    <n v="40431"/>
    <n v="3202256"/>
    <x v="26"/>
    <n v="0.53100000000000003"/>
    <n v="2402924.13"/>
    <n v="0"/>
    <n v="2402924.13"/>
    <n v="25355.67"/>
    <n v="59353.29"/>
    <n v="0.45200000000000001"/>
    <n v="27475.83"/>
    <n v="5342.14"/>
    <n v="0"/>
    <x v="5"/>
    <n v="1"/>
  </r>
  <r>
    <n v="40432"/>
    <n v="3202306"/>
    <x v="27"/>
    <n v="0.36699999999999999"/>
    <n v="1660618.79"/>
    <n v="0"/>
    <n v="1660618.79"/>
    <n v="17524.54"/>
    <n v="331943.75"/>
    <n v="0.98899999999999999"/>
    <n v="18989.88"/>
    <n v="11695.65"/>
    <n v="0"/>
    <x v="5"/>
    <n v="1"/>
  </r>
  <r>
    <n v="40433"/>
    <n v="3202405"/>
    <x v="28"/>
    <n v="0.79"/>
    <n v="3574559.77"/>
    <n v="0"/>
    <n v="3574559.77"/>
    <n v="37723.129999999997"/>
    <n v="2156539.94"/>
    <n v="2.9359999999999999"/>
    <n v="40877.42"/>
    <n v="34712.99"/>
    <n v="0"/>
    <x v="5"/>
    <n v="1"/>
  </r>
  <r>
    <n v="40434"/>
    <n v="3202454"/>
    <x v="29"/>
    <n v="0.33900000000000002"/>
    <n v="1537481.89"/>
    <n v="0"/>
    <n v="1537481.89"/>
    <n v="16187.52"/>
    <n v="326285.28999999998"/>
    <n v="0.87"/>
    <n v="17541.060000000001"/>
    <n v="10291.69"/>
    <n v="0"/>
    <x v="5"/>
    <n v="1"/>
  </r>
  <r>
    <n v="40435"/>
    <n v="3202504"/>
    <x v="30"/>
    <n v="0.307"/>
    <n v="1380128.28"/>
    <n v="0"/>
    <n v="1380128.28"/>
    <n v="14659.49"/>
    <n v="62735.46"/>
    <n v="0.46100000000000002"/>
    <n v="15885.28"/>
    <n v="5452.25"/>
    <n v="0"/>
    <x v="5"/>
    <n v="1"/>
  </r>
  <r>
    <n v="40436"/>
    <n v="3202553"/>
    <x v="31"/>
    <n v="0.28399999999999997"/>
    <n v="1280666.07"/>
    <n v="0"/>
    <n v="1280666.07"/>
    <n v="13561.23"/>
    <n v="57668.9"/>
    <n v="0.35499999999999998"/>
    <n v="14695.17"/>
    <n v="4201.43"/>
    <n v="0"/>
    <x v="5"/>
    <n v="1"/>
  </r>
  <r>
    <n v="40437"/>
    <n v="3202603"/>
    <x v="32"/>
    <n v="0.314"/>
    <n v="1420583.51"/>
    <n v="0"/>
    <n v="1420583.51"/>
    <n v="14993.75"/>
    <n v="135487.81"/>
    <n v="0.53700000000000003"/>
    <n v="16247.48"/>
    <n v="6346.92"/>
    <n v="0"/>
    <x v="5"/>
    <n v="1"/>
  </r>
  <r>
    <n v="40438"/>
    <n v="3202652"/>
    <x v="33"/>
    <n v="0.316"/>
    <n v="1429496.08"/>
    <n v="0"/>
    <n v="1429496.08"/>
    <n v="15089.25"/>
    <n v="133067.94"/>
    <n v="0.56399999999999995"/>
    <n v="16350.97"/>
    <n v="6669.77"/>
    <n v="0"/>
    <x v="5"/>
    <n v="1"/>
  </r>
  <r>
    <n v="40439"/>
    <n v="3202702"/>
    <x v="34"/>
    <n v="0.40400000000000003"/>
    <n v="1822632.93"/>
    <n v="0"/>
    <n v="1822632.93"/>
    <n v="19291.32"/>
    <n v="50159.08"/>
    <n v="0.56200000000000006"/>
    <n v="20904.39"/>
    <n v="6651.1"/>
    <n v="0"/>
    <x v="5"/>
    <n v="1"/>
  </r>
  <r>
    <n v="40440"/>
    <n v="3202801"/>
    <x v="35"/>
    <n v="3.4060000000000001"/>
    <n v="15522667.84"/>
    <n v="0"/>
    <n v="15522667.84"/>
    <n v="162639.20000000001"/>
    <n v="275391.31"/>
    <n v="1.2130000000000001"/>
    <n v="176238.56"/>
    <n v="14342.66"/>
    <n v="0"/>
    <x v="5"/>
    <n v="1"/>
  </r>
  <r>
    <n v="40441"/>
    <n v="3202900"/>
    <x v="36"/>
    <n v="0.39200000000000002"/>
    <n v="1772599.69"/>
    <n v="0"/>
    <n v="1772599.69"/>
    <n v="18718.310000000001"/>
    <n v="70528.61"/>
    <n v="0.44600000000000001"/>
    <n v="20283.48"/>
    <n v="5278.6"/>
    <n v="0"/>
    <x v="5"/>
    <n v="1"/>
  </r>
  <r>
    <n v="40442"/>
    <n v="3203007"/>
    <x v="37"/>
    <n v="0.5"/>
    <n v="2264041.5699999998"/>
    <n v="0"/>
    <n v="2264041.5699999998"/>
    <n v="23875.4"/>
    <n v="201274.11"/>
    <n v="0.91200000000000003"/>
    <n v="25871.78"/>
    <n v="10786.75"/>
    <n v="0"/>
    <x v="5"/>
    <n v="1"/>
  </r>
  <r>
    <n v="40443"/>
    <n v="3203056"/>
    <x v="38"/>
    <n v="1.109"/>
    <n v="5027177.68"/>
    <n v="0"/>
    <n v="5027177.68"/>
    <n v="52955.63"/>
    <n v="161313.45000000001"/>
    <n v="0.98399999999999999"/>
    <n v="57383.61"/>
    <n v="11629.8"/>
    <n v="0"/>
    <x v="5"/>
    <n v="1"/>
  </r>
  <r>
    <n v="40444"/>
    <n v="3203106"/>
    <x v="39"/>
    <n v="0.216"/>
    <n v="977802.4"/>
    <n v="0"/>
    <n v="977802.4"/>
    <n v="10314.17"/>
    <n v="42175.34"/>
    <n v="0.45900000000000002"/>
    <n v="11176.61"/>
    <n v="5429.43"/>
    <n v="0"/>
    <x v="5"/>
    <n v="1"/>
  </r>
  <r>
    <n v="40445"/>
    <n v="3203130"/>
    <x v="40"/>
    <n v="0.376"/>
    <n v="1707527.87"/>
    <n v="0"/>
    <n v="1707527.87"/>
    <n v="17954.3"/>
    <n v="68711.509999999995"/>
    <n v="0.63600000000000001"/>
    <n v="19455.580000000002"/>
    <n v="7524.61"/>
    <n v="0"/>
    <x v="5"/>
    <n v="1"/>
  </r>
  <r>
    <n v="40446"/>
    <n v="3203163"/>
    <x v="41"/>
    <n v="0.42799999999999999"/>
    <n v="1934009.55"/>
    <n v="0"/>
    <n v="1934009.55"/>
    <n v="20437.34"/>
    <n v="67897.460000000006"/>
    <n v="0.45300000000000001"/>
    <n v="22146.25"/>
    <n v="5355.25"/>
    <n v="0"/>
    <x v="5"/>
    <n v="1"/>
  </r>
  <r>
    <n v="40447"/>
    <n v="3203205"/>
    <x v="42"/>
    <n v="4.431"/>
    <n v="20144865.140000001"/>
    <n v="0"/>
    <n v="20144865.140000001"/>
    <n v="211583.77"/>
    <n v="1245824.74"/>
    <n v="4.0759999999999996"/>
    <n v="229275.71"/>
    <n v="48200.53"/>
    <n v="0"/>
    <x v="5"/>
    <n v="1"/>
  </r>
  <r>
    <n v="40448"/>
    <n v="3203304"/>
    <x v="43"/>
    <n v="0.314"/>
    <n v="1414518.63"/>
    <n v="0"/>
    <n v="1414518.63"/>
    <n v="14993.75"/>
    <n v="100221.11"/>
    <n v="0.54300000000000004"/>
    <n v="16247.48"/>
    <n v="6415.38"/>
    <n v="0"/>
    <x v="5"/>
    <n v="1"/>
  </r>
  <r>
    <n v="40449"/>
    <n v="3203320"/>
    <x v="44"/>
    <n v="0.58499999999999996"/>
    <n v="2659955.27"/>
    <n v="0"/>
    <n v="2659955.27"/>
    <n v="27934.22"/>
    <n v="488135.67999999999"/>
    <n v="1.24"/>
    <n v="30269.98"/>
    <n v="14666.07"/>
    <n v="0"/>
    <x v="5"/>
    <n v="1"/>
  </r>
  <r>
    <n v="40450"/>
    <n v="3203346"/>
    <x v="45"/>
    <n v="0.55500000000000005"/>
    <n v="2520693.4500000002"/>
    <n v="0"/>
    <n v="2520693.4500000002"/>
    <n v="26501.69"/>
    <n v="126453.13"/>
    <n v="0.69199999999999995"/>
    <n v="28717.67"/>
    <n v="8187.09"/>
    <n v="0"/>
    <x v="5"/>
    <n v="1"/>
  </r>
  <r>
    <n v="40451"/>
    <n v="3203353"/>
    <x v="46"/>
    <n v="0.505"/>
    <n v="2284437.9900000002"/>
    <n v="0"/>
    <n v="2284437.9900000002"/>
    <n v="24114.15"/>
    <n v="152068.85"/>
    <n v="0.47"/>
    <n v="26130.5"/>
    <n v="5554.65"/>
    <n v="0"/>
    <x v="5"/>
    <n v="1"/>
  </r>
  <r>
    <n v="40452"/>
    <n v="3203403"/>
    <x v="47"/>
    <n v="0.46899999999999997"/>
    <n v="2129420.83"/>
    <n v="0"/>
    <n v="2129420.83"/>
    <n v="22395.119999999999"/>
    <n v="192213.08"/>
    <n v="0.85899999999999999"/>
    <n v="24267.72"/>
    <n v="10152.120000000001"/>
    <n v="0"/>
    <x v="5"/>
    <n v="1"/>
  </r>
  <r>
    <n v="40453"/>
    <n v="3203502"/>
    <x v="48"/>
    <n v="0.51500000000000001"/>
    <n v="2339327.5299999998"/>
    <n v="0"/>
    <n v="2339327.5299999998"/>
    <n v="24591.66"/>
    <n v="150337.56"/>
    <n v="0.70899999999999996"/>
    <n v="26647.94"/>
    <n v="8381.25"/>
    <n v="0"/>
    <x v="5"/>
    <n v="1"/>
  </r>
  <r>
    <n v="40454"/>
    <n v="3203601"/>
    <x v="49"/>
    <n v="0.30599999999999999"/>
    <n v="1386572.34"/>
    <n v="0"/>
    <n v="1386572.34"/>
    <n v="14611.74"/>
    <n v="32668.6"/>
    <n v="0.30199999999999999"/>
    <n v="15833.53"/>
    <n v="3576.21"/>
    <n v="0"/>
    <x v="5"/>
    <n v="1"/>
  </r>
  <r>
    <n v="40455"/>
    <n v="3203700"/>
    <x v="50"/>
    <n v="0.505"/>
    <n v="2293945.08"/>
    <n v="0"/>
    <n v="2293945.08"/>
    <n v="24114.15"/>
    <n v="97727.75"/>
    <n v="0.69899999999999995"/>
    <n v="26130.5"/>
    <n v="8266.0499999999993"/>
    <n v="0"/>
    <x v="5"/>
    <n v="1"/>
  </r>
  <r>
    <n v="40456"/>
    <n v="3203809"/>
    <x v="51"/>
    <n v="0.32"/>
    <n v="1443551.15"/>
    <n v="0"/>
    <n v="1443551.15"/>
    <n v="15280.25"/>
    <n v="78586.41"/>
    <n v="0.56499999999999995"/>
    <n v="16557.939999999999"/>
    <n v="6675.16"/>
    <n v="0"/>
    <x v="5"/>
    <n v="1"/>
  </r>
  <r>
    <n v="40457"/>
    <n v="3203908"/>
    <x v="52"/>
    <n v="1.2250000000000001"/>
    <n v="5573120.1399999997"/>
    <n v="0"/>
    <n v="5573120.1399999997"/>
    <n v="58494.720000000001"/>
    <n v="271058.92"/>
    <n v="1.476"/>
    <n v="63385.86"/>
    <n v="17456.939999999999"/>
    <n v="0"/>
    <x v="5"/>
    <n v="1"/>
  </r>
  <r>
    <n v="40458"/>
    <n v="3204005"/>
    <x v="53"/>
    <n v="0.435"/>
    <n v="1977251.38"/>
    <n v="0"/>
    <n v="1977251.38"/>
    <n v="20771.599999999999"/>
    <n v="73161.45"/>
    <n v="0.70899999999999996"/>
    <n v="22508.45"/>
    <n v="8380.18"/>
    <n v="0"/>
    <x v="5"/>
    <n v="1"/>
  </r>
  <r>
    <n v="40459"/>
    <n v="3204054"/>
    <x v="54"/>
    <n v="0.33400000000000002"/>
    <n v="1512823.65"/>
    <n v="0"/>
    <n v="1512823.65"/>
    <n v="15948.76"/>
    <n v="131975.69"/>
    <n v="0.81"/>
    <n v="17282.349999999999"/>
    <n v="9579.82"/>
    <n v="0"/>
    <x v="5"/>
    <n v="1"/>
  </r>
  <r>
    <n v="40460"/>
    <n v="3204104"/>
    <x v="55"/>
    <n v="0.755"/>
    <n v="3427523.07"/>
    <n v="0"/>
    <n v="3427523.07"/>
    <n v="36051.85"/>
    <n v="120110.42"/>
    <n v="0.85099999999999998"/>
    <n v="39066.379999999997"/>
    <n v="10065.75"/>
    <n v="0"/>
    <x v="5"/>
    <n v="1"/>
  </r>
  <r>
    <n v="40461"/>
    <n v="3204203"/>
    <x v="56"/>
    <n v="0.36499999999999999"/>
    <n v="1639248.63"/>
    <n v="0"/>
    <n v="1639248.63"/>
    <n v="17429.04"/>
    <n v="324301"/>
    <n v="0.753"/>
    <n v="18886.39"/>
    <n v="8905.61"/>
    <n v="0"/>
    <x v="5"/>
    <n v="1"/>
  </r>
  <r>
    <n v="40462"/>
    <n v="3204252"/>
    <x v="57"/>
    <n v="0.27"/>
    <n v="1216147.1399999999"/>
    <n v="0"/>
    <n v="1216147.1399999999"/>
    <n v="12892.71"/>
    <n v="24730.22"/>
    <n v="0.316"/>
    <n v="13970.76"/>
    <n v="3735.21"/>
    <n v="0"/>
    <x v="5"/>
    <n v="1"/>
  </r>
  <r>
    <n v="40463"/>
    <n v="1718402"/>
    <x v="58"/>
    <n v="0.39100000000000001"/>
    <n v="1774454.14"/>
    <n v="0"/>
    <n v="1774454.14"/>
    <n v="18670.560000000001"/>
    <n v="196554.28"/>
    <n v="0.56399999999999995"/>
    <n v="20231.73"/>
    <n v="6667.61"/>
    <n v="0"/>
    <x v="5"/>
    <n v="1"/>
  </r>
  <r>
    <n v="40464"/>
    <n v="3204351"/>
    <x v="59"/>
    <n v="0.88200000000000001"/>
    <n v="4006175.12"/>
    <n v="0"/>
    <n v="4006175.12"/>
    <n v="42116.2"/>
    <n v="115151.17"/>
    <n v="0.71399999999999997"/>
    <n v="45637.82"/>
    <n v="8438.93"/>
    <n v="0"/>
    <x v="5"/>
    <n v="1"/>
  </r>
  <r>
    <n v="40465"/>
    <n v="3204401"/>
    <x v="60"/>
    <n v="0.312"/>
    <n v="1407245.21"/>
    <n v="0"/>
    <n v="1407245.21"/>
    <n v="14898.25"/>
    <n v="68881.119999999995"/>
    <n v="0.45300000000000001"/>
    <n v="16143.99"/>
    <n v="5351.39"/>
    <n v="0"/>
    <x v="5"/>
    <n v="1"/>
  </r>
  <r>
    <n v="40466"/>
    <n v="3204500"/>
    <x v="61"/>
    <n v="0.51800000000000002"/>
    <n v="2351958.7799999998"/>
    <n v="0"/>
    <n v="2351958.7799999998"/>
    <n v="24734.91"/>
    <n v="52328.66"/>
    <n v="0.47899999999999998"/>
    <n v="26803.16"/>
    <n v="5665.53"/>
    <n v="0"/>
    <x v="5"/>
    <n v="1"/>
  </r>
  <r>
    <n v="40467"/>
    <n v="3204559"/>
    <x v="62"/>
    <n v="2.1909999999999998"/>
    <n v="9967720.1899999995"/>
    <n v="0"/>
    <n v="9967720.1899999995"/>
    <n v="104621.99"/>
    <n v="593163.96"/>
    <n v="1.236"/>
    <n v="113370.14"/>
    <n v="14620.87"/>
    <n v="0"/>
    <x v="5"/>
    <n v="1"/>
  </r>
  <r>
    <n v="40468"/>
    <n v="3204609"/>
    <x v="63"/>
    <n v="0.66"/>
    <n v="2990160.93"/>
    <n v="0"/>
    <n v="2990160.93"/>
    <n v="31515.52"/>
    <n v="153710.5"/>
    <n v="0.82699999999999996"/>
    <n v="34150.75"/>
    <n v="9778.16"/>
    <n v="0"/>
    <x v="5"/>
    <n v="1"/>
  </r>
  <r>
    <n v="40469"/>
    <n v="3204658"/>
    <x v="64"/>
    <n v="0.42099999999999999"/>
    <n v="1907814.99"/>
    <n v="0"/>
    <n v="1907814.99"/>
    <n v="20103.080000000002"/>
    <n v="57807.040000000001"/>
    <n v="0.34300000000000003"/>
    <n v="21784.04"/>
    <n v="4057.84"/>
    <n v="0"/>
    <x v="5"/>
    <n v="1"/>
  </r>
  <r>
    <n v="40470"/>
    <n v="3204708"/>
    <x v="65"/>
    <n v="0.72299999999999998"/>
    <n v="3294101.13"/>
    <n v="0"/>
    <n v="3294101.13"/>
    <n v="34523.82"/>
    <n v="172703.19"/>
    <n v="1.1040000000000001"/>
    <n v="37410.6"/>
    <n v="13049.31"/>
    <n v="0"/>
    <x v="5"/>
    <n v="1"/>
  </r>
  <r>
    <n v="40471"/>
    <n v="3204807"/>
    <x v="66"/>
    <n v="0.28599999999999998"/>
    <n v="1289414.72"/>
    <n v="0"/>
    <n v="1289414.72"/>
    <n v="13656.73"/>
    <n v="95668.2"/>
    <n v="0.45"/>
    <n v="14798.66"/>
    <n v="5321.93"/>
    <n v="0"/>
    <x v="5"/>
    <n v="1"/>
  </r>
  <r>
    <n v="40472"/>
    <n v="3204906"/>
    <x v="67"/>
    <n v="1.998"/>
    <n v="9059875.2400000002"/>
    <n v="0"/>
    <n v="9059875.2400000002"/>
    <n v="95406.09"/>
    <n v="972401.14"/>
    <n v="2.9870000000000001"/>
    <n v="103383.63"/>
    <n v="35326.699999999997"/>
    <n v="0"/>
    <x v="5"/>
    <n v="1"/>
  </r>
  <r>
    <n v="40473"/>
    <n v="3204955"/>
    <x v="68"/>
    <n v="0.3"/>
    <n v="1360982.05"/>
    <n v="0"/>
    <n v="1360982.05"/>
    <n v="14325.24"/>
    <n v="55169.96"/>
    <n v="0.45"/>
    <n v="15523.06"/>
    <n v="5323.17"/>
    <n v="0"/>
    <x v="5"/>
    <n v="1"/>
  </r>
  <r>
    <n v="40474"/>
    <n v="3205002"/>
    <x v="69"/>
    <n v="14.551"/>
    <n v="66058636.68"/>
    <n v="0"/>
    <n v="66058636.68"/>
    <n v="694821.81"/>
    <n v="3066248.8"/>
    <n v="8.6910000000000007"/>
    <n v="752920.53"/>
    <n v="102774.58"/>
    <n v="0"/>
    <x v="5"/>
    <n v="1"/>
  </r>
  <r>
    <n v="40475"/>
    <n v="3205010"/>
    <x v="70"/>
    <n v="0.78200000000000003"/>
    <n v="3540056.88"/>
    <n v="0"/>
    <n v="3540056.88"/>
    <n v="37341.120000000003"/>
    <n v="109689.96"/>
    <n v="0.95199999999999996"/>
    <n v="40463.46"/>
    <n v="11255.19"/>
    <n v="0"/>
    <x v="5"/>
    <n v="1"/>
  </r>
  <r>
    <n v="40476"/>
    <n v="3205036"/>
    <x v="71"/>
    <n v="0.45700000000000002"/>
    <n v="2078731.95"/>
    <n v="0"/>
    <n v="2078731.95"/>
    <n v="21822.11"/>
    <n v="135103.51999999999"/>
    <n v="0.71699999999999997"/>
    <n v="23646.81"/>
    <n v="8483.5"/>
    <n v="0"/>
    <x v="5"/>
    <n v="1"/>
  </r>
  <r>
    <n v="40477"/>
    <n v="3205069"/>
    <x v="72"/>
    <n v="0.67"/>
    <n v="3032265.07"/>
    <n v="0"/>
    <n v="3032265.07"/>
    <n v="31993.03"/>
    <n v="232853.12"/>
    <n v="0.85"/>
    <n v="34668.18"/>
    <n v="10052.799999999999"/>
    <n v="0"/>
    <x v="5"/>
    <n v="1"/>
  </r>
  <r>
    <n v="40478"/>
    <n v="2112803"/>
    <x v="73"/>
    <n v="3.3740000000000001"/>
    <n v="15221724.32"/>
    <n v="0"/>
    <n v="15221724.32"/>
    <n v="161111.18"/>
    <n v="557570.06999999995"/>
    <n v="1.9590000000000001"/>
    <n v="174582.77"/>
    <n v="23167.45"/>
    <n v="0"/>
    <x v="5"/>
    <n v="1"/>
  </r>
  <r>
    <n v="40479"/>
    <n v="3205150"/>
    <x v="74"/>
    <n v="0.36799999999999999"/>
    <n v="1661059.13"/>
    <n v="0"/>
    <n v="1661059.13"/>
    <n v="17572.29"/>
    <n v="46200.24"/>
    <n v="0.34699999999999998"/>
    <n v="19041.63"/>
    <n v="4107.5"/>
    <n v="0"/>
    <x v="5"/>
    <n v="1"/>
  </r>
  <r>
    <n v="40480"/>
    <n v="3205176"/>
    <x v="75"/>
    <n v="0.7"/>
    <n v="3167428.98"/>
    <n v="0"/>
    <n v="3167428.98"/>
    <n v="33425.56"/>
    <n v="98055.83"/>
    <n v="0.56399999999999995"/>
    <n v="36220.49"/>
    <n v="6672.54"/>
    <n v="0"/>
    <x v="5"/>
    <n v="1"/>
  </r>
  <r>
    <n v="40481"/>
    <n v="3205200"/>
    <x v="76"/>
    <n v="6.6219999999999999"/>
    <n v="29781476.129999999"/>
    <n v="0"/>
    <n v="29781476.129999999"/>
    <n v="316205.76"/>
    <n v="3877684.63"/>
    <n v="8.0009999999999994"/>
    <n v="342645.85"/>
    <n v="94611.47"/>
    <n v="0"/>
    <x v="5"/>
    <n v="1"/>
  </r>
  <r>
    <n v="40482"/>
    <n v="3205309"/>
    <x v="77"/>
    <n v="10.878"/>
    <n v="49853048.439999998"/>
    <n v="0"/>
    <n v="49853048.439999998"/>
    <n v="519433.14"/>
    <n v="4157461.26"/>
    <n v="9.2110000000000003"/>
    <n v="562866.43999999994"/>
    <n v="108917.73"/>
    <n v="0"/>
    <x v="5"/>
    <n v="1"/>
  </r>
  <r>
    <n v="40561"/>
    <n v="3200102"/>
    <x v="0"/>
    <n v="0.67100000000000004"/>
    <n v="2559618.9"/>
    <n v="0"/>
    <n v="2559618.9"/>
    <n v="36270.379999999997"/>
    <n v="168041.82"/>
    <n v="1.0169999999999999"/>
    <n v="51544.53"/>
    <n v="0"/>
    <n v="15397.86"/>
    <x v="5"/>
    <n v="2"/>
  </r>
  <r>
    <n v="40562"/>
    <n v="3200169"/>
    <x v="1"/>
    <n v="0.309"/>
    <n v="1178721.69"/>
    <n v="0"/>
    <n v="1178721.69"/>
    <n v="16702.75"/>
    <n v="53990.29"/>
    <n v="0.46500000000000002"/>
    <n v="23736.6"/>
    <n v="0"/>
    <n v="7090.82"/>
    <x v="5"/>
    <n v="2"/>
  </r>
  <r>
    <n v="40563"/>
    <n v="3200136"/>
    <x v="2"/>
    <n v="0.51900000000000002"/>
    <n v="1979794.69"/>
    <n v="0"/>
    <n v="1979794.69"/>
    <n v="28054.14"/>
    <n v="53227.58"/>
    <n v="0.35799999999999998"/>
    <n v="39868.269999999997"/>
    <n v="0"/>
    <n v="11909.82"/>
    <x v="5"/>
    <n v="2"/>
  </r>
  <r>
    <n v="40564"/>
    <n v="3200201"/>
    <x v="3"/>
    <n v="0.41799999999999998"/>
    <n v="1594516.72"/>
    <n v="0"/>
    <n v="1594516.72"/>
    <n v="22594.66"/>
    <n v="143606.56"/>
    <n v="0.98699999999999999"/>
    <n v="32109.71"/>
    <n v="0"/>
    <n v="9592.11"/>
    <x v="5"/>
    <n v="2"/>
  </r>
  <r>
    <n v="40565"/>
    <n v="3200300"/>
    <x v="4"/>
    <n v="0.442"/>
    <n v="1686067.91"/>
    <n v="0"/>
    <n v="1686067.91"/>
    <n v="23891.96"/>
    <n v="111874.63"/>
    <n v="0.56599999999999995"/>
    <n v="33953.33"/>
    <n v="0"/>
    <n v="10142.85"/>
    <x v="5"/>
    <n v="2"/>
  </r>
  <r>
    <n v="40566"/>
    <n v="3200359"/>
    <x v="5"/>
    <n v="0.25800000000000001"/>
    <n v="984175.38"/>
    <n v="0"/>
    <n v="984175.38"/>
    <n v="13945.99"/>
    <n v="22627.69"/>
    <n v="0.32800000000000001"/>
    <n v="19818.91"/>
    <n v="0"/>
    <n v="5920.49"/>
    <x v="5"/>
    <n v="2"/>
  </r>
  <r>
    <n v="40567"/>
    <n v="3200409"/>
    <x v="6"/>
    <n v="3.4780000000000002"/>
    <n v="13267294.529999999"/>
    <n v="0"/>
    <n v="13267294.529999999"/>
    <n v="188000.57"/>
    <n v="237429.35"/>
    <n v="0.93"/>
    <n v="267171.21000000002"/>
    <n v="0"/>
    <n v="79811.88"/>
    <x v="5"/>
    <n v="2"/>
  </r>
  <r>
    <n v="40568"/>
    <n v="3200508"/>
    <x v="7"/>
    <n v="0.23799999999999999"/>
    <n v="907882.73"/>
    <n v="0"/>
    <n v="907882.73"/>
    <n v="12864.9"/>
    <n v="102988.47"/>
    <n v="0.32500000000000001"/>
    <n v="18282.560000000001"/>
    <n v="0"/>
    <n v="5461.54"/>
    <x v="5"/>
    <n v="2"/>
  </r>
  <r>
    <n v="40569"/>
    <n v="3200607"/>
    <x v="8"/>
    <n v="4.4800000000000004"/>
    <n v="17089557.079999998"/>
    <n v="0"/>
    <n v="17089557.079999998"/>
    <n v="242162.89"/>
    <n v="509452.41"/>
    <n v="2.456"/>
    <n v="344142.32"/>
    <n v="0"/>
    <n v="102805.41"/>
    <x v="5"/>
    <n v="2"/>
  </r>
  <r>
    <n v="40570"/>
    <n v="3200706"/>
    <x v="9"/>
    <n v="0.39500000000000002"/>
    <n v="1506780.13"/>
    <n v="0"/>
    <n v="1506780.13"/>
    <n v="21351.42"/>
    <n v="45822.35"/>
    <n v="0.44600000000000001"/>
    <n v="30342.91"/>
    <n v="0"/>
    <n v="9064.32"/>
    <x v="5"/>
    <n v="2"/>
  </r>
  <r>
    <n v="40571"/>
    <n v="3200805"/>
    <x v="10"/>
    <n v="0.54"/>
    <n v="2059901.96"/>
    <n v="0"/>
    <n v="2059901.96"/>
    <n v="29189.279999999999"/>
    <n v="293643.95"/>
    <n v="1.016"/>
    <n v="41481.440000000002"/>
    <n v="0"/>
    <n v="12391.72"/>
    <x v="5"/>
    <n v="2"/>
  </r>
  <r>
    <n v="40572"/>
    <n v="3200904"/>
    <x v="11"/>
    <n v="0.81299999999999994"/>
    <n v="3101296.86"/>
    <n v="0"/>
    <n v="3101296.86"/>
    <n v="43946.080000000002"/>
    <n v="379594.96"/>
    <n v="1.3140000000000001"/>
    <n v="62452.62"/>
    <n v="0"/>
    <n v="18656.43"/>
    <x v="5"/>
    <n v="2"/>
  </r>
  <r>
    <n v="40573"/>
    <n v="3107109"/>
    <x v="12"/>
    <n v="0.48699999999999999"/>
    <n v="1857726.41"/>
    <n v="0"/>
    <n v="1857726.41"/>
    <n v="26324.400000000001"/>
    <n v="64623.72"/>
    <n v="0.56299999999999994"/>
    <n v="37410.120000000003"/>
    <n v="0"/>
    <n v="11175.5"/>
    <x v="5"/>
    <n v="2"/>
  </r>
  <r>
    <n v="40574"/>
    <n v="3201100"/>
    <x v="13"/>
    <n v="0.247"/>
    <n v="942214.44"/>
    <n v="0"/>
    <n v="942214.44"/>
    <n v="13351.39"/>
    <n v="310843.32"/>
    <n v="0.442"/>
    <n v="18973.919999999998"/>
    <n v="0"/>
    <n v="5668.07"/>
    <x v="5"/>
    <n v="2"/>
  </r>
  <r>
    <n v="40575"/>
    <n v="3201159"/>
    <x v="14"/>
    <n v="0.40699999999999997"/>
    <n v="1552555.75"/>
    <n v="0"/>
    <n v="1552555.75"/>
    <n v="22000.07"/>
    <n v="85482.04"/>
    <n v="0.47799999999999998"/>
    <n v="31264.71"/>
    <n v="0"/>
    <n v="9339.69"/>
    <x v="5"/>
    <n v="2"/>
  </r>
  <r>
    <n v="40576"/>
    <n v="3201209"/>
    <x v="15"/>
    <n v="2.5920000000000001"/>
    <n v="9887529.4499999993"/>
    <n v="0"/>
    <n v="9887529.4499999993"/>
    <n v="140108.53"/>
    <n v="1388217.19"/>
    <n v="4.3239999999999998"/>
    <n v="199110.92"/>
    <n v="0"/>
    <n v="59480.27"/>
    <x v="5"/>
    <n v="2"/>
  </r>
  <r>
    <n v="40577"/>
    <n v="3201308"/>
    <x v="16"/>
    <n v="8.3239999999999998"/>
    <n v="31753007.420000002"/>
    <n v="0"/>
    <n v="31753007.420000002"/>
    <n v="449947.3"/>
    <n v="3006468.46"/>
    <n v="6.5110000000000001"/>
    <n v="639428.73"/>
    <n v="0"/>
    <n v="191016.12"/>
    <x v="5"/>
    <n v="2"/>
  </r>
  <r>
    <n v="40578"/>
    <n v="3201407"/>
    <x v="17"/>
    <n v="0.80700000000000005"/>
    <n v="3078409.07"/>
    <n v="0"/>
    <n v="3078409.07"/>
    <n v="43621.75"/>
    <n v="442979.2"/>
    <n v="1.165"/>
    <n v="61991.71"/>
    <n v="0"/>
    <n v="18518.740000000002"/>
    <x v="5"/>
    <n v="2"/>
  </r>
  <r>
    <n v="40579"/>
    <n v="3201506"/>
    <x v="18"/>
    <n v="2.0139999999999998"/>
    <n v="7682671.4100000001"/>
    <n v="0"/>
    <n v="7682671.4100000001"/>
    <n v="108865.19"/>
    <n v="930125.14"/>
    <n v="2.875"/>
    <n v="154710.42000000001"/>
    <n v="0"/>
    <n v="46216.54"/>
    <x v="5"/>
    <n v="2"/>
  </r>
  <r>
    <n v="40580"/>
    <n v="3201605"/>
    <x v="19"/>
    <n v="0.60099999999999998"/>
    <n v="2292594.6"/>
    <n v="0"/>
    <n v="2292594.6"/>
    <n v="32486.58"/>
    <n v="117414.62"/>
    <n v="0.96399999999999997"/>
    <n v="46167.31"/>
    <n v="0"/>
    <n v="13791.53"/>
    <x v="5"/>
    <n v="2"/>
  </r>
  <r>
    <n v="40581"/>
    <n v="3201704"/>
    <x v="20"/>
    <n v="0.371"/>
    <n v="1415228.95"/>
    <n v="0"/>
    <n v="1415228.95"/>
    <n v="20054.12"/>
    <n v="77237.98"/>
    <n v="0.46400000000000002"/>
    <n v="28499.29"/>
    <n v="0"/>
    <n v="8513.57"/>
    <x v="5"/>
    <n v="2"/>
  </r>
  <r>
    <n v="40582"/>
    <n v="3201803"/>
    <x v="21"/>
    <n v="0.187"/>
    <n v="713336.4"/>
    <n v="0"/>
    <n v="713336.4"/>
    <n v="10108.14"/>
    <n v="25321.64"/>
    <n v="0.29699999999999999"/>
    <n v="14364.87"/>
    <n v="0"/>
    <n v="4291.21"/>
    <x v="5"/>
    <n v="2"/>
  </r>
  <r>
    <n v="40583"/>
    <n v="3201902"/>
    <x v="22"/>
    <n v="1.0620000000000001"/>
    <n v="4051140.55"/>
    <n v="0"/>
    <n v="4051140.55"/>
    <n v="57405.58"/>
    <n v="330753.74"/>
    <n v="1.0780000000000001"/>
    <n v="81580.17"/>
    <n v="0"/>
    <n v="24370.39"/>
    <x v="5"/>
    <n v="2"/>
  </r>
  <r>
    <n v="40584"/>
    <n v="3202009"/>
    <x v="23"/>
    <n v="0.34899999999999998"/>
    <n v="1331307.01"/>
    <n v="0"/>
    <n v="1331307.01"/>
    <n v="18864.919999999998"/>
    <n v="155317.38"/>
    <n v="0.317"/>
    <n v="26809.3"/>
    <n v="0"/>
    <n v="8008.72"/>
    <x v="5"/>
    <n v="2"/>
  </r>
  <r>
    <n v="40585"/>
    <n v="3202108"/>
    <x v="24"/>
    <n v="0.57099999999999995"/>
    <n v="2178155.6"/>
    <n v="0"/>
    <n v="2178155.6"/>
    <n v="30864.959999999999"/>
    <n v="84486.17"/>
    <n v="0.81599999999999995"/>
    <n v="43862.79"/>
    <n v="0"/>
    <n v="13103.1"/>
    <x v="5"/>
    <n v="2"/>
  </r>
  <r>
    <n v="40586"/>
    <n v="3202207"/>
    <x v="25"/>
    <n v="0.36799999999999999"/>
    <n v="1403785.06"/>
    <n v="0"/>
    <n v="1403785.06"/>
    <n v="19891.95"/>
    <n v="88730.42"/>
    <n v="0.69699999999999995"/>
    <n v="28268.83"/>
    <n v="0"/>
    <n v="8444.73"/>
    <x v="5"/>
    <n v="2"/>
  </r>
  <r>
    <n v="40587"/>
    <n v="3202256"/>
    <x v="26"/>
    <n v="0.53100000000000003"/>
    <n v="2025570.26"/>
    <n v="0"/>
    <n v="2025570.26"/>
    <n v="28702.79"/>
    <n v="98631.4"/>
    <n v="0.45200000000000001"/>
    <n v="40790.080000000002"/>
    <n v="0"/>
    <n v="12185.19"/>
    <x v="5"/>
    <n v="2"/>
  </r>
  <r>
    <n v="40588"/>
    <n v="3202306"/>
    <x v="27"/>
    <n v="0.36699999999999999"/>
    <n v="1399970.41"/>
    <n v="0"/>
    <n v="1399970.41"/>
    <n v="19837.900000000001"/>
    <n v="281323.69"/>
    <n v="0.98899999999999999"/>
    <n v="28192.02"/>
    <n v="0"/>
    <n v="8421.7800000000007"/>
    <x v="5"/>
    <n v="2"/>
  </r>
  <r>
    <n v="40589"/>
    <n v="3202405"/>
    <x v="28"/>
    <n v="0.79"/>
    <n v="3013560.3"/>
    <n v="0"/>
    <n v="3013560.3"/>
    <n v="42702.83"/>
    <n v="1870175.47"/>
    <n v="2.9359999999999999"/>
    <n v="60685.81"/>
    <n v="0"/>
    <n v="18128.63"/>
    <x v="5"/>
    <n v="2"/>
  </r>
  <r>
    <n v="40590"/>
    <n v="3202454"/>
    <x v="29"/>
    <n v="0.33900000000000002"/>
    <n v="1293160.68"/>
    <n v="0"/>
    <n v="1293160.68"/>
    <n v="18324.38"/>
    <n v="337621.22"/>
    <n v="0.87"/>
    <n v="26041.13"/>
    <n v="0"/>
    <n v="7779.25"/>
    <x v="5"/>
    <n v="2"/>
  </r>
  <r>
    <n v="40591"/>
    <n v="3202504"/>
    <x v="30"/>
    <n v="0.307"/>
    <n v="1171092.3999999999"/>
    <n v="0"/>
    <n v="1171092.3999999999"/>
    <n v="16594.64"/>
    <n v="57660.72"/>
    <n v="0.46100000000000002"/>
    <n v="23582.97"/>
    <n v="0"/>
    <n v="7044.92"/>
    <x v="5"/>
    <n v="2"/>
  </r>
  <r>
    <n v="40592"/>
    <n v="3202553"/>
    <x v="31"/>
    <n v="0.28399999999999997"/>
    <n v="1083355.8600000001"/>
    <n v="0"/>
    <n v="1083355.8600000001"/>
    <n v="15351.4"/>
    <n v="35824.57"/>
    <n v="0.35499999999999998"/>
    <n v="21816.17"/>
    <n v="0"/>
    <n v="6517.13"/>
    <x v="5"/>
    <n v="2"/>
  </r>
  <r>
    <n v="40593"/>
    <n v="3202603"/>
    <x v="32"/>
    <n v="0.314"/>
    <n v="1197794.8600000001"/>
    <n v="0"/>
    <n v="1197794.8600000001"/>
    <n v="16973.02"/>
    <n v="98299.76"/>
    <n v="0.53700000000000003"/>
    <n v="24120.69"/>
    <n v="0"/>
    <n v="7205.56"/>
    <x v="5"/>
    <n v="2"/>
  </r>
  <r>
    <n v="40594"/>
    <n v="3202652"/>
    <x v="33"/>
    <n v="0.316"/>
    <n v="1205424.1100000001"/>
    <n v="0"/>
    <n v="1205424.1100000001"/>
    <n v="17081.13"/>
    <n v="150507.5"/>
    <n v="0.56399999999999995"/>
    <n v="24274.33"/>
    <n v="0"/>
    <n v="7251.45"/>
    <x v="5"/>
    <n v="2"/>
  </r>
  <r>
    <n v="40595"/>
    <n v="3202702"/>
    <x v="34"/>
    <n v="0.40400000000000003"/>
    <n v="1541111.86"/>
    <n v="0"/>
    <n v="1541111.86"/>
    <n v="21837.9"/>
    <n v="57921.77"/>
    <n v="0.56200000000000006"/>
    <n v="31034.27"/>
    <n v="0"/>
    <n v="9270.84"/>
    <x v="5"/>
    <n v="2"/>
  </r>
  <r>
    <n v="40596"/>
    <n v="3202801"/>
    <x v="35"/>
    <n v="3.4060000000000001"/>
    <n v="12992640.939999999"/>
    <n v="0"/>
    <n v="12992640.939999999"/>
    <n v="184108.66"/>
    <n v="233735.45"/>
    <n v="1.2130000000000001"/>
    <n v="261640.35"/>
    <n v="0"/>
    <n v="78159.649999999994"/>
    <x v="5"/>
    <n v="2"/>
  </r>
  <r>
    <n v="40597"/>
    <n v="3202900"/>
    <x v="36"/>
    <n v="0.39200000000000002"/>
    <n v="1495336.23"/>
    <n v="0"/>
    <n v="1495336.23"/>
    <n v="21189.25"/>
    <n v="142673.04"/>
    <n v="0.44600000000000001"/>
    <n v="30112.45"/>
    <n v="0"/>
    <n v="8995.4699999999993"/>
    <x v="5"/>
    <n v="2"/>
  </r>
  <r>
    <n v="40598"/>
    <n v="3203007"/>
    <x v="37"/>
    <n v="0.5"/>
    <n v="1907316.62"/>
    <n v="0"/>
    <n v="1907316.62"/>
    <n v="27027.11"/>
    <n v="209702.06"/>
    <n v="0.91200000000000003"/>
    <n v="38408.74"/>
    <n v="0"/>
    <n v="11473.82"/>
    <x v="5"/>
    <n v="2"/>
  </r>
  <r>
    <n v="40599"/>
    <n v="3203056"/>
    <x v="38"/>
    <n v="1.109"/>
    <n v="4230428.3"/>
    <n v="0"/>
    <n v="4230428.3"/>
    <n v="59946.13"/>
    <n v="198192.25"/>
    <n v="0.98399999999999999"/>
    <n v="85190.59"/>
    <n v="0"/>
    <n v="25448.93"/>
    <x v="5"/>
    <n v="2"/>
  </r>
  <r>
    <n v="40600"/>
    <n v="3203106"/>
    <x v="39"/>
    <n v="0.216"/>
    <n v="823960.78"/>
    <n v="0"/>
    <n v="823960.78"/>
    <n v="11675.71"/>
    <n v="36932.120000000003"/>
    <n v="0.45900000000000002"/>
    <n v="16592.57"/>
    <n v="0"/>
    <n v="4956.6899999999996"/>
    <x v="5"/>
    <n v="2"/>
  </r>
  <r>
    <n v="40601"/>
    <n v="3203130"/>
    <x v="40"/>
    <n v="0.376"/>
    <n v="1434302.14"/>
    <n v="0"/>
    <n v="1434302.14"/>
    <n v="20324.39"/>
    <n v="79093.539999999994"/>
    <n v="0.63600000000000001"/>
    <n v="28883.38"/>
    <n v="0"/>
    <n v="8628.31"/>
    <x v="5"/>
    <n v="2"/>
  </r>
  <r>
    <n v="40602"/>
    <n v="3203163"/>
    <x v="41"/>
    <n v="0.42799999999999999"/>
    <n v="1632663.05"/>
    <n v="0"/>
    <n v="1632663.05"/>
    <n v="23135.200000000001"/>
    <n v="73249.460000000006"/>
    <n v="0.45300000000000001"/>
    <n v="32877.879999999997"/>
    <n v="0"/>
    <n v="9821.59"/>
    <x v="5"/>
    <n v="2"/>
  </r>
  <r>
    <n v="40603"/>
    <n v="3203205"/>
    <x v="42"/>
    <n v="4.431"/>
    <n v="16902640.059999999"/>
    <n v="0"/>
    <n v="16902640.059999999"/>
    <n v="239514.23999999999"/>
    <n v="1254309.27"/>
    <n v="4.0759999999999996"/>
    <n v="340378.27"/>
    <n v="0"/>
    <n v="101680.97"/>
    <x v="5"/>
    <n v="2"/>
  </r>
  <r>
    <n v="40604"/>
    <n v="3203304"/>
    <x v="43"/>
    <n v="0.314"/>
    <n v="1197794.8600000001"/>
    <n v="0"/>
    <n v="1197794.8600000001"/>
    <n v="16973.02"/>
    <n v="91519.65"/>
    <n v="0.54300000000000004"/>
    <n v="24120.69"/>
    <n v="0"/>
    <n v="7205.56"/>
    <x v="5"/>
    <n v="2"/>
  </r>
  <r>
    <n v="40605"/>
    <n v="3203320"/>
    <x v="44"/>
    <n v="0.58499999999999996"/>
    <n v="2231560.46"/>
    <n v="0"/>
    <n v="2231560.46"/>
    <n v="31621.72"/>
    <n v="349158.18"/>
    <n v="1.24"/>
    <n v="44938.23"/>
    <n v="0"/>
    <n v="13424.37"/>
    <x v="5"/>
    <n v="2"/>
  </r>
  <r>
    <n v="40606"/>
    <n v="3203346"/>
    <x v="45"/>
    <n v="0.55500000000000005"/>
    <n v="2117121.4700000002"/>
    <n v="0"/>
    <n v="2117121.4700000002"/>
    <n v="30000.09"/>
    <n v="131781.82"/>
    <n v="0.69199999999999995"/>
    <n v="42633.7"/>
    <n v="0"/>
    <n v="12735.94"/>
    <x v="5"/>
    <n v="2"/>
  </r>
  <r>
    <n v="40607"/>
    <n v="3203353"/>
    <x v="46"/>
    <n v="0.505"/>
    <n v="1926389.8"/>
    <n v="0"/>
    <n v="1926389.8"/>
    <n v="27297.38"/>
    <n v="175636.59"/>
    <n v="0.47"/>
    <n v="38792.82"/>
    <n v="0"/>
    <n v="11588.56"/>
    <x v="5"/>
    <n v="2"/>
  </r>
  <r>
    <n v="40608"/>
    <n v="3203403"/>
    <x v="47"/>
    <n v="0.46899999999999997"/>
    <n v="1789063.01"/>
    <n v="0"/>
    <n v="1789063.01"/>
    <n v="25351.43"/>
    <n v="157028.49"/>
    <n v="0.85899999999999999"/>
    <n v="36027.4"/>
    <n v="0"/>
    <n v="10762.44"/>
    <x v="5"/>
    <n v="2"/>
  </r>
  <r>
    <n v="40609"/>
    <n v="3203502"/>
    <x v="48"/>
    <n v="0.51500000000000001"/>
    <n v="1964536.12"/>
    <n v="0"/>
    <n v="1964536.12"/>
    <n v="27837.919999999998"/>
    <n v="152428.42000000001"/>
    <n v="0.70899999999999996"/>
    <n v="39561.01"/>
    <n v="0"/>
    <n v="11818.03"/>
    <x v="5"/>
    <n v="2"/>
  </r>
  <r>
    <n v="40610"/>
    <n v="3203601"/>
    <x v="49"/>
    <n v="0.30599999999999999"/>
    <n v="1167277.78"/>
    <n v="0"/>
    <n v="1167277.78"/>
    <n v="16540.59"/>
    <n v="29432.86"/>
    <n v="0.30199999999999999"/>
    <n v="23506.15"/>
    <n v="0"/>
    <n v="7021.98"/>
    <x v="5"/>
    <n v="2"/>
  </r>
  <r>
    <n v="40611"/>
    <n v="3203700"/>
    <x v="50"/>
    <n v="0.505"/>
    <n v="1926389.8"/>
    <n v="0"/>
    <n v="1926389.8"/>
    <n v="27297.38"/>
    <n v="84535.58"/>
    <n v="0.69899999999999995"/>
    <n v="38792.82"/>
    <n v="0"/>
    <n v="11588.56"/>
    <x v="5"/>
    <n v="2"/>
  </r>
  <r>
    <n v="40612"/>
    <n v="3203809"/>
    <x v="51"/>
    <n v="0.32"/>
    <n v="1220682.6599999999"/>
    <n v="0"/>
    <n v="1220682.6599999999"/>
    <n v="17297.349999999999"/>
    <n v="43409.86"/>
    <n v="0.56499999999999995"/>
    <n v="24581.599999999999"/>
    <n v="0"/>
    <n v="7343.24"/>
    <x v="5"/>
    <n v="2"/>
  </r>
  <r>
    <n v="40613"/>
    <n v="3203908"/>
    <x v="52"/>
    <n v="1.2250000000000001"/>
    <n v="4672925.7699999996"/>
    <n v="0"/>
    <n v="4672925.7699999996"/>
    <n v="66216.42"/>
    <n v="344907.79"/>
    <n v="1.476"/>
    <n v="94101.42"/>
    <n v="0"/>
    <n v="28110.85"/>
    <x v="5"/>
    <n v="2"/>
  </r>
  <r>
    <n v="40614"/>
    <n v="3204005"/>
    <x v="53"/>
    <n v="0.435"/>
    <n v="1659365.48"/>
    <n v="0"/>
    <n v="1659365.48"/>
    <n v="23513.58"/>
    <n v="76775.69"/>
    <n v="0.70899999999999996"/>
    <n v="33415.599999999999"/>
    <n v="0"/>
    <n v="9982.2199999999993"/>
    <x v="5"/>
    <n v="2"/>
  </r>
  <r>
    <n v="40615"/>
    <n v="3204054"/>
    <x v="54"/>
    <n v="0.33400000000000002"/>
    <n v="1274087.55"/>
    <n v="0"/>
    <n v="1274087.55"/>
    <n v="18054.11"/>
    <n v="135035.95000000001"/>
    <n v="0.81"/>
    <n v="25657.040000000001"/>
    <n v="0"/>
    <n v="7664.51"/>
    <x v="5"/>
    <n v="2"/>
  </r>
  <r>
    <n v="40616"/>
    <n v="3204104"/>
    <x v="55"/>
    <n v="0.755"/>
    <n v="2880048.13"/>
    <n v="0"/>
    <n v="2880048.13"/>
    <n v="40810.93"/>
    <n v="120363.3"/>
    <n v="0.85099999999999998"/>
    <n v="57997.2"/>
    <n v="0"/>
    <n v="17325.46"/>
    <x v="5"/>
    <n v="2"/>
  </r>
  <r>
    <n v="40617"/>
    <n v="3204203"/>
    <x v="56"/>
    <n v="0.36499999999999999"/>
    <n v="1392341.16"/>
    <n v="0"/>
    <n v="1392341.16"/>
    <n v="19729.79"/>
    <n v="311782.23"/>
    <n v="0.753"/>
    <n v="28038.38"/>
    <n v="0"/>
    <n v="8375.89"/>
    <x v="5"/>
    <n v="2"/>
  </r>
  <r>
    <n v="40618"/>
    <n v="3204252"/>
    <x v="57"/>
    <n v="0.27"/>
    <n v="1029950.97"/>
    <n v="0"/>
    <n v="1029950.97"/>
    <n v="14594.64"/>
    <n v="28518.45"/>
    <n v="0.316"/>
    <n v="20740.72"/>
    <n v="0"/>
    <n v="6195.86"/>
    <x v="5"/>
    <n v="2"/>
  </r>
  <r>
    <n v="40619"/>
    <n v="1718402"/>
    <x v="58"/>
    <n v="0.39100000000000001"/>
    <n v="1491521.6"/>
    <n v="0"/>
    <n v="1491521.6"/>
    <n v="21135.200000000001"/>
    <n v="169421.95"/>
    <n v="0.56399999999999995"/>
    <n v="30035.64"/>
    <n v="0"/>
    <n v="8972.5300000000007"/>
    <x v="5"/>
    <n v="2"/>
  </r>
  <r>
    <n v="40620"/>
    <n v="3204351"/>
    <x v="59"/>
    <n v="0.88200000000000001"/>
    <n v="3364506.54"/>
    <n v="0"/>
    <n v="3364506.54"/>
    <n v="47675.82"/>
    <n v="229726.39"/>
    <n v="0.71399999999999997"/>
    <n v="67753.02"/>
    <n v="0"/>
    <n v="20239.810000000001"/>
    <x v="5"/>
    <n v="2"/>
  </r>
  <r>
    <n v="40621"/>
    <n v="3204401"/>
    <x v="60"/>
    <n v="0.312"/>
    <n v="1190165.58"/>
    <n v="0"/>
    <n v="1190165.58"/>
    <n v="16864.919999999998"/>
    <n v="76111.570000000007"/>
    <n v="0.45300000000000001"/>
    <n v="23967.05"/>
    <n v="0"/>
    <n v="7159.66"/>
    <x v="5"/>
    <n v="2"/>
  </r>
  <r>
    <n v="40622"/>
    <n v="3204500"/>
    <x v="61"/>
    <n v="0.51800000000000002"/>
    <n v="1975980.04"/>
    <n v="0"/>
    <n v="1975980.04"/>
    <n v="28000.080000000002"/>
    <n v="74175.83"/>
    <n v="0.47899999999999998"/>
    <n v="39791.449999999997"/>
    <n v="0"/>
    <n v="11886.88"/>
    <x v="5"/>
    <n v="2"/>
  </r>
  <r>
    <n v="40623"/>
    <n v="3204559"/>
    <x v="62"/>
    <n v="2.1909999999999998"/>
    <n v="8357861.5099999998"/>
    <n v="0"/>
    <n v="8357861.5099999998"/>
    <n v="118432.79"/>
    <n v="1015365.8"/>
    <n v="1.236"/>
    <n v="168307.11"/>
    <n v="0"/>
    <n v="50278.27"/>
    <x v="5"/>
    <n v="2"/>
  </r>
  <r>
    <n v="40624"/>
    <n v="3204609"/>
    <x v="63"/>
    <n v="0.66"/>
    <n v="2517657.98"/>
    <n v="0"/>
    <n v="2517657.98"/>
    <n v="35675.78"/>
    <n v="193754.56"/>
    <n v="0.82699999999999996"/>
    <n v="50699.54"/>
    <n v="0"/>
    <n v="15145.44"/>
    <x v="5"/>
    <n v="2"/>
  </r>
  <r>
    <n v="40625"/>
    <n v="3204658"/>
    <x v="64"/>
    <n v="0.42099999999999999"/>
    <n v="1605960.62"/>
    <n v="0"/>
    <n v="1605960.62"/>
    <n v="22756.82"/>
    <n v="65417.25"/>
    <n v="0.34300000000000003"/>
    <n v="32340.16"/>
    <n v="0"/>
    <n v="9660.9500000000007"/>
    <x v="5"/>
    <n v="2"/>
  </r>
  <r>
    <n v="40626"/>
    <n v="3204708"/>
    <x v="65"/>
    <n v="0.72299999999999998"/>
    <n v="2757979.85"/>
    <n v="0"/>
    <n v="2757979.85"/>
    <n v="39081.199999999997"/>
    <n v="183190.98"/>
    <n v="1.1040000000000001"/>
    <n v="55539.040000000001"/>
    <n v="0"/>
    <n v="16591.14"/>
    <x v="5"/>
    <n v="2"/>
  </r>
  <r>
    <n v="40627"/>
    <n v="3204807"/>
    <x v="66"/>
    <n v="0.28599999999999998"/>
    <n v="1090985.1200000001"/>
    <n v="0"/>
    <n v="1090985.1200000001"/>
    <n v="15459.51"/>
    <n v="78322.62"/>
    <n v="0.45"/>
    <n v="21969.8"/>
    <n v="0"/>
    <n v="6563.02"/>
    <x v="5"/>
    <n v="2"/>
  </r>
  <r>
    <n v="40628"/>
    <n v="3204906"/>
    <x v="67"/>
    <n v="1.998"/>
    <n v="7621637.2800000003"/>
    <n v="0"/>
    <n v="7621637.2800000003"/>
    <n v="108000.33"/>
    <n v="803775.74"/>
    <n v="2.9870000000000001"/>
    <n v="153481.32999999999"/>
    <n v="0"/>
    <n v="45849.38"/>
    <x v="5"/>
    <n v="2"/>
  </r>
  <r>
    <n v="40629"/>
    <n v="3204955"/>
    <x v="68"/>
    <n v="0.3"/>
    <n v="1144389.97"/>
    <n v="0"/>
    <n v="1144389.97"/>
    <n v="16216.26"/>
    <n v="62815.71"/>
    <n v="0.45"/>
    <n v="23045.24"/>
    <n v="0"/>
    <n v="6884.29"/>
    <x v="5"/>
    <n v="2"/>
  </r>
  <r>
    <n v="40630"/>
    <n v="3205002"/>
    <x v="69"/>
    <n v="14.551"/>
    <n v="55506728.810000002"/>
    <n v="0"/>
    <n v="55506728.810000002"/>
    <n v="786542.91"/>
    <n v="2922606.86"/>
    <n v="8.6910000000000007"/>
    <n v="1117771.2"/>
    <n v="0"/>
    <n v="333911.03999999998"/>
    <x v="5"/>
    <n v="2"/>
  </r>
  <r>
    <n v="40631"/>
    <n v="3205010"/>
    <x v="70"/>
    <n v="0.78200000000000003"/>
    <n v="2983043.21"/>
    <n v="0"/>
    <n v="2983043.21"/>
    <n v="42270.400000000001"/>
    <n v="150645.44"/>
    <n v="0.95199999999999996"/>
    <n v="60071.27"/>
    <n v="0"/>
    <n v="17945.05"/>
    <x v="5"/>
    <n v="2"/>
  </r>
  <r>
    <n v="40632"/>
    <n v="3205036"/>
    <x v="71"/>
    <n v="0.45700000000000002"/>
    <n v="1743287.41"/>
    <n v="0"/>
    <n v="1743287.41"/>
    <n v="24702.78"/>
    <n v="123259.77"/>
    <n v="0.71699999999999997"/>
    <n v="35105.589999999997"/>
    <n v="0"/>
    <n v="10487.07"/>
    <x v="5"/>
    <n v="2"/>
  </r>
  <r>
    <n v="40633"/>
    <n v="3205069"/>
    <x v="72"/>
    <n v="0.67"/>
    <n v="2555804.29"/>
    <n v="0"/>
    <n v="2555804.29"/>
    <n v="36216.32"/>
    <n v="272915.53000000003"/>
    <n v="0.85"/>
    <n v="51467.71"/>
    <n v="0"/>
    <n v="15374.92"/>
    <x v="5"/>
    <n v="2"/>
  </r>
  <r>
    <n v="40634"/>
    <n v="2112803"/>
    <x v="73"/>
    <n v="3.3740000000000001"/>
    <n v="12870572.68"/>
    <n v="0"/>
    <n v="12870572.68"/>
    <n v="182378.93"/>
    <n v="384816.49"/>
    <n v="1.9590000000000001"/>
    <n v="259182.19"/>
    <n v="0"/>
    <n v="77425.320000000007"/>
    <x v="5"/>
    <n v="2"/>
  </r>
  <r>
    <n v="40635"/>
    <n v="3205150"/>
    <x v="74"/>
    <n v="0.36799999999999999"/>
    <n v="1403785.06"/>
    <n v="0"/>
    <n v="1403785.06"/>
    <n v="19891.95"/>
    <n v="55042.96"/>
    <n v="0.34699999999999998"/>
    <n v="28268.83"/>
    <n v="0"/>
    <n v="8444.73"/>
    <x v="5"/>
    <n v="2"/>
  </r>
  <r>
    <n v="40636"/>
    <n v="3205176"/>
    <x v="75"/>
    <n v="0.7"/>
    <n v="2670243.31"/>
    <n v="0"/>
    <n v="2670243.31"/>
    <n v="37837.949999999997"/>
    <n v="169342.33"/>
    <n v="0.56399999999999995"/>
    <n v="53772.23"/>
    <n v="0"/>
    <n v="16063.34"/>
    <x v="5"/>
    <n v="2"/>
  </r>
  <r>
    <n v="40637"/>
    <n v="3205200"/>
    <x v="76"/>
    <n v="6.6219999999999999"/>
    <n v="25260501.550000001"/>
    <n v="0"/>
    <n v="25260501.550000001"/>
    <n v="357947.02"/>
    <n v="3574302.58"/>
    <n v="8.0009999999999994"/>
    <n v="508685.37"/>
    <n v="0"/>
    <n v="151959.24"/>
    <x v="5"/>
    <n v="2"/>
  </r>
  <r>
    <n v="40638"/>
    <n v="3205309"/>
    <x v="77"/>
    <n v="10.878"/>
    <n v="41495580.630000003"/>
    <n v="0"/>
    <n v="41495580.630000003"/>
    <n v="588001.77"/>
    <n v="4165885.8"/>
    <n v="9.2110000000000003"/>
    <n v="835620.58"/>
    <n v="0"/>
    <n v="249624.39"/>
    <x v="5"/>
    <n v="2"/>
  </r>
  <r>
    <n v="41029"/>
    <n v="3200102"/>
    <x v="0"/>
    <n v="0.67100000000000004"/>
    <n v="3138890.45"/>
    <n v="0"/>
    <n v="3138890.45"/>
    <n v="41016.44"/>
    <n v="280807.76"/>
    <n v="1.0169999999999999"/>
    <n v="53805.93"/>
    <n v="0"/>
    <n v="15819.68"/>
    <x v="5"/>
    <n v="6"/>
  </r>
  <r>
    <n v="41030"/>
    <n v="3200169"/>
    <x v="1"/>
    <n v="0.309"/>
    <n v="1445480.1"/>
    <n v="0"/>
    <n v="1445480.1"/>
    <n v="18888.34"/>
    <n v="142985.39000000001"/>
    <n v="0.46500000000000002"/>
    <n v="24777.99"/>
    <n v="0"/>
    <n v="7285.07"/>
    <x v="5"/>
    <n v="6"/>
  </r>
  <r>
    <n v="41031"/>
    <n v="3200136"/>
    <x v="2"/>
    <n v="0.51900000000000002"/>
    <n v="2427845.2200000002"/>
    <n v="0"/>
    <n v="2427845.2200000002"/>
    <n v="31725.08"/>
    <n v="134466.84"/>
    <n v="0.35799999999999998"/>
    <n v="41617.4"/>
    <n v="0"/>
    <n v="12236.09"/>
    <x v="5"/>
    <n v="6"/>
  </r>
  <r>
    <n v="41032"/>
    <n v="3200201"/>
    <x v="3"/>
    <n v="0.41799999999999998"/>
    <n v="1955374.4"/>
    <n v="0"/>
    <n v="1955374.4"/>
    <n v="25551.22"/>
    <n v="252140.78"/>
    <n v="0.98699999999999999"/>
    <n v="33518.449999999997"/>
    <n v="0"/>
    <n v="9854.8799999999992"/>
    <x v="5"/>
    <n v="6"/>
  </r>
  <r>
    <n v="41033"/>
    <n v="3200300"/>
    <x v="4"/>
    <n v="0.442"/>
    <n v="2067644.68"/>
    <n v="0"/>
    <n v="2067644.68"/>
    <n v="27018.28"/>
    <n v="208200.87"/>
    <n v="0.56599999999999995"/>
    <n v="35442.949999999997"/>
    <n v="0"/>
    <n v="10420.709999999999"/>
    <x v="5"/>
    <n v="6"/>
  </r>
  <r>
    <n v="41034"/>
    <n v="3200359"/>
    <x v="5"/>
    <n v="0.25800000000000001"/>
    <n v="1206905.72"/>
    <n v="0"/>
    <n v="1206905.72"/>
    <n v="15770.85"/>
    <n v="86176.63"/>
    <n v="0.32800000000000001"/>
    <n v="20688.419999999998"/>
    <n v="0"/>
    <n v="6082.68"/>
    <x v="5"/>
    <n v="6"/>
  </r>
  <r>
    <n v="41035"/>
    <n v="3200409"/>
    <x v="6"/>
    <n v="3.4780000000000002"/>
    <n v="16269837.619999999"/>
    <n v="0"/>
    <n v="16269837.619999999"/>
    <n v="212600.84"/>
    <n v="412877.09"/>
    <n v="0.93"/>
    <n v="278892.71999999997"/>
    <n v="0"/>
    <n v="81998.289999999994"/>
    <x v="5"/>
    <n v="6"/>
  </r>
  <r>
    <n v="41036"/>
    <n v="3200508"/>
    <x v="7"/>
    <n v="0.23799999999999999"/>
    <n v="1113347.1100000001"/>
    <n v="0"/>
    <n v="1113347.1100000001"/>
    <n v="14548.3"/>
    <n v="113722.67"/>
    <n v="0.32500000000000001"/>
    <n v="19084.66"/>
    <n v="0"/>
    <n v="5611.15"/>
    <x v="5"/>
    <n v="6"/>
  </r>
  <r>
    <n v="41037"/>
    <n v="3200607"/>
    <x v="8"/>
    <n v="4.4800000000000004"/>
    <n v="20957122.640000001"/>
    <n v="0"/>
    <n v="20957122.640000001"/>
    <n v="273850.42"/>
    <n v="1278729.3899999999"/>
    <n v="2.456"/>
    <n v="359240.76"/>
    <n v="0"/>
    <n v="105621.73"/>
    <x v="5"/>
    <n v="6"/>
  </r>
  <r>
    <n v="41038"/>
    <n v="3200706"/>
    <x v="9"/>
    <n v="0.39500000000000002"/>
    <n v="1847782.01"/>
    <n v="0"/>
    <n v="1847782.01"/>
    <n v="24145.29"/>
    <n v="100776.93"/>
    <n v="0.44600000000000001"/>
    <n v="31674.13"/>
    <n v="0"/>
    <n v="9312.6299999999992"/>
    <x v="5"/>
    <n v="6"/>
  </r>
  <r>
    <n v="41039"/>
    <n v="3200805"/>
    <x v="10"/>
    <n v="0.54"/>
    <n v="2526081.7599999998"/>
    <n v="0"/>
    <n v="2526081.7599999998"/>
    <n v="33008.76"/>
    <n v="657624.02"/>
    <n v="1.016"/>
    <n v="43301.34"/>
    <n v="0"/>
    <n v="12731.19"/>
    <x v="5"/>
    <n v="6"/>
  </r>
  <r>
    <n v="41040"/>
    <n v="3200904"/>
    <x v="11"/>
    <n v="0.81299999999999994"/>
    <n v="3803156.39"/>
    <n v="0"/>
    <n v="3803156.39"/>
    <n v="49696.52"/>
    <n v="815148.37"/>
    <n v="1.3140000000000001"/>
    <n v="65192.57"/>
    <n v="0"/>
    <n v="19167.509999999998"/>
    <x v="5"/>
    <n v="6"/>
  </r>
  <r>
    <n v="41041"/>
    <n v="3107109"/>
    <x v="12"/>
    <n v="0.48699999999999999"/>
    <n v="2278151.52"/>
    <n v="0"/>
    <n v="2278151.52"/>
    <n v="29769.01"/>
    <n v="163612.18"/>
    <n v="0.56299999999999994"/>
    <n v="39051.4"/>
    <n v="0"/>
    <n v="11481.65"/>
    <x v="5"/>
    <n v="6"/>
  </r>
  <r>
    <n v="41042"/>
    <n v="3201100"/>
    <x v="13"/>
    <n v="0.247"/>
    <n v="1155448.49"/>
    <n v="0"/>
    <n v="1155448.49"/>
    <n v="15098.45"/>
    <n v="374391.12"/>
    <n v="0.442"/>
    <n v="19806.36"/>
    <n v="0"/>
    <n v="5823.34"/>
    <x v="5"/>
    <n v="6"/>
  </r>
  <r>
    <n v="41043"/>
    <n v="3201159"/>
    <x v="14"/>
    <n v="0.40699999999999997"/>
    <n v="1903917.19"/>
    <n v="0"/>
    <n v="1903917.19"/>
    <n v="24878.82"/>
    <n v="157579.96"/>
    <n v="0.47799999999999998"/>
    <n v="32636.39"/>
    <n v="0"/>
    <n v="9595.5499999999993"/>
    <x v="5"/>
    <n v="6"/>
  </r>
  <r>
    <n v="41044"/>
    <n v="3201209"/>
    <x v="15"/>
    <n v="2.5920000000000001"/>
    <n v="12125192.390000001"/>
    <n v="0"/>
    <n v="12125192.390000001"/>
    <n v="158442.03"/>
    <n v="2564164.02"/>
    <n v="4.3239999999999998"/>
    <n v="207846.44"/>
    <n v="0"/>
    <n v="61109.71"/>
    <x v="5"/>
    <n v="6"/>
  </r>
  <r>
    <n v="41045"/>
    <n v="3201308"/>
    <x v="16"/>
    <n v="8.3239999999999998"/>
    <n v="38939082.270000003"/>
    <n v="0"/>
    <n v="38939082.270000003"/>
    <n v="508823.86"/>
    <n v="3379631.84"/>
    <n v="6.5110000000000001"/>
    <n v="667482.16"/>
    <n v="0"/>
    <n v="196248.94"/>
    <x v="5"/>
    <n v="6"/>
  </r>
  <r>
    <n v="41046"/>
    <n v="3201407"/>
    <x v="17"/>
    <n v="0.80700000000000005"/>
    <n v="3775088.84"/>
    <n v="0"/>
    <n v="3775088.84"/>
    <n v="49329.75"/>
    <n v="626483.80000000005"/>
    <n v="1.165"/>
    <n v="64711.45"/>
    <n v="0"/>
    <n v="19026.060000000001"/>
    <x v="5"/>
    <n v="6"/>
  </r>
  <r>
    <n v="41047"/>
    <n v="3201506"/>
    <x v="18"/>
    <n v="2.0139999999999998"/>
    <n v="9421349.3100000005"/>
    <n v="0"/>
    <n v="9421349.3100000005"/>
    <n v="123110.44"/>
    <n v="1959548"/>
    <n v="2.875"/>
    <n v="161497.96"/>
    <n v="0"/>
    <n v="47482.62"/>
    <x v="5"/>
    <n v="6"/>
  </r>
  <r>
    <n v="41048"/>
    <n v="3201605"/>
    <x v="19"/>
    <n v="0.60099999999999998"/>
    <n v="2811435.43"/>
    <n v="0"/>
    <n v="2811435.43"/>
    <n v="36737.519999999997"/>
    <n v="262891.42"/>
    <n v="0.96399999999999997"/>
    <n v="48192.79"/>
    <n v="0"/>
    <n v="14169.34"/>
    <x v="5"/>
    <n v="6"/>
  </r>
  <r>
    <n v="41049"/>
    <n v="3201704"/>
    <x v="20"/>
    <n v="0.371"/>
    <n v="1735511.72"/>
    <n v="0"/>
    <n v="1735511.72"/>
    <n v="22678.240000000002"/>
    <n v="117814.98"/>
    <n v="0.46400000000000002"/>
    <n v="29749.62"/>
    <n v="0"/>
    <n v="8746.7999999999993"/>
    <x v="5"/>
    <n v="6"/>
  </r>
  <r>
    <n v="41050"/>
    <n v="3201803"/>
    <x v="21"/>
    <n v="0.187"/>
    <n v="874772.75"/>
    <n v="0"/>
    <n v="874772.75"/>
    <n v="11430.81"/>
    <n v="46558.01"/>
    <n v="0.29699999999999999"/>
    <n v="14995.09"/>
    <n v="0"/>
    <n v="4408.76"/>
    <x v="5"/>
    <n v="6"/>
  </r>
  <r>
    <n v="41051"/>
    <n v="3201902"/>
    <x v="22"/>
    <n v="1.0620000000000001"/>
    <n v="4967960.7699999996"/>
    <n v="0"/>
    <n v="4967960.7699999996"/>
    <n v="64917.22"/>
    <n v="456615.79"/>
    <n v="1.0780000000000001"/>
    <n v="85159.31"/>
    <n v="0"/>
    <n v="25038.01"/>
    <x v="5"/>
    <n v="6"/>
  </r>
  <r>
    <n v="41052"/>
    <n v="3202009"/>
    <x v="23"/>
    <n v="0.34899999999999998"/>
    <n v="1632597.27"/>
    <n v="0"/>
    <n v="1632597.27"/>
    <n v="21333.439999999999"/>
    <n v="176692.06"/>
    <n v="0.317"/>
    <n v="27985.5"/>
    <n v="0"/>
    <n v="8228.1200000000008"/>
    <x v="5"/>
    <n v="6"/>
  </r>
  <r>
    <n v="41053"/>
    <n v="3202108"/>
    <x v="24"/>
    <n v="0.57099999999999995"/>
    <n v="2671097.56"/>
    <n v="0"/>
    <n v="2671097.56"/>
    <n v="34903.699999999997"/>
    <n v="225746.78"/>
    <n v="0.81599999999999995"/>
    <n v="45787.16"/>
    <n v="0"/>
    <n v="13462.05"/>
    <x v="5"/>
    <n v="6"/>
  </r>
  <r>
    <n v="41054"/>
    <n v="3202207"/>
    <x v="25"/>
    <n v="0.36799999999999999"/>
    <n v="1721477.93"/>
    <n v="0"/>
    <n v="1721477.93"/>
    <n v="22494.86"/>
    <n v="189139.22"/>
    <n v="0.69699999999999995"/>
    <n v="29509.06"/>
    <n v="0"/>
    <n v="8676.07"/>
    <x v="5"/>
    <n v="6"/>
  </r>
  <r>
    <n v="41055"/>
    <n v="3202256"/>
    <x v="26"/>
    <n v="0.53100000000000003"/>
    <n v="2483980.38"/>
    <n v="0"/>
    <n v="2483980.38"/>
    <n v="32458.61"/>
    <n v="178583.87"/>
    <n v="0.45200000000000001"/>
    <n v="42579.65"/>
    <n v="0"/>
    <n v="12519"/>
    <x v="5"/>
    <n v="6"/>
  </r>
  <r>
    <n v="41056"/>
    <n v="3202306"/>
    <x v="27"/>
    <n v="0.36699999999999999"/>
    <n v="1716800"/>
    <n v="0"/>
    <n v="1716800"/>
    <n v="22433.73"/>
    <n v="415281.86"/>
    <n v="0.98899999999999999"/>
    <n v="29428.87"/>
    <n v="0"/>
    <n v="8652.49"/>
    <x v="5"/>
    <n v="6"/>
  </r>
  <r>
    <n v="41057"/>
    <n v="3202405"/>
    <x v="28"/>
    <n v="0.79"/>
    <n v="3695564.05"/>
    <n v="0"/>
    <n v="3695564.05"/>
    <n v="48290.59"/>
    <n v="2530023.15"/>
    <n v="2.9359999999999999"/>
    <n v="63348.26"/>
    <n v="0"/>
    <n v="18625.259999999998"/>
    <x v="5"/>
    <n v="6"/>
  </r>
  <r>
    <n v="41058"/>
    <n v="3202454"/>
    <x v="29"/>
    <n v="0.33900000000000002"/>
    <n v="1585817.97"/>
    <n v="0"/>
    <n v="1585817.97"/>
    <n v="20722.16"/>
    <n v="486427.16"/>
    <n v="0.87"/>
    <n v="27183.62"/>
    <n v="0"/>
    <n v="7992.36"/>
    <x v="5"/>
    <n v="6"/>
  </r>
  <r>
    <n v="41059"/>
    <n v="3202504"/>
    <x v="30"/>
    <n v="0.307"/>
    <n v="1436124.27"/>
    <n v="0"/>
    <n v="1436124.27"/>
    <n v="18766.09"/>
    <n v="144155.26999999999"/>
    <n v="0.46100000000000002"/>
    <n v="24617.62"/>
    <n v="0"/>
    <n v="7237.92"/>
    <x v="5"/>
    <n v="6"/>
  </r>
  <r>
    <n v="41060"/>
    <n v="3202553"/>
    <x v="31"/>
    <n v="0.28399999999999997"/>
    <n v="1328531.8799999999"/>
    <n v="0"/>
    <n v="1328531.8799999999"/>
    <n v="17360.16"/>
    <n v="86059.520000000004"/>
    <n v="0.35499999999999998"/>
    <n v="22773.3"/>
    <n v="0"/>
    <n v="6695.66"/>
    <x v="5"/>
    <n v="6"/>
  </r>
  <r>
    <n v="41061"/>
    <n v="3202603"/>
    <x v="32"/>
    <n v="0.314"/>
    <n v="1468869.77"/>
    <n v="0"/>
    <n v="1468869.77"/>
    <n v="19193.98"/>
    <n v="261752.35"/>
    <n v="0.53700000000000003"/>
    <n v="25178.93"/>
    <n v="0"/>
    <n v="7402.95"/>
    <x v="5"/>
    <n v="6"/>
  </r>
  <r>
    <n v="41062"/>
    <n v="3202652"/>
    <x v="33"/>
    <n v="0.316"/>
    <n v="1478225.61"/>
    <n v="0"/>
    <n v="1478225.61"/>
    <n v="19316.240000000002"/>
    <n v="199068.73"/>
    <n v="0.56399999999999995"/>
    <n v="25339.3"/>
    <n v="0"/>
    <n v="7450.1"/>
    <x v="5"/>
    <n v="6"/>
  </r>
  <r>
    <n v="41063"/>
    <n v="3202702"/>
    <x v="34"/>
    <n v="0.40400000000000003"/>
    <n v="1889883.38"/>
    <n v="0"/>
    <n v="1889883.38"/>
    <n v="24695.439999999999"/>
    <n v="114754.38"/>
    <n v="0.56200000000000006"/>
    <n v="32395.82"/>
    <n v="0"/>
    <n v="9524.82"/>
    <x v="5"/>
    <n v="6"/>
  </r>
  <r>
    <n v="41064"/>
    <n v="3202801"/>
    <x v="35"/>
    <n v="3.4060000000000001"/>
    <n v="15933026.699999999"/>
    <n v="0"/>
    <n v="15933026.699999999"/>
    <n v="208199.67"/>
    <n v="417580.59"/>
    <n v="1.2130000000000001"/>
    <n v="273119.2"/>
    <n v="0"/>
    <n v="80300.800000000003"/>
    <x v="5"/>
    <n v="6"/>
  </r>
  <r>
    <n v="41065"/>
    <n v="3202900"/>
    <x v="36"/>
    <n v="0.39200000000000002"/>
    <n v="1833748.24"/>
    <n v="0"/>
    <n v="1833748.24"/>
    <n v="23961.91"/>
    <n v="201150.05"/>
    <n v="0.44600000000000001"/>
    <n v="31433.57"/>
    <n v="0"/>
    <n v="9241.9"/>
    <x v="5"/>
    <n v="6"/>
  </r>
  <r>
    <n v="41066"/>
    <n v="3203007"/>
    <x v="37"/>
    <n v="0.5"/>
    <n v="2338964.58"/>
    <n v="0"/>
    <n v="2338964.58"/>
    <n v="30563.66"/>
    <n v="349085.69"/>
    <n v="0.91200000000000003"/>
    <n v="40093.83"/>
    <n v="0"/>
    <n v="11788.14"/>
    <x v="5"/>
    <n v="6"/>
  </r>
  <r>
    <n v="41067"/>
    <n v="3203056"/>
    <x v="38"/>
    <n v="1.109"/>
    <n v="5187823.43"/>
    <n v="0"/>
    <n v="5187823.43"/>
    <n v="67790.2"/>
    <n v="409192"/>
    <n v="0.98399999999999999"/>
    <n v="88928.13"/>
    <n v="0"/>
    <n v="26146.09"/>
    <x v="5"/>
    <n v="6"/>
  </r>
  <r>
    <n v="41068"/>
    <n v="3203106"/>
    <x v="39"/>
    <n v="0.216"/>
    <n v="1010432.69"/>
    <n v="0"/>
    <n v="1010432.69"/>
    <n v="13203.5"/>
    <n v="73402.38"/>
    <n v="0.45900000000000002"/>
    <n v="17320.54"/>
    <n v="0"/>
    <n v="5092.4799999999996"/>
    <x v="5"/>
    <n v="6"/>
  </r>
  <r>
    <n v="41069"/>
    <n v="3203130"/>
    <x v="40"/>
    <n v="0.376"/>
    <n v="1758901.35"/>
    <n v="0"/>
    <n v="1758901.35"/>
    <n v="22983.88"/>
    <n v="193248.13"/>
    <n v="0.63600000000000001"/>
    <n v="30150.57"/>
    <n v="0"/>
    <n v="8864.68"/>
    <x v="5"/>
    <n v="6"/>
  </r>
  <r>
    <n v="41070"/>
    <n v="3203163"/>
    <x v="41"/>
    <n v="0.42799999999999999"/>
    <n v="2002153.67"/>
    <n v="0"/>
    <n v="2002153.67"/>
    <n v="26162.5"/>
    <n v="85036.2"/>
    <n v="0.45300000000000001"/>
    <n v="34320.32"/>
    <n v="0"/>
    <n v="10090.65"/>
    <x v="5"/>
    <n v="6"/>
  </r>
  <r>
    <n v="41071"/>
    <n v="3203205"/>
    <x v="42"/>
    <n v="4.431"/>
    <n v="20727904.079999998"/>
    <n v="0"/>
    <n v="20727904.079999998"/>
    <n v="270855.18"/>
    <n v="2628377.4500000002"/>
    <n v="4.0759999999999996"/>
    <n v="355311.56"/>
    <n v="0"/>
    <n v="104466.49"/>
    <x v="5"/>
    <n v="6"/>
  </r>
  <r>
    <n v="41072"/>
    <n v="3203304"/>
    <x v="43"/>
    <n v="0.314"/>
    <n v="1468869.77"/>
    <n v="0"/>
    <n v="1468869.77"/>
    <n v="19193.98"/>
    <n v="175993.9"/>
    <n v="0.54300000000000004"/>
    <n v="25178.93"/>
    <n v="0"/>
    <n v="7402.95"/>
    <x v="5"/>
    <n v="6"/>
  </r>
  <r>
    <n v="41073"/>
    <n v="3203320"/>
    <x v="44"/>
    <n v="0.58499999999999996"/>
    <n v="2736588.55"/>
    <n v="0"/>
    <n v="2736588.55"/>
    <n v="35759.49"/>
    <n v="508063.45"/>
    <n v="1.24"/>
    <n v="46909.79"/>
    <n v="0"/>
    <n v="13792.12"/>
    <x v="5"/>
    <n v="6"/>
  </r>
  <r>
    <n v="41074"/>
    <n v="3203346"/>
    <x v="45"/>
    <n v="0.55500000000000005"/>
    <n v="2596250.66"/>
    <n v="0"/>
    <n v="2596250.66"/>
    <n v="33925.67"/>
    <n v="207226.9"/>
    <n v="0.69199999999999995"/>
    <n v="44504.15"/>
    <n v="0"/>
    <n v="13084.83"/>
    <x v="5"/>
    <n v="6"/>
  </r>
  <r>
    <n v="41075"/>
    <n v="3203353"/>
    <x v="46"/>
    <n v="0.505"/>
    <n v="2362354.19"/>
    <n v="0"/>
    <n v="2362354.19"/>
    <n v="30869.3"/>
    <n v="192733.12"/>
    <n v="0.47"/>
    <n v="40494.78"/>
    <n v="0"/>
    <n v="11906.02"/>
    <x v="5"/>
    <n v="6"/>
  </r>
  <r>
    <n v="41076"/>
    <n v="3203403"/>
    <x v="47"/>
    <n v="0.46899999999999997"/>
    <n v="2193948.77"/>
    <n v="0"/>
    <n v="2193948.77"/>
    <n v="28668.720000000001"/>
    <n v="280563.62"/>
    <n v="0.85899999999999999"/>
    <n v="37608.01"/>
    <n v="0"/>
    <n v="11057.27"/>
    <x v="5"/>
    <n v="6"/>
  </r>
  <r>
    <n v="41077"/>
    <n v="3203502"/>
    <x v="48"/>
    <n v="0.51500000000000001"/>
    <n v="2409133.52"/>
    <n v="0"/>
    <n v="2409133.52"/>
    <n v="31480.57"/>
    <n v="284998.53999999998"/>
    <n v="0.70899999999999996"/>
    <n v="41296.65"/>
    <n v="0"/>
    <n v="12141.78"/>
    <x v="5"/>
    <n v="6"/>
  </r>
  <r>
    <n v="41078"/>
    <n v="3203601"/>
    <x v="49"/>
    <n v="0.30599999999999999"/>
    <n v="1431446.34"/>
    <n v="0"/>
    <n v="1431446.34"/>
    <n v="18704.96"/>
    <n v="55453.919999999998"/>
    <n v="0.30199999999999999"/>
    <n v="24537.43"/>
    <n v="0"/>
    <n v="7214.34"/>
    <x v="5"/>
    <n v="6"/>
  </r>
  <r>
    <n v="41079"/>
    <n v="3203700"/>
    <x v="50"/>
    <n v="0.505"/>
    <n v="2362354.19"/>
    <n v="0"/>
    <n v="2362354.19"/>
    <n v="30869.3"/>
    <n v="150489.51999999999"/>
    <n v="0.69899999999999995"/>
    <n v="40494.78"/>
    <n v="0"/>
    <n v="11906.02"/>
    <x v="5"/>
    <n v="6"/>
  </r>
  <r>
    <n v="41080"/>
    <n v="3203809"/>
    <x v="51"/>
    <n v="0.32"/>
    <n v="1496937.33"/>
    <n v="0"/>
    <n v="1496937.33"/>
    <n v="19560.740000000002"/>
    <n v="117625.53"/>
    <n v="0.56499999999999995"/>
    <n v="25660.06"/>
    <n v="0"/>
    <n v="7544.41"/>
    <x v="5"/>
    <n v="6"/>
  </r>
  <r>
    <n v="41081"/>
    <n v="3203908"/>
    <x v="52"/>
    <n v="1.2250000000000001"/>
    <n v="5730463.25"/>
    <n v="0"/>
    <n v="5730463.25"/>
    <n v="74880.98"/>
    <n v="738846.68"/>
    <n v="1.476"/>
    <n v="98229.89"/>
    <n v="0"/>
    <n v="28880.94"/>
    <x v="5"/>
    <n v="6"/>
  </r>
  <r>
    <n v="41082"/>
    <n v="3204005"/>
    <x v="53"/>
    <n v="0.435"/>
    <n v="2034899.19"/>
    <n v="0"/>
    <n v="2034899.19"/>
    <n v="26590.39"/>
    <n v="178000.59"/>
    <n v="0.70899999999999996"/>
    <n v="34881.64"/>
    <n v="0"/>
    <n v="10255.68"/>
    <x v="5"/>
    <n v="6"/>
  </r>
  <r>
    <n v="41083"/>
    <n v="3204054"/>
    <x v="54"/>
    <n v="0.33400000000000002"/>
    <n v="1562428.35"/>
    <n v="0"/>
    <n v="1562428.35"/>
    <n v="20416.53"/>
    <n v="198195.85"/>
    <n v="0.81"/>
    <n v="26782.69"/>
    <n v="0"/>
    <n v="7874.48"/>
    <x v="5"/>
    <n v="6"/>
  </r>
  <r>
    <n v="41084"/>
    <n v="3204104"/>
    <x v="55"/>
    <n v="0.755"/>
    <n v="3531836.51"/>
    <n v="0"/>
    <n v="3531836.51"/>
    <n v="46151.13"/>
    <n v="244504.34"/>
    <n v="0.85099999999999998"/>
    <n v="60541.69"/>
    <n v="0"/>
    <n v="17800.09"/>
    <x v="5"/>
    <n v="6"/>
  </r>
  <r>
    <n v="41085"/>
    <n v="3204203"/>
    <x v="56"/>
    <n v="0.36499999999999999"/>
    <n v="1707444.15"/>
    <n v="0"/>
    <n v="1707444.15"/>
    <n v="22311.47"/>
    <n v="345508.24"/>
    <n v="0.753"/>
    <n v="29268.49"/>
    <n v="0"/>
    <n v="8605.34"/>
    <x v="5"/>
    <n v="6"/>
  </r>
  <r>
    <n v="41086"/>
    <n v="3204252"/>
    <x v="57"/>
    <n v="0.27"/>
    <n v="1263040.8700000001"/>
    <n v="0"/>
    <n v="1263040.8700000001"/>
    <n v="16504.38"/>
    <n v="56232.88"/>
    <n v="0.316"/>
    <n v="21650.67"/>
    <n v="0"/>
    <n v="6365.6"/>
    <x v="5"/>
    <n v="6"/>
  </r>
  <r>
    <n v="41087"/>
    <n v="1718402"/>
    <x v="58"/>
    <n v="0.39100000000000001"/>
    <n v="1829070.31"/>
    <n v="0"/>
    <n v="1829070.31"/>
    <n v="23900.78"/>
    <n v="231481.98"/>
    <n v="0.56399999999999995"/>
    <n v="31353.38"/>
    <n v="0"/>
    <n v="9218.32"/>
    <x v="5"/>
    <n v="6"/>
  </r>
  <r>
    <n v="41088"/>
    <n v="3204351"/>
    <x v="59"/>
    <n v="0.88200000000000001"/>
    <n v="4125933.51"/>
    <n v="0"/>
    <n v="4125933.51"/>
    <n v="53914.3"/>
    <n v="363850.44"/>
    <n v="0.71399999999999997"/>
    <n v="70725.52"/>
    <n v="0"/>
    <n v="20794.28"/>
    <x v="5"/>
    <n v="6"/>
  </r>
  <r>
    <n v="41089"/>
    <n v="3204401"/>
    <x v="60"/>
    <n v="0.312"/>
    <n v="1459513.92"/>
    <n v="0"/>
    <n v="1459513.92"/>
    <n v="19071.73"/>
    <n v="113937.53"/>
    <n v="0.45300000000000001"/>
    <n v="25018.55"/>
    <n v="0"/>
    <n v="7355.8"/>
    <x v="5"/>
    <n v="6"/>
  </r>
  <r>
    <n v="41090"/>
    <n v="3204500"/>
    <x v="61"/>
    <n v="0.51800000000000002"/>
    <n v="2423167.2799999998"/>
    <n v="0"/>
    <n v="2423167.2799999998"/>
    <n v="31663.96"/>
    <n v="113930.74"/>
    <n v="0.47899999999999998"/>
    <n v="41537.21"/>
    <n v="0"/>
    <n v="12212.51"/>
    <x v="5"/>
    <n v="6"/>
  </r>
  <r>
    <n v="41091"/>
    <n v="3204559"/>
    <x v="62"/>
    <n v="2.1909999999999998"/>
    <n v="10249342.77"/>
    <n v="0"/>
    <n v="10249342.77"/>
    <n v="133929.97"/>
    <n v="785734.2"/>
    <n v="1.236"/>
    <n v="175691.19"/>
    <n v="0"/>
    <n v="51655.63"/>
    <x v="5"/>
    <n v="6"/>
  </r>
  <r>
    <n v="41092"/>
    <n v="3204609"/>
    <x v="63"/>
    <n v="0.66"/>
    <n v="3087433.26"/>
    <n v="0"/>
    <n v="3087433.26"/>
    <n v="40344.04"/>
    <n v="326290.49"/>
    <n v="0.82699999999999996"/>
    <n v="52923.86"/>
    <n v="0"/>
    <n v="15560.34"/>
    <x v="5"/>
    <n v="6"/>
  </r>
  <r>
    <n v="41093"/>
    <n v="3204658"/>
    <x v="64"/>
    <n v="0.42099999999999999"/>
    <n v="1969408.16"/>
    <n v="0"/>
    <n v="1969408.16"/>
    <n v="25734.6"/>
    <n v="141920.95999999999"/>
    <n v="0.34300000000000003"/>
    <n v="33759.01"/>
    <n v="0"/>
    <n v="9925.61"/>
    <x v="5"/>
    <n v="6"/>
  </r>
  <r>
    <n v="41094"/>
    <n v="3204708"/>
    <x v="65"/>
    <n v="0.72299999999999998"/>
    <n v="3382142.77"/>
    <n v="0"/>
    <n v="3382142.77"/>
    <n v="44195.06"/>
    <n v="469583.09"/>
    <n v="1.1040000000000001"/>
    <n v="57975.68"/>
    <n v="0"/>
    <n v="17045.650000000001"/>
    <x v="5"/>
    <n v="6"/>
  </r>
  <r>
    <n v="41095"/>
    <n v="3204807"/>
    <x v="66"/>
    <n v="0.28599999999999998"/>
    <n v="1337887.75"/>
    <n v="0"/>
    <n v="1337887.75"/>
    <n v="17482.419999999998"/>
    <n v="108399.54"/>
    <n v="0.45"/>
    <n v="22933.67"/>
    <n v="0"/>
    <n v="6742.82"/>
    <x v="5"/>
    <n v="6"/>
  </r>
  <r>
    <n v="41096"/>
    <n v="3204906"/>
    <x v="67"/>
    <n v="1.998"/>
    <n v="9346502.4600000009"/>
    <n v="0"/>
    <n v="9346502.4600000009"/>
    <n v="122132.4"/>
    <n v="1783669.24"/>
    <n v="2.9870000000000001"/>
    <n v="160214.96"/>
    <n v="0"/>
    <n v="47105.4"/>
    <x v="5"/>
    <n v="6"/>
  </r>
  <r>
    <n v="41097"/>
    <n v="3204955"/>
    <x v="68"/>
    <n v="0.3"/>
    <n v="1403378.76"/>
    <n v="0"/>
    <n v="1403378.76"/>
    <n v="18338.2"/>
    <n v="125190.11"/>
    <n v="0.45"/>
    <n v="24056.3"/>
    <n v="0"/>
    <n v="7072.88"/>
    <x v="5"/>
    <n v="6"/>
  </r>
  <r>
    <n v="41098"/>
    <n v="3205002"/>
    <x v="69"/>
    <n v="14.551"/>
    <n v="68068547.129999995"/>
    <n v="0"/>
    <n v="68068547.129999995"/>
    <n v="889463.73"/>
    <n v="5867034.6200000001"/>
    <n v="8.6910000000000007"/>
    <n v="1166810.78"/>
    <n v="0"/>
    <n v="343058.42"/>
    <x v="5"/>
    <n v="6"/>
  </r>
  <r>
    <n v="41099"/>
    <n v="3205010"/>
    <x v="70"/>
    <n v="0.78200000000000003"/>
    <n v="3658140.61"/>
    <n v="0"/>
    <n v="3658140.61"/>
    <n v="47801.57"/>
    <n v="301388.24"/>
    <n v="0.95199999999999996"/>
    <n v="62706.75"/>
    <n v="0"/>
    <n v="18436.650000000001"/>
    <x v="5"/>
    <n v="6"/>
  </r>
  <r>
    <n v="41100"/>
    <n v="3205036"/>
    <x v="71"/>
    <n v="0.45700000000000002"/>
    <n v="2137813.61"/>
    <n v="0"/>
    <n v="2137813.61"/>
    <n v="27935.19"/>
    <n v="243676.84"/>
    <n v="0.71699999999999997"/>
    <n v="36645.760000000002"/>
    <n v="0"/>
    <n v="10774.36"/>
    <x v="5"/>
    <n v="6"/>
  </r>
  <r>
    <n v="41101"/>
    <n v="3205069"/>
    <x v="72"/>
    <n v="0.67"/>
    <n v="3134212.54"/>
    <n v="0"/>
    <n v="3134212.54"/>
    <n v="40955.31"/>
    <n v="432478.9"/>
    <n v="0.85"/>
    <n v="53725.74"/>
    <n v="0"/>
    <n v="15796.11"/>
    <x v="5"/>
    <n v="6"/>
  </r>
  <r>
    <n v="41102"/>
    <n v="2112803"/>
    <x v="73"/>
    <n v="3.3740000000000001"/>
    <n v="15783332.960000001"/>
    <n v="0"/>
    <n v="15783332.960000001"/>
    <n v="206243.6"/>
    <n v="646470.18000000005"/>
    <n v="1.9590000000000001"/>
    <n v="270553.19"/>
    <n v="0"/>
    <n v="79546.36"/>
    <x v="5"/>
    <n v="6"/>
  </r>
  <r>
    <n v="41103"/>
    <n v="3205150"/>
    <x v="74"/>
    <n v="0.36799999999999999"/>
    <n v="1721477.93"/>
    <n v="0"/>
    <n v="1721477.93"/>
    <n v="22494.86"/>
    <n v="122281.75"/>
    <n v="0.34699999999999998"/>
    <n v="29509.06"/>
    <n v="0"/>
    <n v="8676.07"/>
    <x v="5"/>
    <n v="6"/>
  </r>
  <r>
    <n v="41104"/>
    <n v="3205176"/>
    <x v="75"/>
    <n v="0.7"/>
    <n v="3274550.39"/>
    <n v="0"/>
    <n v="3274550.39"/>
    <n v="42789.13"/>
    <n v="269957.63"/>
    <n v="0.56399999999999995"/>
    <n v="56131.37"/>
    <n v="0"/>
    <n v="16503.39"/>
    <x v="5"/>
    <n v="6"/>
  </r>
  <r>
    <n v="41105"/>
    <n v="3205200"/>
    <x v="76"/>
    <n v="6.6219999999999999"/>
    <n v="30977246.850000001"/>
    <n v="0"/>
    <n v="30977246.850000001"/>
    <n v="404785.16"/>
    <n v="7030687.2300000004"/>
    <n v="8.0009999999999994"/>
    <n v="531002.75"/>
    <n v="0"/>
    <n v="156122.10999999999"/>
    <x v="5"/>
    <n v="6"/>
  </r>
  <r>
    <n v="41106"/>
    <n v="3205309"/>
    <x v="77"/>
    <n v="10.878"/>
    <n v="50886513.329999998"/>
    <n v="0"/>
    <n v="50886513.329999998"/>
    <n v="664943.06000000006"/>
    <n v="6416011.8499999996"/>
    <n v="9.2110000000000003"/>
    <n v="872281.48"/>
    <n v="0"/>
    <n v="256462.8"/>
    <x v="5"/>
    <n v="6"/>
  </r>
  <r>
    <n v="41185"/>
    <n v="3200102"/>
    <x v="0"/>
    <n v="0.67100000000000004"/>
    <n v="3477855.92"/>
    <n v="0"/>
    <n v="3477855.92"/>
    <n v="35191.19"/>
    <n v="294106.17"/>
    <n v="1.004"/>
    <n v="48608.93"/>
    <n v="12224.5"/>
    <n v="15952.38"/>
    <x v="5"/>
    <n v="7"/>
  </r>
  <r>
    <n v="41186"/>
    <n v="3200169"/>
    <x v="1"/>
    <n v="0.309"/>
    <n v="1601575.94"/>
    <n v="0"/>
    <n v="1601575.94"/>
    <n v="16205.78"/>
    <n v="144284.13"/>
    <n v="0.45700000000000002"/>
    <n v="22384.73"/>
    <n v="5568.32"/>
    <n v="7346.18"/>
    <x v="5"/>
    <n v="7"/>
  </r>
  <r>
    <n v="41187"/>
    <n v="3200136"/>
    <x v="2"/>
    <n v="0.51900000000000002"/>
    <n v="2690025.64"/>
    <n v="0"/>
    <n v="2690025.64"/>
    <n v="27219.41"/>
    <n v="157375.92000000001"/>
    <n v="0.35099999999999998"/>
    <n v="37597.67"/>
    <n v="4280.8500000000004"/>
    <n v="12338.72"/>
    <x v="5"/>
    <n v="7"/>
  </r>
  <r>
    <n v="41188"/>
    <n v="3200201"/>
    <x v="3"/>
    <n v="0.41799999999999998"/>
    <n v="2166533.21"/>
    <n v="0"/>
    <n v="2166533.21"/>
    <n v="21922.38"/>
    <n v="275706.38"/>
    <n v="0.98299999999999998"/>
    <n v="30280.97"/>
    <n v="11971.83"/>
    <n v="9937.5499999999993"/>
    <x v="5"/>
    <n v="7"/>
  </r>
  <r>
    <n v="41189"/>
    <n v="3200300"/>
    <x v="4"/>
    <n v="0.442"/>
    <n v="2290927.4300000002"/>
    <n v="0"/>
    <n v="2290927.4300000002"/>
    <n v="23181.08"/>
    <n v="214685.5"/>
    <n v="0.55500000000000005"/>
    <n v="32019.59"/>
    <n v="6763.57"/>
    <n v="10508.12"/>
    <x v="5"/>
    <n v="7"/>
  </r>
  <r>
    <n v="41190"/>
    <n v="3200359"/>
    <x v="5"/>
    <n v="0.25800000000000001"/>
    <n v="1337238.19"/>
    <n v="0"/>
    <n v="1337238.19"/>
    <n v="13531.04"/>
    <n v="92548.63"/>
    <n v="0.32300000000000001"/>
    <n v="18690.16"/>
    <n v="3927.97"/>
    <n v="6133.7"/>
    <x v="5"/>
    <n v="7"/>
  </r>
  <r>
    <n v="41191"/>
    <n v="3200409"/>
    <x v="6"/>
    <n v="3.4780000000000002"/>
    <n v="18026800.050000001"/>
    <n v="0"/>
    <n v="18026800.050000001"/>
    <n v="182406.77"/>
    <n v="396198.32"/>
    <n v="1.0049999999999999"/>
    <n v="251955.04"/>
    <n v="12244.99"/>
    <n v="82686.09"/>
    <x v="5"/>
    <n v="7"/>
  </r>
  <r>
    <n v="41192"/>
    <n v="3200508"/>
    <x v="7"/>
    <n v="0.23799999999999999"/>
    <n v="1233576.33"/>
    <n v="0"/>
    <n v="1233576.33"/>
    <n v="12482.12"/>
    <n v="162765.29"/>
    <n v="0.31900000000000001"/>
    <n v="17241.310000000001"/>
    <n v="3887.45"/>
    <n v="5658.22"/>
    <x v="5"/>
    <n v="7"/>
  </r>
  <r>
    <n v="41193"/>
    <n v="3200607"/>
    <x v="8"/>
    <n v="4.4800000000000004"/>
    <n v="23220259.989999998"/>
    <n v="0"/>
    <n v="23220259.989999998"/>
    <n v="234957.55"/>
    <n v="1369092.74"/>
    <n v="2.4649999999999999"/>
    <n v="324542.44"/>
    <n v="30018.78"/>
    <n v="106507.67"/>
    <x v="5"/>
    <n v="7"/>
  </r>
  <r>
    <n v="41194"/>
    <n v="3200706"/>
    <x v="9"/>
    <n v="0.39500000000000002"/>
    <n v="2047322.03"/>
    <n v="0"/>
    <n v="2047322.03"/>
    <n v="20716.12"/>
    <n v="91982.07"/>
    <n v="0.438"/>
    <n v="28614.79"/>
    <n v="5338.8"/>
    <n v="9390.74"/>
    <x v="5"/>
    <n v="7"/>
  </r>
  <r>
    <n v="41195"/>
    <n v="3200805"/>
    <x v="10"/>
    <n v="0.54"/>
    <n v="2798870.6"/>
    <n v="0"/>
    <n v="2798870.6"/>
    <n v="28320.78"/>
    <n v="669269.53"/>
    <n v="1.0069999999999999"/>
    <n v="39118.949999999997"/>
    <n v="12261.32"/>
    <n v="12837.98"/>
    <x v="5"/>
    <n v="7"/>
  </r>
  <r>
    <n v="41196"/>
    <n v="3200904"/>
    <x v="11"/>
    <n v="0.81299999999999994"/>
    <n v="4213855.2300000004"/>
    <n v="0"/>
    <n v="4213855.2300000004"/>
    <n v="42638.5"/>
    <n v="697804.74"/>
    <n v="1.3120000000000001"/>
    <n v="58895.76"/>
    <n v="15977.26"/>
    <n v="19328.29"/>
    <x v="5"/>
    <n v="7"/>
  </r>
  <r>
    <n v="41197"/>
    <n v="3107109"/>
    <x v="12"/>
    <n v="0.48699999999999999"/>
    <n v="2524166.64"/>
    <n v="0"/>
    <n v="2524166.64"/>
    <n v="25541.14"/>
    <n v="169960.09"/>
    <n v="0.55200000000000005"/>
    <n v="35279.5"/>
    <n v="6719.93"/>
    <n v="11577.95"/>
    <x v="5"/>
    <n v="7"/>
  </r>
  <r>
    <n v="41198"/>
    <n v="3201100"/>
    <x v="13"/>
    <n v="0.247"/>
    <n v="1280224.18"/>
    <n v="0"/>
    <n v="1280224.18"/>
    <n v="12954.13"/>
    <n v="371482.86"/>
    <n v="0.435"/>
    <n v="17893.3"/>
    <n v="5301.83"/>
    <n v="5872.19"/>
    <x v="5"/>
    <n v="7"/>
  </r>
  <r>
    <n v="41199"/>
    <n v="3201159"/>
    <x v="14"/>
    <n v="0.40699999999999997"/>
    <n v="2109519.14"/>
    <n v="0"/>
    <n v="2109519.14"/>
    <n v="21345.47"/>
    <n v="198832.35"/>
    <n v="0.54600000000000004"/>
    <n v="29484.1"/>
    <n v="6655.05"/>
    <n v="9676.0300000000007"/>
    <x v="5"/>
    <n v="7"/>
  </r>
  <r>
    <n v="41200"/>
    <n v="3201209"/>
    <x v="15"/>
    <n v="2.5920000000000001"/>
    <n v="13434579.029999999"/>
    <n v="0"/>
    <n v="13434579.029999999"/>
    <n v="135939.72"/>
    <n v="2828952.03"/>
    <n v="4.298"/>
    <n v="187770.98"/>
    <n v="52346.2"/>
    <n v="61622.3"/>
    <x v="5"/>
    <n v="7"/>
  </r>
  <r>
    <n v="41201"/>
    <n v="3201308"/>
    <x v="16"/>
    <n v="8.3239999999999998"/>
    <n v="43144072.380000003"/>
    <n v="0"/>
    <n v="43144072.380000003"/>
    <n v="436559.51"/>
    <n v="3788252.97"/>
    <n v="6.4569999999999999"/>
    <n v="603011.44999999995"/>
    <n v="78646.97"/>
    <n v="197895.06"/>
    <x v="5"/>
    <n v="7"/>
  </r>
  <r>
    <n v="41202"/>
    <n v="3201407"/>
    <x v="17"/>
    <n v="0.80700000000000005"/>
    <n v="4182756.66"/>
    <n v="0"/>
    <n v="4182756.66"/>
    <n v="42323.83"/>
    <n v="597936.11"/>
    <n v="1.1639999999999999"/>
    <n v="58461.1"/>
    <n v="14182.23"/>
    <n v="19185.650000000001"/>
    <x v="5"/>
    <n v="7"/>
  </r>
  <r>
    <n v="41203"/>
    <n v="3201506"/>
    <x v="18"/>
    <n v="2.0139999999999998"/>
    <n v="10438750.800000001"/>
    <n v="0"/>
    <n v="10438750.800000001"/>
    <n v="105626"/>
    <n v="2000817.47"/>
    <n v="2.86"/>
    <n v="145899.21"/>
    <n v="34836.06"/>
    <n v="47880.9"/>
    <x v="5"/>
    <n v="7"/>
  </r>
  <r>
    <n v="41204"/>
    <n v="3201605"/>
    <x v="19"/>
    <n v="0.60099999999999998"/>
    <n v="3115039.35"/>
    <n v="0"/>
    <n v="3115039.35"/>
    <n v="31519.97"/>
    <n v="274817.51"/>
    <n v="0.94399999999999995"/>
    <n v="43537.95"/>
    <n v="11498.38"/>
    <n v="14288.19"/>
    <x v="5"/>
    <n v="7"/>
  </r>
  <r>
    <n v="41205"/>
    <n v="3201704"/>
    <x v="20"/>
    <n v="0.371"/>
    <n v="1922927.79"/>
    <n v="0"/>
    <n v="1922927.79"/>
    <n v="19457.419999999998"/>
    <n v="122282.15"/>
    <n v="0.45600000000000002"/>
    <n v="26876.17"/>
    <n v="5551.83"/>
    <n v="8820.17"/>
    <x v="5"/>
    <n v="7"/>
  </r>
  <r>
    <n v="41206"/>
    <n v="3201803"/>
    <x v="21"/>
    <n v="0.187"/>
    <n v="969238.53"/>
    <n v="0"/>
    <n v="969238.53"/>
    <n v="9807.3799999999992"/>
    <n v="45067.68"/>
    <n v="0.29299999999999998"/>
    <n v="13546.74"/>
    <n v="3573.47"/>
    <n v="4445.74"/>
    <x v="5"/>
    <n v="7"/>
  </r>
  <r>
    <n v="41207"/>
    <n v="3201902"/>
    <x v="22"/>
    <n v="1.0620000000000001"/>
    <n v="5504445.5700000003"/>
    <n v="0"/>
    <n v="5504445.5700000003"/>
    <n v="55697.53"/>
    <n v="501476.99"/>
    <n v="1.147"/>
    <n v="76933.94"/>
    <n v="13970.83"/>
    <n v="25248.02"/>
    <x v="5"/>
    <n v="7"/>
  </r>
  <r>
    <n v="41208"/>
    <n v="3202009"/>
    <x v="23"/>
    <n v="0.34899999999999998"/>
    <n v="1808899.74"/>
    <n v="0"/>
    <n v="1808899.74"/>
    <n v="18303.61"/>
    <n v="160035.18"/>
    <n v="0.312"/>
    <n v="25282.44"/>
    <n v="3800.01"/>
    <n v="8297.14"/>
    <x v="5"/>
    <n v="7"/>
  </r>
  <r>
    <n v="41209"/>
    <n v="3202108"/>
    <x v="24"/>
    <n v="0.57099999999999995"/>
    <n v="2959546.53"/>
    <n v="0"/>
    <n v="2959546.53"/>
    <n v="29946.6"/>
    <n v="223677.56"/>
    <n v="0.79200000000000004"/>
    <n v="41364.68"/>
    <n v="9642.5400000000009"/>
    <n v="13574.97"/>
    <x v="5"/>
    <n v="7"/>
  </r>
  <r>
    <n v="41210"/>
    <n v="3202207"/>
    <x v="25"/>
    <n v="0.36799999999999999"/>
    <n v="1907378.51"/>
    <n v="0"/>
    <n v="1907378.51"/>
    <n v="19300.080000000002"/>
    <n v="173879.92"/>
    <n v="0.68600000000000005"/>
    <n v="26658.85"/>
    <n v="8350.2999999999993"/>
    <n v="8748.84"/>
    <x v="5"/>
    <n v="7"/>
  </r>
  <r>
    <n v="41211"/>
    <n v="3202256"/>
    <x v="26"/>
    <n v="0.53100000000000003"/>
    <n v="2752222.78"/>
    <n v="0"/>
    <n v="2752222.78"/>
    <n v="27848.76"/>
    <n v="202359.13"/>
    <n v="0.44400000000000001"/>
    <n v="38466.97"/>
    <n v="5406.2"/>
    <n v="12624.01"/>
    <x v="5"/>
    <n v="7"/>
  </r>
  <r>
    <n v="41212"/>
    <n v="3202306"/>
    <x v="27"/>
    <n v="0.36699999999999999"/>
    <n v="1902195.4"/>
    <n v="0"/>
    <n v="1902195.4"/>
    <n v="19247.64"/>
    <n v="439451.74"/>
    <n v="0.99"/>
    <n v="26586.41"/>
    <n v="12052.89"/>
    <n v="8725.07"/>
    <x v="5"/>
    <n v="7"/>
  </r>
  <r>
    <n v="41213"/>
    <n v="3202405"/>
    <x v="28"/>
    <n v="0.79"/>
    <n v="4094644.09"/>
    <n v="0"/>
    <n v="4094644.09"/>
    <n v="41432.25"/>
    <n v="2593676.8199999998"/>
    <n v="3.0129999999999999"/>
    <n v="57229.58"/>
    <n v="36700.57"/>
    <n v="18781.490000000002"/>
    <x v="5"/>
    <n v="7"/>
  </r>
  <r>
    <n v="41214"/>
    <n v="3202454"/>
    <x v="29"/>
    <n v="0.33900000000000002"/>
    <n v="1757068.81"/>
    <n v="0"/>
    <n v="1757068.81"/>
    <n v="17779.150000000001"/>
    <n v="484316.41"/>
    <n v="0.86499999999999999"/>
    <n v="24558.01"/>
    <n v="10535.77"/>
    <n v="8059.4"/>
    <x v="5"/>
    <n v="7"/>
  </r>
  <r>
    <n v="41215"/>
    <n v="3202504"/>
    <x v="30"/>
    <n v="0.307"/>
    <n v="1591209.77"/>
    <n v="0"/>
    <n v="1591209.77"/>
    <n v="16100.88"/>
    <n v="156209.51"/>
    <n v="0.45400000000000001"/>
    <n v="22239.85"/>
    <n v="5524.07"/>
    <n v="7298.63"/>
    <x v="5"/>
    <n v="7"/>
  </r>
  <r>
    <n v="41216"/>
    <n v="3202553"/>
    <x v="31"/>
    <n v="0.28399999999999997"/>
    <n v="1471998.63"/>
    <n v="0"/>
    <n v="1471998.63"/>
    <n v="14894.63"/>
    <n v="99858.87"/>
    <n v="0.35"/>
    <n v="20573.669999999998"/>
    <n v="4258.4399999999996"/>
    <n v="6751.83"/>
    <x v="5"/>
    <n v="7"/>
  </r>
  <r>
    <n v="41217"/>
    <n v="3202603"/>
    <x v="32"/>
    <n v="0.314"/>
    <n v="1627491.43"/>
    <n v="0"/>
    <n v="1627491.43"/>
    <n v="16468.009999999998"/>
    <n v="213595.79"/>
    <n v="0.52"/>
    <n v="22746.94"/>
    <n v="6330.05"/>
    <n v="7465.05"/>
    <x v="5"/>
    <n v="7"/>
  </r>
  <r>
    <n v="41218"/>
    <n v="3202652"/>
    <x v="33"/>
    <n v="0.316"/>
    <n v="1637857.63"/>
    <n v="0"/>
    <n v="1637857.63"/>
    <n v="16572.900000000001"/>
    <n v="247054.3"/>
    <n v="0.55700000000000005"/>
    <n v="22891.84"/>
    <n v="6784.36"/>
    <n v="7512.59"/>
    <x v="5"/>
    <n v="7"/>
  </r>
  <r>
    <n v="41219"/>
    <n v="3202702"/>
    <x v="34"/>
    <n v="0.40400000000000003"/>
    <n v="2093969.87"/>
    <n v="0"/>
    <n v="2093969.87"/>
    <n v="21188.14"/>
    <n v="134431.18"/>
    <n v="0.55200000000000005"/>
    <n v="29266.77"/>
    <n v="6717.84"/>
    <n v="9604.7099999999991"/>
    <x v="5"/>
    <n v="7"/>
  </r>
  <r>
    <n v="41220"/>
    <n v="3202801"/>
    <x v="35"/>
    <n v="3.4060000000000001"/>
    <n v="17653617.32"/>
    <n v="0"/>
    <n v="17653617.32"/>
    <n v="178630.67"/>
    <n v="400754.98"/>
    <n v="1.2130000000000001"/>
    <n v="246739.19"/>
    <n v="14771.01"/>
    <n v="80974.36"/>
    <x v="5"/>
    <n v="7"/>
  </r>
  <r>
    <n v="41221"/>
    <n v="3202900"/>
    <x v="36"/>
    <n v="0.39200000000000002"/>
    <n v="2031772.76"/>
    <n v="0"/>
    <n v="2031772.76"/>
    <n v="20558.78"/>
    <n v="173424.18"/>
    <n v="0.438"/>
    <n v="28397.47"/>
    <n v="5334.5"/>
    <n v="9319.42"/>
    <x v="5"/>
    <n v="7"/>
  </r>
  <r>
    <n v="41222"/>
    <n v="3203007"/>
    <x v="37"/>
    <n v="0.5"/>
    <n v="2591546.88"/>
    <n v="0"/>
    <n v="2591546.88"/>
    <n v="26222.94"/>
    <n v="381823.8"/>
    <n v="0.90300000000000002"/>
    <n v="36221.26"/>
    <n v="11001.33"/>
    <n v="11887.02"/>
    <x v="5"/>
    <n v="7"/>
  </r>
  <r>
    <n v="41223"/>
    <n v="3203056"/>
    <x v="38"/>
    <n v="1.109"/>
    <n v="5748050.9500000002"/>
    <n v="0"/>
    <n v="5748050.9500000002"/>
    <n v="58162.48"/>
    <n v="437537.4"/>
    <n v="0.98899999999999999"/>
    <n v="80338.740000000005"/>
    <n v="12044.28"/>
    <n v="26365.4"/>
    <x v="5"/>
    <n v="7"/>
  </r>
  <r>
    <n v="41224"/>
    <n v="3203106"/>
    <x v="39"/>
    <n v="0.216"/>
    <n v="1119548.25"/>
    <n v="0"/>
    <n v="1119548.25"/>
    <n v="11328.31"/>
    <n v="86667.1"/>
    <n v="0.45100000000000001"/>
    <n v="15647.59"/>
    <n v="5497.05"/>
    <n v="5135.1899999999996"/>
    <x v="5"/>
    <n v="7"/>
  </r>
  <r>
    <n v="41225"/>
    <n v="3203130"/>
    <x v="40"/>
    <n v="0.376"/>
    <n v="1948843.23"/>
    <n v="0"/>
    <n v="1948843.23"/>
    <n v="19719.650000000001"/>
    <n v="191889.81"/>
    <n v="0.61499999999999999"/>
    <n v="27238.38"/>
    <n v="7490.38"/>
    <n v="8939.0400000000009"/>
    <x v="5"/>
    <n v="7"/>
  </r>
  <r>
    <n v="41226"/>
    <n v="3203163"/>
    <x v="41"/>
    <n v="0.42799999999999999"/>
    <n v="2218364.12"/>
    <n v="0"/>
    <n v="2218364.12"/>
    <n v="22446.84"/>
    <n v="108857.73"/>
    <n v="0.44500000000000001"/>
    <n v="31005.39"/>
    <n v="5421.79"/>
    <n v="10175.290000000001"/>
    <x v="5"/>
    <n v="7"/>
  </r>
  <r>
    <n v="41227"/>
    <n v="3203205"/>
    <x v="42"/>
    <n v="4.431"/>
    <n v="22966288.399999999"/>
    <n v="0"/>
    <n v="22966288.399999999"/>
    <n v="232387.7"/>
    <n v="2850703.05"/>
    <n v="4.0979999999999999"/>
    <n v="320992.76"/>
    <n v="49909.87"/>
    <n v="105342.75"/>
    <x v="5"/>
    <n v="7"/>
  </r>
  <r>
    <n v="41228"/>
    <n v="3203304"/>
    <x v="43"/>
    <n v="0.314"/>
    <n v="1627491.43"/>
    <n v="0"/>
    <n v="1627491.43"/>
    <n v="16468.009999999998"/>
    <n v="219384.31"/>
    <n v="0.52400000000000002"/>
    <n v="22746.94"/>
    <n v="6386.46"/>
    <n v="7465.05"/>
    <x v="5"/>
    <n v="7"/>
  </r>
  <r>
    <n v="41229"/>
    <n v="3203320"/>
    <x v="44"/>
    <n v="0.58499999999999996"/>
    <n v="3032109.85"/>
    <n v="0"/>
    <n v="3032109.85"/>
    <n v="30680.84"/>
    <n v="511145.14"/>
    <n v="1.3140000000000001"/>
    <n v="42378.87"/>
    <n v="16002.2"/>
    <n v="13907.81"/>
    <x v="5"/>
    <n v="7"/>
  </r>
  <r>
    <n v="41230"/>
    <n v="3203346"/>
    <x v="45"/>
    <n v="0.55500000000000005"/>
    <n v="2876617.01"/>
    <n v="0"/>
    <n v="2876617.01"/>
    <n v="29107.46"/>
    <n v="235240.23"/>
    <n v="0.68500000000000005"/>
    <n v="40205.589999999997"/>
    <n v="8338.2800000000007"/>
    <n v="13194.59"/>
    <x v="5"/>
    <n v="7"/>
  </r>
  <r>
    <n v="41231"/>
    <n v="3203353"/>
    <x v="46"/>
    <n v="0.505"/>
    <n v="2617462.33"/>
    <n v="0"/>
    <n v="2617462.33"/>
    <n v="26485.17"/>
    <n v="196494.95"/>
    <n v="0.46300000000000002"/>
    <n v="36583.47"/>
    <n v="5635.86"/>
    <n v="12005.89"/>
    <x v="5"/>
    <n v="7"/>
  </r>
  <r>
    <n v="41232"/>
    <n v="3203403"/>
    <x v="47"/>
    <n v="0.46899999999999997"/>
    <n v="2430870.9700000002"/>
    <n v="0"/>
    <n v="2430870.9700000002"/>
    <n v="24597.119999999999"/>
    <n v="253984.83"/>
    <n v="0.83899999999999997"/>
    <n v="33975.54"/>
    <n v="10219.709999999999"/>
    <n v="11150.02"/>
    <x v="5"/>
    <n v="7"/>
  </r>
  <r>
    <n v="41233"/>
    <n v="3203502"/>
    <x v="48"/>
    <n v="0.51500000000000001"/>
    <n v="2669293.2999999998"/>
    <n v="0"/>
    <n v="2669293.2999999998"/>
    <n v="27009.63"/>
    <n v="288043.2"/>
    <n v="0.69699999999999995"/>
    <n v="37307.89"/>
    <n v="8488.08"/>
    <n v="12243.63"/>
    <x v="5"/>
    <n v="7"/>
  </r>
  <r>
    <n v="41234"/>
    <n v="3203601"/>
    <x v="49"/>
    <n v="0.30599999999999999"/>
    <n v="1586026.67"/>
    <n v="0"/>
    <n v="1586026.67"/>
    <n v="16048.44"/>
    <n v="68368.009999999995"/>
    <n v="0.29699999999999999"/>
    <n v="22167.41"/>
    <n v="3618.14"/>
    <n v="7274.85"/>
    <x v="5"/>
    <n v="7"/>
  </r>
  <r>
    <n v="41235"/>
    <n v="3203700"/>
    <x v="50"/>
    <n v="0.505"/>
    <n v="2617462.33"/>
    <n v="0"/>
    <n v="2617462.33"/>
    <n v="26485.17"/>
    <n v="171494.22"/>
    <n v="0.68500000000000005"/>
    <n v="36583.47"/>
    <n v="8348.3799999999992"/>
    <n v="12005.89"/>
    <x v="5"/>
    <n v="7"/>
  </r>
  <r>
    <n v="41236"/>
    <n v="3203809"/>
    <x v="51"/>
    <n v="0.32"/>
    <n v="1658590"/>
    <n v="0"/>
    <n v="1658590"/>
    <n v="16782.68"/>
    <n v="130160.26"/>
    <n v="0.55300000000000005"/>
    <n v="23181.61"/>
    <n v="6739.82"/>
    <n v="7607.69"/>
    <x v="5"/>
    <n v="7"/>
  </r>
  <r>
    <n v="41237"/>
    <n v="3203908"/>
    <x v="52"/>
    <n v="1.2250000000000001"/>
    <n v="6349289.8399999999"/>
    <n v="0"/>
    <n v="6349289.8399999999"/>
    <n v="64246.2"/>
    <n v="762350.98"/>
    <n v="1.4710000000000001"/>
    <n v="88742.080000000002"/>
    <n v="17917.759999999998"/>
    <n v="29123.19"/>
    <x v="5"/>
    <n v="7"/>
  </r>
  <r>
    <n v="41238"/>
    <n v="3204005"/>
    <x v="53"/>
    <n v="0.435"/>
    <n v="2254645.77"/>
    <n v="0"/>
    <n v="2254645.77"/>
    <n v="22813.96"/>
    <n v="215598.52"/>
    <n v="0.69099999999999995"/>
    <n v="31512.49"/>
    <n v="8416.5300000000007"/>
    <n v="10341.700000000001"/>
    <x v="5"/>
    <n v="7"/>
  </r>
  <r>
    <n v="41239"/>
    <n v="3204054"/>
    <x v="54"/>
    <n v="0.33400000000000002"/>
    <n v="1731153.3"/>
    <n v="0"/>
    <n v="1731153.3"/>
    <n v="17516.919999999998"/>
    <n v="247292.63"/>
    <n v="0.78400000000000003"/>
    <n v="24195.8"/>
    <n v="9550.2000000000007"/>
    <n v="7940.53"/>
    <x v="5"/>
    <n v="7"/>
  </r>
  <r>
    <n v="41240"/>
    <n v="3204104"/>
    <x v="55"/>
    <n v="0.755"/>
    <n v="3913235.79"/>
    <n v="0"/>
    <n v="3913235.79"/>
    <n v="39596.639999999999"/>
    <n v="260716.79"/>
    <n v="0.83499999999999996"/>
    <n v="54694.09"/>
    <n v="10167.17"/>
    <n v="17949.400000000001"/>
    <x v="5"/>
    <n v="7"/>
  </r>
  <r>
    <n v="41241"/>
    <n v="3204203"/>
    <x v="56"/>
    <n v="0.36499999999999999"/>
    <n v="1891829.23"/>
    <n v="0"/>
    <n v="1891829.23"/>
    <n v="19142.75"/>
    <n v="383309.56"/>
    <n v="0.745"/>
    <n v="26441.52"/>
    <n v="9071.51"/>
    <n v="8677.52"/>
    <x v="5"/>
    <n v="7"/>
  </r>
  <r>
    <n v="41242"/>
    <n v="3204252"/>
    <x v="57"/>
    <n v="0.27"/>
    <n v="1399435.33"/>
    <n v="0"/>
    <n v="1399435.33"/>
    <n v="14160.39"/>
    <n v="75828.27"/>
    <n v="0.31"/>
    <n v="19559.48"/>
    <n v="3771.95"/>
    <n v="6418.99"/>
    <x v="5"/>
    <n v="7"/>
  </r>
  <r>
    <n v="41243"/>
    <n v="1718402"/>
    <x v="58"/>
    <n v="0.39100000000000001"/>
    <n v="2026589.68"/>
    <n v="0"/>
    <n v="2026589.68"/>
    <n v="20506.34"/>
    <n v="234317.03"/>
    <n v="0.55900000000000005"/>
    <n v="28325.03"/>
    <n v="6804.25"/>
    <n v="9295.65"/>
    <x v="5"/>
    <n v="7"/>
  </r>
  <r>
    <n v="41244"/>
    <n v="3204351"/>
    <x v="59"/>
    <n v="0.88200000000000001"/>
    <n v="4571488.6900000004"/>
    <n v="0"/>
    <n v="4571488.6900000004"/>
    <n v="46257.27"/>
    <n v="334560.96999999997"/>
    <n v="0.70299999999999996"/>
    <n v="63894.29"/>
    <n v="8558.89"/>
    <n v="20968.7"/>
    <x v="5"/>
    <n v="7"/>
  </r>
  <r>
    <n v="41245"/>
    <n v="3204401"/>
    <x v="60"/>
    <n v="0.312"/>
    <n v="1617125.25"/>
    <n v="0"/>
    <n v="1617125.25"/>
    <n v="16363.12"/>
    <n v="124976.66"/>
    <n v="0.44400000000000001"/>
    <n v="22602.06"/>
    <n v="5407.98"/>
    <n v="7417.5"/>
    <x v="5"/>
    <n v="7"/>
  </r>
  <r>
    <n v="41246"/>
    <n v="3204500"/>
    <x v="61"/>
    <n v="0.51800000000000002"/>
    <n v="2684842.57"/>
    <n v="0"/>
    <n v="2684842.57"/>
    <n v="27166.97"/>
    <n v="87487.47"/>
    <n v="0.54800000000000004"/>
    <n v="37525.22"/>
    <n v="6670.64"/>
    <n v="12314.95"/>
    <x v="5"/>
    <n v="7"/>
  </r>
  <r>
    <n v="41247"/>
    <n v="3204559"/>
    <x v="62"/>
    <n v="2.1909999999999998"/>
    <n v="11356158.42"/>
    <n v="0"/>
    <n v="11356158.42"/>
    <n v="114908.92"/>
    <n v="710731.41"/>
    <n v="1.31"/>
    <n v="158721.54"/>
    <n v="15949.35"/>
    <n v="52088.91"/>
    <x v="5"/>
    <n v="7"/>
  </r>
  <r>
    <n v="41248"/>
    <n v="3204609"/>
    <x v="63"/>
    <n v="0.66"/>
    <n v="3420841.87"/>
    <n v="0"/>
    <n v="3420841.87"/>
    <n v="34614.28"/>
    <n v="375488.34"/>
    <n v="0.82199999999999995"/>
    <n v="47812.05"/>
    <n v="10014.39"/>
    <n v="15690.86"/>
    <x v="5"/>
    <n v="7"/>
  </r>
  <r>
    <n v="41249"/>
    <n v="3204658"/>
    <x v="64"/>
    <n v="0.42099999999999999"/>
    <n v="2182082.4900000002"/>
    <n v="0"/>
    <n v="2182082.4900000002"/>
    <n v="22079.72"/>
    <n v="123992.4"/>
    <n v="0.33800000000000002"/>
    <n v="30498.3"/>
    <n v="4115.17"/>
    <n v="10008.870000000001"/>
    <x v="5"/>
    <n v="7"/>
  </r>
  <r>
    <n v="41250"/>
    <n v="3204708"/>
    <x v="65"/>
    <n v="0.72299999999999998"/>
    <n v="3747376.8"/>
    <n v="0"/>
    <n v="3747376.8"/>
    <n v="37918.370000000003"/>
    <n v="477840.68"/>
    <n v="1.0840000000000001"/>
    <n v="52375.94"/>
    <n v="13201.91"/>
    <n v="17188.63"/>
    <x v="5"/>
    <n v="7"/>
  </r>
  <r>
    <n v="41251"/>
    <n v="3204807"/>
    <x v="66"/>
    <n v="0.28599999999999998"/>
    <n v="1482364.83"/>
    <n v="0"/>
    <n v="1482364.83"/>
    <n v="14999.52"/>
    <n v="98954.71"/>
    <n v="0.443"/>
    <n v="20718.55"/>
    <n v="5392.24"/>
    <n v="6799.37"/>
    <x v="5"/>
    <n v="7"/>
  </r>
  <r>
    <n v="41252"/>
    <n v="3204906"/>
    <x v="67"/>
    <n v="1.998"/>
    <n v="10355821.32"/>
    <n v="0"/>
    <n v="10355821.32"/>
    <n v="104786.87"/>
    <n v="1797011.69"/>
    <n v="2.9940000000000002"/>
    <n v="144740.14000000001"/>
    <n v="36465.269999999997"/>
    <n v="47500.52"/>
    <x v="5"/>
    <n v="7"/>
  </r>
  <r>
    <n v="41253"/>
    <n v="3204955"/>
    <x v="68"/>
    <n v="0.3"/>
    <n v="1554928.13"/>
    <n v="0"/>
    <n v="1554928.13"/>
    <n v="15733.76"/>
    <n v="121598.71"/>
    <n v="0.441"/>
    <n v="21732.75"/>
    <n v="5377.1"/>
    <n v="7132.21"/>
    <x v="5"/>
    <n v="7"/>
  </r>
  <r>
    <n v="41254"/>
    <n v="3205002"/>
    <x v="69"/>
    <n v="14.551"/>
    <n v="75419197.170000002"/>
    <n v="0"/>
    <n v="75419197.170000002"/>
    <n v="763140.01"/>
    <n v="6318158.2400000002"/>
    <n v="8.8559999999999999"/>
    <n v="1054110.96"/>
    <n v="107861.47"/>
    <n v="345935.97"/>
    <x v="5"/>
    <n v="7"/>
  </r>
  <r>
    <n v="41255"/>
    <n v="3205010"/>
    <x v="70"/>
    <n v="0.78200000000000003"/>
    <n v="4053179.3"/>
    <n v="0"/>
    <n v="4053179.3"/>
    <n v="41012.68"/>
    <n v="315311.71000000002"/>
    <n v="0.93799999999999994"/>
    <n v="56650.04"/>
    <n v="11424.16"/>
    <n v="18591.29"/>
    <x v="5"/>
    <n v="7"/>
  </r>
  <r>
    <n v="41256"/>
    <n v="3205036"/>
    <x v="71"/>
    <n v="0.45700000000000002"/>
    <n v="2368673.8199999998"/>
    <n v="0"/>
    <n v="2368673.8199999998"/>
    <n v="23967.77"/>
    <n v="239061.66"/>
    <n v="0.70399999999999996"/>
    <n v="33106.230000000003"/>
    <n v="8577.2999999999993"/>
    <n v="10864.73"/>
    <x v="5"/>
    <n v="7"/>
  </r>
  <r>
    <n v="41257"/>
    <n v="3205069"/>
    <x v="72"/>
    <n v="0.67"/>
    <n v="3472672.82"/>
    <n v="0"/>
    <n v="3472672.82"/>
    <n v="35138.74"/>
    <n v="419769.31"/>
    <n v="0.83899999999999997"/>
    <n v="48536.480000000003"/>
    <n v="10218.08"/>
    <n v="15928.6"/>
    <x v="5"/>
    <n v="7"/>
  </r>
  <r>
    <n v="41258"/>
    <n v="2112803"/>
    <x v="73"/>
    <n v="3.3740000000000001"/>
    <n v="17487758.300000001"/>
    <n v="0"/>
    <n v="17487758.300000001"/>
    <n v="176952.4"/>
    <n v="701206.8"/>
    <n v="1.944"/>
    <n v="244421.03"/>
    <n v="23682.69"/>
    <n v="80213.59"/>
    <x v="5"/>
    <n v="7"/>
  </r>
  <r>
    <n v="41259"/>
    <n v="3205150"/>
    <x v="74"/>
    <n v="0.36799999999999999"/>
    <n v="1907378.51"/>
    <n v="0"/>
    <n v="1907378.51"/>
    <n v="19300.080000000002"/>
    <n v="103504.92"/>
    <n v="0.34100000000000003"/>
    <n v="26658.85"/>
    <n v="4158.2299999999996"/>
    <n v="8748.84"/>
    <x v="5"/>
    <n v="7"/>
  </r>
  <r>
    <n v="41260"/>
    <n v="3205176"/>
    <x v="75"/>
    <n v="0.7"/>
    <n v="3628165.63"/>
    <n v="0"/>
    <n v="3628165.63"/>
    <n v="36712.120000000003"/>
    <n v="283181.49"/>
    <n v="0.55400000000000005"/>
    <n v="50709.760000000002"/>
    <n v="6747.23"/>
    <n v="16641.82"/>
    <x v="5"/>
    <n v="7"/>
  </r>
  <r>
    <n v="41261"/>
    <n v="3205200"/>
    <x v="76"/>
    <n v="6.6219999999999999"/>
    <n v="34322446.799999997"/>
    <n v="0"/>
    <n v="34322446.799999997"/>
    <n v="347296.62"/>
    <n v="7362924.9000000004"/>
    <n v="8.01"/>
    <n v="479714.29"/>
    <n v="97562.34"/>
    <n v="157431.65"/>
    <x v="5"/>
    <n v="7"/>
  </r>
  <r>
    <n v="41262"/>
    <n v="3205309"/>
    <x v="77"/>
    <n v="10.878"/>
    <n v="56381693.880000003"/>
    <n v="0"/>
    <n v="56381693.880000003"/>
    <n v="570506.29"/>
    <n v="6647429.5999999996"/>
    <n v="9.1780000000000008"/>
    <n v="788029.64"/>
    <n v="111789.3"/>
    <n v="258613.96"/>
    <x v="5"/>
    <n v="7"/>
  </r>
  <r>
    <n v="41263"/>
    <n v="3200102"/>
    <x v="0"/>
    <n v="0.67100000000000004"/>
    <n v="3171632.95"/>
    <n v="0"/>
    <n v="3171632.95"/>
    <n v="38872.67"/>
    <n v="262000.64000000001"/>
    <n v="1.004"/>
    <n v="60641.77"/>
    <n v="0"/>
    <n v="16087.49"/>
    <x v="5"/>
    <n v="8"/>
  </r>
  <r>
    <n v="41264"/>
    <n v="3200169"/>
    <x v="1"/>
    <n v="0.309"/>
    <n v="1460558.25"/>
    <n v="0"/>
    <n v="1460558.25"/>
    <n v="17901.13"/>
    <n v="99209.94"/>
    <n v="0.45700000000000002"/>
    <n v="27925.95"/>
    <n v="0"/>
    <n v="7408.4"/>
    <x v="5"/>
    <n v="8"/>
  </r>
  <r>
    <n v="41265"/>
    <n v="3200136"/>
    <x v="2"/>
    <n v="0.51900000000000002"/>
    <n v="2453170.63"/>
    <n v="0"/>
    <n v="2453170.63"/>
    <n v="30066.94"/>
    <n v="105676.11"/>
    <n v="0.35099999999999998"/>
    <n v="46904.74"/>
    <n v="0"/>
    <n v="12443.23"/>
    <x v="5"/>
    <n v="8"/>
  </r>
  <r>
    <n v="41266"/>
    <n v="3200201"/>
    <x v="3"/>
    <n v="0.41799999999999998"/>
    <n v="1975771.33"/>
    <n v="0"/>
    <n v="1975771.33"/>
    <n v="24215.759999999998"/>
    <n v="226814.97"/>
    <n v="0.98299999999999998"/>
    <n v="37776.839999999997"/>
    <n v="0"/>
    <n v="10021.719999999999"/>
    <x v="5"/>
    <n v="8"/>
  </r>
  <r>
    <n v="41267"/>
    <n v="3200300"/>
    <x v="4"/>
    <n v="0.442"/>
    <n v="2089212.75"/>
    <n v="0"/>
    <n v="2089212.75"/>
    <n v="25606.14"/>
    <n v="172000.9"/>
    <n v="0.55500000000000005"/>
    <n v="39945.85"/>
    <n v="0"/>
    <n v="10597.13"/>
    <x v="5"/>
    <n v="8"/>
  </r>
  <r>
    <n v="41268"/>
    <n v="3200359"/>
    <x v="5"/>
    <n v="0.25800000000000001"/>
    <n v="1219495.22"/>
    <n v="0"/>
    <n v="1219495.22"/>
    <n v="14946.57"/>
    <n v="99029.9"/>
    <n v="0.32300000000000001"/>
    <n v="23316.799999999999"/>
    <n v="0"/>
    <n v="6185.65"/>
    <x v="5"/>
    <n v="8"/>
  </r>
  <r>
    <n v="41269"/>
    <n v="3200409"/>
    <x v="6"/>
    <n v="3.4780000000000002"/>
    <n v="16439551.960000001"/>
    <n v="0"/>
    <n v="16439551.960000001"/>
    <n v="201489.06"/>
    <n v="350240.85"/>
    <n v="1.0049999999999999"/>
    <n v="314325.02"/>
    <n v="0"/>
    <n v="83386.44"/>
    <x v="5"/>
    <n v="8"/>
  </r>
  <r>
    <n v="41270"/>
    <n v="3200508"/>
    <x v="7"/>
    <n v="0.23799999999999999"/>
    <n v="1124960.73"/>
    <n v="0"/>
    <n v="1124960.73"/>
    <n v="13787.92"/>
    <n v="129240.35"/>
    <n v="0.31900000000000001"/>
    <n v="21509.3"/>
    <n v="0"/>
    <n v="5706.15"/>
    <x v="5"/>
    <n v="8"/>
  </r>
  <r>
    <n v="41271"/>
    <n v="3200607"/>
    <x v="8"/>
    <n v="4.4800000000000004"/>
    <n v="21175731.100000001"/>
    <n v="0"/>
    <n v="21175731.100000001"/>
    <n v="259537.37"/>
    <n v="1263546.24"/>
    <n v="2.4649999999999999"/>
    <n v="404880.98"/>
    <n v="0"/>
    <n v="107409.79"/>
    <x v="5"/>
    <n v="8"/>
  </r>
  <r>
    <n v="41272"/>
    <n v="3200706"/>
    <x v="9"/>
    <n v="0.39500000000000002"/>
    <n v="1867056.63"/>
    <n v="0"/>
    <n v="1867056.63"/>
    <n v="22883.32"/>
    <n v="86674.85"/>
    <n v="0.438"/>
    <n v="35698.21"/>
    <n v="0"/>
    <n v="9470.2800000000007"/>
    <x v="5"/>
    <n v="8"/>
  </r>
  <r>
    <n v="41273"/>
    <n v="3200805"/>
    <x v="10"/>
    <n v="0.54"/>
    <n v="2552431.87"/>
    <n v="0"/>
    <n v="2552431.87"/>
    <n v="31283.52"/>
    <n v="616995.64"/>
    <n v="1.0069999999999999"/>
    <n v="48802.61"/>
    <n v="0"/>
    <n v="12946.72"/>
    <x v="5"/>
    <n v="8"/>
  </r>
  <r>
    <n v="41274"/>
    <n v="3200904"/>
    <x v="11"/>
    <n v="0.81299999999999994"/>
    <n v="3842827.99"/>
    <n v="0"/>
    <n v="3842827.99"/>
    <n v="47099.08"/>
    <n v="582142.78"/>
    <n v="1.3120000000000001"/>
    <n v="73475.06"/>
    <n v="0"/>
    <n v="19492"/>
    <x v="5"/>
    <n v="8"/>
  </r>
  <r>
    <n v="41275"/>
    <n v="3107109"/>
    <x v="12"/>
    <n v="0.48699999999999999"/>
    <n v="2301915.44"/>
    <n v="0"/>
    <n v="2301915.44"/>
    <n v="28213.1"/>
    <n v="157341.51999999999"/>
    <n v="0.55200000000000005"/>
    <n v="44012.73"/>
    <n v="0"/>
    <n v="11676.02"/>
    <x v="5"/>
    <n v="8"/>
  </r>
  <r>
    <n v="41276"/>
    <n v="3201100"/>
    <x v="13"/>
    <n v="0.247"/>
    <n v="1167501.23"/>
    <n v="0"/>
    <n v="1167501.23"/>
    <n v="14309.32"/>
    <n v="357467.18"/>
    <n v="0.435"/>
    <n v="22322.68"/>
    <n v="0"/>
    <n v="5921.92"/>
    <x v="5"/>
    <n v="8"/>
  </r>
  <r>
    <n v="41277"/>
    <n v="3201159"/>
    <x v="14"/>
    <n v="0.40699999999999997"/>
    <n v="1923777.37"/>
    <n v="0"/>
    <n v="1923777.37"/>
    <n v="23578.51"/>
    <n v="136754.21"/>
    <n v="0.54600000000000004"/>
    <n v="36782.71"/>
    <n v="0"/>
    <n v="9757.99"/>
    <x v="5"/>
    <n v="8"/>
  </r>
  <r>
    <n v="41278"/>
    <n v="3201209"/>
    <x v="15"/>
    <n v="2.5920000000000001"/>
    <n v="12251672.99"/>
    <n v="0"/>
    <n v="12251672.99"/>
    <n v="150160.91"/>
    <n v="2505148.77"/>
    <n v="4.298"/>
    <n v="234252.57"/>
    <n v="0"/>
    <n v="62144.24"/>
    <x v="5"/>
    <n v="8"/>
  </r>
  <r>
    <n v="41279"/>
    <n v="3201308"/>
    <x v="16"/>
    <n v="8.3239999999999998"/>
    <n v="39345264.670000002"/>
    <n v="0"/>
    <n v="39345264.670000002"/>
    <n v="482229.7"/>
    <n v="3641379.28"/>
    <n v="6.4569999999999999"/>
    <n v="752283.33"/>
    <n v="0"/>
    <n v="199571.23"/>
    <x v="5"/>
    <n v="8"/>
  </r>
  <r>
    <n v="41280"/>
    <n v="3201407"/>
    <x v="17"/>
    <n v="0.80700000000000005"/>
    <n v="3814467.64"/>
    <n v="0"/>
    <n v="3814467.64"/>
    <n v="46751.49"/>
    <n v="653337.59"/>
    <n v="1.1639999999999999"/>
    <n v="72932.800000000003"/>
    <n v="0"/>
    <n v="19348.150000000001"/>
    <x v="5"/>
    <n v="8"/>
  </r>
  <r>
    <n v="41281"/>
    <n v="3201506"/>
    <x v="18"/>
    <n v="2.0139999999999998"/>
    <n v="9519625.5399999991"/>
    <n v="0"/>
    <n v="9519625.5399999991"/>
    <n v="116675.95"/>
    <n v="1764063.5"/>
    <n v="2.86"/>
    <n v="182015.69"/>
    <n v="0"/>
    <n v="48286.45"/>
    <x v="5"/>
    <n v="8"/>
  </r>
  <r>
    <n v="41282"/>
    <n v="3201605"/>
    <x v="19"/>
    <n v="0.60099999999999998"/>
    <n v="2840762.14"/>
    <n v="0"/>
    <n v="2840762.14"/>
    <n v="34817.4"/>
    <n v="253022.4"/>
    <n v="0.94399999999999995"/>
    <n v="54315.51"/>
    <n v="0"/>
    <n v="14409.22"/>
    <x v="5"/>
    <n v="8"/>
  </r>
  <r>
    <n v="41283"/>
    <n v="3201704"/>
    <x v="20"/>
    <n v="0.371"/>
    <n v="1753615.26"/>
    <n v="0"/>
    <n v="1753615.26"/>
    <n v="21492.94"/>
    <n v="93930.64"/>
    <n v="0.45600000000000002"/>
    <n v="33529.199999999997"/>
    <n v="0"/>
    <n v="8894.8700000000008"/>
    <x v="5"/>
    <n v="8"/>
  </r>
  <r>
    <n v="41284"/>
    <n v="3201803"/>
    <x v="21"/>
    <n v="0.187"/>
    <n v="883897.71"/>
    <n v="0"/>
    <n v="883897.71"/>
    <n v="10833.37"/>
    <n v="37083.43"/>
    <n v="0.29299999999999998"/>
    <n v="16900.16"/>
    <n v="0"/>
    <n v="4483.3999999999996"/>
    <x v="5"/>
    <n v="8"/>
  </r>
  <r>
    <n v="41285"/>
    <n v="3201902"/>
    <x v="22"/>
    <n v="1.0620000000000001"/>
    <n v="5019782.6900000004"/>
    <n v="0"/>
    <n v="5019782.6900000004"/>
    <n v="61524.26"/>
    <n v="404551.05"/>
    <n v="1.147"/>
    <n v="95978.49"/>
    <n v="0"/>
    <n v="25461.87"/>
    <x v="5"/>
    <n v="8"/>
  </r>
  <r>
    <n v="41286"/>
    <n v="3202009"/>
    <x v="23"/>
    <n v="0.34899999999999998"/>
    <n v="1649627.24"/>
    <n v="0"/>
    <n v="1649627.24"/>
    <n v="20218.419999999998"/>
    <n v="168948.16"/>
    <n v="0.312"/>
    <n v="31540.95"/>
    <n v="0"/>
    <n v="8367.41"/>
    <x v="5"/>
    <n v="8"/>
  </r>
  <r>
    <n v="41287"/>
    <n v="3202108"/>
    <x v="24"/>
    <n v="0.57099999999999995"/>
    <n v="2698960.37"/>
    <n v="0"/>
    <n v="2698960.37"/>
    <n v="33079.43"/>
    <n v="183321.99"/>
    <n v="0.79200000000000004"/>
    <n v="51604.25"/>
    <n v="0"/>
    <n v="13689.95"/>
    <x v="5"/>
    <n v="8"/>
  </r>
  <r>
    <n v="41288"/>
    <n v="3202207"/>
    <x v="25"/>
    <n v="0.36799999999999999"/>
    <n v="1739435.07"/>
    <n v="0"/>
    <n v="1739435.07"/>
    <n v="21319.14"/>
    <n v="164734.15"/>
    <n v="0.68600000000000005"/>
    <n v="33258.080000000002"/>
    <n v="0"/>
    <n v="8822.9500000000007"/>
    <x v="5"/>
    <n v="8"/>
  </r>
  <r>
    <n v="41289"/>
    <n v="3202256"/>
    <x v="26"/>
    <n v="0.53100000000000003"/>
    <n v="2509891.33"/>
    <n v="0"/>
    <n v="2509891.33"/>
    <n v="30762.13"/>
    <n v="168168.31"/>
    <n v="0.44400000000000001"/>
    <n v="47989.24"/>
    <n v="0"/>
    <n v="12730.94"/>
    <x v="5"/>
    <n v="8"/>
  </r>
  <r>
    <n v="41290"/>
    <n v="3202306"/>
    <x v="27"/>
    <n v="0.36699999999999999"/>
    <n v="1734708.32"/>
    <n v="0"/>
    <n v="1734708.32"/>
    <n v="21261.21"/>
    <n v="386204.31"/>
    <n v="0.99"/>
    <n v="33167.71"/>
    <n v="0"/>
    <n v="8798.9699999999993"/>
    <x v="5"/>
    <n v="8"/>
  </r>
  <r>
    <n v="41291"/>
    <n v="3202405"/>
    <x v="28"/>
    <n v="0.79"/>
    <n v="3734113.32"/>
    <n v="0"/>
    <n v="3734113.32"/>
    <n v="45766.63"/>
    <n v="2285331.87"/>
    <n v="3.0129999999999999"/>
    <n v="71396.42"/>
    <n v="0"/>
    <n v="18940.57"/>
    <x v="5"/>
    <n v="8"/>
  </r>
  <r>
    <n v="41292"/>
    <n v="3202454"/>
    <x v="29"/>
    <n v="0.33900000000000002"/>
    <n v="1602360"/>
    <n v="0"/>
    <n v="1602360"/>
    <n v="19639.099999999999"/>
    <n v="371245.15"/>
    <n v="0.86499999999999999"/>
    <n v="30637.200000000001"/>
    <n v="0"/>
    <n v="8127.66"/>
    <x v="5"/>
    <n v="8"/>
  </r>
  <r>
    <n v="41293"/>
    <n v="3202504"/>
    <x v="30"/>
    <n v="0.307"/>
    <n v="1451104.78"/>
    <n v="0"/>
    <n v="1451104.78"/>
    <n v="17785.259999999998"/>
    <n v="138419.54"/>
    <n v="0.45400000000000001"/>
    <n v="27745.19"/>
    <n v="0"/>
    <n v="7360.45"/>
    <x v="5"/>
    <n v="8"/>
  </r>
  <r>
    <n v="41294"/>
    <n v="3202553"/>
    <x v="31"/>
    <n v="0.28399999999999997"/>
    <n v="1342390.1"/>
    <n v="0"/>
    <n v="1342390.1"/>
    <n v="16452.810000000001"/>
    <n v="77817.399999999994"/>
    <n v="0.35"/>
    <n v="25666.560000000001"/>
    <n v="0"/>
    <n v="6809.01"/>
    <x v="5"/>
    <n v="8"/>
  </r>
  <r>
    <n v="41295"/>
    <n v="3202603"/>
    <x v="32"/>
    <n v="0.314"/>
    <n v="1484191.86"/>
    <n v="0"/>
    <n v="1484191.86"/>
    <n v="18190.79"/>
    <n v="197601.54"/>
    <n v="0.52"/>
    <n v="28377.82"/>
    <n v="0"/>
    <n v="7528.28"/>
    <x v="5"/>
    <n v="8"/>
  </r>
  <r>
    <n v="41296"/>
    <n v="3202652"/>
    <x v="33"/>
    <n v="0.316"/>
    <n v="1493645.32"/>
    <n v="0"/>
    <n v="1493645.32"/>
    <n v="18306.650000000001"/>
    <n v="198664.42"/>
    <n v="0.55700000000000005"/>
    <n v="28558.57"/>
    <n v="0"/>
    <n v="7576.23"/>
    <x v="5"/>
    <n v="8"/>
  </r>
  <r>
    <n v="41297"/>
    <n v="3202702"/>
    <x v="34"/>
    <n v="0.40400000000000003"/>
    <n v="1909597.2"/>
    <n v="0"/>
    <n v="1909597.2"/>
    <n v="23404.71"/>
    <n v="120161.64"/>
    <n v="0.55200000000000005"/>
    <n v="36511.589999999997"/>
    <n v="0"/>
    <n v="9686.06"/>
    <x v="5"/>
    <n v="8"/>
  </r>
  <r>
    <n v="41298"/>
    <n v="3202801"/>
    <x v="35"/>
    <n v="3.4060000000000001"/>
    <n v="16099227.699999999"/>
    <n v="0"/>
    <n v="16099227.699999999"/>
    <n v="197317.92"/>
    <n v="354932.68"/>
    <n v="1.2130000000000001"/>
    <n v="307818"/>
    <n v="0"/>
    <n v="81660.210000000006"/>
    <x v="5"/>
    <n v="8"/>
  </r>
  <r>
    <n v="41299"/>
    <n v="3202900"/>
    <x v="36"/>
    <n v="0.39200000000000002"/>
    <n v="1852876.45"/>
    <n v="0"/>
    <n v="1852876.45"/>
    <n v="22709.52"/>
    <n v="149347.62"/>
    <n v="0.438"/>
    <n v="35427.089999999997"/>
    <n v="0"/>
    <n v="9398.36"/>
    <x v="5"/>
    <n v="8"/>
  </r>
  <r>
    <n v="41300"/>
    <n v="3203007"/>
    <x v="37"/>
    <n v="0.5"/>
    <n v="2363362.85"/>
    <n v="0"/>
    <n v="2363362.85"/>
    <n v="28966.22"/>
    <n v="330966.52"/>
    <n v="0.90300000000000002"/>
    <n v="45187.61"/>
    <n v="0"/>
    <n v="11987.7"/>
    <x v="5"/>
    <n v="8"/>
  </r>
  <r>
    <n v="41301"/>
    <n v="3203056"/>
    <x v="38"/>
    <n v="1.109"/>
    <n v="5241938.79"/>
    <n v="0"/>
    <n v="5241938.79"/>
    <n v="64247.08"/>
    <n v="366382.97"/>
    <n v="0.98899999999999999"/>
    <n v="100226.12"/>
    <n v="0"/>
    <n v="26588.720000000001"/>
    <x v="5"/>
    <n v="8"/>
  </r>
  <r>
    <n v="41302"/>
    <n v="3203106"/>
    <x v="39"/>
    <n v="0.216"/>
    <n v="1020972.75"/>
    <n v="0"/>
    <n v="1020972.75"/>
    <n v="12513.41"/>
    <n v="73587.98"/>
    <n v="0.45100000000000001"/>
    <n v="19521.05"/>
    <n v="0"/>
    <n v="5178.6899999999996"/>
    <x v="5"/>
    <n v="8"/>
  </r>
  <r>
    <n v="41303"/>
    <n v="3203130"/>
    <x v="40"/>
    <n v="0.376"/>
    <n v="1777248.89"/>
    <n v="0"/>
    <n v="1777248.89"/>
    <n v="21782.6"/>
    <n v="164879.4"/>
    <n v="0.61499999999999999"/>
    <n v="33981.089999999997"/>
    <n v="0"/>
    <n v="9014.75"/>
    <x v="5"/>
    <n v="8"/>
  </r>
  <r>
    <n v="41304"/>
    <n v="3203163"/>
    <x v="41"/>
    <n v="0.42799999999999999"/>
    <n v="2023038.58"/>
    <n v="0"/>
    <n v="2023038.58"/>
    <n v="24795.09"/>
    <n v="79771.179999999993"/>
    <n v="0.44500000000000001"/>
    <n v="38680.6"/>
    <n v="0"/>
    <n v="10261.469999999999"/>
    <x v="5"/>
    <n v="8"/>
  </r>
  <r>
    <n v="41305"/>
    <n v="3203205"/>
    <x v="42"/>
    <n v="4.431"/>
    <n v="20944121.59"/>
    <n v="0"/>
    <n v="20944121.59"/>
    <n v="256698.68"/>
    <n v="2397559.1800000002"/>
    <n v="4.0979999999999999"/>
    <n v="400452.6"/>
    <n v="0"/>
    <n v="106235"/>
    <x v="5"/>
    <n v="8"/>
  </r>
  <r>
    <n v="41306"/>
    <n v="3203304"/>
    <x v="43"/>
    <n v="0.314"/>
    <n v="1484191.86"/>
    <n v="0"/>
    <n v="1484191.86"/>
    <n v="18190.79"/>
    <n v="145790.6"/>
    <n v="0.52400000000000002"/>
    <n v="28377.82"/>
    <n v="0"/>
    <n v="7528.28"/>
    <x v="5"/>
    <n v="8"/>
  </r>
  <r>
    <n v="41307"/>
    <n v="3203320"/>
    <x v="44"/>
    <n v="0.58499999999999996"/>
    <n v="2765134.51"/>
    <n v="0"/>
    <n v="2765134.51"/>
    <n v="33890.480000000003"/>
    <n v="470860.87"/>
    <n v="1.3140000000000001"/>
    <n v="52869.5"/>
    <n v="0"/>
    <n v="14025.61"/>
    <x v="5"/>
    <n v="8"/>
  </r>
  <r>
    <n v="41308"/>
    <n v="3203346"/>
    <x v="45"/>
    <n v="0.55500000000000005"/>
    <n v="2623332.75"/>
    <n v="0"/>
    <n v="2623332.75"/>
    <n v="32152.51"/>
    <n v="185184.16"/>
    <n v="0.68500000000000005"/>
    <n v="50158.239999999998"/>
    <n v="0"/>
    <n v="13306.35"/>
    <x v="5"/>
    <n v="8"/>
  </r>
  <r>
    <n v="41309"/>
    <n v="3203353"/>
    <x v="46"/>
    <n v="0.505"/>
    <n v="2386996.5"/>
    <n v="0"/>
    <n v="2386996.5"/>
    <n v="29255.89"/>
    <n v="144319.76999999999"/>
    <n v="0.46300000000000002"/>
    <n v="45639.48"/>
    <n v="0"/>
    <n v="12107.58"/>
    <x v="5"/>
    <n v="8"/>
  </r>
  <r>
    <n v="41310"/>
    <n v="3203403"/>
    <x v="47"/>
    <n v="0.46899999999999997"/>
    <n v="2216834.35"/>
    <n v="0"/>
    <n v="2216834.35"/>
    <n v="27170.32"/>
    <n v="263188.93"/>
    <n v="0.83899999999999997"/>
    <n v="42385.98"/>
    <n v="0"/>
    <n v="11244.46"/>
    <x v="5"/>
    <n v="8"/>
  </r>
  <r>
    <n v="41311"/>
    <n v="3203502"/>
    <x v="48"/>
    <n v="0.51500000000000001"/>
    <n v="2434263.7400000002"/>
    <n v="0"/>
    <n v="2434263.7400000002"/>
    <n v="29835.21"/>
    <n v="251216.7"/>
    <n v="0.69699999999999995"/>
    <n v="46543.24"/>
    <n v="0"/>
    <n v="12347.33"/>
    <x v="5"/>
    <n v="8"/>
  </r>
  <r>
    <n v="41312"/>
    <n v="3203601"/>
    <x v="49"/>
    <n v="0.30599999999999999"/>
    <n v="1446378.07"/>
    <n v="0"/>
    <n v="1446378.07"/>
    <n v="17727.330000000002"/>
    <n v="45275.12"/>
    <n v="0.29699999999999999"/>
    <n v="27654.81"/>
    <n v="0"/>
    <n v="7336.47"/>
    <x v="5"/>
    <n v="8"/>
  </r>
  <r>
    <n v="41313"/>
    <n v="3203700"/>
    <x v="50"/>
    <n v="0.505"/>
    <n v="2386996.5"/>
    <n v="0"/>
    <n v="2386996.5"/>
    <n v="29255.89"/>
    <n v="146488.28"/>
    <n v="0.68500000000000005"/>
    <n v="45639.48"/>
    <n v="0"/>
    <n v="12107.58"/>
    <x v="5"/>
    <n v="8"/>
  </r>
  <r>
    <n v="41314"/>
    <n v="3203809"/>
    <x v="51"/>
    <n v="0.32"/>
    <n v="1512552.24"/>
    <n v="0"/>
    <n v="1512552.24"/>
    <n v="18538.38"/>
    <n v="99116.64"/>
    <n v="0.55300000000000005"/>
    <n v="28920.07"/>
    <n v="0"/>
    <n v="7672.13"/>
    <x v="5"/>
    <n v="8"/>
  </r>
  <r>
    <n v="41315"/>
    <n v="3203908"/>
    <x v="52"/>
    <n v="1.2250000000000001"/>
    <n v="5790238.96"/>
    <n v="0"/>
    <n v="5790238.96"/>
    <n v="70967.25"/>
    <n v="710313.09"/>
    <n v="1.4710000000000001"/>
    <n v="110709.65"/>
    <n v="0"/>
    <n v="29369.86"/>
    <x v="5"/>
    <n v="8"/>
  </r>
  <r>
    <n v="41316"/>
    <n v="3204005"/>
    <x v="53"/>
    <n v="0.435"/>
    <n v="2056125.65"/>
    <n v="0"/>
    <n v="2056125.65"/>
    <n v="25200.62"/>
    <n v="168842.38"/>
    <n v="0.69099999999999995"/>
    <n v="39313.22"/>
    <n v="0"/>
    <n v="10429.299999999999"/>
    <x v="5"/>
    <n v="8"/>
  </r>
  <r>
    <n v="41317"/>
    <n v="3204054"/>
    <x v="54"/>
    <n v="0.33400000000000002"/>
    <n v="1578726.38"/>
    <n v="0"/>
    <n v="1578726.38"/>
    <n v="19349.439999999999"/>
    <n v="234379.04"/>
    <n v="0.78400000000000003"/>
    <n v="30185.32"/>
    <n v="0"/>
    <n v="8007.78"/>
    <x v="5"/>
    <n v="8"/>
  </r>
  <r>
    <n v="41318"/>
    <n v="3204104"/>
    <x v="55"/>
    <n v="0.755"/>
    <n v="3568677.9"/>
    <n v="0"/>
    <n v="3568677.9"/>
    <n v="43739"/>
    <n v="213969.12"/>
    <n v="0.83499999999999996"/>
    <n v="68233.289999999994"/>
    <n v="0"/>
    <n v="18101.43"/>
    <x v="5"/>
    <n v="8"/>
  </r>
  <r>
    <n v="41319"/>
    <n v="3204203"/>
    <x v="56"/>
    <n v="0.36499999999999999"/>
    <n v="1725254.86"/>
    <n v="0"/>
    <n v="1725254.86"/>
    <n v="21145.34"/>
    <n v="329222.67"/>
    <n v="0.745"/>
    <n v="32986.959999999999"/>
    <n v="0"/>
    <n v="8751.02"/>
    <x v="5"/>
    <n v="8"/>
  </r>
  <r>
    <n v="41320"/>
    <n v="3204252"/>
    <x v="57"/>
    <n v="0.27"/>
    <n v="1276215.93"/>
    <n v="0"/>
    <n v="1276215.93"/>
    <n v="15641.76"/>
    <n v="68274.429999999993"/>
    <n v="0.31"/>
    <n v="24401.31"/>
    <n v="0"/>
    <n v="6473.36"/>
    <x v="5"/>
    <n v="8"/>
  </r>
  <r>
    <n v="41321"/>
    <n v="1718402"/>
    <x v="58"/>
    <n v="0.39100000000000001"/>
    <n v="1848149.74"/>
    <n v="0"/>
    <n v="1848149.74"/>
    <n v="22651.59"/>
    <n v="193572.04"/>
    <n v="0.55900000000000005"/>
    <n v="35336.71"/>
    <n v="0"/>
    <n v="9374.3799999999992"/>
    <x v="5"/>
    <n v="8"/>
  </r>
  <r>
    <n v="41322"/>
    <n v="3204351"/>
    <x v="59"/>
    <n v="0.88200000000000001"/>
    <n v="4168972.07"/>
    <n v="0"/>
    <n v="4168972.07"/>
    <n v="51096.42"/>
    <n v="221080.95999999999"/>
    <n v="0.70299999999999996"/>
    <n v="79710.94"/>
    <n v="0"/>
    <n v="21146.3"/>
    <x v="5"/>
    <n v="8"/>
  </r>
  <r>
    <n v="41323"/>
    <n v="3204401"/>
    <x v="60"/>
    <n v="0.312"/>
    <n v="1474738.41"/>
    <n v="0"/>
    <n v="1474738.41"/>
    <n v="18074.919999999998"/>
    <n v="124665.75"/>
    <n v="0.44400000000000001"/>
    <n v="28197.07"/>
    <n v="0"/>
    <n v="7480.32"/>
    <x v="5"/>
    <n v="8"/>
  </r>
  <r>
    <n v="41324"/>
    <n v="3204500"/>
    <x v="61"/>
    <n v="0.51800000000000002"/>
    <n v="2448443.91"/>
    <n v="0"/>
    <n v="2448443.91"/>
    <n v="30009.01"/>
    <n v="74849.34"/>
    <n v="0.54800000000000004"/>
    <n v="46814.36"/>
    <n v="0"/>
    <n v="12419.26"/>
    <x v="5"/>
    <n v="8"/>
  </r>
  <r>
    <n v="41325"/>
    <n v="3204559"/>
    <x v="62"/>
    <n v="2.1909999999999998"/>
    <n v="10356256.01"/>
    <n v="0"/>
    <n v="10356256.01"/>
    <n v="126929.99"/>
    <n v="617058.87"/>
    <n v="1.31"/>
    <n v="198012.11"/>
    <n v="0"/>
    <n v="52530.1"/>
    <x v="5"/>
    <n v="8"/>
  </r>
  <r>
    <n v="41326"/>
    <n v="3204609"/>
    <x v="63"/>
    <n v="0.66"/>
    <n v="3119638.97"/>
    <n v="0"/>
    <n v="3119638.97"/>
    <n v="38235.42"/>
    <n v="305936.96000000002"/>
    <n v="0.82199999999999995"/>
    <n v="59647.65"/>
    <n v="0"/>
    <n v="15823.76"/>
    <x v="5"/>
    <n v="8"/>
  </r>
  <r>
    <n v="41327"/>
    <n v="3204658"/>
    <x v="64"/>
    <n v="0.42099999999999999"/>
    <n v="1989951.53"/>
    <n v="0"/>
    <n v="1989951.53"/>
    <n v="24389.56"/>
    <n v="104518.39"/>
    <n v="0.33800000000000002"/>
    <n v="38047.96"/>
    <n v="0"/>
    <n v="10093.64"/>
    <x v="5"/>
    <n v="8"/>
  </r>
  <r>
    <n v="41328"/>
    <n v="3204708"/>
    <x v="65"/>
    <n v="0.72299999999999998"/>
    <n v="3417422.69"/>
    <n v="0"/>
    <n v="3417422.69"/>
    <n v="41885.160000000003"/>
    <n v="453858.08"/>
    <n v="1.0840000000000001"/>
    <n v="65341.279999999999"/>
    <n v="0"/>
    <n v="17334.21"/>
    <x v="5"/>
    <n v="8"/>
  </r>
  <r>
    <n v="41329"/>
    <n v="3204807"/>
    <x v="66"/>
    <n v="0.28599999999999998"/>
    <n v="1351843.56"/>
    <n v="0"/>
    <n v="1351843.56"/>
    <n v="16568.68"/>
    <n v="91295.43"/>
    <n v="0.443"/>
    <n v="25847.31"/>
    <n v="0"/>
    <n v="6856.96"/>
    <x v="5"/>
    <n v="8"/>
  </r>
  <r>
    <n v="41330"/>
    <n v="3204906"/>
    <x v="67"/>
    <n v="1.998"/>
    <n v="9443997.9299999997"/>
    <n v="0"/>
    <n v="9443997.9299999997"/>
    <n v="115749.03"/>
    <n v="1694803.64"/>
    <n v="2.9940000000000002"/>
    <n v="180569.69"/>
    <n v="0"/>
    <n v="47902.85"/>
    <x v="5"/>
    <n v="8"/>
  </r>
  <r>
    <n v="41331"/>
    <n v="3204955"/>
    <x v="68"/>
    <n v="0.3"/>
    <n v="1418017.73"/>
    <n v="0"/>
    <n v="1418017.73"/>
    <n v="17379.73"/>
    <n v="120302.68"/>
    <n v="0.441"/>
    <n v="27112.57"/>
    <n v="0"/>
    <n v="7192.62"/>
    <x v="5"/>
    <n v="8"/>
  </r>
  <r>
    <n v="41332"/>
    <n v="3205002"/>
    <x v="69"/>
    <n v="14.551"/>
    <n v="68778585.569999993"/>
    <n v="0"/>
    <n v="68778585.569999993"/>
    <n v="842975.05"/>
    <n v="5804899.8399999999"/>
    <n v="8.8559999999999999"/>
    <n v="1315049.82"/>
    <n v="0"/>
    <n v="348866.04"/>
    <x v="5"/>
    <n v="8"/>
  </r>
  <r>
    <n v="41333"/>
    <n v="3205010"/>
    <x v="70"/>
    <n v="0.78200000000000003"/>
    <n v="3696299.49"/>
    <n v="0"/>
    <n v="3696299.49"/>
    <n v="45303.17"/>
    <n v="277887.34999999998"/>
    <n v="0.93799999999999994"/>
    <n v="70673.42"/>
    <n v="0"/>
    <n v="18748.759999999998"/>
    <x v="5"/>
    <n v="8"/>
  </r>
  <r>
    <n v="41334"/>
    <n v="3205036"/>
    <x v="71"/>
    <n v="0.45700000000000002"/>
    <n v="2160113.65"/>
    <n v="0"/>
    <n v="2160113.65"/>
    <n v="26475.13"/>
    <n v="201423.05"/>
    <n v="0.70399999999999996"/>
    <n v="41301.47"/>
    <n v="0"/>
    <n v="10956.76"/>
    <x v="5"/>
    <n v="8"/>
  </r>
  <r>
    <n v="41335"/>
    <n v="3205069"/>
    <x v="72"/>
    <n v="0.67"/>
    <n v="3166906.19"/>
    <n v="0"/>
    <n v="3166906.19"/>
    <n v="38814.74"/>
    <n v="339319.7"/>
    <n v="0.83899999999999997"/>
    <n v="60551.39"/>
    <n v="0"/>
    <n v="16063.52"/>
    <x v="5"/>
    <n v="8"/>
  </r>
  <r>
    <n v="41336"/>
    <n v="2112803"/>
    <x v="73"/>
    <n v="3.3740000000000001"/>
    <n v="15947972.49"/>
    <n v="0"/>
    <n v="15947972.49"/>
    <n v="195464.08"/>
    <n v="631693.75"/>
    <n v="1.944"/>
    <n v="304926"/>
    <n v="0"/>
    <n v="80893"/>
    <x v="5"/>
    <n v="8"/>
  </r>
  <r>
    <n v="41337"/>
    <n v="3205150"/>
    <x v="74"/>
    <n v="0.36799999999999999"/>
    <n v="1739435.07"/>
    <n v="0"/>
    <n v="1739435.07"/>
    <n v="21319.14"/>
    <n v="97073.15"/>
    <n v="0.34100000000000003"/>
    <n v="33258.080000000002"/>
    <n v="0"/>
    <n v="8822.9500000000007"/>
    <x v="5"/>
    <n v="8"/>
  </r>
  <r>
    <n v="41338"/>
    <n v="3205176"/>
    <x v="75"/>
    <n v="0.7"/>
    <n v="3308708.01"/>
    <n v="0"/>
    <n v="3308708.01"/>
    <n v="40552.71"/>
    <n v="217981.44"/>
    <n v="0.55400000000000005"/>
    <n v="63262.65"/>
    <n v="0"/>
    <n v="16782.78"/>
    <x v="5"/>
    <n v="8"/>
  </r>
  <r>
    <n v="41339"/>
    <n v="3205200"/>
    <x v="76"/>
    <n v="6.6219999999999999"/>
    <n v="31300377.57"/>
    <n v="0"/>
    <n v="31300377.57"/>
    <n v="383628.67"/>
    <n v="6614245.0800000001"/>
    <n v="8.01"/>
    <n v="598464.71"/>
    <n v="0"/>
    <n v="158765.1"/>
    <x v="5"/>
    <n v="8"/>
  </r>
  <r>
    <n v="41340"/>
    <n v="3205309"/>
    <x v="77"/>
    <n v="10.878"/>
    <n v="51417321.950000003"/>
    <n v="0"/>
    <n v="51417321.950000003"/>
    <n v="630189.17000000004"/>
    <n v="5804912.79"/>
    <n v="9.1780000000000008"/>
    <n v="983101.67"/>
    <n v="0"/>
    <n v="260804.38"/>
    <x v="5"/>
    <n v="8"/>
  </r>
  <r>
    <n v="41419"/>
    <n v="3200102"/>
    <x v="0"/>
    <n v="0.67100000000000004"/>
    <n v="2904240.19"/>
    <n v="0"/>
    <n v="2904240.19"/>
    <n v="41223.660000000003"/>
    <n v="278857.01"/>
    <n v="1.004"/>
    <n v="62406.63"/>
    <n v="0"/>
    <n v="32593.06"/>
    <x v="5"/>
    <n v="9"/>
  </r>
  <r>
    <n v="41420"/>
    <n v="3200169"/>
    <x v="1"/>
    <n v="0.309"/>
    <n v="1337422.06"/>
    <n v="0"/>
    <n v="1337422.06"/>
    <n v="18983.77"/>
    <n v="102791.67999999999"/>
    <n v="0.45700000000000002"/>
    <n v="28738.67"/>
    <n v="0"/>
    <n v="15009.32"/>
    <x v="5"/>
    <n v="9"/>
  </r>
  <r>
    <n v="41421"/>
    <n v="3200136"/>
    <x v="2"/>
    <n v="0.51900000000000002"/>
    <n v="2246349.7200000002"/>
    <n v="0"/>
    <n v="2246349.7200000002"/>
    <n v="31885.360000000001"/>
    <n v="127367.1"/>
    <n v="0.35099999999999998"/>
    <n v="48269.8"/>
    <n v="0"/>
    <n v="25209.84"/>
    <x v="5"/>
    <n v="9"/>
  </r>
  <r>
    <n v="41422"/>
    <n v="3200201"/>
    <x v="3"/>
    <n v="0.41799999999999998"/>
    <n v="1809198.8"/>
    <n v="0"/>
    <n v="1809198.8"/>
    <n v="25680.31"/>
    <n v="263477.98"/>
    <n v="0.98299999999999998"/>
    <n v="38876.25"/>
    <n v="0"/>
    <n v="20303.87"/>
    <x v="5"/>
    <n v="9"/>
  </r>
  <r>
    <n v="41423"/>
    <n v="3200300"/>
    <x v="4"/>
    <n v="0.442"/>
    <n v="1913076.25"/>
    <n v="0"/>
    <n v="1913076.25"/>
    <n v="27154.78"/>
    <n v="217767.78"/>
    <n v="0.55500000000000005"/>
    <n v="41108.379999999997"/>
    <n v="0"/>
    <n v="21469.65"/>
    <x v="5"/>
    <n v="9"/>
  </r>
  <r>
    <n v="41424"/>
    <n v="3200359"/>
    <x v="5"/>
    <n v="0.25800000000000001"/>
    <n v="1116682.53"/>
    <n v="0"/>
    <n v="1116682.53"/>
    <n v="15850.53"/>
    <n v="79894.320000000007"/>
    <n v="0.32300000000000001"/>
    <n v="23995.39"/>
    <n v="0"/>
    <n v="12532.06"/>
    <x v="5"/>
    <n v="9"/>
  </r>
  <r>
    <n v="41425"/>
    <n v="3200409"/>
    <x v="6"/>
    <n v="3.4780000000000002"/>
    <n v="15053572.91"/>
    <n v="0"/>
    <n v="15053572.91"/>
    <n v="213674.94"/>
    <n v="410318.73"/>
    <n v="1.0049999999999999"/>
    <n v="323472.78999999998"/>
    <n v="0"/>
    <n v="168939.88"/>
    <x v="5"/>
    <n v="9"/>
  </r>
  <r>
    <n v="41426"/>
    <n v="3200508"/>
    <x v="7"/>
    <n v="0.23799999999999999"/>
    <n v="1030117.99"/>
    <n v="0"/>
    <n v="1030117.99"/>
    <n v="14621.8"/>
    <n v="129822.12"/>
    <n v="0.31900000000000001"/>
    <n v="22135.29"/>
    <n v="0"/>
    <n v="11560.57"/>
    <x v="5"/>
    <n v="9"/>
  </r>
  <r>
    <n v="41427"/>
    <n v="3200607"/>
    <x v="8"/>
    <n v="4.4800000000000004"/>
    <n v="19390456.210000001"/>
    <n v="0"/>
    <n v="19390456.210000001"/>
    <n v="275233.96999999997"/>
    <n v="1493614.87"/>
    <n v="2.4649999999999999"/>
    <n v="416664.21"/>
    <n v="0"/>
    <n v="217610.88"/>
    <x v="5"/>
    <n v="9"/>
  </r>
  <r>
    <n v="41428"/>
    <n v="3200706"/>
    <x v="9"/>
    <n v="0.39500000000000002"/>
    <n v="1709649.58"/>
    <n v="0"/>
    <n v="1709649.58"/>
    <n v="24267.279999999999"/>
    <n v="107645.36"/>
    <n v="0.438"/>
    <n v="36737.14"/>
    <n v="0"/>
    <n v="19186.68"/>
    <x v="5"/>
    <n v="9"/>
  </r>
  <r>
    <n v="41429"/>
    <n v="3200805"/>
    <x v="10"/>
    <n v="0.54"/>
    <n v="2337242.4900000002"/>
    <n v="0"/>
    <n v="2337242.4900000002"/>
    <n v="33175.519999999997"/>
    <n v="606241.55000000005"/>
    <n v="1.0069999999999999"/>
    <n v="50222.91"/>
    <n v="0"/>
    <n v="26229.89"/>
    <x v="5"/>
    <n v="9"/>
  </r>
  <r>
    <n v="41430"/>
    <n v="3200904"/>
    <x v="11"/>
    <n v="0.81299999999999994"/>
    <n v="3518848.42"/>
    <n v="0"/>
    <n v="3518848.42"/>
    <n v="49947.59"/>
    <n v="632107.48"/>
    <n v="1.3120000000000001"/>
    <n v="75613.39"/>
    <n v="0"/>
    <n v="39490.550000000003"/>
    <x v="5"/>
    <n v="9"/>
  </r>
  <r>
    <n v="41431"/>
    <n v="3107109"/>
    <x v="12"/>
    <n v="0.48699999999999999"/>
    <n v="2107846.4500000002"/>
    <n v="0"/>
    <n v="2107846.4500000002"/>
    <n v="29919.41"/>
    <n v="129709.28"/>
    <n v="0.55200000000000005"/>
    <n v="45293.63"/>
    <n v="0"/>
    <n v="23655.47"/>
    <x v="5"/>
    <n v="9"/>
  </r>
  <r>
    <n v="41432"/>
    <n v="3201100"/>
    <x v="13"/>
    <n v="0.247"/>
    <n v="1069072.03"/>
    <n v="0"/>
    <n v="1069072.03"/>
    <n v="15174.73"/>
    <n v="359340.72"/>
    <n v="0.435"/>
    <n v="22972.33"/>
    <n v="0"/>
    <n v="11997.74"/>
    <x v="5"/>
    <n v="9"/>
  </r>
  <r>
    <n v="41433"/>
    <n v="3201159"/>
    <x v="14"/>
    <n v="0.40699999999999997"/>
    <n v="1761588.32"/>
    <n v="0"/>
    <n v="1761588.32"/>
    <n v="25004.52"/>
    <n v="152656.57999999999"/>
    <n v="0.54600000000000004"/>
    <n v="37853.199999999997"/>
    <n v="0"/>
    <n v="19769.560000000001"/>
    <x v="5"/>
    <n v="9"/>
  </r>
  <r>
    <n v="41434"/>
    <n v="3201209"/>
    <x v="15"/>
    <n v="2.5920000000000001"/>
    <n v="11218763.960000001"/>
    <n v="0"/>
    <n v="11218763.960000001"/>
    <n v="159242.51"/>
    <n v="2627500.64"/>
    <n v="4.298"/>
    <n v="241070"/>
    <n v="0"/>
    <n v="125903.44"/>
    <x v="5"/>
    <n v="9"/>
  </r>
  <r>
    <n v="41435"/>
    <n v="3201308"/>
    <x v="16"/>
    <n v="8.3239999999999998"/>
    <n v="36028160.119999997"/>
    <n v="0"/>
    <n v="36028160.119999997"/>
    <n v="511394.54"/>
    <n v="4136182.53"/>
    <n v="6.4569999999999999"/>
    <n v="774176.97"/>
    <n v="0"/>
    <n v="404328.8"/>
    <x v="5"/>
    <n v="9"/>
  </r>
  <r>
    <n v="41436"/>
    <n v="3201407"/>
    <x v="17"/>
    <n v="0.80700000000000005"/>
    <n v="3492879.04"/>
    <n v="0"/>
    <n v="3492879.04"/>
    <n v="49578.98"/>
    <n v="627843.57999999996"/>
    <n v="1.1639999999999999"/>
    <n v="75055.360000000001"/>
    <n v="0"/>
    <n v="39199.1"/>
    <x v="5"/>
    <n v="9"/>
  </r>
  <r>
    <n v="41437"/>
    <n v="3201506"/>
    <x v="18"/>
    <n v="2.0139999999999998"/>
    <n v="8717048.8200000003"/>
    <n v="0"/>
    <n v="8717048.8200000003"/>
    <n v="123732.41"/>
    <n v="1973055.17"/>
    <n v="2.86"/>
    <n v="187312.88"/>
    <n v="0"/>
    <n v="97827.75"/>
    <x v="5"/>
    <n v="9"/>
  </r>
  <r>
    <n v="41438"/>
    <n v="3201605"/>
    <x v="19"/>
    <n v="0.60099999999999998"/>
    <n v="2601264.2999999998"/>
    <n v="0"/>
    <n v="2601264.2999999998"/>
    <n v="36923.129999999997"/>
    <n v="259286.45"/>
    <n v="0.94399999999999995"/>
    <n v="55896.24"/>
    <n v="0"/>
    <n v="29192.89"/>
    <x v="5"/>
    <n v="9"/>
  </r>
  <r>
    <n v="41439"/>
    <n v="3201704"/>
    <x v="20"/>
    <n v="0.371"/>
    <n v="1605772.13"/>
    <n v="0"/>
    <n v="1605772.13"/>
    <n v="22792.81"/>
    <n v="128506.4"/>
    <n v="0.45600000000000002"/>
    <n v="34505.01"/>
    <n v="0"/>
    <n v="18020.900000000001"/>
    <x v="5"/>
    <n v="9"/>
  </r>
  <r>
    <n v="41440"/>
    <n v="3201803"/>
    <x v="21"/>
    <n v="0.187"/>
    <n v="809378.44"/>
    <n v="0"/>
    <n v="809378.44"/>
    <n v="11488.56"/>
    <n v="55763.05"/>
    <n v="0.29299999999999998"/>
    <n v="17392.009999999998"/>
    <n v="0"/>
    <n v="9083.31"/>
    <x v="5"/>
    <n v="9"/>
  </r>
  <r>
    <n v="41441"/>
    <n v="3201902"/>
    <x v="22"/>
    <n v="1.0620000000000001"/>
    <n v="4596576.91"/>
    <n v="0"/>
    <n v="4596576.91"/>
    <n v="65245.2"/>
    <n v="508154.82"/>
    <n v="1.147"/>
    <n v="98771.74"/>
    <n v="0"/>
    <n v="51585.440000000002"/>
    <x v="5"/>
    <n v="9"/>
  </r>
  <r>
    <n v="41442"/>
    <n v="3202009"/>
    <x v="23"/>
    <n v="0.34899999999999998"/>
    <n v="1510551.18"/>
    <n v="0"/>
    <n v="1510551.18"/>
    <n v="21441.22"/>
    <n v="183429.16"/>
    <n v="0.312"/>
    <n v="32458.880000000001"/>
    <n v="0"/>
    <n v="16952.27"/>
    <x v="5"/>
    <n v="9"/>
  </r>
  <r>
    <n v="41443"/>
    <n v="3202108"/>
    <x v="24"/>
    <n v="0.57099999999999995"/>
    <n v="2471417.52"/>
    <n v="0"/>
    <n v="2471417.52"/>
    <n v="35080.04"/>
    <n v="205789.32"/>
    <n v="0.79200000000000004"/>
    <n v="53106.080000000002"/>
    <n v="0"/>
    <n v="27735.67"/>
    <x v="5"/>
    <n v="9"/>
  </r>
  <r>
    <n v="41444"/>
    <n v="3202207"/>
    <x v="25"/>
    <n v="0.36799999999999999"/>
    <n v="1592787.48"/>
    <n v="0"/>
    <n v="1592787.48"/>
    <n v="22608.5"/>
    <n v="223107.16"/>
    <n v="0.68600000000000005"/>
    <n v="34225.99"/>
    <n v="0"/>
    <n v="17875.18"/>
    <x v="5"/>
    <n v="9"/>
  </r>
  <r>
    <n v="41445"/>
    <n v="3202256"/>
    <x v="26"/>
    <n v="0.53100000000000003"/>
    <n v="2298288.46"/>
    <n v="0"/>
    <n v="2298288.46"/>
    <n v="32622.6"/>
    <n v="167148.24"/>
    <n v="0.44400000000000001"/>
    <n v="49385.87"/>
    <n v="0"/>
    <n v="25792.720000000001"/>
    <x v="5"/>
    <n v="9"/>
  </r>
  <r>
    <n v="41446"/>
    <n v="3202306"/>
    <x v="27"/>
    <n v="0.36699999999999999"/>
    <n v="1588459.25"/>
    <n v="0"/>
    <n v="1588459.25"/>
    <n v="22547.07"/>
    <n v="413538.64"/>
    <n v="0.99"/>
    <n v="34132.980000000003"/>
    <n v="0"/>
    <n v="17826.61"/>
    <x v="5"/>
    <n v="9"/>
  </r>
  <r>
    <n v="41447"/>
    <n v="3202405"/>
    <x v="28"/>
    <n v="0.79"/>
    <n v="3419299.18"/>
    <n v="0"/>
    <n v="3419299.18"/>
    <n v="48534.559999999998"/>
    <n v="2525096.96"/>
    <n v="3.0129999999999999"/>
    <n v="73474.259999999995"/>
    <n v="0"/>
    <n v="38373.339999999997"/>
    <x v="5"/>
    <n v="9"/>
  </r>
  <r>
    <n v="41448"/>
    <n v="3202454"/>
    <x v="29"/>
    <n v="0.33900000000000002"/>
    <n v="1467268.88"/>
    <n v="0"/>
    <n v="1467268.88"/>
    <n v="20826.86"/>
    <n v="401466.36"/>
    <n v="0.86499999999999999"/>
    <n v="31528.84"/>
    <n v="0"/>
    <n v="16466.54"/>
    <x v="5"/>
    <n v="9"/>
  </r>
  <r>
    <n v="41449"/>
    <n v="3202504"/>
    <x v="30"/>
    <n v="0.307"/>
    <n v="1328765.6200000001"/>
    <n v="0"/>
    <n v="1328765.6200000001"/>
    <n v="18860.900000000001"/>
    <n v="236086.53"/>
    <n v="0.45400000000000001"/>
    <n v="28552.66"/>
    <n v="0"/>
    <n v="14912.17"/>
    <x v="5"/>
    <n v="9"/>
  </r>
  <r>
    <n v="41450"/>
    <n v="3202553"/>
    <x v="31"/>
    <n v="0.28399999999999997"/>
    <n v="1229216.4099999999"/>
    <n v="0"/>
    <n v="1229216.4099999999"/>
    <n v="17447.87"/>
    <n v="95664.08"/>
    <n v="0.35"/>
    <n v="26413.53"/>
    <n v="0"/>
    <n v="13794.98"/>
    <x v="5"/>
    <n v="9"/>
  </r>
  <r>
    <n v="41451"/>
    <n v="3202603"/>
    <x v="32"/>
    <n v="0.314"/>
    <n v="1359063.23"/>
    <n v="0"/>
    <n v="1359063.23"/>
    <n v="19290.95"/>
    <n v="237283.72"/>
    <n v="0.52"/>
    <n v="29203.69"/>
    <n v="0"/>
    <n v="15252.19"/>
    <x v="5"/>
    <n v="9"/>
  </r>
  <r>
    <n v="41452"/>
    <n v="3202652"/>
    <x v="33"/>
    <n v="0.316"/>
    <n v="1367719.68"/>
    <n v="0"/>
    <n v="1367719.68"/>
    <n v="19413.82"/>
    <n v="182698.07"/>
    <n v="0.55700000000000005"/>
    <n v="29389.71"/>
    <n v="0"/>
    <n v="15349.34"/>
    <x v="5"/>
    <n v="9"/>
  </r>
  <r>
    <n v="41453"/>
    <n v="3202702"/>
    <x v="34"/>
    <n v="0.40400000000000003"/>
    <n v="1748603.65"/>
    <n v="0"/>
    <n v="1748603.65"/>
    <n v="24820.21"/>
    <n v="103222.72"/>
    <n v="0.55200000000000005"/>
    <n v="37574.18"/>
    <n v="0"/>
    <n v="19623.830000000002"/>
    <x v="5"/>
    <n v="9"/>
  </r>
  <r>
    <n v="41454"/>
    <n v="3202801"/>
    <x v="35"/>
    <n v="3.4060000000000001"/>
    <n v="14741940.560000001"/>
    <n v="0"/>
    <n v="14741940.560000001"/>
    <n v="209251.54"/>
    <n v="390725.94"/>
    <n v="1.2130000000000001"/>
    <n v="316776.40999999997"/>
    <n v="0"/>
    <n v="165442.56"/>
    <x v="5"/>
    <n v="9"/>
  </r>
  <r>
    <n v="41455"/>
    <n v="3202900"/>
    <x v="36"/>
    <n v="0.39200000000000002"/>
    <n v="1696664.92"/>
    <n v="0"/>
    <n v="1696664.92"/>
    <n v="24082.97"/>
    <n v="140297.49"/>
    <n v="0.438"/>
    <n v="36458.120000000003"/>
    <n v="0"/>
    <n v="19040.95"/>
    <x v="5"/>
    <n v="9"/>
  </r>
  <r>
    <n v="41456"/>
    <n v="3203007"/>
    <x v="37"/>
    <n v="0.5"/>
    <n v="2164113.4"/>
    <n v="0"/>
    <n v="2164113.4"/>
    <n v="30718.080000000002"/>
    <n v="363800.99"/>
    <n v="0.90300000000000002"/>
    <n v="46502.7"/>
    <n v="0"/>
    <n v="24286.92"/>
    <x v="5"/>
    <n v="9"/>
  </r>
  <r>
    <n v="41457"/>
    <n v="3203056"/>
    <x v="38"/>
    <n v="1.109"/>
    <n v="4800003.57"/>
    <n v="0"/>
    <n v="4800003.57"/>
    <n v="68132.7"/>
    <n v="343417.51"/>
    <n v="0.98899999999999999"/>
    <n v="103143"/>
    <n v="0"/>
    <n v="53868.41"/>
    <x v="5"/>
    <n v="9"/>
  </r>
  <r>
    <n v="41458"/>
    <n v="3203106"/>
    <x v="39"/>
    <n v="0.216"/>
    <n v="934896.99"/>
    <n v="0"/>
    <n v="934896.99"/>
    <n v="13270.21"/>
    <n v="71260.740000000005"/>
    <n v="0.45100000000000001"/>
    <n v="20089.16"/>
    <n v="0"/>
    <n v="10491.96"/>
    <x v="5"/>
    <n v="9"/>
  </r>
  <r>
    <n v="41459"/>
    <n v="3203130"/>
    <x v="40"/>
    <n v="0.376"/>
    <n v="1627413.29"/>
    <n v="0"/>
    <n v="1627413.29"/>
    <n v="23099.99"/>
    <n v="183614.28"/>
    <n v="0.61499999999999999"/>
    <n v="34970.04"/>
    <n v="0"/>
    <n v="18263.77"/>
    <x v="5"/>
    <n v="9"/>
  </r>
  <r>
    <n v="41460"/>
    <n v="3203163"/>
    <x v="41"/>
    <n v="0.42799999999999999"/>
    <n v="1852481.08"/>
    <n v="0"/>
    <n v="1852481.08"/>
    <n v="26294.67"/>
    <n v="64477.52"/>
    <n v="0.44500000000000001"/>
    <n v="39806.31"/>
    <n v="0"/>
    <n v="20789.61"/>
    <x v="5"/>
    <n v="9"/>
  </r>
  <r>
    <n v="41461"/>
    <n v="3203205"/>
    <x v="42"/>
    <n v="4.431"/>
    <n v="19178373.07"/>
    <n v="0"/>
    <n v="19178373.07"/>
    <n v="272223.59999999998"/>
    <n v="2740347.16"/>
    <n v="4.0979999999999999"/>
    <n v="412106.94"/>
    <n v="0"/>
    <n v="215230.76"/>
    <x v="5"/>
    <n v="9"/>
  </r>
  <r>
    <n v="41462"/>
    <n v="3203304"/>
    <x v="43"/>
    <n v="0.314"/>
    <n v="1359063.23"/>
    <n v="0"/>
    <n v="1359063.23"/>
    <n v="19290.95"/>
    <n v="170742.81"/>
    <n v="0.52400000000000002"/>
    <n v="29203.69"/>
    <n v="0"/>
    <n v="15252.19"/>
    <x v="5"/>
    <n v="9"/>
  </r>
  <r>
    <n v="41463"/>
    <n v="3203320"/>
    <x v="44"/>
    <n v="0.58499999999999996"/>
    <n v="2532012.6800000002"/>
    <n v="0"/>
    <n v="2532012.6800000002"/>
    <n v="35940.15"/>
    <n v="617602.93999999994"/>
    <n v="1.3140000000000001"/>
    <n v="54408.160000000003"/>
    <n v="0"/>
    <n v="28415.71"/>
    <x v="5"/>
    <n v="9"/>
  </r>
  <r>
    <n v="41464"/>
    <n v="3203346"/>
    <x v="45"/>
    <n v="0.55500000000000005"/>
    <n v="2402165.89"/>
    <n v="0"/>
    <n v="2402165.89"/>
    <n v="34097.06"/>
    <n v="206524.69"/>
    <n v="0.68500000000000005"/>
    <n v="51618"/>
    <n v="0"/>
    <n v="26958.5"/>
    <x v="5"/>
    <n v="9"/>
  </r>
  <r>
    <n v="41465"/>
    <n v="3203353"/>
    <x v="46"/>
    <n v="0.505"/>
    <n v="2185754.56"/>
    <n v="0"/>
    <n v="2185754.56"/>
    <n v="31025.26"/>
    <n v="168726.8"/>
    <n v="0.46300000000000002"/>
    <n v="46967.73"/>
    <n v="0"/>
    <n v="24529.8"/>
    <x v="5"/>
    <n v="9"/>
  </r>
  <r>
    <n v="41466"/>
    <n v="3203403"/>
    <x v="47"/>
    <n v="0.46899999999999997"/>
    <n v="2029938.38"/>
    <n v="0"/>
    <n v="2029938.38"/>
    <n v="28813.56"/>
    <n v="226696.07"/>
    <n v="0.83899999999999997"/>
    <n v="43619.54"/>
    <n v="0"/>
    <n v="22781.14"/>
    <x v="5"/>
    <n v="9"/>
  </r>
  <r>
    <n v="41467"/>
    <n v="3203502"/>
    <x v="48"/>
    <n v="0.51500000000000001"/>
    <n v="2229036.83"/>
    <n v="0"/>
    <n v="2229036.83"/>
    <n v="31639.62"/>
    <n v="242877.25"/>
    <n v="0.69699999999999995"/>
    <n v="47897.78"/>
    <n v="0"/>
    <n v="25015.53"/>
    <x v="5"/>
    <n v="9"/>
  </r>
  <r>
    <n v="41468"/>
    <n v="3203601"/>
    <x v="49"/>
    <n v="0.30599999999999999"/>
    <n v="1324437.3899999999"/>
    <n v="0"/>
    <n v="1324437.3899999999"/>
    <n v="18799.46"/>
    <n v="64901.120000000003"/>
    <n v="0.29699999999999999"/>
    <n v="28459.65"/>
    <n v="0"/>
    <n v="14863.6"/>
    <x v="5"/>
    <n v="9"/>
  </r>
  <r>
    <n v="41469"/>
    <n v="3203700"/>
    <x v="50"/>
    <n v="0.505"/>
    <n v="2185754.56"/>
    <n v="0"/>
    <n v="2185754.56"/>
    <n v="31025.26"/>
    <n v="162209.60999999999"/>
    <n v="0.68500000000000005"/>
    <n v="46967.73"/>
    <n v="0"/>
    <n v="24529.8"/>
    <x v="5"/>
    <n v="9"/>
  </r>
  <r>
    <n v="41470"/>
    <n v="3203809"/>
    <x v="51"/>
    <n v="0.32"/>
    <n v="1385032.61"/>
    <n v="0"/>
    <n v="1385032.61"/>
    <n v="19659.57"/>
    <n v="121825.97"/>
    <n v="0.55300000000000005"/>
    <n v="29761.72"/>
    <n v="0"/>
    <n v="15543.64"/>
    <x v="5"/>
    <n v="9"/>
  </r>
  <r>
    <n v="41471"/>
    <n v="3203908"/>
    <x v="52"/>
    <n v="1.2250000000000001"/>
    <n v="5302077.87"/>
    <n v="0"/>
    <n v="5302077.87"/>
    <n v="75259.289999999994"/>
    <n v="677112.59"/>
    <n v="1.4710000000000001"/>
    <n v="113931.62"/>
    <n v="0"/>
    <n v="59502.97"/>
    <x v="5"/>
    <n v="9"/>
  </r>
  <r>
    <n v="41472"/>
    <n v="3204005"/>
    <x v="53"/>
    <n v="0.435"/>
    <n v="1882778.68"/>
    <n v="0"/>
    <n v="1882778.68"/>
    <n v="26724.73"/>
    <n v="177730.82"/>
    <n v="0.69099999999999995"/>
    <n v="40457.35"/>
    <n v="0"/>
    <n v="21129.63"/>
    <x v="5"/>
    <n v="9"/>
  </r>
  <r>
    <n v="41473"/>
    <n v="3204054"/>
    <x v="54"/>
    <n v="0.33400000000000002"/>
    <n v="1445627.75"/>
    <n v="0"/>
    <n v="1445627.75"/>
    <n v="20519.68"/>
    <n v="281746.88"/>
    <n v="0.78400000000000003"/>
    <n v="31063.81"/>
    <n v="0"/>
    <n v="16223.67"/>
    <x v="5"/>
    <n v="9"/>
  </r>
  <r>
    <n v="41474"/>
    <n v="3204104"/>
    <x v="55"/>
    <n v="0.755"/>
    <n v="3267811.26"/>
    <n v="0"/>
    <n v="3267811.26"/>
    <n v="46384.3"/>
    <n v="246323.66"/>
    <n v="0.83499999999999996"/>
    <n v="70219.08"/>
    <n v="0"/>
    <n v="36673.269999999997"/>
    <x v="5"/>
    <n v="9"/>
  </r>
  <r>
    <n v="41475"/>
    <n v="3204203"/>
    <x v="56"/>
    <n v="0.36499999999999999"/>
    <n v="1579802.77"/>
    <n v="0"/>
    <n v="1579802.77"/>
    <n v="22424.2"/>
    <n v="368061.75"/>
    <n v="0.745"/>
    <n v="33946.97"/>
    <n v="0"/>
    <n v="17729.46"/>
    <x v="5"/>
    <n v="9"/>
  </r>
  <r>
    <n v="41476"/>
    <n v="3204252"/>
    <x v="57"/>
    <n v="0.27"/>
    <n v="1168621.25"/>
    <n v="0"/>
    <n v="1168621.25"/>
    <n v="16587.759999999998"/>
    <n v="66694.05"/>
    <n v="0.31"/>
    <n v="25111.46"/>
    <n v="0"/>
    <n v="13114.94"/>
    <x v="5"/>
    <n v="9"/>
  </r>
  <r>
    <n v="41477"/>
    <n v="1718402"/>
    <x v="58"/>
    <n v="0.39100000000000001"/>
    <n v="1692336.69"/>
    <n v="0"/>
    <n v="1692336.69"/>
    <n v="24021.54"/>
    <n v="207382.11"/>
    <n v="0.55900000000000005"/>
    <n v="36365.11"/>
    <n v="0"/>
    <n v="18992.38"/>
    <x v="5"/>
    <n v="9"/>
  </r>
  <r>
    <n v="41478"/>
    <n v="3204351"/>
    <x v="59"/>
    <n v="0.88200000000000001"/>
    <n v="3817496.08"/>
    <n v="0"/>
    <n v="3817496.08"/>
    <n v="54186.69"/>
    <n v="238427.13"/>
    <n v="0.70299999999999996"/>
    <n v="82030.759999999995"/>
    <n v="0"/>
    <n v="42842.14"/>
    <x v="5"/>
    <n v="9"/>
  </r>
  <r>
    <n v="41479"/>
    <n v="3204401"/>
    <x v="60"/>
    <n v="0.312"/>
    <n v="1350406.77"/>
    <n v="0"/>
    <n v="1350406.77"/>
    <n v="19168.080000000002"/>
    <n v="155404.04999999999"/>
    <n v="0.44400000000000001"/>
    <n v="29017.68"/>
    <n v="0"/>
    <n v="15155.05"/>
    <x v="5"/>
    <n v="9"/>
  </r>
  <r>
    <n v="41480"/>
    <n v="3204500"/>
    <x v="61"/>
    <n v="0.51800000000000002"/>
    <n v="2242021.5"/>
    <n v="0"/>
    <n v="2242021.5"/>
    <n v="31823.93"/>
    <n v="126307.15"/>
    <n v="0.54800000000000004"/>
    <n v="48176.800000000003"/>
    <n v="0"/>
    <n v="25161.26"/>
    <x v="5"/>
    <n v="9"/>
  </r>
  <r>
    <n v="41481"/>
    <n v="3204559"/>
    <x v="62"/>
    <n v="2.1909999999999998"/>
    <n v="9483144.9900000002"/>
    <n v="0"/>
    <n v="9483144.9900000002"/>
    <n v="134606.60999999999"/>
    <n v="694980.18"/>
    <n v="1.31"/>
    <n v="203774.84"/>
    <n v="0"/>
    <n v="106425.32"/>
    <x v="5"/>
    <n v="9"/>
  </r>
  <r>
    <n v="41482"/>
    <n v="3204609"/>
    <x v="63"/>
    <n v="0.66"/>
    <n v="2856629.72"/>
    <n v="0"/>
    <n v="2856629.72"/>
    <n v="40547.86"/>
    <n v="320187.42"/>
    <n v="0.82199999999999995"/>
    <n v="61383.57"/>
    <n v="0"/>
    <n v="32058.74"/>
    <x v="5"/>
    <n v="9"/>
  </r>
  <r>
    <n v="41483"/>
    <n v="3204658"/>
    <x v="64"/>
    <n v="0.42099999999999999"/>
    <n v="1822183.47"/>
    <n v="0"/>
    <n v="1822183.47"/>
    <n v="25864.62"/>
    <n v="115020.47"/>
    <n v="0.33800000000000002"/>
    <n v="39155.279999999999"/>
    <n v="0"/>
    <n v="20449.59"/>
    <x v="5"/>
    <n v="9"/>
  </r>
  <r>
    <n v="41484"/>
    <n v="3204708"/>
    <x v="65"/>
    <n v="0.72299999999999998"/>
    <n v="3129308.01"/>
    <n v="0"/>
    <n v="3129308.01"/>
    <n v="44418.34"/>
    <n v="478454.9"/>
    <n v="1.0840000000000001"/>
    <n v="67242.899999999994"/>
    <n v="0"/>
    <n v="35118.9"/>
    <x v="5"/>
    <n v="9"/>
  </r>
  <r>
    <n v="41485"/>
    <n v="3204807"/>
    <x v="66"/>
    <n v="0.28599999999999998"/>
    <n v="1237872.8799999999"/>
    <n v="0"/>
    <n v="1237872.8799999999"/>
    <n v="17570.740000000002"/>
    <n v="99714.18"/>
    <n v="0.443"/>
    <n v="26599.55"/>
    <n v="0"/>
    <n v="13892.13"/>
    <x v="5"/>
    <n v="9"/>
  </r>
  <r>
    <n v="41486"/>
    <n v="3204906"/>
    <x v="67"/>
    <n v="1.998"/>
    <n v="8647797.2100000009"/>
    <n v="0"/>
    <n v="8647797.2100000009"/>
    <n v="122749.44"/>
    <n v="1801618.08"/>
    <n v="2.9940000000000002"/>
    <n v="185824.79"/>
    <n v="0"/>
    <n v="97050.57"/>
    <x v="5"/>
    <n v="9"/>
  </r>
  <r>
    <n v="41487"/>
    <n v="3204955"/>
    <x v="68"/>
    <n v="0.3"/>
    <n v="1298468.07"/>
    <n v="0"/>
    <n v="1298468.07"/>
    <n v="18430.849999999999"/>
    <n v="103895.18"/>
    <n v="0.441"/>
    <n v="27901.62"/>
    <n v="0"/>
    <n v="14572.15"/>
    <x v="5"/>
    <n v="9"/>
  </r>
  <r>
    <n v="41488"/>
    <n v="3205002"/>
    <x v="69"/>
    <n v="14.551"/>
    <n v="62980028.590000004"/>
    <n v="0"/>
    <n v="62980028.590000004"/>
    <n v="893957.47"/>
    <n v="7044667.9900000002"/>
    <n v="8.8559999999999999"/>
    <n v="1353321.61"/>
    <n v="0"/>
    <n v="706798.21"/>
    <x v="5"/>
    <n v="9"/>
  </r>
  <r>
    <n v="41489"/>
    <n v="3205010"/>
    <x v="70"/>
    <n v="0.78200000000000003"/>
    <n v="3384673.38"/>
    <n v="0"/>
    <n v="3384673.38"/>
    <n v="48043.07"/>
    <n v="284257.14"/>
    <n v="0.93799999999999994"/>
    <n v="72730.22"/>
    <n v="0"/>
    <n v="37984.76"/>
    <x v="5"/>
    <n v="9"/>
  </r>
  <r>
    <n v="41490"/>
    <n v="3205036"/>
    <x v="71"/>
    <n v="0.45700000000000002"/>
    <n v="1977999.66"/>
    <n v="0"/>
    <n v="1977999.66"/>
    <n v="28076.32"/>
    <n v="251447.23"/>
    <n v="0.70399999999999996"/>
    <n v="42503.47"/>
    <n v="0"/>
    <n v="22198.26"/>
    <x v="5"/>
    <n v="9"/>
  </r>
  <r>
    <n v="41491"/>
    <n v="3205069"/>
    <x v="72"/>
    <n v="0.67"/>
    <n v="2899911.99"/>
    <n v="0"/>
    <n v="2899911.99"/>
    <n v="41162.22"/>
    <n v="386172.99"/>
    <n v="0.83899999999999997"/>
    <n v="62313.62"/>
    <n v="0"/>
    <n v="32544.49"/>
    <x v="5"/>
    <n v="9"/>
  </r>
  <r>
    <n v="41492"/>
    <n v="2112803"/>
    <x v="73"/>
    <n v="3.3740000000000001"/>
    <n v="14603437.32"/>
    <n v="0"/>
    <n v="14603437.32"/>
    <n v="207285.58"/>
    <n v="854582.87"/>
    <n v="1.944"/>
    <n v="313800.23"/>
    <n v="0"/>
    <n v="163888.20000000001"/>
    <x v="5"/>
    <n v="9"/>
  </r>
  <r>
    <n v="41493"/>
    <n v="3205150"/>
    <x v="74"/>
    <n v="0.36799999999999999"/>
    <n v="1592787.48"/>
    <n v="0"/>
    <n v="1592787.48"/>
    <n v="22608.5"/>
    <n v="68482.63"/>
    <n v="0.34100000000000003"/>
    <n v="34225.99"/>
    <n v="0"/>
    <n v="17875.18"/>
    <x v="5"/>
    <n v="9"/>
  </r>
  <r>
    <n v="41494"/>
    <n v="3205176"/>
    <x v="75"/>
    <n v="0.7"/>
    <n v="3029758.78"/>
    <n v="0"/>
    <n v="3029758.78"/>
    <n v="43005.31"/>
    <n v="222750.35"/>
    <n v="0.55400000000000005"/>
    <n v="65103.79"/>
    <n v="0"/>
    <n v="34001.699999999997"/>
    <x v="5"/>
    <n v="9"/>
  </r>
  <r>
    <n v="41495"/>
    <n v="3205200"/>
    <x v="76"/>
    <n v="6.6219999999999999"/>
    <n v="28661518.059999999"/>
    <n v="0"/>
    <n v="28661518.059999999"/>
    <n v="406830.21"/>
    <n v="7738250.3499999996"/>
    <n v="8.01"/>
    <n v="615881.78"/>
    <n v="0"/>
    <n v="321656.09000000003"/>
    <x v="5"/>
    <n v="9"/>
  </r>
  <r>
    <n v="41496"/>
    <n v="3205309"/>
    <x v="77"/>
    <n v="10.878"/>
    <n v="47082451.350000001"/>
    <n v="0"/>
    <n v="47082451.350000001"/>
    <n v="668302.48"/>
    <n v="6889762.9199999999"/>
    <n v="9.1780000000000008"/>
    <n v="1011712.82"/>
    <n v="0"/>
    <n v="528386.43999999994"/>
    <x v="5"/>
    <n v="9"/>
  </r>
  <r>
    <n v="41497"/>
    <n v="3200102"/>
    <x v="0"/>
    <n v="0.67100000000000004"/>
    <n v="3309535.73"/>
    <n v="0"/>
    <n v="3309535.73"/>
    <n v="39533.760000000002"/>
    <n v="167640.94"/>
    <n v="1.004"/>
    <n v="70914.83"/>
    <n v="12890.93"/>
    <n v="16504.36"/>
    <x v="5"/>
    <n v="10"/>
  </r>
  <r>
    <n v="41498"/>
    <n v="3200169"/>
    <x v="1"/>
    <n v="0.309"/>
    <n v="1524063.4"/>
    <n v="0"/>
    <n v="1524063.4"/>
    <n v="18205.560000000001"/>
    <n v="53319.75"/>
    <n v="0.45700000000000002"/>
    <n v="32656.75"/>
    <n v="5871.87"/>
    <n v="7600.37"/>
    <x v="5"/>
    <n v="10"/>
  </r>
  <r>
    <n v="41499"/>
    <n v="3200136"/>
    <x v="2"/>
    <n v="0.51900000000000002"/>
    <n v="2559834.65"/>
    <n v="0"/>
    <n v="2559834.65"/>
    <n v="30578.27"/>
    <n v="82832.42"/>
    <n v="0.35099999999999998"/>
    <n v="54850.66"/>
    <n v="4514.2299999999996"/>
    <n v="12765.67"/>
    <x v="5"/>
    <n v="10"/>
  </r>
  <r>
    <n v="41500"/>
    <n v="3200201"/>
    <x v="3"/>
    <n v="0.41799999999999998"/>
    <n v="2061678.02"/>
    <n v="0"/>
    <n v="2061678.02"/>
    <n v="24627.59"/>
    <n v="143553.60999999999"/>
    <n v="0.98299999999999998"/>
    <n v="44176.44"/>
    <n v="12624.48"/>
    <n v="10281.41"/>
    <x v="5"/>
    <n v="10"/>
  </r>
  <r>
    <n v="41501"/>
    <n v="3200300"/>
    <x v="4"/>
    <n v="0.442"/>
    <n v="2180051.87"/>
    <n v="0"/>
    <n v="2180051.87"/>
    <n v="26041.61"/>
    <n v="75974.52"/>
    <n v="0.55500000000000005"/>
    <n v="46712.89"/>
    <n v="7132.29"/>
    <n v="10871.73"/>
    <x v="5"/>
    <n v="10"/>
  </r>
  <r>
    <n v="41502"/>
    <n v="3200359"/>
    <x v="5"/>
    <n v="0.25800000000000001"/>
    <n v="1272518.96"/>
    <n v="0"/>
    <n v="1272518.96"/>
    <n v="15200.76"/>
    <n v="68485.83"/>
    <n v="0.32300000000000001"/>
    <n v="27266.799999999999"/>
    <n v="4142.1099999999997"/>
    <n v="6345.94"/>
    <x v="5"/>
    <n v="10"/>
  </r>
  <r>
    <n v="41503"/>
    <n v="3200409"/>
    <x v="6"/>
    <n v="3.4780000000000002"/>
    <n v="17154344.739999998"/>
    <n v="0"/>
    <n v="17154344.739999998"/>
    <n v="204915.67"/>
    <n v="201917.61"/>
    <n v="1.0049999999999999"/>
    <n v="367573.39"/>
    <n v="12912.53"/>
    <n v="85547.199999999997"/>
    <x v="5"/>
    <n v="10"/>
  </r>
  <r>
    <n v="41504"/>
    <n v="3200508"/>
    <x v="7"/>
    <n v="0.23799999999999999"/>
    <n v="1173874.0900000001"/>
    <n v="0"/>
    <n v="1173874.0900000001"/>
    <n v="14022.41"/>
    <n v="86932.28"/>
    <n v="0.31900000000000001"/>
    <n v="25153.1"/>
    <n v="4099.37"/>
    <n v="5854.01"/>
    <x v="5"/>
    <n v="10"/>
  </r>
  <r>
    <n v="41505"/>
    <n v="3200607"/>
    <x v="8"/>
    <n v="4.4800000000000004"/>
    <n v="22096453.25"/>
    <n v="0"/>
    <n v="22096453.25"/>
    <n v="263951.18"/>
    <n v="756943.09"/>
    <n v="2.4649999999999999"/>
    <n v="473470.04"/>
    <n v="31655.26"/>
    <n v="110193.05"/>
    <x v="5"/>
    <n v="10"/>
  </r>
  <r>
    <n v="41506"/>
    <n v="3200706"/>
    <x v="9"/>
    <n v="0.39500000000000002"/>
    <n v="1948236.39"/>
    <n v="0"/>
    <n v="1948236.39"/>
    <n v="23272.48"/>
    <n v="44453.25"/>
    <n v="0.438"/>
    <n v="41745.69"/>
    <n v="5629.84"/>
    <n v="9715.68"/>
    <x v="5"/>
    <n v="10"/>
  </r>
  <r>
    <n v="41507"/>
    <n v="3200805"/>
    <x v="10"/>
    <n v="0.54"/>
    <n v="2663411.7799999998"/>
    <n v="0"/>
    <n v="2663411.7799999998"/>
    <n v="31815.54"/>
    <n v="278647.52"/>
    <n v="1.0069999999999999"/>
    <n v="57070.05"/>
    <n v="12929.75"/>
    <n v="13282.2"/>
    <x v="5"/>
    <n v="10"/>
  </r>
  <r>
    <n v="41508"/>
    <n v="3200904"/>
    <x v="11"/>
    <n v="0.81299999999999994"/>
    <n v="4009914.42"/>
    <n v="0"/>
    <n v="4009914.42"/>
    <n v="47900.07"/>
    <n v="340234.93"/>
    <n v="1.3120000000000001"/>
    <n v="85922.13"/>
    <n v="16848.259999999998"/>
    <n v="19997.09"/>
    <x v="5"/>
    <n v="10"/>
  </r>
  <r>
    <n v="41509"/>
    <n v="3107109"/>
    <x v="12"/>
    <n v="0.48699999999999999"/>
    <n v="2402002.84"/>
    <n v="0"/>
    <n v="2402002.84"/>
    <n v="28692.91"/>
    <n v="82633.990000000005"/>
    <n v="0.55200000000000005"/>
    <n v="51468.74"/>
    <n v="7086.27"/>
    <n v="11978.58"/>
    <x v="5"/>
    <n v="10"/>
  </r>
  <r>
    <n v="41510"/>
    <n v="3201100"/>
    <x v="13"/>
    <n v="0.247"/>
    <n v="1218264.27"/>
    <n v="0"/>
    <n v="1218264.27"/>
    <n v="14552.67"/>
    <n v="207558.04"/>
    <n v="0.435"/>
    <n v="26104.26"/>
    <n v="5590.86"/>
    <n v="6075.38"/>
    <x v="5"/>
    <n v="10"/>
  </r>
  <r>
    <n v="41511"/>
    <n v="3201159"/>
    <x v="14"/>
    <n v="0.40699999999999997"/>
    <n v="2007423.33"/>
    <n v="0"/>
    <n v="2007423.33"/>
    <n v="23979.49"/>
    <n v="85322.58"/>
    <n v="0.54600000000000004"/>
    <n v="43013.91"/>
    <n v="7017.85"/>
    <n v="10010.84"/>
    <x v="5"/>
    <n v="10"/>
  </r>
  <r>
    <n v="41512"/>
    <n v="3201209"/>
    <x v="15"/>
    <n v="2.5920000000000001"/>
    <n v="12784376.529999999"/>
    <n v="0"/>
    <n v="12784376.529999999"/>
    <n v="152714.60999999999"/>
    <n v="1429490.64"/>
    <n v="4.298"/>
    <n v="273936.24"/>
    <n v="55199.87"/>
    <n v="63754.55"/>
    <x v="5"/>
    <n v="10"/>
  </r>
  <r>
    <n v="41513"/>
    <n v="3201308"/>
    <x v="16"/>
    <n v="8.3239999999999998"/>
    <n v="41055999.280000001"/>
    <n v="0"/>
    <n v="41055999.280000001"/>
    <n v="490430.71999999997"/>
    <n v="2292941.38"/>
    <n v="6.4569999999999999"/>
    <n v="879724.24"/>
    <n v="82934.44"/>
    <n v="204742.63"/>
    <x v="5"/>
    <n v="10"/>
  </r>
  <r>
    <n v="41514"/>
    <n v="3201407"/>
    <x v="17"/>
    <n v="0.80700000000000005"/>
    <n v="3980320.91"/>
    <n v="0"/>
    <n v="3980320.91"/>
    <n v="47546.559999999998"/>
    <n v="722886.49"/>
    <n v="1.1639999999999999"/>
    <n v="85288.02"/>
    <n v="14955.38"/>
    <n v="19849.509999999998"/>
    <x v="5"/>
    <n v="10"/>
  </r>
  <r>
    <n v="41515"/>
    <n v="3201506"/>
    <x v="18"/>
    <n v="2.0139999999999998"/>
    <n v="9933539.4800000004"/>
    <n v="0"/>
    <n v="9933539.4800000004"/>
    <n v="118660.2"/>
    <n v="935145.9"/>
    <n v="2.86"/>
    <n v="212850.14"/>
    <n v="36735.160000000003"/>
    <n v="49537.68"/>
    <x v="5"/>
    <n v="10"/>
  </r>
  <r>
    <n v="41516"/>
    <n v="3201605"/>
    <x v="19"/>
    <n v="0.60099999999999998"/>
    <n v="2964278.66"/>
    <n v="0"/>
    <n v="2964278.66"/>
    <n v="35409.519999999997"/>
    <n v="122512.92"/>
    <n v="0.94399999999999995"/>
    <n v="63516.85"/>
    <n v="12125.22"/>
    <n v="14782.59"/>
    <x v="5"/>
    <n v="10"/>
  </r>
  <r>
    <n v="41517"/>
    <n v="3201704"/>
    <x v="20"/>
    <n v="0.371"/>
    <n v="1829862.55"/>
    <n v="0"/>
    <n v="1829862.55"/>
    <n v="21858.46"/>
    <n v="69390.25"/>
    <n v="0.45600000000000002"/>
    <n v="39209.24"/>
    <n v="5854.49"/>
    <n v="9125.36"/>
    <x v="5"/>
    <n v="10"/>
  </r>
  <r>
    <n v="41518"/>
    <n v="3201803"/>
    <x v="21"/>
    <n v="0.187"/>
    <n v="922329.66"/>
    <n v="0"/>
    <n v="922329.66"/>
    <n v="11017.6"/>
    <n v="31195.09"/>
    <n v="0.29299999999999998"/>
    <n v="19763.16"/>
    <n v="3768.28"/>
    <n v="4599.58"/>
    <x v="5"/>
    <n v="10"/>
  </r>
  <r>
    <n v="41519"/>
    <n v="3201902"/>
    <x v="22"/>
    <n v="1.0620000000000001"/>
    <n v="5238043.1500000004"/>
    <n v="0"/>
    <n v="5238043.1500000004"/>
    <n v="62570.57"/>
    <n v="255188.38"/>
    <n v="1.147"/>
    <n v="112237.77"/>
    <n v="14732.46"/>
    <n v="26121.66"/>
    <x v="5"/>
    <n v="10"/>
  </r>
  <r>
    <n v="41520"/>
    <n v="3202009"/>
    <x v="23"/>
    <n v="0.34899999999999998"/>
    <n v="1721353.17"/>
    <n v="0"/>
    <n v="1721353.17"/>
    <n v="20562.27"/>
    <n v="78750.080000000002"/>
    <n v="0.312"/>
    <n v="36884.160000000003"/>
    <n v="4007.17"/>
    <n v="8584.24"/>
    <x v="5"/>
    <n v="10"/>
  </r>
  <r>
    <n v="41521"/>
    <n v="3202108"/>
    <x v="24"/>
    <n v="0.57099999999999995"/>
    <n v="2816311.33"/>
    <n v="0"/>
    <n v="2816311.33"/>
    <n v="33641.99"/>
    <n v="114391.38"/>
    <n v="0.79200000000000004"/>
    <n v="60346.29"/>
    <n v="10168.200000000001"/>
    <n v="14044.69"/>
    <x v="5"/>
    <n v="10"/>
  </r>
  <r>
    <n v="41522"/>
    <n v="3202207"/>
    <x v="25"/>
    <n v="0.36799999999999999"/>
    <n v="1815065.79"/>
    <n v="0"/>
    <n v="1815065.79"/>
    <n v="21681.7"/>
    <n v="125491.64"/>
    <n v="0.68600000000000005"/>
    <n v="38892.18"/>
    <n v="8805.52"/>
    <n v="9051.57"/>
    <x v="5"/>
    <n v="10"/>
  </r>
  <r>
    <n v="41523"/>
    <n v="3202256"/>
    <x v="26"/>
    <n v="0.53100000000000003"/>
    <n v="2619021.56"/>
    <n v="0"/>
    <n v="2619021.56"/>
    <n v="31285.279999999999"/>
    <n v="120335.37"/>
    <n v="0.44400000000000001"/>
    <n v="56118.879999999997"/>
    <n v="5700.92"/>
    <n v="13060.83"/>
    <x v="5"/>
    <n v="10"/>
  </r>
  <r>
    <n v="41524"/>
    <n v="3202306"/>
    <x v="27"/>
    <n v="0.36699999999999999"/>
    <n v="1810133.58"/>
    <n v="0"/>
    <n v="1810133.58"/>
    <n v="21622.79"/>
    <n v="217012.86"/>
    <n v="0.99"/>
    <n v="38786.5"/>
    <n v="12709.96"/>
    <n v="9026.98"/>
    <x v="5"/>
    <n v="10"/>
  </r>
  <r>
    <n v="41525"/>
    <n v="3202405"/>
    <x v="28"/>
    <n v="0.79"/>
    <n v="3896472.77"/>
    <n v="0"/>
    <n v="3896472.77"/>
    <n v="46544.959999999999"/>
    <n v="1397289.45"/>
    <n v="3.0129999999999999"/>
    <n v="83491.37"/>
    <n v="38701.32"/>
    <n v="19431.36"/>
    <x v="5"/>
    <n v="10"/>
  </r>
  <r>
    <n v="41526"/>
    <n v="3202454"/>
    <x v="29"/>
    <n v="0.33900000000000002"/>
    <n v="1672030.72"/>
    <n v="0"/>
    <n v="1672030.72"/>
    <n v="19973.09"/>
    <n v="227896.98"/>
    <n v="0.86499999999999999"/>
    <n v="35827.31"/>
    <n v="11110.13"/>
    <n v="8338.27"/>
    <x v="5"/>
    <n v="10"/>
  </r>
  <r>
    <n v="41527"/>
    <n v="3202504"/>
    <x v="30"/>
    <n v="0.307"/>
    <n v="1514198.91"/>
    <n v="0"/>
    <n v="1514198.91"/>
    <n v="18087.73"/>
    <n v="62590.61"/>
    <n v="0.45400000000000001"/>
    <n v="32445.37"/>
    <n v="5825.22"/>
    <n v="7551.18"/>
    <x v="5"/>
    <n v="10"/>
  </r>
  <r>
    <n v="41528"/>
    <n v="3202553"/>
    <x v="31"/>
    <n v="0.28399999999999997"/>
    <n v="1400757.3"/>
    <n v="0"/>
    <n v="1400757.3"/>
    <n v="16732.62"/>
    <n v="68744.320000000007"/>
    <n v="0.35"/>
    <n v="30014.61"/>
    <n v="4490.59"/>
    <n v="6985.45"/>
    <x v="5"/>
    <n v="10"/>
  </r>
  <r>
    <n v="41529"/>
    <n v="3202603"/>
    <x v="32"/>
    <n v="0.314"/>
    <n v="1548724.62"/>
    <n v="0"/>
    <n v="1548724.62"/>
    <n v="18500.150000000001"/>
    <n v="152697.46"/>
    <n v="0.52"/>
    <n v="33185.18"/>
    <n v="6675.14"/>
    <n v="7723.35"/>
    <x v="5"/>
    <n v="10"/>
  </r>
  <r>
    <n v="41530"/>
    <n v="3202652"/>
    <x v="33"/>
    <n v="0.316"/>
    <n v="1558589.1"/>
    <n v="0"/>
    <n v="1558589.1"/>
    <n v="18617.98"/>
    <n v="114458.95"/>
    <n v="0.55700000000000005"/>
    <n v="33396.550000000003"/>
    <n v="7154.21"/>
    <n v="7772.55"/>
    <x v="5"/>
    <n v="10"/>
  </r>
  <r>
    <n v="41531"/>
    <n v="3202702"/>
    <x v="34"/>
    <n v="0.40400000000000003"/>
    <n v="1992626.6"/>
    <n v="0"/>
    <n v="1992626.6"/>
    <n v="23802.74"/>
    <n v="55572.08"/>
    <n v="0.55200000000000005"/>
    <n v="42696.85"/>
    <n v="7084.07"/>
    <n v="9937.0499999999993"/>
    <x v="5"/>
    <n v="10"/>
  </r>
  <r>
    <n v="41532"/>
    <n v="3202801"/>
    <x v="35"/>
    <n v="3.4060000000000001"/>
    <n v="16799223.170000002"/>
    <n v="0"/>
    <n v="16799223.170000002"/>
    <n v="200673.6"/>
    <n v="276654.87"/>
    <n v="1.2130000000000001"/>
    <n v="359964.05"/>
    <n v="15576.26"/>
    <n v="83776.240000000005"/>
    <x v="5"/>
    <n v="10"/>
  </r>
  <r>
    <n v="41533"/>
    <n v="3202900"/>
    <x v="36"/>
    <n v="0.39200000000000002"/>
    <n v="1933439.66"/>
    <n v="0"/>
    <n v="1933439.66"/>
    <n v="23095.73"/>
    <n v="58335.09"/>
    <n v="0.438"/>
    <n v="41428.629999999997"/>
    <n v="5625.31"/>
    <n v="9641.89"/>
    <x v="5"/>
    <n v="10"/>
  </r>
  <r>
    <n v="41534"/>
    <n v="3203007"/>
    <x v="37"/>
    <n v="0.5"/>
    <n v="2466122.02"/>
    <n v="0"/>
    <n v="2466122.02"/>
    <n v="29458.84"/>
    <n v="200278.38"/>
    <n v="0.90300000000000002"/>
    <n v="52842.64"/>
    <n v="11601.07"/>
    <n v="12298.33"/>
    <x v="5"/>
    <n v="10"/>
  </r>
  <r>
    <n v="41535"/>
    <n v="3203056"/>
    <x v="38"/>
    <n v="1.109"/>
    <n v="5469858.6399999997"/>
    <n v="0"/>
    <n v="5469858.6399999997"/>
    <n v="65339.7"/>
    <n v="228800.12"/>
    <n v="0.98899999999999999"/>
    <n v="117204.97"/>
    <n v="12700.88"/>
    <n v="27277.7"/>
    <x v="5"/>
    <n v="10"/>
  </r>
  <r>
    <n v="41536"/>
    <n v="3203106"/>
    <x v="39"/>
    <n v="0.216"/>
    <n v="1065364.71"/>
    <n v="0"/>
    <n v="1065364.71"/>
    <n v="12726.22"/>
    <n v="44831.69"/>
    <n v="0.45100000000000001"/>
    <n v="22828.01"/>
    <n v="5796.72"/>
    <n v="5312.88"/>
    <x v="5"/>
    <n v="10"/>
  </r>
  <r>
    <n v="41537"/>
    <n v="3203130"/>
    <x v="40"/>
    <n v="0.376"/>
    <n v="1854523.76"/>
    <n v="0"/>
    <n v="1854523.76"/>
    <n v="22153.05"/>
    <n v="75588.17"/>
    <n v="0.61499999999999999"/>
    <n v="39737.660000000003"/>
    <n v="7898.72"/>
    <n v="9248.35"/>
    <x v="5"/>
    <n v="10"/>
  </r>
  <r>
    <n v="41538"/>
    <n v="3203163"/>
    <x v="41"/>
    <n v="0.42799999999999999"/>
    <n v="2111000.4300000002"/>
    <n v="0"/>
    <n v="2111000.4300000002"/>
    <n v="25216.76"/>
    <n v="57052.75"/>
    <n v="0.44500000000000001"/>
    <n v="45233.3"/>
    <n v="5717.36"/>
    <n v="10527.37"/>
    <x v="5"/>
    <n v="10"/>
  </r>
  <r>
    <n v="41539"/>
    <n v="3203205"/>
    <x v="42"/>
    <n v="4.431"/>
    <n v="21854773.300000001"/>
    <n v="0"/>
    <n v="21854773.300000001"/>
    <n v="261064.22"/>
    <n v="1420205.93"/>
    <n v="4.0979999999999999"/>
    <n v="468291.46"/>
    <n v="52630.73"/>
    <n v="108987.82"/>
    <x v="5"/>
    <n v="10"/>
  </r>
  <r>
    <n v="41540"/>
    <n v="3203304"/>
    <x v="43"/>
    <n v="0.314"/>
    <n v="1548724.62"/>
    <n v="0"/>
    <n v="1548724.62"/>
    <n v="18500.150000000001"/>
    <n v="117603.43"/>
    <n v="0.52400000000000002"/>
    <n v="33185.18"/>
    <n v="6734.62"/>
    <n v="7723.35"/>
    <x v="5"/>
    <n v="10"/>
  </r>
  <r>
    <n v="41541"/>
    <n v="3203320"/>
    <x v="44"/>
    <n v="0.58499999999999996"/>
    <n v="2885362.75"/>
    <n v="0"/>
    <n v="2885362.75"/>
    <n v="34466.839999999997"/>
    <n v="390040.23"/>
    <n v="1.3140000000000001"/>
    <n v="61825.89"/>
    <n v="16874.57"/>
    <n v="14389.05"/>
    <x v="5"/>
    <n v="10"/>
  </r>
  <r>
    <n v="41542"/>
    <n v="3203346"/>
    <x v="45"/>
    <n v="0.55500000000000005"/>
    <n v="2737395.44"/>
    <n v="0"/>
    <n v="2737395.44"/>
    <n v="32699.31"/>
    <n v="119617.28"/>
    <n v="0.68500000000000005"/>
    <n v="58655.33"/>
    <n v="8792.85"/>
    <n v="13651.15"/>
    <x v="5"/>
    <n v="10"/>
  </r>
  <r>
    <n v="41543"/>
    <n v="3203353"/>
    <x v="46"/>
    <n v="0.505"/>
    <n v="2490783.21"/>
    <n v="0"/>
    <n v="2490783.21"/>
    <n v="29753.43"/>
    <n v="109442.37"/>
    <n v="0.46300000000000002"/>
    <n v="53371.07"/>
    <n v="5943.1"/>
    <n v="12421.32"/>
    <x v="5"/>
    <n v="10"/>
  </r>
  <r>
    <n v="41544"/>
    <n v="3203403"/>
    <x v="47"/>
    <n v="0.46899999999999997"/>
    <n v="2313222.44"/>
    <n v="0"/>
    <n v="2313222.44"/>
    <n v="27632.39"/>
    <n v="148936.54999999999"/>
    <n v="0.83899999999999997"/>
    <n v="49566.400000000001"/>
    <n v="10776.84"/>
    <n v="11535.84"/>
    <x v="5"/>
    <n v="10"/>
  </r>
  <r>
    <n v="41545"/>
    <n v="3203502"/>
    <x v="48"/>
    <n v="0.51500000000000001"/>
    <n v="2540105.66"/>
    <n v="0"/>
    <n v="2540105.66"/>
    <n v="30342.6"/>
    <n v="144169.21"/>
    <n v="0.69699999999999995"/>
    <n v="54427.92"/>
    <n v="8950.81"/>
    <n v="12667.28"/>
    <x v="5"/>
    <n v="10"/>
  </r>
  <r>
    <n v="41546"/>
    <n v="3203601"/>
    <x v="49"/>
    <n v="0.30599999999999999"/>
    <n v="1509266.68"/>
    <n v="0"/>
    <n v="1509266.68"/>
    <n v="18028.810000000001"/>
    <n v="33734.25"/>
    <n v="0.29699999999999999"/>
    <n v="32339.7"/>
    <n v="3815.39"/>
    <n v="7526.58"/>
    <x v="5"/>
    <n v="10"/>
  </r>
  <r>
    <n v="41547"/>
    <n v="3203700"/>
    <x v="50"/>
    <n v="0.505"/>
    <n v="2490783.21"/>
    <n v="0"/>
    <n v="2490783.21"/>
    <n v="29753.43"/>
    <n v="110581.11"/>
    <n v="0.68500000000000005"/>
    <n v="53371.07"/>
    <n v="8803.5"/>
    <n v="12421.32"/>
    <x v="5"/>
    <n v="10"/>
  </r>
  <r>
    <n v="41548"/>
    <n v="3203809"/>
    <x v="51"/>
    <n v="0.32"/>
    <n v="1578318.08"/>
    <n v="0"/>
    <n v="1578318.08"/>
    <n v="18853.66"/>
    <n v="101232.02"/>
    <n v="0.55300000000000005"/>
    <n v="33819.279999999999"/>
    <n v="7107.24"/>
    <n v="7870.93"/>
    <x v="5"/>
    <n v="10"/>
  </r>
  <r>
    <n v="41549"/>
    <n v="3203908"/>
    <x v="52"/>
    <n v="1.2250000000000001"/>
    <n v="6041998.9400000004"/>
    <n v="0"/>
    <n v="6041998.9400000004"/>
    <n v="72174.149999999994"/>
    <n v="395551.44"/>
    <n v="1.4710000000000001"/>
    <n v="129464.46"/>
    <n v="18894.560000000001"/>
    <n v="30130.91"/>
    <x v="5"/>
    <n v="10"/>
  </r>
  <r>
    <n v="41550"/>
    <n v="3204005"/>
    <x v="53"/>
    <n v="0.435"/>
    <n v="2145526.13"/>
    <n v="0"/>
    <n v="2145526.13"/>
    <n v="25629.19"/>
    <n v="103478.49"/>
    <n v="0.69099999999999995"/>
    <n v="45973.09"/>
    <n v="8875.36"/>
    <n v="10699.55"/>
    <x v="5"/>
    <n v="10"/>
  </r>
  <r>
    <n v="41551"/>
    <n v="3204054"/>
    <x v="54"/>
    <n v="0.33400000000000002"/>
    <n v="1647369.51"/>
    <n v="0"/>
    <n v="1647369.51"/>
    <n v="19678.5"/>
    <n v="184523.19"/>
    <n v="0.78400000000000003"/>
    <n v="35298.89"/>
    <n v="10070.83"/>
    <n v="8215.2900000000009"/>
    <x v="5"/>
    <n v="10"/>
  </r>
  <r>
    <n v="41552"/>
    <n v="3204104"/>
    <x v="55"/>
    <n v="0.755"/>
    <n v="3723844.25"/>
    <n v="0"/>
    <n v="3723844.25"/>
    <n v="44482.84"/>
    <n v="126757.22"/>
    <n v="0.83499999999999996"/>
    <n v="79792.38"/>
    <n v="10721.43"/>
    <n v="18570.48"/>
    <x v="5"/>
    <n v="10"/>
  </r>
  <r>
    <n v="41553"/>
    <n v="3204203"/>
    <x v="56"/>
    <n v="0.36499999999999999"/>
    <n v="1800269.07"/>
    <n v="0"/>
    <n v="1800269.07"/>
    <n v="21504.95"/>
    <n v="206515.24"/>
    <n v="0.745"/>
    <n v="38575.129999999997"/>
    <n v="9566.0499999999993"/>
    <n v="8977.7800000000007"/>
    <x v="5"/>
    <n v="10"/>
  </r>
  <r>
    <n v="41554"/>
    <n v="3204252"/>
    <x v="57"/>
    <n v="0.27"/>
    <n v="1331705.8899999999"/>
    <n v="0"/>
    <n v="1331705.8899999999"/>
    <n v="15907.77"/>
    <n v="28277.51"/>
    <n v="0.31"/>
    <n v="28535.02"/>
    <n v="3977.58"/>
    <n v="6641.1"/>
    <x v="5"/>
    <n v="10"/>
  </r>
  <r>
    <n v="41555"/>
    <n v="1718402"/>
    <x v="58"/>
    <n v="0.39100000000000001"/>
    <n v="1928507.42"/>
    <n v="0"/>
    <n v="1928507.42"/>
    <n v="23036.81"/>
    <n v="146237.32"/>
    <n v="0.55900000000000005"/>
    <n v="41322.94"/>
    <n v="7175.18"/>
    <n v="9617.2999999999993"/>
    <x v="5"/>
    <n v="10"/>
  </r>
  <r>
    <n v="41556"/>
    <n v="3204351"/>
    <x v="59"/>
    <n v="0.88200000000000001"/>
    <n v="4350239.2300000004"/>
    <n v="0"/>
    <n v="4350239.2300000004"/>
    <n v="51965.39"/>
    <n v="135402.75"/>
    <n v="0.70299999999999996"/>
    <n v="93214.42"/>
    <n v="9025.49"/>
    <n v="21694.26"/>
    <x v="5"/>
    <n v="10"/>
  </r>
  <r>
    <n v="41557"/>
    <n v="3204401"/>
    <x v="60"/>
    <n v="0.312"/>
    <n v="1538860.15"/>
    <n v="0"/>
    <n v="1538860.15"/>
    <n v="18382.310000000001"/>
    <n v="81541.8"/>
    <n v="0.44400000000000001"/>
    <n v="32973.800000000003"/>
    <n v="5702.8"/>
    <n v="7674.16"/>
    <x v="5"/>
    <n v="10"/>
  </r>
  <r>
    <n v="41558"/>
    <n v="3204500"/>
    <x v="61"/>
    <n v="0.51800000000000002"/>
    <n v="2554902.39"/>
    <n v="0"/>
    <n v="2554902.39"/>
    <n v="30519.360000000001"/>
    <n v="61277.86"/>
    <n v="0.54800000000000004"/>
    <n v="54744.98"/>
    <n v="7034.29"/>
    <n v="12741.07"/>
    <x v="5"/>
    <n v="10"/>
  </r>
  <r>
    <n v="41559"/>
    <n v="3204559"/>
    <x v="62"/>
    <n v="2.1909999999999998"/>
    <n v="10806546.65"/>
    <n v="0"/>
    <n v="10806546.65"/>
    <n v="129088.62"/>
    <n v="633148.1"/>
    <n v="1.31"/>
    <n v="231556.44"/>
    <n v="16818.84"/>
    <n v="53891.29"/>
    <x v="5"/>
    <n v="10"/>
  </r>
  <r>
    <n v="41560"/>
    <n v="3204609"/>
    <x v="63"/>
    <n v="0.66"/>
    <n v="3255281.04"/>
    <n v="0"/>
    <n v="3255281.04"/>
    <n v="38885.660000000003"/>
    <n v="196684.78"/>
    <n v="0.82199999999999995"/>
    <n v="69752.289999999994"/>
    <n v="10560.33"/>
    <n v="16233.8"/>
    <x v="5"/>
    <n v="10"/>
  </r>
  <r>
    <n v="41561"/>
    <n v="3204658"/>
    <x v="64"/>
    <n v="0.42099999999999999"/>
    <n v="2076474.74"/>
    <n v="0"/>
    <n v="2076474.74"/>
    <n v="24804.34"/>
    <n v="67145.3"/>
    <n v="0.33800000000000002"/>
    <n v="44493.51"/>
    <n v="4339.51"/>
    <n v="10355.200000000001"/>
    <x v="5"/>
    <n v="10"/>
  </r>
  <r>
    <n v="41562"/>
    <n v="3204708"/>
    <x v="65"/>
    <n v="0.72299999999999998"/>
    <n v="3566012.43"/>
    <n v="0"/>
    <n v="3566012.43"/>
    <n v="42597.48"/>
    <n v="246092.42"/>
    <n v="1.0840000000000001"/>
    <n v="76410.45"/>
    <n v="13921.62"/>
    <n v="17783.39"/>
    <x v="5"/>
    <n v="10"/>
  </r>
  <r>
    <n v="41563"/>
    <n v="3204807"/>
    <x v="66"/>
    <n v="0.28599999999999998"/>
    <n v="1410621.8"/>
    <n v="0"/>
    <n v="1410621.8"/>
    <n v="16850.46"/>
    <n v="50198.9"/>
    <n v="0.443"/>
    <n v="30225.99"/>
    <n v="5686.2"/>
    <n v="7034.65"/>
    <x v="5"/>
    <n v="10"/>
  </r>
  <r>
    <n v="41564"/>
    <n v="3204906"/>
    <x v="67"/>
    <n v="1.998"/>
    <n v="9854623.5700000003"/>
    <n v="0"/>
    <n v="9854623.5700000003"/>
    <n v="117717.51"/>
    <n v="971082.71"/>
    <n v="2.9940000000000002"/>
    <n v="211159.18"/>
    <n v="38453.19"/>
    <n v="49144.13"/>
    <x v="5"/>
    <n v="10"/>
  </r>
  <r>
    <n v="41565"/>
    <n v="3204955"/>
    <x v="68"/>
    <n v="0.3"/>
    <n v="1479673.21"/>
    <n v="0"/>
    <n v="1479673.21"/>
    <n v="17675.3"/>
    <n v="55256.12"/>
    <n v="0.441"/>
    <n v="31705.58"/>
    <n v="5670.24"/>
    <n v="7379"/>
    <x v="5"/>
    <n v="10"/>
  </r>
  <r>
    <n v="41566"/>
    <n v="3205002"/>
    <x v="69"/>
    <n v="14.551"/>
    <n v="71769082.870000005"/>
    <n v="0"/>
    <n v="71769082.870000005"/>
    <n v="857311.09"/>
    <n v="4013113.23"/>
    <n v="8.8559999999999999"/>
    <n v="1537826.46"/>
    <n v="113741.58"/>
    <n v="357906.05"/>
    <x v="5"/>
    <n v="10"/>
  </r>
  <r>
    <n v="41567"/>
    <n v="3205010"/>
    <x v="70"/>
    <n v="0.78200000000000003"/>
    <n v="3857014.84"/>
    <n v="0"/>
    <n v="3857014.84"/>
    <n v="46073.62"/>
    <n v="148289"/>
    <n v="0.93799999999999994"/>
    <n v="82645.89"/>
    <n v="12046.95"/>
    <n v="19234.59"/>
    <x v="5"/>
    <n v="10"/>
  </r>
  <r>
    <n v="41568"/>
    <n v="3205036"/>
    <x v="71"/>
    <n v="0.45700000000000002"/>
    <n v="2254035.52"/>
    <n v="0"/>
    <n v="2254035.52"/>
    <n v="26925.38"/>
    <n v="145062.97"/>
    <n v="0.70399999999999996"/>
    <n v="48298.18"/>
    <n v="9044.89"/>
    <n v="11240.68"/>
    <x v="5"/>
    <n v="10"/>
  </r>
  <r>
    <n v="41569"/>
    <n v="3205069"/>
    <x v="72"/>
    <n v="0.67"/>
    <n v="3304603.51"/>
    <n v="0"/>
    <n v="3304603.51"/>
    <n v="39474.839999999997"/>
    <n v="204606.11"/>
    <n v="0.83899999999999997"/>
    <n v="70809.13"/>
    <n v="10775.12"/>
    <n v="16479.759999999998"/>
    <x v="5"/>
    <n v="10"/>
  </r>
  <r>
    <n v="41570"/>
    <n v="2112803"/>
    <x v="73"/>
    <n v="3.3740000000000001"/>
    <n v="16641391.359999999"/>
    <n v="0"/>
    <n v="16641391.359999999"/>
    <n v="198788.24"/>
    <n v="498264.26"/>
    <n v="1.944"/>
    <n v="356582.12"/>
    <n v="24973.759999999998"/>
    <n v="82989.14"/>
    <x v="5"/>
    <n v="10"/>
  </r>
  <r>
    <n v="41571"/>
    <n v="3205150"/>
    <x v="74"/>
    <n v="0.36799999999999999"/>
    <n v="1815065.79"/>
    <n v="0"/>
    <n v="1815065.79"/>
    <n v="21681.7"/>
    <n v="72132.78"/>
    <n v="0.34100000000000003"/>
    <n v="38892.18"/>
    <n v="4384.92"/>
    <n v="9051.57"/>
    <x v="5"/>
    <n v="10"/>
  </r>
  <r>
    <n v="41572"/>
    <n v="3205176"/>
    <x v="75"/>
    <n v="0.7"/>
    <n v="3452570.82"/>
    <n v="0"/>
    <n v="3452570.82"/>
    <n v="41242.370000000003"/>
    <n v="180735.2"/>
    <n v="0.55400000000000005"/>
    <n v="73979.69"/>
    <n v="7115.06"/>
    <n v="17217.66"/>
    <x v="5"/>
    <n v="10"/>
  </r>
  <r>
    <n v="41573"/>
    <n v="3205200"/>
    <x v="76"/>
    <n v="6.6219999999999999"/>
    <n v="32661319.960000001"/>
    <n v="0"/>
    <n v="32661319.960000001"/>
    <n v="390152.84"/>
    <n v="4025438.12"/>
    <n v="8.01"/>
    <n v="699847.9"/>
    <n v="102880.99"/>
    <n v="162879.10999999999"/>
    <x v="5"/>
    <n v="10"/>
  </r>
  <r>
    <n v="41574"/>
    <n v="3205309"/>
    <x v="77"/>
    <n v="10.878"/>
    <n v="53652950.700000003"/>
    <n v="0"/>
    <n v="53652950.700000003"/>
    <n v="640906.47"/>
    <n v="3673561.82"/>
    <n v="9.1780000000000008"/>
    <n v="1149644.4099999999"/>
    <n v="117883.55"/>
    <n v="267562.46000000002"/>
    <x v="5"/>
    <n v="10"/>
  </r>
  <r>
    <n v="41575"/>
    <n v="3200102"/>
    <x v="0"/>
    <n v="0.67100000000000004"/>
    <n v="3161069.08"/>
    <n v="0"/>
    <n v="3161069.08"/>
    <n v="39499.51"/>
    <n v="335960.02"/>
    <n v="1.0169999999999999"/>
    <n v="65611.899999999994"/>
    <n v="0"/>
    <n v="15513.7"/>
    <x v="5"/>
    <n v="3"/>
  </r>
  <r>
    <n v="41576"/>
    <n v="3200169"/>
    <x v="1"/>
    <n v="0.309"/>
    <n v="1455693.54"/>
    <n v="0"/>
    <n v="1455693.54"/>
    <n v="18189.79"/>
    <n v="85565.93"/>
    <n v="0.46500000000000002"/>
    <n v="30214.720000000001"/>
    <n v="0"/>
    <n v="7144.16"/>
    <x v="5"/>
    <n v="3"/>
  </r>
  <r>
    <n v="41577"/>
    <n v="3200136"/>
    <x v="2"/>
    <n v="0.51900000000000002"/>
    <n v="2444999.79"/>
    <n v="0"/>
    <n v="2444999.79"/>
    <n v="30551.78"/>
    <n v="101786.13"/>
    <n v="0.35799999999999998"/>
    <n v="50749"/>
    <n v="0"/>
    <n v="11999.42"/>
    <x v="5"/>
    <n v="3"/>
  </r>
  <r>
    <n v="41578"/>
    <n v="3200201"/>
    <x v="3"/>
    <n v="0.41799999999999998"/>
    <n v="1969190.58"/>
    <n v="0"/>
    <n v="1969190.58"/>
    <n v="24606.25"/>
    <n v="236549.84"/>
    <n v="0.98699999999999999"/>
    <n v="40872.99"/>
    <n v="0"/>
    <n v="9664.27"/>
    <x v="5"/>
    <n v="3"/>
  </r>
  <r>
    <n v="41579"/>
    <n v="3200300"/>
    <x v="4"/>
    <n v="0.442"/>
    <n v="2082254.17"/>
    <n v="0"/>
    <n v="2082254.17"/>
    <n v="26019.05"/>
    <n v="320917.82"/>
    <n v="0.56599999999999995"/>
    <n v="43219.76"/>
    <n v="0"/>
    <n v="10219.16"/>
    <x v="5"/>
    <n v="3"/>
  </r>
  <r>
    <n v="41580"/>
    <n v="3200359"/>
    <x v="5"/>
    <n v="0.25800000000000001"/>
    <n v="1215433.4099999999"/>
    <n v="0"/>
    <n v="1215433.4099999999"/>
    <n v="15187.59"/>
    <n v="51187.14"/>
    <n v="0.32800000000000001"/>
    <n v="25227.83"/>
    <n v="0"/>
    <n v="5965.03"/>
    <x v="5"/>
    <n v="3"/>
  </r>
  <r>
    <n v="41581"/>
    <n v="3200409"/>
    <x v="6"/>
    <n v="3.4780000000000002"/>
    <n v="16384796.300000001"/>
    <n v="0"/>
    <n v="16384796.300000001"/>
    <n v="204738.13"/>
    <n v="340711.5"/>
    <n v="0.93"/>
    <n v="340086.72"/>
    <n v="0"/>
    <n v="80412.28"/>
    <x v="5"/>
    <n v="3"/>
  </r>
  <r>
    <n v="41582"/>
    <n v="3200508"/>
    <x v="7"/>
    <n v="0.23799999999999999"/>
    <n v="1121213.78"/>
    <n v="0"/>
    <n v="1121213.78"/>
    <n v="14010.26"/>
    <n v="156890.51"/>
    <n v="0.32500000000000001"/>
    <n v="23272.18"/>
    <n v="0"/>
    <n v="5502.62"/>
    <x v="5"/>
    <n v="3"/>
  </r>
  <r>
    <n v="41583"/>
    <n v="3200607"/>
    <x v="8"/>
    <n v="4.4800000000000004"/>
    <n v="21105200.5"/>
    <n v="0"/>
    <n v="21105200.5"/>
    <n v="263722.49"/>
    <n v="1194349.03"/>
    <n v="2.456"/>
    <n v="438064.55"/>
    <n v="0"/>
    <n v="103578.78"/>
    <x v="5"/>
    <n v="3"/>
  </r>
  <r>
    <n v="41584"/>
    <n v="3200706"/>
    <x v="9"/>
    <n v="0.39500000000000002"/>
    <n v="1860837.98"/>
    <n v="0"/>
    <n v="1860837.98"/>
    <n v="23252.32"/>
    <n v="59562.06"/>
    <n v="0.44600000000000001"/>
    <n v="38623.99"/>
    <n v="0"/>
    <n v="9132.5"/>
    <x v="5"/>
    <n v="3"/>
  </r>
  <r>
    <n v="41585"/>
    <n v="3200805"/>
    <x v="10"/>
    <n v="0.54"/>
    <n v="2543930.4300000002"/>
    <n v="0"/>
    <n v="2543930.4300000002"/>
    <n v="31787.98"/>
    <n v="421288.69"/>
    <n v="1.016"/>
    <n v="52802.42"/>
    <n v="0"/>
    <n v="12484.94"/>
    <x v="5"/>
    <n v="3"/>
  </r>
  <r>
    <n v="41586"/>
    <n v="3200904"/>
    <x v="11"/>
    <n v="0.81299999999999994"/>
    <n v="3830028.59"/>
    <n v="0"/>
    <n v="3830028.59"/>
    <n v="47858.57"/>
    <n v="669582.44999999995"/>
    <n v="1.3140000000000001"/>
    <n v="79496.98"/>
    <n v="0"/>
    <n v="18796.77"/>
    <x v="5"/>
    <n v="3"/>
  </r>
  <r>
    <n v="41587"/>
    <n v="3107109"/>
    <x v="12"/>
    <n v="0.48699999999999999"/>
    <n v="2294248.35"/>
    <n v="0"/>
    <n v="2294248.35"/>
    <n v="28668.05"/>
    <n v="136870.87"/>
    <n v="0.56299999999999994"/>
    <n v="47619.96"/>
    <n v="0"/>
    <n v="11259.57"/>
    <x v="5"/>
    <n v="3"/>
  </r>
  <r>
    <n v="41588"/>
    <n v="3201100"/>
    <x v="13"/>
    <n v="0.247"/>
    <n v="1163612.6100000001"/>
    <n v="0"/>
    <n v="1163612.6100000001"/>
    <n v="14540.06"/>
    <n v="470014.51"/>
    <n v="0.442"/>
    <n v="24152.22"/>
    <n v="0"/>
    <n v="5710.71"/>
    <x v="5"/>
    <n v="3"/>
  </r>
  <r>
    <n v="41589"/>
    <n v="3201159"/>
    <x v="14"/>
    <n v="0.40699999999999997"/>
    <n v="1917369.75"/>
    <n v="0"/>
    <n v="1917369.75"/>
    <n v="23958.720000000001"/>
    <n v="142600.43"/>
    <n v="0.47799999999999998"/>
    <n v="39797.379999999997"/>
    <n v="0"/>
    <n v="9409.9500000000007"/>
    <x v="5"/>
    <n v="3"/>
  </r>
  <r>
    <n v="41590"/>
    <n v="3201209"/>
    <x v="15"/>
    <n v="2.5920000000000001"/>
    <n v="12210866.01"/>
    <n v="0"/>
    <n v="12210866.01"/>
    <n v="152582.29999999999"/>
    <n v="2097062.89"/>
    <n v="4.3239999999999998"/>
    <n v="253451.64"/>
    <n v="0"/>
    <n v="59927.72"/>
    <x v="5"/>
    <n v="3"/>
  </r>
  <r>
    <n v="41591"/>
    <n v="3201308"/>
    <x v="16"/>
    <n v="8.3239999999999998"/>
    <n v="39214216.299999997"/>
    <n v="0"/>
    <n v="39214216.299999997"/>
    <n v="490005.8"/>
    <n v="5523254.0499999998"/>
    <n v="6.5110000000000001"/>
    <n v="813939.57"/>
    <n v="0"/>
    <n v="192453.07"/>
    <x v="5"/>
    <n v="3"/>
  </r>
  <r>
    <n v="41592"/>
    <n v="3201407"/>
    <x v="17"/>
    <n v="0.80700000000000005"/>
    <n v="3801762.67"/>
    <n v="0"/>
    <n v="3801762.67"/>
    <n v="47505.37"/>
    <n v="1173534.79"/>
    <n v="1.165"/>
    <n v="78910.289999999994"/>
    <n v="0"/>
    <n v="18658.05"/>
    <x v="5"/>
    <n v="3"/>
  </r>
  <r>
    <n v="41593"/>
    <n v="3201506"/>
    <x v="18"/>
    <n v="2.0139999999999998"/>
    <n v="9487918.2699999996"/>
    <n v="0"/>
    <n v="9487918.2699999996"/>
    <n v="118557.39"/>
    <n v="1416406"/>
    <n v="2.875"/>
    <n v="196933.48"/>
    <n v="0"/>
    <n v="46564.21"/>
    <x v="5"/>
    <n v="3"/>
  </r>
  <r>
    <n v="41594"/>
    <n v="3201605"/>
    <x v="19"/>
    <n v="0.60099999999999998"/>
    <n v="2831300.33"/>
    <n v="0"/>
    <n v="2831300.33"/>
    <n v="35378.839999999997"/>
    <n v="150466.62"/>
    <n v="0.96399999999999997"/>
    <n v="58767.14"/>
    <n v="0"/>
    <n v="13895.28"/>
    <x v="5"/>
    <n v="3"/>
  </r>
  <r>
    <n v="41595"/>
    <n v="3201704"/>
    <x v="20"/>
    <n v="0.371"/>
    <n v="1747774.42"/>
    <n v="0"/>
    <n v="1747774.42"/>
    <n v="21839.52"/>
    <n v="136579.62"/>
    <n v="0.46400000000000002"/>
    <n v="36277.22"/>
    <n v="0"/>
    <n v="8577.6200000000008"/>
    <x v="5"/>
    <n v="3"/>
  </r>
  <r>
    <n v="41596"/>
    <n v="3201803"/>
    <x v="21"/>
    <n v="0.187"/>
    <n v="880953.65"/>
    <n v="0"/>
    <n v="880953.65"/>
    <n v="11008.06"/>
    <n v="33015.050000000003"/>
    <n v="0.29699999999999999"/>
    <n v="18285.29"/>
    <n v="0"/>
    <n v="4323.49"/>
    <x v="5"/>
    <n v="3"/>
  </r>
  <r>
    <n v="41597"/>
    <n v="3201902"/>
    <x v="22"/>
    <n v="1.0620000000000001"/>
    <n v="5003063.16"/>
    <n v="0"/>
    <n v="5003063.16"/>
    <n v="62516.36"/>
    <n v="569423.03"/>
    <n v="1.0780000000000001"/>
    <n v="103844.77"/>
    <n v="0"/>
    <n v="24553.72"/>
    <x v="5"/>
    <n v="3"/>
  </r>
  <r>
    <n v="41598"/>
    <n v="3202009"/>
    <x v="23"/>
    <n v="0.34899999999999998"/>
    <n v="1644132.79"/>
    <n v="0"/>
    <n v="1644132.79"/>
    <n v="20544.45"/>
    <n v="219293.03"/>
    <n v="0.317"/>
    <n v="34126.01"/>
    <n v="0"/>
    <n v="8068.97"/>
    <x v="5"/>
    <n v="3"/>
  </r>
  <r>
    <n v="41599"/>
    <n v="3202108"/>
    <x v="24"/>
    <n v="0.57099999999999995"/>
    <n v="2689970.88"/>
    <n v="0"/>
    <n v="2689970.88"/>
    <n v="33612.839999999997"/>
    <n v="142821.29"/>
    <n v="0.81599999999999995"/>
    <n v="55833.67"/>
    <n v="0"/>
    <n v="13201.67"/>
    <x v="5"/>
    <n v="3"/>
  </r>
  <r>
    <n v="41600"/>
    <n v="3202207"/>
    <x v="25"/>
    <n v="0.36799999999999999"/>
    <n v="1733641.48"/>
    <n v="0"/>
    <n v="1733641.48"/>
    <n v="21662.92"/>
    <n v="175623.09"/>
    <n v="0.69699999999999995"/>
    <n v="35983.870000000003"/>
    <n v="0"/>
    <n v="8508.26"/>
    <x v="5"/>
    <n v="3"/>
  </r>
  <r>
    <n v="41601"/>
    <n v="3202256"/>
    <x v="26"/>
    <n v="0.53100000000000003"/>
    <n v="2501531.5699999998"/>
    <n v="0"/>
    <n v="2501531.5699999998"/>
    <n v="31258.18"/>
    <n v="165032.49"/>
    <n v="0.45200000000000001"/>
    <n v="51922.38"/>
    <n v="0"/>
    <n v="12276.86"/>
    <x v="5"/>
    <n v="3"/>
  </r>
  <r>
    <n v="41602"/>
    <n v="3202306"/>
    <x v="27"/>
    <n v="0.36699999999999999"/>
    <n v="1728930.5"/>
    <n v="0"/>
    <n v="1728930.5"/>
    <n v="21604.05"/>
    <n v="459971.77"/>
    <n v="0.98899999999999999"/>
    <n v="35886.089999999997"/>
    <n v="0"/>
    <n v="8485.14"/>
    <x v="5"/>
    <n v="3"/>
  </r>
  <r>
    <n v="41603"/>
    <n v="3202405"/>
    <x v="28"/>
    <n v="0.79"/>
    <n v="3721675.99"/>
    <n v="0"/>
    <n v="3721675.99"/>
    <n v="46504.639999999999"/>
    <n v="2515206.36"/>
    <n v="2.9359999999999999"/>
    <n v="77247.990000000005"/>
    <n v="0"/>
    <n v="18265.009999999998"/>
    <x v="5"/>
    <n v="3"/>
  </r>
  <r>
    <n v="41604"/>
    <n v="3202454"/>
    <x v="29"/>
    <n v="0.33900000000000002"/>
    <n v="1597023"/>
    <n v="0"/>
    <n v="1597023"/>
    <n v="19955.79"/>
    <n v="511895.05"/>
    <n v="0.87"/>
    <n v="33148.19"/>
    <n v="0"/>
    <n v="7837.77"/>
    <x v="5"/>
    <n v="3"/>
  </r>
  <r>
    <n v="41605"/>
    <n v="3202504"/>
    <x v="30"/>
    <n v="0.307"/>
    <n v="1446271.54"/>
    <n v="0"/>
    <n v="1446271.54"/>
    <n v="18072.05"/>
    <n v="163625.73000000001"/>
    <n v="0.46100000000000002"/>
    <n v="30019.16"/>
    <n v="0"/>
    <n v="7097.92"/>
    <x v="5"/>
    <n v="3"/>
  </r>
  <r>
    <n v="41606"/>
    <n v="3202553"/>
    <x v="31"/>
    <n v="0.28399999999999997"/>
    <n v="1337918.97"/>
    <n v="0"/>
    <n v="1337918.97"/>
    <n v="16718.12"/>
    <n v="78439.19"/>
    <n v="0.35499999999999998"/>
    <n v="27770.16"/>
    <n v="0"/>
    <n v="6566.15"/>
    <x v="5"/>
    <n v="3"/>
  </r>
  <r>
    <n v="41607"/>
    <n v="3202603"/>
    <x v="32"/>
    <n v="0.314"/>
    <n v="1479248.43"/>
    <n v="0"/>
    <n v="1479248.43"/>
    <n v="18484.12"/>
    <n v="209425.49"/>
    <n v="0.53700000000000003"/>
    <n v="30703.64"/>
    <n v="0"/>
    <n v="7259.76"/>
    <x v="5"/>
    <n v="3"/>
  </r>
  <r>
    <n v="41608"/>
    <n v="3202652"/>
    <x v="33"/>
    <n v="0.316"/>
    <n v="1488670.4"/>
    <n v="0"/>
    <n v="1488670.4"/>
    <n v="18601.849999999999"/>
    <n v="229627.97"/>
    <n v="0.56399999999999995"/>
    <n v="30899.200000000001"/>
    <n v="0"/>
    <n v="7306"/>
    <x v="5"/>
    <n v="3"/>
  </r>
  <r>
    <n v="41609"/>
    <n v="3202702"/>
    <x v="34"/>
    <n v="0.40400000000000003"/>
    <n v="1903236.81"/>
    <n v="0"/>
    <n v="1903236.81"/>
    <n v="23782.12"/>
    <n v="127369.62"/>
    <n v="0.56200000000000006"/>
    <n v="39504.04"/>
    <n v="0"/>
    <n v="9340.59"/>
    <x v="5"/>
    <n v="3"/>
  </r>
  <r>
    <n v="41610"/>
    <n v="3202801"/>
    <x v="35"/>
    <n v="3.4060000000000001"/>
    <n v="16045605.550000001"/>
    <n v="0"/>
    <n v="16045605.550000001"/>
    <n v="200499.73"/>
    <n v="355984.78"/>
    <n v="1.2130000000000001"/>
    <n v="333046.39"/>
    <n v="0"/>
    <n v="78747.62"/>
    <x v="5"/>
    <n v="3"/>
  </r>
  <r>
    <n v="41611"/>
    <n v="3202900"/>
    <x v="36"/>
    <n v="0.39200000000000002"/>
    <n v="1846705.06"/>
    <n v="0"/>
    <n v="1846705.06"/>
    <n v="23075.72"/>
    <n v="178950.3"/>
    <n v="0.44600000000000001"/>
    <n v="38330.65"/>
    <n v="0"/>
    <n v="9063.14"/>
    <x v="5"/>
    <n v="3"/>
  </r>
  <r>
    <n v="41612"/>
    <n v="3203007"/>
    <x v="37"/>
    <n v="0.5"/>
    <n v="2355491.14"/>
    <n v="0"/>
    <n v="2355491.14"/>
    <n v="29433.31"/>
    <n v="339451.22"/>
    <n v="0.91200000000000003"/>
    <n v="48891.13"/>
    <n v="0"/>
    <n v="11560.13"/>
    <x v="5"/>
    <n v="3"/>
  </r>
  <r>
    <n v="41613"/>
    <n v="3203056"/>
    <x v="38"/>
    <n v="1.109"/>
    <n v="5224479.33"/>
    <n v="0"/>
    <n v="5224479.33"/>
    <n v="65283.09"/>
    <n v="391591.26"/>
    <n v="0.98399999999999999"/>
    <n v="108440.53"/>
    <n v="0"/>
    <n v="25640.37"/>
    <x v="5"/>
    <n v="3"/>
  </r>
  <r>
    <n v="41614"/>
    <n v="3203106"/>
    <x v="39"/>
    <n v="0.216"/>
    <n v="1017572.16"/>
    <n v="0"/>
    <n v="1017572.16"/>
    <n v="12715.19"/>
    <n v="59282.93"/>
    <n v="0.45900000000000002"/>
    <n v="21120.97"/>
    <n v="0"/>
    <n v="4993.9799999999996"/>
    <x v="5"/>
    <n v="3"/>
  </r>
  <r>
    <n v="41615"/>
    <n v="3203130"/>
    <x v="40"/>
    <n v="0.376"/>
    <n v="1771329.33"/>
    <n v="0"/>
    <n v="1771329.33"/>
    <n v="22133.85"/>
    <n v="158386.88"/>
    <n v="0.63600000000000001"/>
    <n v="36766.129999999997"/>
    <n v="0"/>
    <n v="8693.2199999999993"/>
    <x v="5"/>
    <n v="3"/>
  </r>
  <r>
    <n v="41616"/>
    <n v="3203163"/>
    <x v="41"/>
    <n v="0.42799999999999999"/>
    <n v="2016300.4"/>
    <n v="0"/>
    <n v="2016300.4"/>
    <n v="25194.92"/>
    <n v="142525.19"/>
    <n v="0.45300000000000001"/>
    <n v="41850.81"/>
    <n v="0"/>
    <n v="9895.4699999999993"/>
    <x v="5"/>
    <n v="3"/>
  </r>
  <r>
    <n v="41617"/>
    <n v="3203205"/>
    <x v="42"/>
    <n v="4.431"/>
    <n v="20874362.379999999"/>
    <n v="0"/>
    <n v="20874362.379999999"/>
    <n v="260838.02"/>
    <n v="1765392.17"/>
    <n v="4.0759999999999996"/>
    <n v="433273.22"/>
    <n v="0"/>
    <n v="102445.89"/>
    <x v="5"/>
    <n v="3"/>
  </r>
  <r>
    <n v="41618"/>
    <n v="3203304"/>
    <x v="43"/>
    <n v="0.314"/>
    <n v="1479248.43"/>
    <n v="0"/>
    <n v="1479248.43"/>
    <n v="18484.12"/>
    <n v="153514.45000000001"/>
    <n v="0.54300000000000004"/>
    <n v="30703.64"/>
    <n v="0"/>
    <n v="7259.76"/>
    <x v="5"/>
    <n v="3"/>
  </r>
  <r>
    <n v="41619"/>
    <n v="3203320"/>
    <x v="44"/>
    <n v="0.58499999999999996"/>
    <n v="2755924.64"/>
    <n v="0"/>
    <n v="2755924.64"/>
    <n v="34436.980000000003"/>
    <n v="430230.88"/>
    <n v="1.24"/>
    <n v="57202.62"/>
    <n v="0"/>
    <n v="13525.35"/>
    <x v="5"/>
    <n v="3"/>
  </r>
  <r>
    <n v="41620"/>
    <n v="3203346"/>
    <x v="45"/>
    <n v="0.55500000000000005"/>
    <n v="2614595.14"/>
    <n v="0"/>
    <n v="2614595.14"/>
    <n v="32670.98"/>
    <n v="313609.31"/>
    <n v="0.69199999999999995"/>
    <n v="54269.16"/>
    <n v="0"/>
    <n v="12831.75"/>
    <x v="5"/>
    <n v="3"/>
  </r>
  <r>
    <n v="41621"/>
    <n v="3203353"/>
    <x v="46"/>
    <n v="0.505"/>
    <n v="2379046.04"/>
    <n v="0"/>
    <n v="2379046.04"/>
    <n v="29727.65"/>
    <n v="231603.61"/>
    <n v="0.47"/>
    <n v="49380.05"/>
    <n v="0"/>
    <n v="11675.73"/>
    <x v="5"/>
    <n v="3"/>
  </r>
  <r>
    <n v="41622"/>
    <n v="3203403"/>
    <x v="47"/>
    <n v="0.46899999999999997"/>
    <n v="2209450.65"/>
    <n v="0"/>
    <n v="2209450.65"/>
    <n v="27608.45"/>
    <n v="219560.64"/>
    <n v="0.85899999999999999"/>
    <n v="45859.88"/>
    <n v="0"/>
    <n v="10843.4"/>
    <x v="5"/>
    <n v="3"/>
  </r>
  <r>
    <n v="41623"/>
    <n v="3203502"/>
    <x v="48"/>
    <n v="0.51500000000000001"/>
    <n v="2426155.86"/>
    <n v="0"/>
    <n v="2426155.86"/>
    <n v="30316.31"/>
    <n v="183215.92"/>
    <n v="0.70899999999999996"/>
    <n v="50357.86"/>
    <n v="0"/>
    <n v="11906.94"/>
    <x v="5"/>
    <n v="3"/>
  </r>
  <r>
    <n v="41624"/>
    <n v="3203601"/>
    <x v="49"/>
    <n v="0.30599999999999999"/>
    <n v="1441560.57"/>
    <n v="0"/>
    <n v="1441560.57"/>
    <n v="18013.189999999999"/>
    <n v="56670.26"/>
    <n v="0.30199999999999999"/>
    <n v="29921.37"/>
    <n v="0"/>
    <n v="7074.8"/>
    <x v="5"/>
    <n v="3"/>
  </r>
  <r>
    <n v="41625"/>
    <n v="3203700"/>
    <x v="50"/>
    <n v="0.505"/>
    <n v="2379046.04"/>
    <n v="0"/>
    <n v="2379046.04"/>
    <n v="29727.65"/>
    <n v="135502.91"/>
    <n v="0.69899999999999995"/>
    <n v="49380.05"/>
    <n v="0"/>
    <n v="11675.73"/>
    <x v="5"/>
    <n v="3"/>
  </r>
  <r>
    <n v="41626"/>
    <n v="3203809"/>
    <x v="51"/>
    <n v="0.32"/>
    <n v="1507514.31"/>
    <n v="0"/>
    <n v="1507514.31"/>
    <n v="18837.32"/>
    <n v="92401.94"/>
    <n v="0.56499999999999995"/>
    <n v="31290.33"/>
    <n v="0"/>
    <n v="7398.48"/>
    <x v="5"/>
    <n v="3"/>
  </r>
  <r>
    <n v="41627"/>
    <n v="3203908"/>
    <x v="52"/>
    <n v="1.2250000000000001"/>
    <n v="5770953.2699999996"/>
    <n v="0"/>
    <n v="5770953.2699999996"/>
    <n v="72111.62"/>
    <n v="476677.89"/>
    <n v="1.476"/>
    <n v="119783.28"/>
    <n v="0"/>
    <n v="28322.32"/>
    <x v="5"/>
    <n v="3"/>
  </r>
  <r>
    <n v="41628"/>
    <n v="3204005"/>
    <x v="53"/>
    <n v="0.435"/>
    <n v="2049277.29"/>
    <n v="0"/>
    <n v="2049277.29"/>
    <n v="25606.98"/>
    <n v="158482.79"/>
    <n v="0.70899999999999996"/>
    <n v="42535.29"/>
    <n v="0"/>
    <n v="10057.31"/>
    <x v="5"/>
    <n v="3"/>
  </r>
  <r>
    <n v="41629"/>
    <n v="3204054"/>
    <x v="54"/>
    <n v="0.33400000000000002"/>
    <n v="1573468.07"/>
    <n v="0"/>
    <n v="1573468.07"/>
    <n v="19661.45"/>
    <n v="141474.85999999999"/>
    <n v="0.81"/>
    <n v="32659.279999999999"/>
    <n v="0"/>
    <n v="7722.17"/>
    <x v="5"/>
    <n v="3"/>
  </r>
  <r>
    <n v="41630"/>
    <n v="3204104"/>
    <x v="55"/>
    <n v="0.755"/>
    <n v="3556791.6"/>
    <n v="0"/>
    <n v="3556791.6"/>
    <n v="44444.3"/>
    <n v="124005.97"/>
    <n v="0.85099999999999998"/>
    <n v="73825.61"/>
    <n v="0"/>
    <n v="17455.8"/>
    <x v="5"/>
    <n v="3"/>
  </r>
  <r>
    <n v="41631"/>
    <n v="3204203"/>
    <x v="56"/>
    <n v="0.36499999999999999"/>
    <n v="1719508.54"/>
    <n v="0"/>
    <n v="1719508.54"/>
    <n v="21486.32"/>
    <n v="431571.62"/>
    <n v="0.753"/>
    <n v="35690.53"/>
    <n v="0"/>
    <n v="8438.9"/>
    <x v="5"/>
    <n v="3"/>
  </r>
  <r>
    <n v="41632"/>
    <n v="3204252"/>
    <x v="57"/>
    <n v="0.27"/>
    <n v="1271965.22"/>
    <n v="0"/>
    <n v="1271965.22"/>
    <n v="15893.99"/>
    <n v="31729.53"/>
    <n v="0.316"/>
    <n v="26401.22"/>
    <n v="0"/>
    <n v="6242.47"/>
    <x v="5"/>
    <n v="3"/>
  </r>
  <r>
    <n v="41633"/>
    <n v="1718402"/>
    <x v="58"/>
    <n v="0.39100000000000001"/>
    <n v="1841994.08"/>
    <n v="0"/>
    <n v="1841994.08"/>
    <n v="23016.85"/>
    <n v="210253.78"/>
    <n v="0.56399999999999995"/>
    <n v="38232.870000000003"/>
    <n v="0"/>
    <n v="9040.02"/>
    <x v="5"/>
    <n v="3"/>
  </r>
  <r>
    <n v="41634"/>
    <n v="3204351"/>
    <x v="59"/>
    <n v="0.88200000000000001"/>
    <n v="4155086.35"/>
    <n v="0"/>
    <n v="4155086.35"/>
    <n v="51920.36"/>
    <n v="501245.12"/>
    <n v="0.71399999999999997"/>
    <n v="86243.95"/>
    <n v="0"/>
    <n v="20392.07"/>
    <x v="5"/>
    <n v="3"/>
  </r>
  <r>
    <n v="41635"/>
    <n v="3204401"/>
    <x v="60"/>
    <n v="0.312"/>
    <n v="1469826.46"/>
    <n v="0"/>
    <n v="1469826.46"/>
    <n v="18366.39"/>
    <n v="101114"/>
    <n v="0.45300000000000001"/>
    <n v="30508.06"/>
    <n v="0"/>
    <n v="7213.52"/>
    <x v="5"/>
    <n v="3"/>
  </r>
  <r>
    <n v="41636"/>
    <n v="3204500"/>
    <x v="61"/>
    <n v="0.51800000000000002"/>
    <n v="2440288.81"/>
    <n v="0"/>
    <n v="2440288.81"/>
    <n v="30492.91"/>
    <n v="151502.89000000001"/>
    <n v="0.47899999999999998"/>
    <n v="50651.21"/>
    <n v="0"/>
    <n v="11976.3"/>
    <x v="5"/>
    <n v="3"/>
  </r>
  <r>
    <n v="41637"/>
    <n v="3204559"/>
    <x v="62"/>
    <n v="2.1909999999999998"/>
    <n v="10321762.130000001"/>
    <n v="0"/>
    <n v="10321762.130000001"/>
    <n v="128976.78"/>
    <n v="1115029.23"/>
    <n v="1.236"/>
    <n v="214240.94"/>
    <n v="0"/>
    <n v="50656.5"/>
    <x v="5"/>
    <n v="3"/>
  </r>
  <r>
    <n v="41638"/>
    <n v="3204609"/>
    <x v="63"/>
    <n v="0.66"/>
    <n v="3109248.27"/>
    <n v="0"/>
    <n v="3109248.27"/>
    <n v="38851.97"/>
    <n v="334949.17"/>
    <n v="0.82699999999999996"/>
    <n v="64536.29"/>
    <n v="0"/>
    <n v="15259.37"/>
    <x v="5"/>
    <n v="3"/>
  </r>
  <r>
    <n v="41639"/>
    <n v="3204658"/>
    <x v="64"/>
    <n v="0.42099999999999999"/>
    <n v="1983323.56"/>
    <n v="0"/>
    <n v="1983323.56"/>
    <n v="24782.85"/>
    <n v="140187.59"/>
    <n v="0.34300000000000003"/>
    <n v="41166.339999999997"/>
    <n v="0"/>
    <n v="9733.6299999999992"/>
    <x v="5"/>
    <n v="3"/>
  </r>
  <r>
    <n v="41640"/>
    <n v="3204708"/>
    <x v="65"/>
    <n v="0.72299999999999998"/>
    <n v="3406040.15"/>
    <n v="0"/>
    <n v="3406040.15"/>
    <n v="42560.57"/>
    <n v="349179.38"/>
    <n v="1.1040000000000001"/>
    <n v="70696.58"/>
    <n v="0"/>
    <n v="16715.95"/>
    <x v="5"/>
    <n v="3"/>
  </r>
  <r>
    <n v="41641"/>
    <n v="3204807"/>
    <x v="66"/>
    <n v="0.28599999999999998"/>
    <n v="1347340.93"/>
    <n v="0"/>
    <n v="1347340.93"/>
    <n v="16835.86"/>
    <n v="133854.97"/>
    <n v="0.45"/>
    <n v="27965.73"/>
    <n v="0"/>
    <n v="6612.4"/>
    <x v="5"/>
    <n v="3"/>
  </r>
  <r>
    <n v="41642"/>
    <n v="3204906"/>
    <x v="67"/>
    <n v="1.998"/>
    <n v="9412542.5199999996"/>
    <n v="0"/>
    <n v="9412542.5199999996"/>
    <n v="117615.52"/>
    <n v="1298321.1499999999"/>
    <n v="2.9870000000000001"/>
    <n v="195368.97"/>
    <n v="0"/>
    <n v="46194.29"/>
    <x v="5"/>
    <n v="3"/>
  </r>
  <r>
    <n v="41643"/>
    <n v="3204955"/>
    <x v="68"/>
    <n v="0.3"/>
    <n v="1413294.67"/>
    <n v="0"/>
    <n v="1413294.67"/>
    <n v="17659.990000000002"/>
    <n v="132899.26"/>
    <n v="0.45"/>
    <n v="29334.68"/>
    <n v="0"/>
    <n v="6936.08"/>
    <x v="5"/>
    <n v="3"/>
  </r>
  <r>
    <n v="41644"/>
    <n v="3205002"/>
    <x v="69"/>
    <n v="14.551"/>
    <n v="68549502.810000002"/>
    <n v="0"/>
    <n v="68549502.810000002"/>
    <n v="856568.29"/>
    <n v="4643548.51"/>
    <n v="8.6910000000000007"/>
    <n v="1422829.74"/>
    <n v="0"/>
    <n v="336422.95"/>
    <x v="5"/>
    <n v="3"/>
  </r>
  <r>
    <n v="41645"/>
    <n v="3205010"/>
    <x v="70"/>
    <n v="0.78200000000000003"/>
    <n v="3683988.14"/>
    <n v="0"/>
    <n v="3683988.14"/>
    <n v="46033.7"/>
    <n v="202667.74"/>
    <n v="0.95199999999999996"/>
    <n v="76465.740000000005"/>
    <n v="0"/>
    <n v="18080.05"/>
    <x v="5"/>
    <n v="3"/>
  </r>
  <r>
    <n v="41646"/>
    <n v="3205036"/>
    <x v="71"/>
    <n v="0.45700000000000002"/>
    <n v="2152918.88"/>
    <n v="0"/>
    <n v="2152918.88"/>
    <n v="26902.05"/>
    <n v="238019.85"/>
    <n v="0.71699999999999997"/>
    <n v="44686.49"/>
    <n v="0"/>
    <n v="10565.96"/>
    <x v="5"/>
    <n v="3"/>
  </r>
  <r>
    <n v="41647"/>
    <n v="3205069"/>
    <x v="72"/>
    <n v="0.67"/>
    <n v="3156358.13"/>
    <n v="0"/>
    <n v="3156358.13"/>
    <n v="39440.639999999999"/>
    <n v="536358.61"/>
    <n v="0.85"/>
    <n v="65514.12"/>
    <n v="0"/>
    <n v="15490.58"/>
    <x v="5"/>
    <n v="3"/>
  </r>
  <r>
    <n v="41648"/>
    <n v="2112803"/>
    <x v="73"/>
    <n v="3.3740000000000001"/>
    <n v="15894854.119999999"/>
    <n v="0"/>
    <n v="15894854.119999999"/>
    <n v="198616"/>
    <n v="481149.27"/>
    <n v="1.9590000000000001"/>
    <n v="329917.36"/>
    <n v="0"/>
    <n v="78007.77"/>
    <x v="5"/>
    <n v="3"/>
  </r>
  <r>
    <n v="41649"/>
    <n v="3205150"/>
    <x v="74"/>
    <n v="0.36799999999999999"/>
    <n v="1733641.48"/>
    <n v="0"/>
    <n v="1733641.48"/>
    <n v="21662.92"/>
    <n v="99266.66"/>
    <n v="0.34699999999999998"/>
    <n v="35983.870000000003"/>
    <n v="0"/>
    <n v="8508.26"/>
    <x v="5"/>
    <n v="3"/>
  </r>
  <r>
    <n v="41650"/>
    <n v="3205176"/>
    <x v="75"/>
    <n v="0.7"/>
    <n v="3297687.58"/>
    <n v="0"/>
    <n v="3297687.58"/>
    <n v="41206.639999999999"/>
    <n v="261159.17"/>
    <n v="0.56399999999999995"/>
    <n v="68447.59"/>
    <n v="0"/>
    <n v="16184.18"/>
    <x v="5"/>
    <n v="3"/>
  </r>
  <r>
    <n v="41651"/>
    <n v="3205200"/>
    <x v="76"/>
    <n v="6.6219999999999999"/>
    <n v="31196124.510000002"/>
    <n v="0"/>
    <n v="31196124.510000002"/>
    <n v="389814.8"/>
    <n v="5273982.97"/>
    <n v="8.0009999999999994"/>
    <n v="647514.16"/>
    <n v="0"/>
    <n v="153102.38"/>
    <x v="5"/>
    <n v="3"/>
  </r>
  <r>
    <n v="41652"/>
    <n v="3205309"/>
    <x v="77"/>
    <n v="10.878"/>
    <n v="51246065.100000001"/>
    <n v="0"/>
    <n v="51246065.100000001"/>
    <n v="640351.17000000004"/>
    <n v="6991060.5099999998"/>
    <n v="9.2110000000000003"/>
    <n v="1063675.44"/>
    <n v="0"/>
    <n v="251502.21"/>
    <x v="5"/>
    <n v="3"/>
  </r>
  <r>
    <n v="41653"/>
    <n v="3200102"/>
    <x v="0"/>
    <n v="0.67100000000000004"/>
    <n v="2986755.73"/>
    <n v="0"/>
    <n v="2986755.73"/>
    <n v="37085.46"/>
    <n v="1295308.76"/>
    <n v="1.0169999999999999"/>
    <n v="48919.56"/>
    <n v="11113.34"/>
    <n v="15626.48"/>
    <x v="5"/>
    <n v="4"/>
  </r>
  <r>
    <n v="41654"/>
    <n v="3200169"/>
    <x v="1"/>
    <n v="0.309"/>
    <n v="1375421.06"/>
    <n v="0"/>
    <n v="1375421.06"/>
    <n v="17078.099999999999"/>
    <n v="412876.83"/>
    <n v="0.46500000000000002"/>
    <n v="22527.78"/>
    <n v="5062.17"/>
    <n v="7196.1"/>
    <x v="5"/>
    <n v="4"/>
  </r>
  <r>
    <n v="41655"/>
    <n v="3200136"/>
    <x v="2"/>
    <n v="0.51900000000000002"/>
    <n v="2310173.23"/>
    <n v="0"/>
    <n v="2310173.23"/>
    <n v="28684.58"/>
    <n v="548384.29"/>
    <n v="0.35799999999999998"/>
    <n v="37837.93"/>
    <n v="3891.74"/>
    <n v="12086.65"/>
    <x v="5"/>
    <n v="4"/>
  </r>
  <r>
    <n v="41656"/>
    <n v="3200201"/>
    <x v="3"/>
    <n v="0.41799999999999998"/>
    <n v="1860601.95"/>
    <n v="0"/>
    <n v="1860601.95"/>
    <n v="23102.42"/>
    <n v="1145094.53"/>
    <n v="0.98699999999999999"/>
    <n v="30474.48"/>
    <n v="10883.64"/>
    <n v="9734.5300000000007"/>
    <x v="5"/>
    <n v="4"/>
  </r>
  <r>
    <n v="41657"/>
    <n v="3200300"/>
    <x v="4"/>
    <n v="0.442"/>
    <n v="1967430.75"/>
    <n v="0"/>
    <n v="1967430.75"/>
    <n v="24428.87"/>
    <n v="1320311.26"/>
    <n v="0.56599999999999995"/>
    <n v="32224.21"/>
    <n v="6148.78"/>
    <n v="10293.450000000001"/>
    <x v="5"/>
    <n v="4"/>
  </r>
  <r>
    <n v="41658"/>
    <n v="3200359"/>
    <x v="5"/>
    <n v="0.25800000000000001"/>
    <n v="1148409.82"/>
    <n v="0"/>
    <n v="1148409.82"/>
    <n v="14259.38"/>
    <n v="217559.57"/>
    <n v="0.32800000000000001"/>
    <n v="18809.599999999999"/>
    <n v="3570.93"/>
    <n v="6008.39"/>
    <x v="5"/>
    <n v="4"/>
  </r>
  <r>
    <n v="41659"/>
    <n v="3200409"/>
    <x v="6"/>
    <n v="3.4780000000000002"/>
    <n v="15481276.439999999"/>
    <n v="0"/>
    <n v="15481276.439999999"/>
    <n v="192225.36"/>
    <n v="1813514.84"/>
    <n v="0.93"/>
    <n v="253565.17"/>
    <n v="11131.96"/>
    <n v="80996.87"/>
    <x v="5"/>
    <n v="4"/>
  </r>
  <r>
    <n v="41660"/>
    <n v="3200508"/>
    <x v="7"/>
    <n v="0.23799999999999999"/>
    <n v="1059385.8"/>
    <n v="0"/>
    <n v="1059385.8"/>
    <n v="13154.01"/>
    <n v="486008.47"/>
    <n v="0.32500000000000001"/>
    <n v="17351.5"/>
    <n v="3534.09"/>
    <n v="5542.63"/>
    <x v="5"/>
    <n v="4"/>
  </r>
  <r>
    <n v="41661"/>
    <n v="3200607"/>
    <x v="8"/>
    <n v="4.4800000000000004"/>
    <n v="19941379.649999999"/>
    <n v="0"/>
    <n v="19941379.649999999"/>
    <n v="247604.83"/>
    <n v="4428229.3499999996"/>
    <n v="2.456"/>
    <n v="326616.44"/>
    <n v="27290.17"/>
    <n v="104331.8"/>
    <x v="5"/>
    <n v="4"/>
  </r>
  <r>
    <n v="41662"/>
    <n v="3200706"/>
    <x v="9"/>
    <n v="0.39500000000000002"/>
    <n v="1758224.31"/>
    <n v="0"/>
    <n v="1758224.31"/>
    <n v="21831.23"/>
    <n v="363628.95"/>
    <n v="0.44600000000000001"/>
    <n v="28797.66"/>
    <n v="4853.5200000000004"/>
    <n v="9198.9"/>
    <x v="5"/>
    <n v="4"/>
  </r>
  <r>
    <n v="41663"/>
    <n v="3200805"/>
    <x v="10"/>
    <n v="0.54"/>
    <n v="2403648.44"/>
    <n v="0"/>
    <n v="2403648.44"/>
    <n v="29845.22"/>
    <n v="1873037.29"/>
    <n v="1.016"/>
    <n v="39368.949999999997"/>
    <n v="11146.81"/>
    <n v="12575.71"/>
    <x v="5"/>
    <n v="4"/>
  </r>
  <r>
    <n v="41664"/>
    <n v="3200904"/>
    <x v="11"/>
    <n v="0.81299999999999994"/>
    <n v="3618826.25"/>
    <n v="0"/>
    <n v="3618826.25"/>
    <n v="44933.64"/>
    <n v="2311605.11"/>
    <n v="1.3140000000000001"/>
    <n v="59272.13"/>
    <n v="14524.98"/>
    <n v="18933.43"/>
    <x v="5"/>
    <n v="4"/>
  </r>
  <r>
    <n v="41665"/>
    <n v="3107109"/>
    <x v="12"/>
    <n v="0.48699999999999999"/>
    <n v="2167734.79"/>
    <n v="0"/>
    <n v="2167734.79"/>
    <n v="26915.97"/>
    <n v="480951.38"/>
    <n v="0.56299999999999994"/>
    <n v="35504.949999999997"/>
    <n v="6109.11"/>
    <n v="11341.43"/>
    <x v="5"/>
    <n v="4"/>
  </r>
  <r>
    <n v="41666"/>
    <n v="3201100"/>
    <x v="13"/>
    <n v="0.247"/>
    <n v="1099446.5900000001"/>
    <n v="0"/>
    <n v="1099446.5900000001"/>
    <n v="13651.43"/>
    <n v="1757068.8"/>
    <n v="0.442"/>
    <n v="18007.650000000001"/>
    <n v="4819.91"/>
    <n v="5752.22"/>
    <x v="5"/>
    <n v="4"/>
  </r>
  <r>
    <n v="41667"/>
    <n v="3201159"/>
    <x v="14"/>
    <n v="0.40699999999999997"/>
    <n v="1811638.76"/>
    <n v="0"/>
    <n v="1811638.76"/>
    <n v="22494.46"/>
    <n v="521947.55"/>
    <n v="0.47799999999999998"/>
    <n v="29672.52"/>
    <n v="6050.13"/>
    <n v="9478.36"/>
    <x v="5"/>
    <n v="4"/>
  </r>
  <r>
    <n v="41668"/>
    <n v="3201209"/>
    <x v="15"/>
    <n v="2.5920000000000001"/>
    <n v="11537512.51"/>
    <n v="0"/>
    <n v="11537512.51"/>
    <n v="143257.07999999999"/>
    <n v="9992611.9399999995"/>
    <n v="4.3239999999999998"/>
    <n v="188970.94"/>
    <n v="47588.11"/>
    <n v="60363.4"/>
    <x v="5"/>
    <n v="4"/>
  </r>
  <r>
    <n v="41669"/>
    <n v="3201308"/>
    <x v="16"/>
    <n v="8.3239999999999998"/>
    <n v="37051795.600000001"/>
    <n v="0"/>
    <n v="37051795.600000001"/>
    <n v="460058.61"/>
    <n v="19163994.329999998"/>
    <n v="6.5110000000000001"/>
    <n v="606865.02"/>
    <n v="71498.23"/>
    <n v="193852.21"/>
    <x v="5"/>
    <n v="4"/>
  </r>
  <r>
    <n v="41670"/>
    <n v="3201407"/>
    <x v="17"/>
    <n v="0.80700000000000005"/>
    <n v="3592119.06"/>
    <n v="0"/>
    <n v="3592119.06"/>
    <n v="44602.03"/>
    <n v="3048074.79"/>
    <n v="1.165"/>
    <n v="58834.7"/>
    <n v="12893.12"/>
    <n v="18793.7"/>
    <x v="5"/>
    <n v="4"/>
  </r>
  <r>
    <n v="41671"/>
    <n v="3201506"/>
    <x v="18"/>
    <n v="2.0139999999999998"/>
    <n v="8964718.4600000009"/>
    <n v="0"/>
    <n v="8964718.4600000009"/>
    <n v="111311.64"/>
    <n v="7109125.4900000002"/>
    <n v="2.875"/>
    <n v="146831.59"/>
    <n v="31669.58"/>
    <n v="46902.73"/>
    <x v="5"/>
    <n v="4"/>
  </r>
  <r>
    <n v="41672"/>
    <n v="3201605"/>
    <x v="19"/>
    <n v="0.60099999999999998"/>
    <n v="2675171.69"/>
    <n v="0"/>
    <n v="2675171.69"/>
    <n v="33216.629999999997"/>
    <n v="648849.84"/>
    <n v="0.96399999999999997"/>
    <n v="43816.18"/>
    <n v="10453.219999999999"/>
    <n v="13996.3"/>
    <x v="5"/>
    <n v="4"/>
  </r>
  <r>
    <n v="41673"/>
    <n v="3201704"/>
    <x v="20"/>
    <n v="0.371"/>
    <n v="1651395.51"/>
    <n v="0"/>
    <n v="1651395.51"/>
    <n v="20504.78"/>
    <n v="552293.15"/>
    <n v="0.46400000000000002"/>
    <n v="27047.93"/>
    <n v="5047.1899999999996"/>
    <n v="8639.98"/>
    <x v="5"/>
    <n v="4"/>
  </r>
  <r>
    <n v="41674"/>
    <n v="3201803"/>
    <x v="21"/>
    <n v="0.187"/>
    <n v="832374.53"/>
    <n v="0"/>
    <n v="832374.53"/>
    <n v="10335.290000000001"/>
    <n v="162088.04"/>
    <n v="0.29699999999999999"/>
    <n v="13633.32"/>
    <n v="3248.65"/>
    <n v="4354.92"/>
    <x v="5"/>
    <n v="4"/>
  </r>
  <r>
    <n v="41675"/>
    <n v="3201902"/>
    <x v="22"/>
    <n v="1.0620000000000001"/>
    <n v="4727175.25"/>
    <n v="0"/>
    <n v="4727175.25"/>
    <n v="58695.61"/>
    <n v="2250340.73"/>
    <n v="1.0780000000000001"/>
    <n v="77425.600000000006"/>
    <n v="12700.93"/>
    <n v="24732.23"/>
    <x v="5"/>
    <n v="4"/>
  </r>
  <r>
    <n v="41676"/>
    <n v="3202009"/>
    <x v="23"/>
    <n v="0.34899999999999998"/>
    <n v="1553469.05"/>
    <n v="0"/>
    <n v="1553469.05"/>
    <n v="19288.86"/>
    <n v="755710.54"/>
    <n v="0.317"/>
    <n v="25444.01"/>
    <n v="3454.6"/>
    <n v="8127.63"/>
    <x v="5"/>
    <n v="4"/>
  </r>
  <r>
    <n v="41677"/>
    <n v="3202108"/>
    <x v="24"/>
    <n v="0.57099999999999995"/>
    <n v="2541635.67"/>
    <n v="0"/>
    <n v="2541635.67"/>
    <n v="31558.560000000001"/>
    <n v="645514.75"/>
    <n v="0.81599999999999995"/>
    <n v="41629.01"/>
    <n v="8766.06"/>
    <n v="13297.65"/>
    <x v="5"/>
    <n v="4"/>
  </r>
  <r>
    <n v="41678"/>
    <n v="3202207"/>
    <x v="25"/>
    <n v="0.36799999999999999"/>
    <n v="1638041.91"/>
    <n v="0"/>
    <n v="1638041.91"/>
    <n v="20338.97"/>
    <n v="655728.06000000006"/>
    <n v="0.69699999999999995"/>
    <n v="26829.21"/>
    <n v="7591.29"/>
    <n v="8570.11"/>
    <x v="5"/>
    <n v="4"/>
  </r>
  <r>
    <n v="41679"/>
    <n v="3202256"/>
    <x v="26"/>
    <n v="0.53100000000000003"/>
    <n v="2363587.63"/>
    <n v="0"/>
    <n v="2363587.63"/>
    <n v="29347.8"/>
    <n v="722111.73"/>
    <n v="0.45200000000000001"/>
    <n v="38712.800000000003"/>
    <n v="4914.79"/>
    <n v="12366.11"/>
    <x v="5"/>
    <n v="4"/>
  </r>
  <r>
    <n v="41680"/>
    <n v="3202306"/>
    <x v="27"/>
    <n v="0.36699999999999999"/>
    <n v="1633590.7"/>
    <n v="0"/>
    <n v="1633590.7"/>
    <n v="20283.7"/>
    <n v="1897245.54"/>
    <n v="0.98899999999999999"/>
    <n v="26756.3"/>
    <n v="10957.32"/>
    <n v="8546.82"/>
    <x v="5"/>
    <n v="4"/>
  </r>
  <r>
    <n v="41681"/>
    <n v="3202405"/>
    <x v="28"/>
    <n v="0.79"/>
    <n v="3516448.66"/>
    <n v="0"/>
    <n v="3516448.66"/>
    <n v="43662.46"/>
    <n v="11555350.99"/>
    <n v="2.9359999999999999"/>
    <n v="57595.31"/>
    <n v="33364.620000000003"/>
    <n v="18397.79"/>
    <x v="5"/>
    <n v="4"/>
  </r>
  <r>
    <n v="41682"/>
    <n v="3202454"/>
    <x v="29"/>
    <n v="0.33900000000000002"/>
    <n v="1508957.09"/>
    <n v="0"/>
    <n v="1508957.09"/>
    <n v="18736.169999999998"/>
    <n v="1701863.67"/>
    <n v="0.87"/>
    <n v="24714.95"/>
    <n v="9578.11"/>
    <n v="7894.75"/>
    <x v="5"/>
    <n v="4"/>
  </r>
  <r>
    <n v="41683"/>
    <n v="3202504"/>
    <x v="30"/>
    <n v="0.307"/>
    <n v="1366518.66"/>
    <n v="0"/>
    <n v="1366518.66"/>
    <n v="16967.560000000001"/>
    <n v="823764.57"/>
    <n v="0.46100000000000002"/>
    <n v="22381.98"/>
    <n v="5021.96"/>
    <n v="7149.52"/>
    <x v="5"/>
    <n v="4"/>
  </r>
  <r>
    <n v="41684"/>
    <n v="3202553"/>
    <x v="31"/>
    <n v="0.28399999999999997"/>
    <n v="1264141.04"/>
    <n v="0"/>
    <n v="1264141.04"/>
    <n v="15696.38"/>
    <n v="307745.2"/>
    <n v="0.35499999999999998"/>
    <n v="20705.150000000001"/>
    <n v="3871.37"/>
    <n v="6613.89"/>
    <x v="5"/>
    <n v="4"/>
  </r>
  <r>
    <n v="41685"/>
    <n v="3202603"/>
    <x v="32"/>
    <n v="0.314"/>
    <n v="1397677.04"/>
    <n v="0"/>
    <n v="1397677.04"/>
    <n v="17354.45"/>
    <n v="1640072.17"/>
    <n v="0.53700000000000003"/>
    <n v="22892.31"/>
    <n v="5754.67"/>
    <n v="7312.54"/>
    <x v="5"/>
    <n v="4"/>
  </r>
  <r>
    <n v="41686"/>
    <n v="3202652"/>
    <x v="33"/>
    <n v="0.316"/>
    <n v="1406579.46"/>
    <n v="0"/>
    <n v="1406579.46"/>
    <n v="17464.98"/>
    <n v="732997.85"/>
    <n v="0.56399999999999995"/>
    <n v="23038.13"/>
    <n v="6167.68"/>
    <n v="7359.12"/>
    <x v="5"/>
    <n v="4"/>
  </r>
  <r>
    <n v="41687"/>
    <n v="3202702"/>
    <x v="34"/>
    <n v="0.40400000000000003"/>
    <n v="1798285.11"/>
    <n v="0"/>
    <n v="1798285.11"/>
    <n v="22328.65"/>
    <n v="521600.49"/>
    <n v="0.56200000000000006"/>
    <n v="29453.81"/>
    <n v="6107.22"/>
    <n v="9408.49"/>
    <x v="5"/>
    <n v="4"/>
  </r>
  <r>
    <n v="41688"/>
    <n v="3202801"/>
    <x v="35"/>
    <n v="3.4060000000000001"/>
    <n v="15160789.98"/>
    <n v="0"/>
    <n v="15160789.98"/>
    <n v="188245.99"/>
    <n v="1152058.32"/>
    <n v="1.2130000000000001"/>
    <n v="248315.99"/>
    <n v="13428.38"/>
    <n v="79320.11"/>
    <x v="5"/>
    <n v="4"/>
  </r>
  <r>
    <n v="41689"/>
    <n v="3202900"/>
    <x v="36"/>
    <n v="0.39200000000000002"/>
    <n v="1744870.74"/>
    <n v="0"/>
    <n v="1744870.74"/>
    <n v="21665.42"/>
    <n v="664115.6"/>
    <n v="0.44600000000000001"/>
    <n v="28578.94"/>
    <n v="4849.6099999999997"/>
    <n v="9129.0300000000007"/>
    <x v="5"/>
    <n v="4"/>
  </r>
  <r>
    <n v="41690"/>
    <n v="3203007"/>
    <x v="37"/>
    <n v="0.5"/>
    <n v="2225600.41"/>
    <n v="0"/>
    <n v="2225600.41"/>
    <n v="27634.47"/>
    <n v="1280628.6499999999"/>
    <n v="0.91200000000000003"/>
    <n v="36452.730000000003"/>
    <n v="10001.35"/>
    <n v="11644.17"/>
    <x v="5"/>
    <n v="4"/>
  </r>
  <r>
    <n v="41691"/>
    <n v="3203056"/>
    <x v="38"/>
    <n v="1.109"/>
    <n v="4936381.71"/>
    <n v="0"/>
    <n v="4936381.71"/>
    <n v="61293.25"/>
    <n v="1618795.31"/>
    <n v="0.98399999999999999"/>
    <n v="80852.149999999994"/>
    <n v="10949.5"/>
    <n v="25826.78"/>
    <x v="5"/>
    <n v="4"/>
  </r>
  <r>
    <n v="41692"/>
    <n v="3203106"/>
    <x v="39"/>
    <n v="0.216"/>
    <n v="961459.38"/>
    <n v="0"/>
    <n v="961459.38"/>
    <n v="11938.09"/>
    <n v="339391.36"/>
    <n v="0.45900000000000002"/>
    <n v="15747.58"/>
    <n v="4997.38"/>
    <n v="5030.28"/>
    <x v="5"/>
    <n v="4"/>
  </r>
  <r>
    <n v="41693"/>
    <n v="3203130"/>
    <x v="40"/>
    <n v="0.376"/>
    <n v="1673651.48"/>
    <n v="0"/>
    <n v="1673651.48"/>
    <n v="20781.12"/>
    <n v="890654.73"/>
    <n v="0.63600000000000001"/>
    <n v="27412.45"/>
    <n v="6809.53"/>
    <n v="8756.42"/>
    <x v="5"/>
    <n v="4"/>
  </r>
  <r>
    <n v="41694"/>
    <n v="3203163"/>
    <x v="41"/>
    <n v="0.42799999999999999"/>
    <n v="1905113.94"/>
    <n v="0"/>
    <n v="1905113.94"/>
    <n v="23655.1"/>
    <n v="485261.15"/>
    <n v="0.45300000000000001"/>
    <n v="31203.54"/>
    <n v="4928.97"/>
    <n v="9967.41"/>
    <x v="5"/>
    <n v="4"/>
  </r>
  <r>
    <n v="41695"/>
    <n v="3203205"/>
    <x v="42"/>
    <n v="4.431"/>
    <n v="19723270.800000001"/>
    <n v="0"/>
    <n v="19723270.800000001"/>
    <n v="244896.65"/>
    <n v="9496438.6899999995"/>
    <n v="4.0759999999999996"/>
    <n v="323044.08"/>
    <n v="45373.24"/>
    <n v="103190.67"/>
    <x v="5"/>
    <n v="4"/>
  </r>
  <r>
    <n v="41696"/>
    <n v="3203304"/>
    <x v="43"/>
    <n v="0.314"/>
    <n v="1397677.04"/>
    <n v="0"/>
    <n v="1397677.04"/>
    <n v="17354.45"/>
    <n v="667599.6"/>
    <n v="0.54300000000000004"/>
    <n v="22892.31"/>
    <n v="5805.95"/>
    <n v="7312.54"/>
    <x v="5"/>
    <n v="4"/>
  </r>
  <r>
    <n v="41697"/>
    <n v="3203320"/>
    <x v="44"/>
    <n v="0.58499999999999996"/>
    <n v="2603952.46"/>
    <n v="0"/>
    <n v="2603952.46"/>
    <n v="32332.33"/>
    <n v="1593649.1"/>
    <n v="1.24"/>
    <n v="42649.69"/>
    <n v="14547.66"/>
    <n v="13623.68"/>
    <x v="5"/>
    <n v="4"/>
  </r>
  <r>
    <n v="41698"/>
    <n v="3203346"/>
    <x v="45"/>
    <n v="0.55500000000000005"/>
    <n v="2470416.44"/>
    <n v="0"/>
    <n v="2470416.44"/>
    <n v="30674.26"/>
    <n v="1133415.73"/>
    <n v="0.69199999999999995"/>
    <n v="40462.53"/>
    <n v="7580.36"/>
    <n v="12925.03"/>
    <x v="5"/>
    <n v="4"/>
  </r>
  <r>
    <n v="41699"/>
    <n v="3203353"/>
    <x v="46"/>
    <n v="0.505"/>
    <n v="2247856.42"/>
    <n v="0"/>
    <n v="2247856.42"/>
    <n v="27910.81"/>
    <n v="901238.5"/>
    <n v="0.47"/>
    <n v="36817.25"/>
    <n v="5123.58"/>
    <n v="11760.62"/>
    <x v="5"/>
    <n v="4"/>
  </r>
  <r>
    <n v="41700"/>
    <n v="3203403"/>
    <x v="47"/>
    <n v="0.46899999999999997"/>
    <n v="2087613.2"/>
    <n v="0"/>
    <n v="2087613.2"/>
    <n v="25921.13"/>
    <n v="891747.7"/>
    <n v="0.85899999999999999"/>
    <n v="34192.660000000003"/>
    <n v="9290.77"/>
    <n v="10922.24"/>
    <x v="5"/>
    <n v="4"/>
  </r>
  <r>
    <n v="41701"/>
    <n v="3203502"/>
    <x v="48"/>
    <n v="0.51500000000000001"/>
    <n v="2292368.4500000002"/>
    <n v="0"/>
    <n v="2292368.4500000002"/>
    <n v="28463.5"/>
    <n v="832286.44"/>
    <n v="0.70899999999999996"/>
    <n v="37546.300000000003"/>
    <n v="7716.54"/>
    <n v="11993.5"/>
    <x v="5"/>
    <n v="4"/>
  </r>
  <r>
    <n v="41702"/>
    <n v="3203601"/>
    <x v="49"/>
    <n v="0.30599999999999999"/>
    <n v="1362067.45"/>
    <n v="0"/>
    <n v="1362067.45"/>
    <n v="16912.29"/>
    <n v="211880.07"/>
    <n v="0.30199999999999999"/>
    <n v="22309.07"/>
    <n v="3289.27"/>
    <n v="7126.23"/>
    <x v="5"/>
    <n v="4"/>
  </r>
  <r>
    <n v="41703"/>
    <n v="3203700"/>
    <x v="50"/>
    <n v="0.505"/>
    <n v="2247856.42"/>
    <n v="0"/>
    <n v="2247856.42"/>
    <n v="27910.81"/>
    <n v="618603.89"/>
    <n v="0.69899999999999995"/>
    <n v="36817.25"/>
    <n v="7589.54"/>
    <n v="11760.62"/>
    <x v="5"/>
    <n v="4"/>
  </r>
  <r>
    <n v="41704"/>
    <n v="3203809"/>
    <x v="51"/>
    <n v="0.32"/>
    <n v="1424384.28"/>
    <n v="0"/>
    <n v="1424384.28"/>
    <n v="17686.060000000001"/>
    <n v="412075.77"/>
    <n v="0.56499999999999995"/>
    <n v="23329.75"/>
    <n v="6127.19"/>
    <n v="7452.27"/>
    <x v="5"/>
    <n v="4"/>
  </r>
  <r>
    <n v="41705"/>
    <n v="3203908"/>
    <x v="52"/>
    <n v="1.2250000000000001"/>
    <n v="5452721.0099999998"/>
    <n v="0"/>
    <n v="5452721.0099999998"/>
    <n v="67704.45"/>
    <n v="2408953.5099999998"/>
    <n v="1.476"/>
    <n v="89309.19"/>
    <n v="16289.1"/>
    <n v="28528.23"/>
    <x v="5"/>
    <n v="4"/>
  </r>
  <r>
    <n v="41706"/>
    <n v="3204005"/>
    <x v="53"/>
    <n v="0.435"/>
    <n v="1936272.34"/>
    <n v="0"/>
    <n v="1936272.34"/>
    <n v="24041.99"/>
    <n v="616943.34"/>
    <n v="0.70899999999999996"/>
    <n v="31713.87"/>
    <n v="7651.49"/>
    <n v="10130.43"/>
    <x v="5"/>
    <n v="4"/>
  </r>
  <r>
    <n v="41707"/>
    <n v="3204054"/>
    <x v="54"/>
    <n v="0.33400000000000002"/>
    <n v="1486701.07"/>
    <n v="0"/>
    <n v="1486701.07"/>
    <n v="18459.82"/>
    <n v="848672.34"/>
    <n v="0.81"/>
    <n v="24350.43"/>
    <n v="8682.1200000000008"/>
    <n v="7778.31"/>
    <x v="5"/>
    <n v="4"/>
  </r>
  <r>
    <n v="41708"/>
    <n v="3204104"/>
    <x v="55"/>
    <n v="0.755"/>
    <n v="3360656.63"/>
    <n v="0"/>
    <n v="3360656.63"/>
    <n v="41728.050000000003"/>
    <n v="765220.14"/>
    <n v="0.85099999999999998"/>
    <n v="55043.62"/>
    <n v="9243.01"/>
    <n v="17582.7"/>
    <x v="5"/>
    <n v="4"/>
  </r>
  <r>
    <n v="41709"/>
    <n v="3204203"/>
    <x v="56"/>
    <n v="0.36499999999999999"/>
    <n v="1624688.31"/>
    <n v="0"/>
    <n v="1624688.31"/>
    <n v="20173.16"/>
    <n v="1659392.15"/>
    <n v="0.753"/>
    <n v="26610.49"/>
    <n v="8246.9500000000007"/>
    <n v="8500.25"/>
    <x v="5"/>
    <n v="4"/>
  </r>
  <r>
    <n v="41710"/>
    <n v="3204252"/>
    <x v="57"/>
    <n v="0.27"/>
    <n v="1201824.22"/>
    <n v="0"/>
    <n v="1201824.22"/>
    <n v="14922.61"/>
    <n v="185840.14"/>
    <n v="0.316"/>
    <n v="19684.47"/>
    <n v="3429.09"/>
    <n v="6287.85"/>
    <x v="5"/>
    <n v="4"/>
  </r>
  <r>
    <n v="41711"/>
    <n v="1718402"/>
    <x v="58"/>
    <n v="0.39100000000000001"/>
    <n v="1740419.5"/>
    <n v="0"/>
    <n v="1740419.5"/>
    <n v="21610.15"/>
    <n v="726350.59"/>
    <n v="0.56399999999999995"/>
    <n v="28506.03"/>
    <n v="6185.77"/>
    <n v="9105.74"/>
    <x v="5"/>
    <n v="4"/>
  </r>
  <r>
    <n v="41712"/>
    <n v="3204351"/>
    <x v="59"/>
    <n v="0.88200000000000001"/>
    <n v="3925959.11"/>
    <n v="0"/>
    <n v="3925959.11"/>
    <n v="48747.199999999997"/>
    <n v="1834129.38"/>
    <n v="0.71399999999999997"/>
    <n v="64302.61"/>
    <n v="7780.92"/>
    <n v="20540.32"/>
    <x v="5"/>
    <n v="4"/>
  </r>
  <r>
    <n v="41713"/>
    <n v="3204401"/>
    <x v="60"/>
    <n v="0.312"/>
    <n v="1388774.67"/>
    <n v="0"/>
    <n v="1388774.67"/>
    <n v="17243.91"/>
    <n v="496364.33"/>
    <n v="0.45300000000000001"/>
    <n v="22746.5"/>
    <n v="4916.41"/>
    <n v="7265.96"/>
    <x v="5"/>
    <n v="4"/>
  </r>
  <r>
    <n v="41714"/>
    <n v="3204500"/>
    <x v="61"/>
    <n v="0.51800000000000002"/>
    <n v="2305722.02"/>
    <n v="0"/>
    <n v="2305722.02"/>
    <n v="28629.31"/>
    <n v="422466.42"/>
    <n v="0.47899999999999998"/>
    <n v="37765.019999999997"/>
    <n v="6064.3"/>
    <n v="12063.36"/>
    <x v="5"/>
    <n v="4"/>
  </r>
  <r>
    <n v="41715"/>
    <n v="3204559"/>
    <x v="62"/>
    <n v="2.1909999999999998"/>
    <n v="9752581"/>
    <n v="0"/>
    <n v="9752581"/>
    <n v="121094.24"/>
    <n v="2965768.85"/>
    <n v="1.236"/>
    <n v="159735.85"/>
    <n v="14499.61"/>
    <n v="51024.77"/>
    <x v="5"/>
    <n v="4"/>
  </r>
  <r>
    <n v="41716"/>
    <n v="3204609"/>
    <x v="63"/>
    <n v="0.66"/>
    <n v="2937792.54"/>
    <n v="0"/>
    <n v="2937792.54"/>
    <n v="36477.5"/>
    <n v="1568155.83"/>
    <n v="0.82699999999999996"/>
    <n v="48117.599999999999"/>
    <n v="9104.1200000000008"/>
    <n v="15370.31"/>
    <x v="5"/>
    <n v="4"/>
  </r>
  <r>
    <n v="41717"/>
    <n v="3204658"/>
    <x v="64"/>
    <n v="0.42099999999999999"/>
    <n v="1873955.55"/>
    <n v="0"/>
    <n v="1873955.55"/>
    <n v="23268.22"/>
    <n v="523108.15"/>
    <n v="0.34300000000000003"/>
    <n v="30693.19"/>
    <n v="3741.12"/>
    <n v="9804.39"/>
    <x v="5"/>
    <n v="4"/>
  </r>
  <r>
    <n v="41718"/>
    <n v="3204708"/>
    <x v="65"/>
    <n v="0.72299999999999998"/>
    <n v="3218218.17"/>
    <n v="0"/>
    <n v="3218218.17"/>
    <n v="39959.440000000002"/>
    <n v="1997946.75"/>
    <n v="1.1040000000000001"/>
    <n v="52710.64"/>
    <n v="12001.9"/>
    <n v="16837.48"/>
    <x v="5"/>
    <n v="4"/>
  </r>
  <r>
    <n v="41719"/>
    <n v="3204807"/>
    <x v="66"/>
    <n v="0.28599999999999998"/>
    <n v="1273043.42"/>
    <n v="0"/>
    <n v="1273043.42"/>
    <n v="15806.92"/>
    <n v="479202.42"/>
    <n v="0.45"/>
    <n v="20850.96"/>
    <n v="4902.1000000000004"/>
    <n v="6660.47"/>
    <x v="5"/>
    <n v="4"/>
  </r>
  <r>
    <n v="41720"/>
    <n v="3204906"/>
    <x v="67"/>
    <n v="1.998"/>
    <n v="8893499.2200000007"/>
    <n v="0"/>
    <n v="8893499.2200000007"/>
    <n v="110427.33"/>
    <n v="5057823.67"/>
    <n v="2.9870000000000001"/>
    <n v="145665.1"/>
    <n v="33150.699999999997"/>
    <n v="46530.12"/>
    <x v="5"/>
    <n v="4"/>
  </r>
  <r>
    <n v="41721"/>
    <n v="3204955"/>
    <x v="68"/>
    <n v="0.3"/>
    <n v="1335360.24"/>
    <n v="0"/>
    <n v="1335360.24"/>
    <n v="16580.68"/>
    <n v="533948.44999999995"/>
    <n v="0.45"/>
    <n v="21871.63"/>
    <n v="4888.34"/>
    <n v="6986.5"/>
    <x v="5"/>
    <n v="4"/>
  </r>
  <r>
    <n v="41722"/>
    <n v="3205002"/>
    <x v="69"/>
    <n v="14.551"/>
    <n v="64769423.060000002"/>
    <n v="0"/>
    <n v="64769423.060000002"/>
    <n v="804218.27"/>
    <n v="20195645.600000001"/>
    <n v="8.6910000000000007"/>
    <n v="1060847.28"/>
    <n v="98057.24"/>
    <n v="338868.75"/>
    <x v="5"/>
    <n v="4"/>
  </r>
  <r>
    <n v="41723"/>
    <n v="3205010"/>
    <x v="70"/>
    <n v="0.78200000000000003"/>
    <n v="3480839.04"/>
    <n v="0"/>
    <n v="3480839.04"/>
    <n v="43220.31"/>
    <n v="776908.80000000005"/>
    <n v="0.95199999999999996"/>
    <n v="57012.07"/>
    <n v="10385.74"/>
    <n v="18211.490000000002"/>
    <x v="5"/>
    <n v="4"/>
  </r>
  <r>
    <n v="41724"/>
    <n v="3205036"/>
    <x v="71"/>
    <n v="0.45700000000000002"/>
    <n v="2034198.76"/>
    <n v="0"/>
    <n v="2034198.76"/>
    <n v="25257.9"/>
    <n v="1118444.8799999999"/>
    <n v="0.71699999999999997"/>
    <n v="33317.79"/>
    <n v="7797.65"/>
    <n v="10642.77"/>
    <x v="5"/>
    <n v="4"/>
  </r>
  <r>
    <n v="41725"/>
    <n v="3205069"/>
    <x v="72"/>
    <n v="0.67"/>
    <n v="2982304.55"/>
    <n v="0"/>
    <n v="2982304.55"/>
    <n v="37030.19"/>
    <n v="2373406.75"/>
    <n v="0.85"/>
    <n v="48846.66"/>
    <n v="9289.2900000000009"/>
    <n v="15603.19"/>
    <x v="5"/>
    <n v="4"/>
  </r>
  <r>
    <n v="41726"/>
    <n v="2112803"/>
    <x v="73"/>
    <n v="3.3740000000000001"/>
    <n v="15018351.550000001"/>
    <n v="0"/>
    <n v="15018351.550000001"/>
    <n v="186477.39"/>
    <n v="5366749.68"/>
    <n v="1.9590000000000001"/>
    <n v="245983.01"/>
    <n v="21530.02"/>
    <n v="78574.89"/>
    <x v="5"/>
    <n v="4"/>
  </r>
  <r>
    <n v="41727"/>
    <n v="3205150"/>
    <x v="74"/>
    <n v="0.36799999999999999"/>
    <n v="1638041.91"/>
    <n v="0"/>
    <n v="1638041.91"/>
    <n v="20338.97"/>
    <n v="370986.36"/>
    <n v="0.34699999999999998"/>
    <n v="26829.21"/>
    <n v="3780.26"/>
    <n v="8570.11"/>
    <x v="5"/>
    <n v="4"/>
  </r>
  <r>
    <n v="41728"/>
    <n v="3205176"/>
    <x v="75"/>
    <n v="0.7"/>
    <n v="3115840.56"/>
    <n v="0"/>
    <n v="3115840.56"/>
    <n v="38688.25"/>
    <n v="1177251.75"/>
    <n v="0.56399999999999995"/>
    <n v="51033.82"/>
    <n v="6133.93"/>
    <n v="16301.84"/>
    <x v="5"/>
    <n v="4"/>
  </r>
  <r>
    <n v="41729"/>
    <n v="3205200"/>
    <x v="76"/>
    <n v="6.6219999999999999"/>
    <n v="29475851.789999999"/>
    <n v="0"/>
    <n v="29475851.789999999"/>
    <n v="365990.89"/>
    <n v="26308102.16"/>
    <n v="8.0009999999999994"/>
    <n v="482779.93"/>
    <n v="88694.26"/>
    <n v="154215.44"/>
    <x v="5"/>
    <n v="4"/>
  </r>
  <r>
    <n v="41730"/>
    <n v="3205309"/>
    <x v="77"/>
    <n v="10.878"/>
    <n v="48420162.539999999"/>
    <n v="0"/>
    <n v="48420162.539999999"/>
    <n v="601215.47"/>
    <n v="29327015.760000002"/>
    <n v="9.2110000000000003"/>
    <n v="793065.54"/>
    <n v="101628.05"/>
    <n v="253330.68"/>
    <x v="5"/>
    <n v="4"/>
  </r>
  <r>
    <n v="41731"/>
    <n v="3200102"/>
    <x v="0"/>
    <n v="0.67100000000000004"/>
    <n v="3185277.44"/>
    <n v="0"/>
    <n v="3185277.44"/>
    <n v="36029.25"/>
    <n v="361473.49"/>
    <n v="1.0169999999999999"/>
    <n v="51808.75"/>
    <n v="0"/>
    <n v="0"/>
    <x v="5"/>
    <n v="5"/>
  </r>
  <r>
    <n v="41732"/>
    <n v="3200169"/>
    <x v="1"/>
    <n v="0.309"/>
    <n v="1466841.63"/>
    <n v="0"/>
    <n v="1466841.63"/>
    <n v="16591.71"/>
    <n v="169964.79"/>
    <n v="0.46500000000000002"/>
    <n v="23858.28"/>
    <n v="0"/>
    <n v="0"/>
    <x v="5"/>
    <n v="5"/>
  </r>
  <r>
    <n v="41733"/>
    <n v="3200136"/>
    <x v="2"/>
    <n v="0.51900000000000002"/>
    <n v="2463724.27"/>
    <n v="0"/>
    <n v="2463724.27"/>
    <n v="27867.63"/>
    <n v="178322.48"/>
    <n v="0.35799999999999998"/>
    <n v="40072.639999999999"/>
    <n v="0"/>
    <n v="0"/>
    <x v="5"/>
    <n v="5"/>
  </r>
  <r>
    <n v="41734"/>
    <n v="3200201"/>
    <x v="3"/>
    <n v="0.41799999999999998"/>
    <n v="1984271.19"/>
    <n v="0"/>
    <n v="1984271.19"/>
    <n v="22444.45"/>
    <n v="322968.57"/>
    <n v="0.98699999999999999"/>
    <n v="32274.31"/>
    <n v="0"/>
    <n v="0"/>
    <x v="5"/>
    <n v="5"/>
  </r>
  <r>
    <n v="41735"/>
    <n v="3200300"/>
    <x v="4"/>
    <n v="0.442"/>
    <n v="2098200.65"/>
    <n v="0"/>
    <n v="2098200.65"/>
    <n v="23733.13"/>
    <n v="276066.64"/>
    <n v="0.56599999999999995"/>
    <n v="34127.379999999997"/>
    <n v="0"/>
    <n v="0"/>
    <x v="5"/>
    <n v="5"/>
  </r>
  <r>
    <n v="41736"/>
    <n v="3200359"/>
    <x v="5"/>
    <n v="0.25800000000000001"/>
    <n v="1224741.54"/>
    <n v="0"/>
    <n v="1224741.54"/>
    <n v="13853.27"/>
    <n v="109598.56"/>
    <n v="0.32800000000000001"/>
    <n v="19920.5"/>
    <n v="0"/>
    <n v="0"/>
    <x v="5"/>
    <n v="5"/>
  </r>
  <r>
    <n v="41737"/>
    <n v="3200409"/>
    <x v="6"/>
    <n v="3.4780000000000002"/>
    <n v="16510275.57"/>
    <n v="0"/>
    <n v="16510275.57"/>
    <n v="186750.73"/>
    <n v="485571.76"/>
    <n v="0.93"/>
    <n v="268540.75"/>
    <n v="0"/>
    <n v="0"/>
    <x v="5"/>
    <n v="5"/>
  </r>
  <r>
    <n v="41738"/>
    <n v="3200508"/>
    <x v="7"/>
    <n v="0.23799999999999999"/>
    <n v="1129800.3400000001"/>
    <n v="0"/>
    <n v="1129800.3400000001"/>
    <n v="12779.38"/>
    <n v="171871.27"/>
    <n v="0.32500000000000001"/>
    <n v="18376.28"/>
    <n v="0"/>
    <n v="0"/>
    <x v="5"/>
    <n v="5"/>
  </r>
  <r>
    <n v="41739"/>
    <n v="3200607"/>
    <x v="8"/>
    <n v="4.4800000000000004"/>
    <n v="21266829.949999999"/>
    <n v="0"/>
    <n v="21266829.949999999"/>
    <n v="240552.98"/>
    <n v="1443255.45"/>
    <n v="2.456"/>
    <n v="345906.43"/>
    <n v="0"/>
    <n v="0"/>
    <x v="5"/>
    <n v="5"/>
  </r>
  <r>
    <n v="41740"/>
    <n v="3200706"/>
    <x v="9"/>
    <n v="0.39500000000000002"/>
    <n v="1875088.82"/>
    <n v="0"/>
    <n v="1875088.82"/>
    <n v="21209.47"/>
    <n v="122584.48"/>
    <n v="0.44600000000000001"/>
    <n v="30498.45"/>
    <n v="0"/>
    <n v="0"/>
    <x v="5"/>
    <n v="5"/>
  </r>
  <r>
    <n v="41741"/>
    <n v="3200805"/>
    <x v="10"/>
    <n v="0.54"/>
    <n v="2563412.5499999998"/>
    <n v="0"/>
    <n v="2563412.5499999998"/>
    <n v="28995.23"/>
    <n v="768547.05"/>
    <n v="1.016"/>
    <n v="41694.080000000002"/>
    <n v="0"/>
    <n v="0"/>
    <x v="5"/>
    <n v="5"/>
  </r>
  <r>
    <n v="41742"/>
    <n v="3200904"/>
    <x v="11"/>
    <n v="0.81299999999999994"/>
    <n v="3859359.99"/>
    <n v="0"/>
    <n v="3859359.99"/>
    <n v="43653.919999999998"/>
    <n v="820353.23"/>
    <n v="1.3140000000000001"/>
    <n v="62772.76"/>
    <n v="0"/>
    <n v="0"/>
    <x v="5"/>
    <n v="5"/>
  </r>
  <r>
    <n v="41743"/>
    <n v="3107109"/>
    <x v="12"/>
    <n v="0.48699999999999999"/>
    <n v="2311818.35"/>
    <n v="0"/>
    <n v="2311818.35"/>
    <n v="26149.4"/>
    <n v="274335.15999999997"/>
    <n v="0.56299999999999994"/>
    <n v="37601.89"/>
    <n v="0"/>
    <n v="0"/>
    <x v="5"/>
    <n v="5"/>
  </r>
  <r>
    <n v="41744"/>
    <n v="3201100"/>
    <x v="13"/>
    <n v="0.247"/>
    <n v="1172523.8600000001"/>
    <n v="0"/>
    <n v="1172523.8600000001"/>
    <n v="13262.63"/>
    <n v="475282.98"/>
    <n v="0.442"/>
    <n v="19071.18"/>
    <n v="0"/>
    <n v="0"/>
    <x v="5"/>
    <n v="5"/>
  </r>
  <r>
    <n v="41745"/>
    <n v="3201159"/>
    <x v="14"/>
    <n v="0.40699999999999997"/>
    <n v="1932053.54"/>
    <n v="0"/>
    <n v="1932053.54"/>
    <n v="21853.81"/>
    <n v="222666.99"/>
    <n v="0.47799999999999998"/>
    <n v="31424.98"/>
    <n v="0"/>
    <n v="0"/>
    <x v="5"/>
    <n v="5"/>
  </r>
  <r>
    <n v="41746"/>
    <n v="3201209"/>
    <x v="15"/>
    <n v="2.5920000000000001"/>
    <n v="12304380.199999999"/>
    <n v="0"/>
    <n v="12304380.199999999"/>
    <n v="139177.07999999999"/>
    <n v="2906886.65"/>
    <n v="4.3239999999999998"/>
    <n v="200131.58"/>
    <n v="0"/>
    <n v="0"/>
    <x v="5"/>
    <n v="5"/>
  </r>
  <r>
    <n v="41747"/>
    <n v="3201308"/>
    <x v="16"/>
    <n v="8.3239999999999998"/>
    <n v="39514529.579999998"/>
    <n v="0"/>
    <n v="39514529.579999998"/>
    <n v="446956.03"/>
    <n v="4071641.09"/>
    <n v="6.5110000000000001"/>
    <n v="642706.5"/>
    <n v="0"/>
    <n v="0"/>
    <x v="5"/>
    <n v="5"/>
  </r>
  <r>
    <n v="41748"/>
    <n v="3201407"/>
    <x v="17"/>
    <n v="0.80700000000000005"/>
    <n v="3830877.62"/>
    <n v="0"/>
    <n v="3830877.62"/>
    <n v="43331.75"/>
    <n v="640544.81999999995"/>
    <n v="1.165"/>
    <n v="62309.48"/>
    <n v="0"/>
    <n v="0"/>
    <x v="5"/>
    <n v="5"/>
  </r>
  <r>
    <n v="41749"/>
    <n v="3201506"/>
    <x v="18"/>
    <n v="2.0139999999999998"/>
    <n v="9560579.3399999999"/>
    <n v="0"/>
    <n v="9560579.3399999999"/>
    <n v="108141.45"/>
    <n v="2119373.5299999998"/>
    <n v="2.875"/>
    <n v="155503.47"/>
    <n v="0"/>
    <n v="0"/>
    <x v="5"/>
    <n v="5"/>
  </r>
  <r>
    <n v="41750"/>
    <n v="3201605"/>
    <x v="19"/>
    <n v="0.60099999999999998"/>
    <n v="2852983.23"/>
    <n v="0"/>
    <n v="2852983.23"/>
    <n v="32270.61"/>
    <n v="299357.13"/>
    <n v="0.96399999999999997"/>
    <n v="46403.97"/>
    <n v="0"/>
    <n v="0"/>
    <x v="5"/>
    <n v="5"/>
  </r>
  <r>
    <n v="41751"/>
    <n v="3201704"/>
    <x v="20"/>
    <n v="0.371"/>
    <n v="1761159.37"/>
    <n v="0"/>
    <n v="1761159.37"/>
    <n v="19920.79"/>
    <n v="178223.48"/>
    <n v="0.46400000000000002"/>
    <n v="28645.38"/>
    <n v="0"/>
    <n v="0"/>
    <x v="5"/>
    <n v="5"/>
  </r>
  <r>
    <n v="41752"/>
    <n v="3201803"/>
    <x v="21"/>
    <n v="0.187"/>
    <n v="887700.28"/>
    <n v="0"/>
    <n v="887700.28"/>
    <n v="10040.94"/>
    <n v="45245.760000000002"/>
    <n v="0.29699999999999999"/>
    <n v="14438.51"/>
    <n v="0"/>
    <n v="0"/>
    <x v="5"/>
    <n v="5"/>
  </r>
  <r>
    <n v="41753"/>
    <n v="3201902"/>
    <x v="22"/>
    <n v="1.0620000000000001"/>
    <n v="5041377.99"/>
    <n v="0"/>
    <n v="5041377.99"/>
    <n v="57023.94"/>
    <n v="661999.04"/>
    <n v="1.0780000000000001"/>
    <n v="81998.350000000006"/>
    <n v="0"/>
    <n v="0"/>
    <x v="5"/>
    <n v="5"/>
  </r>
  <r>
    <n v="41754"/>
    <n v="3202009"/>
    <x v="23"/>
    <n v="0.34899999999999998"/>
    <n v="1656724.05"/>
    <n v="0"/>
    <n v="1656724.05"/>
    <n v="18739.509999999998"/>
    <n v="199180.99"/>
    <n v="0.317"/>
    <n v="26946.73"/>
    <n v="0"/>
    <n v="0"/>
    <x v="5"/>
    <n v="5"/>
  </r>
  <r>
    <n v="41755"/>
    <n v="3202108"/>
    <x v="24"/>
    <n v="0.57099999999999995"/>
    <n v="2710571.41"/>
    <n v="0"/>
    <n v="2710571.41"/>
    <n v="30659.77"/>
    <n v="296980.84000000003"/>
    <n v="0.81599999999999995"/>
    <n v="44087.63"/>
    <n v="0"/>
    <n v="0"/>
    <x v="5"/>
    <n v="5"/>
  </r>
  <r>
    <n v="41756"/>
    <n v="3202207"/>
    <x v="25"/>
    <n v="0.36799999999999999"/>
    <n v="1746918.16"/>
    <n v="0"/>
    <n v="1746918.16"/>
    <n v="19759.71"/>
    <n v="226530.28"/>
    <n v="0.69699999999999995"/>
    <n v="28413.75"/>
    <n v="0"/>
    <n v="0"/>
    <x v="5"/>
    <n v="5"/>
  </r>
  <r>
    <n v="41757"/>
    <n v="3202256"/>
    <x v="26"/>
    <n v="0.53100000000000003"/>
    <n v="2520689.0299999998"/>
    <n v="0"/>
    <n v="2520689.0299999998"/>
    <n v="28511.97"/>
    <n v="277841.07"/>
    <n v="0.45200000000000001"/>
    <n v="40999.18"/>
    <n v="0"/>
    <n v="0"/>
    <x v="5"/>
    <n v="5"/>
  </r>
  <r>
    <n v="41758"/>
    <n v="3202306"/>
    <x v="27"/>
    <n v="0.36699999999999999"/>
    <n v="1742171.11"/>
    <n v="0"/>
    <n v="1742171.11"/>
    <n v="19706.009999999998"/>
    <n v="524127.39"/>
    <n v="0.98899999999999999"/>
    <n v="28336.53"/>
    <n v="0"/>
    <n v="0"/>
    <x v="5"/>
    <n v="5"/>
  </r>
  <r>
    <n v="41759"/>
    <n v="3202405"/>
    <x v="28"/>
    <n v="0.79"/>
    <n v="3750177.6"/>
    <n v="0"/>
    <n v="3750177.6"/>
    <n v="42418.94"/>
    <n v="3014979.34"/>
    <n v="2.9359999999999999"/>
    <n v="60996.89"/>
    <n v="0"/>
    <n v="0"/>
    <x v="5"/>
    <n v="5"/>
  </r>
  <r>
    <n v="41760"/>
    <n v="3202454"/>
    <x v="29"/>
    <n v="0.33900000000000002"/>
    <n v="1609253.42"/>
    <n v="0"/>
    <n v="1609253.42"/>
    <n v="18202.560000000001"/>
    <n v="575865.84"/>
    <n v="0.87"/>
    <n v="26174.61"/>
    <n v="0"/>
    <n v="0"/>
    <x v="5"/>
    <n v="5"/>
  </r>
  <r>
    <n v="41761"/>
    <n v="3202504"/>
    <x v="30"/>
    <n v="0.307"/>
    <n v="1457347.48"/>
    <n v="0"/>
    <n v="1457347.48"/>
    <n v="16484.32"/>
    <n v="161602.89000000001"/>
    <n v="0.46100000000000002"/>
    <n v="23703.86"/>
    <n v="0"/>
    <n v="0"/>
    <x v="5"/>
    <n v="5"/>
  </r>
  <r>
    <n v="41762"/>
    <n v="3202553"/>
    <x v="31"/>
    <n v="0.28399999999999997"/>
    <n v="1348165.11"/>
    <n v="0"/>
    <n v="1348165.11"/>
    <n v="15249.34"/>
    <n v="114736.41"/>
    <n v="0.35499999999999998"/>
    <n v="21927.99"/>
    <n v="0"/>
    <n v="0"/>
    <x v="5"/>
    <n v="5"/>
  </r>
  <r>
    <n v="41763"/>
    <n v="3202603"/>
    <x v="32"/>
    <n v="0.314"/>
    <n v="1490576.93"/>
    <n v="0"/>
    <n v="1490576.93"/>
    <n v="16860.189999999999"/>
    <n v="296014.93"/>
    <n v="0.53700000000000003"/>
    <n v="24244.34"/>
    <n v="0"/>
    <n v="0"/>
    <x v="5"/>
    <n v="5"/>
  </r>
  <r>
    <n v="41764"/>
    <n v="3202652"/>
    <x v="33"/>
    <n v="0.316"/>
    <n v="1500071.06"/>
    <n v="0"/>
    <n v="1500071.06"/>
    <n v="16967.580000000002"/>
    <n v="234613.67"/>
    <n v="0.56399999999999995"/>
    <n v="24398.76"/>
    <n v="0"/>
    <n v="0"/>
    <x v="5"/>
    <n v="5"/>
  </r>
  <r>
    <n v="41765"/>
    <n v="3202702"/>
    <x v="34"/>
    <n v="0.40400000000000003"/>
    <n v="1917812.34"/>
    <n v="0"/>
    <n v="1917812.34"/>
    <n v="21692.720000000001"/>
    <n v="178214.69"/>
    <n v="0.56200000000000006"/>
    <n v="31193.35"/>
    <n v="0"/>
    <n v="0"/>
    <x v="5"/>
    <n v="5"/>
  </r>
  <r>
    <n v="41766"/>
    <n v="3202801"/>
    <x v="35"/>
    <n v="3.4060000000000001"/>
    <n v="16168487.23"/>
    <n v="0"/>
    <n v="16168487.23"/>
    <n v="182884.7"/>
    <n v="469522.84"/>
    <n v="1.2130000000000001"/>
    <n v="262981.53999999998"/>
    <n v="0"/>
    <n v="0"/>
    <x v="5"/>
    <n v="5"/>
  </r>
  <r>
    <n v="41767"/>
    <n v="3202900"/>
    <x v="36"/>
    <n v="0.39200000000000002"/>
    <n v="1860847.63"/>
    <n v="0"/>
    <n v="1860847.63"/>
    <n v="21048.39"/>
    <n v="189483.47"/>
    <n v="0.44600000000000001"/>
    <n v="30266.82"/>
    <n v="0"/>
    <n v="0"/>
    <x v="5"/>
    <n v="5"/>
  </r>
  <r>
    <n v="41768"/>
    <n v="3203007"/>
    <x v="37"/>
    <n v="0.5"/>
    <n v="2373530.12"/>
    <n v="0"/>
    <n v="2373530.12"/>
    <n v="26847.43"/>
    <n v="427871.73"/>
    <n v="0.91200000000000003"/>
    <n v="38605.629999999997"/>
    <n v="0"/>
    <n v="0"/>
    <x v="5"/>
    <n v="5"/>
  </r>
  <r>
    <n v="41769"/>
    <n v="3203056"/>
    <x v="38"/>
    <n v="1.109"/>
    <n v="5264489.8099999996"/>
    <n v="0"/>
    <n v="5264489.8099999996"/>
    <n v="59547.6"/>
    <n v="562236.48"/>
    <n v="0.98399999999999999"/>
    <n v="85627.28"/>
    <n v="0"/>
    <n v="0"/>
    <x v="5"/>
    <n v="5"/>
  </r>
  <r>
    <n v="41770"/>
    <n v="3203106"/>
    <x v="39"/>
    <n v="0.216"/>
    <n v="1025365"/>
    <n v="0"/>
    <n v="1025365"/>
    <n v="11598.09"/>
    <n v="126270.19"/>
    <n v="0.45900000000000002"/>
    <n v="16677.63"/>
    <n v="0"/>
    <n v="0"/>
    <x v="5"/>
    <n v="5"/>
  </r>
  <r>
    <n v="41771"/>
    <n v="3203130"/>
    <x v="40"/>
    <n v="0.376"/>
    <n v="1784894.68"/>
    <n v="0"/>
    <n v="1784894.68"/>
    <n v="20189.27"/>
    <n v="228356.04"/>
    <n v="0.63600000000000001"/>
    <n v="29031.43"/>
    <n v="0"/>
    <n v="0"/>
    <x v="5"/>
    <n v="5"/>
  </r>
  <r>
    <n v="41772"/>
    <n v="3203163"/>
    <x v="41"/>
    <n v="0.42799999999999999"/>
    <n v="2031741.77"/>
    <n v="0"/>
    <n v="2031741.77"/>
    <n v="22981.4"/>
    <n v="119545.78"/>
    <n v="0.45300000000000001"/>
    <n v="33046.42"/>
    <n v="0"/>
    <n v="0"/>
    <x v="5"/>
    <n v="5"/>
  </r>
  <r>
    <n v="41773"/>
    <n v="3203205"/>
    <x v="42"/>
    <n v="4.431"/>
    <n v="21034223.989999998"/>
    <n v="0"/>
    <n v="21034223.989999998"/>
    <n v="237921.93"/>
    <n v="2991560.48"/>
    <n v="4.0759999999999996"/>
    <n v="342123.08"/>
    <n v="0"/>
    <n v="0"/>
    <x v="5"/>
    <n v="5"/>
  </r>
  <r>
    <n v="41774"/>
    <n v="3203304"/>
    <x v="43"/>
    <n v="0.314"/>
    <n v="1490576.93"/>
    <n v="0"/>
    <n v="1490576.93"/>
    <n v="16860.189999999999"/>
    <n v="264233.27"/>
    <n v="0.54300000000000004"/>
    <n v="24244.34"/>
    <n v="0"/>
    <n v="0"/>
    <x v="5"/>
    <n v="5"/>
  </r>
  <r>
    <n v="41775"/>
    <n v="3203320"/>
    <x v="44"/>
    <n v="0.58499999999999996"/>
    <n v="2777030.25"/>
    <n v="0"/>
    <n v="2777030.25"/>
    <n v="31411.49"/>
    <n v="639253.06999999995"/>
    <n v="1.24"/>
    <n v="45168.59"/>
    <n v="0"/>
    <n v="0"/>
    <x v="5"/>
    <n v="5"/>
  </r>
  <r>
    <n v="41776"/>
    <n v="3203346"/>
    <x v="45"/>
    <n v="0.55500000000000005"/>
    <n v="2634618.44"/>
    <n v="0"/>
    <n v="2634618.44"/>
    <n v="29800.65"/>
    <n v="274869.95"/>
    <n v="0.69199999999999995"/>
    <n v="42852.25"/>
    <n v="0"/>
    <n v="0"/>
    <x v="5"/>
    <n v="5"/>
  </r>
  <r>
    <n v="41777"/>
    <n v="3203353"/>
    <x v="46"/>
    <n v="0.505"/>
    <n v="2397265.41"/>
    <n v="0"/>
    <n v="2397265.41"/>
    <n v="27115.9"/>
    <n v="227552.11"/>
    <n v="0.47"/>
    <n v="38991.68"/>
    <n v="0"/>
    <n v="0"/>
    <x v="5"/>
    <n v="5"/>
  </r>
  <r>
    <n v="41778"/>
    <n v="3203403"/>
    <x v="47"/>
    <n v="0.46899999999999997"/>
    <n v="2226371.25"/>
    <n v="0"/>
    <n v="2226371.25"/>
    <n v="25182.89"/>
    <n v="295214.94"/>
    <n v="0.85899999999999999"/>
    <n v="36212.080000000002"/>
    <n v="0"/>
    <n v="0"/>
    <x v="5"/>
    <n v="5"/>
  </r>
  <r>
    <n v="41779"/>
    <n v="3203502"/>
    <x v="48"/>
    <n v="0.51500000000000001"/>
    <n v="2444736.0299999998"/>
    <n v="0"/>
    <n v="2444736.0299999998"/>
    <n v="27652.85"/>
    <n v="338698.09"/>
    <n v="0.70899999999999996"/>
    <n v="39763.79"/>
    <n v="0"/>
    <n v="0"/>
    <x v="5"/>
    <n v="5"/>
  </r>
  <r>
    <n v="41780"/>
    <n v="3203601"/>
    <x v="49"/>
    <n v="0.30599999999999999"/>
    <n v="1452600.45"/>
    <n v="0"/>
    <n v="1452600.45"/>
    <n v="16430.63"/>
    <n v="69643.23"/>
    <n v="0.30199999999999999"/>
    <n v="23626.65"/>
    <n v="0"/>
    <n v="0"/>
    <x v="5"/>
    <n v="5"/>
  </r>
  <r>
    <n v="41781"/>
    <n v="3203700"/>
    <x v="50"/>
    <n v="0.505"/>
    <n v="2397265.41"/>
    <n v="0"/>
    <n v="2397265.41"/>
    <n v="27115.9"/>
    <n v="217025.55"/>
    <n v="0.69899999999999995"/>
    <n v="38991.68"/>
    <n v="0"/>
    <n v="0"/>
    <x v="5"/>
    <n v="5"/>
  </r>
  <r>
    <n v="41782"/>
    <n v="3203809"/>
    <x v="51"/>
    <n v="0.32"/>
    <n v="1519059.28"/>
    <n v="0"/>
    <n v="1519059.28"/>
    <n v="17182.36"/>
    <n v="126585.26"/>
    <n v="0.56499999999999995"/>
    <n v="24707.599999999999"/>
    <n v="0"/>
    <n v="0"/>
    <x v="5"/>
    <n v="5"/>
  </r>
  <r>
    <n v="41783"/>
    <n v="3203908"/>
    <x v="52"/>
    <n v="1.2250000000000001"/>
    <n v="5815148.8200000003"/>
    <n v="0"/>
    <n v="5815148.8200000003"/>
    <n v="65776.210000000006"/>
    <n v="897012.69"/>
    <n v="1.476"/>
    <n v="94583.79"/>
    <n v="0"/>
    <n v="0"/>
    <x v="5"/>
    <n v="5"/>
  </r>
  <r>
    <n v="41784"/>
    <n v="3204005"/>
    <x v="53"/>
    <n v="0.435"/>
    <n v="2064971.2"/>
    <n v="0"/>
    <n v="2064971.2"/>
    <n v="23357.26"/>
    <n v="261498.2"/>
    <n v="0.70899999999999996"/>
    <n v="33586.9"/>
    <n v="0"/>
    <n v="0"/>
    <x v="5"/>
    <n v="5"/>
  </r>
  <r>
    <n v="41785"/>
    <n v="3204054"/>
    <x v="54"/>
    <n v="0.33400000000000002"/>
    <n v="1585518.12"/>
    <n v="0"/>
    <n v="1585518.12"/>
    <n v="17934.080000000002"/>
    <n v="251427.66"/>
    <n v="0.81"/>
    <n v="25788.560000000001"/>
    <n v="0"/>
    <n v="0"/>
    <x v="5"/>
    <n v="5"/>
  </r>
  <r>
    <n v="41786"/>
    <n v="3204104"/>
    <x v="55"/>
    <n v="0.755"/>
    <n v="3584030.49"/>
    <n v="0"/>
    <n v="3584030.49"/>
    <n v="40539.620000000003"/>
    <n v="259049.97"/>
    <n v="0.85099999999999998"/>
    <n v="58294.5"/>
    <n v="0"/>
    <n v="0"/>
    <x v="5"/>
    <n v="5"/>
  </r>
  <r>
    <n v="41787"/>
    <n v="3204203"/>
    <x v="56"/>
    <n v="0.36499999999999999"/>
    <n v="1732676.98"/>
    <n v="0"/>
    <n v="1732676.98"/>
    <n v="19598.62"/>
    <n v="432229.88"/>
    <n v="0.753"/>
    <n v="28182.11"/>
    <n v="0"/>
    <n v="0"/>
    <x v="5"/>
    <n v="5"/>
  </r>
  <r>
    <n v="41788"/>
    <n v="3204252"/>
    <x v="57"/>
    <n v="0.27"/>
    <n v="1281706.26"/>
    <n v="0"/>
    <n v="1281706.26"/>
    <n v="14497.61"/>
    <n v="77614.539999999994"/>
    <n v="0.316"/>
    <n v="20847.03"/>
    <n v="0"/>
    <n v="0"/>
    <x v="5"/>
    <n v="5"/>
  </r>
  <r>
    <n v="41789"/>
    <n v="1718402"/>
    <x v="58"/>
    <n v="0.39100000000000001"/>
    <n v="1856100.58"/>
    <n v="0"/>
    <n v="1856100.58"/>
    <n v="20994.69"/>
    <n v="266928.08"/>
    <n v="0.56399999999999995"/>
    <n v="30189.599999999999"/>
    <n v="0"/>
    <n v="0"/>
    <x v="5"/>
    <n v="5"/>
  </r>
  <r>
    <n v="41790"/>
    <n v="3204351"/>
    <x v="59"/>
    <n v="0.88200000000000001"/>
    <n v="4186907.12"/>
    <n v="0"/>
    <n v="4186907.12"/>
    <n v="47358.87"/>
    <n v="476579.78"/>
    <n v="0.71399999999999997"/>
    <n v="68100.33"/>
    <n v="0"/>
    <n v="0"/>
    <x v="5"/>
    <n v="5"/>
  </r>
  <r>
    <n v="41791"/>
    <n v="3204401"/>
    <x v="60"/>
    <n v="0.312"/>
    <n v="1481082.8"/>
    <n v="0"/>
    <n v="1481082.8"/>
    <n v="16752.8"/>
    <n v="178503.13"/>
    <n v="0.45300000000000001"/>
    <n v="24089.91"/>
    <n v="0"/>
    <n v="0"/>
    <x v="5"/>
    <n v="5"/>
  </r>
  <r>
    <n v="41792"/>
    <n v="3204500"/>
    <x v="61"/>
    <n v="0.51800000000000002"/>
    <n v="2458977.21"/>
    <n v="0"/>
    <n v="2458977.21"/>
    <n v="27813.94"/>
    <n v="151176.45000000001"/>
    <n v="0.47899999999999998"/>
    <n v="39995.43"/>
    <n v="0"/>
    <n v="0"/>
    <x v="5"/>
    <n v="5"/>
  </r>
  <r>
    <n v="41793"/>
    <n v="3204559"/>
    <x v="62"/>
    <n v="2.1909999999999998"/>
    <n v="10400809.02"/>
    <n v="0"/>
    <n v="10400809.02"/>
    <n v="117645.44"/>
    <n v="1064466.3600000001"/>
    <n v="1.236"/>
    <n v="169169.87"/>
    <n v="0"/>
    <n v="0"/>
    <x v="5"/>
    <n v="5"/>
  </r>
  <r>
    <n v="41794"/>
    <n v="3204609"/>
    <x v="63"/>
    <n v="0.66"/>
    <n v="3133059.77"/>
    <n v="0"/>
    <n v="3133059.77"/>
    <n v="35438.61"/>
    <n v="462254.38"/>
    <n v="0.82699999999999996"/>
    <n v="50959.43"/>
    <n v="0"/>
    <n v="0"/>
    <x v="5"/>
    <n v="5"/>
  </r>
  <r>
    <n v="41795"/>
    <n v="3204658"/>
    <x v="64"/>
    <n v="0.42099999999999999"/>
    <n v="1998512.36"/>
    <n v="0"/>
    <n v="1998512.36"/>
    <n v="22605.54"/>
    <n v="167791.13"/>
    <n v="0.34300000000000003"/>
    <n v="32505.94"/>
    <n v="0"/>
    <n v="0"/>
    <x v="5"/>
    <n v="5"/>
  </r>
  <r>
    <n v="41796"/>
    <n v="3204708"/>
    <x v="65"/>
    <n v="0.72299999999999998"/>
    <n v="3432124.58"/>
    <n v="0"/>
    <n v="3432124.58"/>
    <n v="38821.379999999997"/>
    <n v="594493.68999999994"/>
    <n v="1.1040000000000001"/>
    <n v="55823.74"/>
    <n v="0"/>
    <n v="0"/>
    <x v="5"/>
    <n v="5"/>
  </r>
  <r>
    <n v="41797"/>
    <n v="3204807"/>
    <x v="66"/>
    <n v="0.28599999999999998"/>
    <n v="1357659.22"/>
    <n v="0"/>
    <n v="1357659.22"/>
    <n v="15356.73"/>
    <n v="138045.82"/>
    <n v="0.45"/>
    <n v="22082.42"/>
    <n v="0"/>
    <n v="0"/>
    <x v="5"/>
    <n v="5"/>
  </r>
  <r>
    <n v="41798"/>
    <n v="3204906"/>
    <x v="67"/>
    <n v="1.998"/>
    <n v="9484626.3800000008"/>
    <n v="0"/>
    <n v="9484626.3800000008"/>
    <n v="107282.33"/>
    <n v="1959168.5"/>
    <n v="2.9870000000000001"/>
    <n v="154268.09"/>
    <n v="0"/>
    <n v="0"/>
    <x v="5"/>
    <n v="5"/>
  </r>
  <r>
    <n v="41799"/>
    <n v="3204955"/>
    <x v="68"/>
    <n v="0.3"/>
    <n v="1424118.09"/>
    <n v="0"/>
    <n v="1424118.09"/>
    <n v="16108.46"/>
    <n v="161287.85999999999"/>
    <n v="0.45"/>
    <n v="23163.38"/>
    <n v="0"/>
    <n v="0"/>
    <x v="5"/>
    <n v="5"/>
  </r>
  <r>
    <n v="41800"/>
    <n v="3205002"/>
    <x v="69"/>
    <n v="14.551"/>
    <n v="69074473.790000007"/>
    <n v="0"/>
    <n v="69074473.790000007"/>
    <n v="781313.94"/>
    <n v="6774877.7000000002"/>
    <n v="8.6910000000000007"/>
    <n v="1123501"/>
    <n v="0"/>
    <n v="0"/>
    <x v="5"/>
    <n v="5"/>
  </r>
  <r>
    <n v="41801"/>
    <n v="3205010"/>
    <x v="70"/>
    <n v="0.78200000000000003"/>
    <n v="3712201.11"/>
    <n v="0"/>
    <n v="3712201.11"/>
    <n v="41989.38"/>
    <n v="351063.93"/>
    <n v="0.95199999999999996"/>
    <n v="60379.21"/>
    <n v="0"/>
    <n v="0"/>
    <x v="5"/>
    <n v="5"/>
  </r>
  <r>
    <n v="41802"/>
    <n v="3205036"/>
    <x v="71"/>
    <n v="0.45700000000000002"/>
    <n v="2169406.5299999998"/>
    <n v="0"/>
    <n v="2169406.5299999998"/>
    <n v="24538.55"/>
    <n v="281056.71000000002"/>
    <n v="0.71699999999999997"/>
    <n v="35285.54"/>
    <n v="0"/>
    <n v="0"/>
    <x v="5"/>
    <n v="5"/>
  </r>
  <r>
    <n v="41803"/>
    <n v="3205069"/>
    <x v="72"/>
    <n v="0.67"/>
    <n v="3180530.36"/>
    <n v="0"/>
    <n v="3180530.36"/>
    <n v="35975.56"/>
    <n v="515525.2"/>
    <n v="0.85"/>
    <n v="51731.55"/>
    <n v="0"/>
    <n v="0"/>
    <x v="5"/>
    <n v="5"/>
  </r>
  <r>
    <n v="41804"/>
    <n v="2112803"/>
    <x v="73"/>
    <n v="3.3740000000000001"/>
    <n v="16016581.279999999"/>
    <n v="0"/>
    <n v="16016581.279999999"/>
    <n v="181166.46"/>
    <n v="867583.36"/>
    <n v="1.9590000000000001"/>
    <n v="260510.79"/>
    <n v="0"/>
    <n v="0"/>
    <x v="5"/>
    <n v="5"/>
  </r>
  <r>
    <n v="41805"/>
    <n v="3205150"/>
    <x v="74"/>
    <n v="0.36799999999999999"/>
    <n v="1746918.16"/>
    <n v="0"/>
    <n v="1746918.16"/>
    <n v="19759.71"/>
    <n v="116460.18"/>
    <n v="0.34699999999999998"/>
    <n v="28413.75"/>
    <n v="0"/>
    <n v="0"/>
    <x v="5"/>
    <n v="5"/>
  </r>
  <r>
    <n v="41806"/>
    <n v="3205176"/>
    <x v="75"/>
    <n v="0.7"/>
    <n v="3322942.18"/>
    <n v="0"/>
    <n v="3322942.18"/>
    <n v="37586.400000000001"/>
    <n v="421787.96"/>
    <n v="0.56399999999999995"/>
    <n v="54047.88"/>
    <n v="0"/>
    <n v="0"/>
    <x v="5"/>
    <n v="5"/>
  </r>
  <r>
    <n v="41807"/>
    <n v="3205200"/>
    <x v="76"/>
    <n v="6.6219999999999999"/>
    <n v="31435033.030000001"/>
    <n v="0"/>
    <n v="31435033.030000001"/>
    <n v="355567.38"/>
    <n v="7686529.25"/>
    <n v="8.0009999999999994"/>
    <n v="511292.94"/>
    <n v="0"/>
    <n v="0"/>
    <x v="5"/>
    <n v="5"/>
  </r>
  <r>
    <n v="41808"/>
    <n v="3205309"/>
    <x v="77"/>
    <n v="10.878"/>
    <n v="51638521.469999999"/>
    <n v="0"/>
    <n v="51638521.469999999"/>
    <n v="584092.71"/>
    <n v="7554893.2699999996"/>
    <n v="9.2110000000000003"/>
    <n v="839904.01"/>
    <n v="0"/>
    <n v="0"/>
    <x v="5"/>
    <n v="5"/>
  </r>
  <r>
    <n v="41809"/>
    <n v="3200102"/>
    <x v="0"/>
    <n v="0.67100000000000004"/>
    <n v="3208756.01"/>
    <n v="0"/>
    <n v="3208756.01"/>
    <n v="39073.660000000003"/>
    <n v="95331.24"/>
    <n v="1.004"/>
    <n v="67442.95"/>
    <n v="0"/>
    <n v="16662.22"/>
    <x v="5"/>
    <n v="11"/>
  </r>
  <r>
    <n v="41810"/>
    <n v="3200169"/>
    <x v="1"/>
    <n v="0.309"/>
    <n v="1477653.65"/>
    <n v="0"/>
    <n v="1477653.65"/>
    <n v="17993.68"/>
    <n v="29851.25"/>
    <n v="0.45700000000000002"/>
    <n v="31057.93"/>
    <n v="0"/>
    <n v="7673.07"/>
    <x v="5"/>
    <n v="11"/>
  </r>
  <r>
    <n v="41811"/>
    <n v="3200136"/>
    <x v="2"/>
    <n v="0.51900000000000002"/>
    <n v="2481884.2999999998"/>
    <n v="0"/>
    <n v="2481884.2999999998"/>
    <n v="30222.400000000001"/>
    <n v="35749.07"/>
    <n v="0.35099999999999998"/>
    <n v="52165.27"/>
    <n v="0"/>
    <n v="12887.77"/>
    <x v="5"/>
    <n v="11"/>
  </r>
  <r>
    <n v="41812"/>
    <n v="3200201"/>
    <x v="3"/>
    <n v="0.41799999999999998"/>
    <n v="1998897.19"/>
    <n v="0"/>
    <n v="1998897.19"/>
    <n v="24340.97"/>
    <n v="86920.95"/>
    <n v="0.98299999999999998"/>
    <n v="42013.64"/>
    <n v="0"/>
    <n v="10379.75"/>
    <x v="5"/>
    <n v="11"/>
  </r>
  <r>
    <n v="41813"/>
    <n v="3200300"/>
    <x v="4"/>
    <n v="0.442"/>
    <n v="2113666.42"/>
    <n v="0"/>
    <n v="2113666.42"/>
    <n v="25738.53"/>
    <n v="47549.61"/>
    <n v="0.55500000000000005"/>
    <n v="44425.91"/>
    <n v="0"/>
    <n v="10975.71"/>
    <x v="5"/>
    <n v="11"/>
  </r>
  <r>
    <n v="41814"/>
    <n v="3200359"/>
    <x v="5"/>
    <n v="0.25800000000000001"/>
    <n v="1233769.06"/>
    <n v="0"/>
    <n v="1233769.06"/>
    <n v="15023.85"/>
    <n v="22128.9"/>
    <n v="0.32300000000000001"/>
    <n v="25931.87"/>
    <n v="0"/>
    <n v="6406.64"/>
    <x v="5"/>
    <n v="11"/>
  </r>
  <r>
    <n v="41815"/>
    <n v="3200409"/>
    <x v="6"/>
    <n v="3.4780000000000002"/>
    <n v="16631972.300000001"/>
    <n v="0"/>
    <n v="16631972.300000001"/>
    <n v="202530.81"/>
    <n v="113146.01"/>
    <n v="1.0049999999999999"/>
    <n v="349577.64"/>
    <n v="0"/>
    <n v="86365.45"/>
    <x v="5"/>
    <n v="11"/>
  </r>
  <r>
    <n v="41816"/>
    <n v="3200508"/>
    <x v="7"/>
    <n v="0.23799999999999999"/>
    <n v="1138128.06"/>
    <n v="0"/>
    <n v="1138128.06"/>
    <n v="13859.21"/>
    <n v="51958.01"/>
    <n v="0.31900000000000001"/>
    <n v="23921.64"/>
    <n v="0"/>
    <n v="5910"/>
    <x v="5"/>
    <n v="11"/>
  </r>
  <r>
    <n v="41817"/>
    <n v="3200607"/>
    <x v="8"/>
    <n v="4.4800000000000004"/>
    <n v="21423587.079999998"/>
    <n v="0"/>
    <n v="21423587.079999998"/>
    <n v="260879.25"/>
    <n v="468100.5"/>
    <n v="2.4649999999999999"/>
    <n v="450289.79"/>
    <n v="0"/>
    <n v="111247.05"/>
    <x v="5"/>
    <n v="11"/>
  </r>
  <r>
    <n v="41818"/>
    <n v="3200706"/>
    <x v="9"/>
    <n v="0.39500000000000002"/>
    <n v="1888910.04"/>
    <n v="0"/>
    <n v="1888910.04"/>
    <n v="23001.63"/>
    <n v="21115.45"/>
    <n v="0.438"/>
    <n v="39701.89"/>
    <n v="0"/>
    <n v="9808.61"/>
    <x v="5"/>
    <n v="11"/>
  </r>
  <r>
    <n v="41819"/>
    <n v="3200805"/>
    <x v="10"/>
    <n v="0.54"/>
    <n v="2582307.37"/>
    <n v="0"/>
    <n v="2582307.37"/>
    <n v="31445.27"/>
    <n v="125562.48"/>
    <n v="1.0069999999999999"/>
    <n v="54276"/>
    <n v="0"/>
    <n v="13409.24"/>
    <x v="5"/>
    <n v="11"/>
  </r>
  <r>
    <n v="41820"/>
    <n v="3200904"/>
    <x v="11"/>
    <n v="0.81299999999999994"/>
    <n v="3887807.23"/>
    <n v="0"/>
    <n v="3887807.23"/>
    <n v="47342.6"/>
    <n v="176188.92"/>
    <n v="1.3120000000000001"/>
    <n v="81715.539999999994"/>
    <n v="0"/>
    <n v="20188.36"/>
    <x v="5"/>
    <n v="11"/>
  </r>
  <r>
    <n v="41821"/>
    <n v="3107109"/>
    <x v="12"/>
    <n v="0.48699999999999999"/>
    <n v="2328858.67"/>
    <n v="0"/>
    <n v="2328858.67"/>
    <n v="28358.97"/>
    <n v="51458.83"/>
    <n v="0.55200000000000005"/>
    <n v="48948.91"/>
    <n v="0"/>
    <n v="12093.15"/>
    <x v="5"/>
    <n v="11"/>
  </r>
  <r>
    <n v="41822"/>
    <n v="3201100"/>
    <x v="13"/>
    <n v="0.247"/>
    <n v="1181166.54"/>
    <n v="0"/>
    <n v="1181166.54"/>
    <n v="14383.3"/>
    <n v="131488.1"/>
    <n v="0.435"/>
    <n v="24826.240000000002"/>
    <n v="0"/>
    <n v="6133.49"/>
    <x v="5"/>
    <n v="11"/>
  </r>
  <r>
    <n v="41823"/>
    <n v="3201159"/>
    <x v="14"/>
    <n v="0.40699999999999997"/>
    <n v="1946294.63"/>
    <n v="0"/>
    <n v="1946294.63"/>
    <n v="23700.41"/>
    <n v="39018.050000000003"/>
    <n v="0.54600000000000004"/>
    <n v="40908.019999999997"/>
    <n v="0"/>
    <n v="10106.6"/>
    <x v="5"/>
    <n v="11"/>
  </r>
  <r>
    <n v="41824"/>
    <n v="3201209"/>
    <x v="15"/>
    <n v="2.5920000000000001"/>
    <n v="12395075.390000001"/>
    <n v="0"/>
    <n v="12395075.390000001"/>
    <n v="150937.28"/>
    <n v="997561.07"/>
    <n v="4.298"/>
    <n v="260524.81"/>
    <n v="0"/>
    <n v="64364.36"/>
    <x v="5"/>
    <n v="11"/>
  </r>
  <r>
    <n v="41825"/>
    <n v="3201308"/>
    <x v="16"/>
    <n v="8.3239999999999998"/>
    <n v="39805789.909999996"/>
    <n v="0"/>
    <n v="39805789.909999996"/>
    <n v="484722.97"/>
    <n v="1125116.8400000001"/>
    <n v="6.4569999999999999"/>
    <n v="836654.49"/>
    <n v="0"/>
    <n v="206700.98"/>
    <x v="5"/>
    <n v="11"/>
  </r>
  <r>
    <n v="41826"/>
    <n v="3201407"/>
    <x v="17"/>
    <n v="0.80700000000000005"/>
    <n v="3859114.91"/>
    <n v="0"/>
    <n v="3859114.91"/>
    <n v="46993.2"/>
    <n v="365945.77"/>
    <n v="1.1639999999999999"/>
    <n v="81112.47"/>
    <n v="0"/>
    <n v="20039.37"/>
    <x v="5"/>
    <n v="11"/>
  </r>
  <r>
    <n v="41827"/>
    <n v="3201506"/>
    <x v="18"/>
    <n v="2.0139999999999998"/>
    <n v="9631050.0700000003"/>
    <n v="0"/>
    <n v="9631050.0700000003"/>
    <n v="117279.2"/>
    <n v="524176.4"/>
    <n v="2.86"/>
    <n v="202429.38"/>
    <n v="0"/>
    <n v="50011.51"/>
    <x v="5"/>
    <n v="11"/>
  </r>
  <r>
    <n v="41828"/>
    <n v="3201605"/>
    <x v="19"/>
    <n v="0.60099999999999998"/>
    <n v="2874012.45"/>
    <n v="0"/>
    <n v="2874012.45"/>
    <n v="34997.42"/>
    <n v="71980.92"/>
    <n v="0.94399999999999995"/>
    <n v="60407.17"/>
    <n v="0"/>
    <n v="14923.99"/>
    <x v="5"/>
    <n v="11"/>
  </r>
  <r>
    <n v="41829"/>
    <n v="3201704"/>
    <x v="20"/>
    <n v="0.371"/>
    <n v="1774140.81"/>
    <n v="0"/>
    <n v="1774140.81"/>
    <n v="21604.06"/>
    <n v="32519.35"/>
    <n v="0.45600000000000002"/>
    <n v="37289.620000000003"/>
    <n v="0"/>
    <n v="9212.65"/>
    <x v="5"/>
    <n v="11"/>
  </r>
  <r>
    <n v="41830"/>
    <n v="3201803"/>
    <x v="21"/>
    <n v="0.187"/>
    <n v="894243.47"/>
    <n v="0"/>
    <n v="894243.47"/>
    <n v="10889.38"/>
    <n v="14822.91"/>
    <n v="0.29299999999999998"/>
    <n v="18795.580000000002"/>
    <n v="0"/>
    <n v="4643.57"/>
    <x v="5"/>
    <n v="11"/>
  </r>
  <r>
    <n v="41831"/>
    <n v="3201902"/>
    <x v="22"/>
    <n v="1.0620000000000001"/>
    <n v="5078537.87"/>
    <n v="0"/>
    <n v="5078537.87"/>
    <n v="61842.36"/>
    <n v="139837.60999999999"/>
    <n v="1.147"/>
    <n v="106742.8"/>
    <n v="0"/>
    <n v="26371.51"/>
    <x v="5"/>
    <n v="11"/>
  </r>
  <r>
    <n v="41832"/>
    <n v="3202009"/>
    <x v="23"/>
    <n v="0.34899999999999998"/>
    <n v="1668935.67"/>
    <n v="0"/>
    <n v="1668935.67"/>
    <n v="20322.96"/>
    <n v="39813.120000000003"/>
    <n v="0.312"/>
    <n v="35078.379999999997"/>
    <n v="0"/>
    <n v="8666.34"/>
    <x v="5"/>
    <n v="11"/>
  </r>
  <r>
    <n v="41833"/>
    <n v="3202108"/>
    <x v="24"/>
    <n v="0.57099999999999995"/>
    <n v="2730550.94"/>
    <n v="0"/>
    <n v="2730550.94"/>
    <n v="33250.46"/>
    <n v="70381.960000000006"/>
    <n v="0.79200000000000004"/>
    <n v="57391.839999999997"/>
    <n v="0"/>
    <n v="14179.03"/>
    <x v="5"/>
    <n v="11"/>
  </r>
  <r>
    <n v="41834"/>
    <n v="3202207"/>
    <x v="25"/>
    <n v="0.36799999999999999"/>
    <n v="1759794.64"/>
    <n v="0"/>
    <n v="1759794.64"/>
    <n v="21429.37"/>
    <n v="63179.01"/>
    <n v="0.68600000000000005"/>
    <n v="36988.089999999997"/>
    <n v="0"/>
    <n v="9138.15"/>
    <x v="5"/>
    <n v="11"/>
  </r>
  <r>
    <n v="41835"/>
    <n v="3202256"/>
    <x v="26"/>
    <n v="0.53100000000000003"/>
    <n v="2539268.91"/>
    <n v="0"/>
    <n v="2539268.91"/>
    <n v="30921.18"/>
    <n v="45616.160000000003"/>
    <n v="0.44400000000000001"/>
    <n v="53371.4"/>
    <n v="0"/>
    <n v="13185.75"/>
    <x v="5"/>
    <n v="11"/>
  </r>
  <r>
    <n v="41836"/>
    <n v="3202306"/>
    <x v="27"/>
    <n v="0.36699999999999999"/>
    <n v="1755012.58"/>
    <n v="0"/>
    <n v="1755012.58"/>
    <n v="21371.14"/>
    <n v="121840.32000000001"/>
    <n v="0.99"/>
    <n v="36887.57"/>
    <n v="0"/>
    <n v="9113.32"/>
    <x v="5"/>
    <n v="11"/>
  </r>
  <r>
    <n v="41837"/>
    <n v="3202405"/>
    <x v="28"/>
    <n v="0.79"/>
    <n v="3777820.04"/>
    <n v="0"/>
    <n v="3777820.04"/>
    <n v="46003.26"/>
    <n v="854114.56"/>
    <n v="3.0129999999999999"/>
    <n v="79403.77"/>
    <n v="0"/>
    <n v="19617.22"/>
    <x v="5"/>
    <n v="11"/>
  </r>
  <r>
    <n v="41838"/>
    <n v="3202454"/>
    <x v="29"/>
    <n v="0.33900000000000002"/>
    <n v="1621115.19"/>
    <n v="0"/>
    <n v="1621115.19"/>
    <n v="19740.64"/>
    <n v="110508.03"/>
    <n v="0.86499999999999999"/>
    <n v="34073.269999999997"/>
    <n v="0"/>
    <n v="8418.02"/>
    <x v="5"/>
    <n v="11"/>
  </r>
  <r>
    <n v="41839"/>
    <n v="3202504"/>
    <x v="30"/>
    <n v="0.307"/>
    <n v="1468089.56"/>
    <n v="0"/>
    <n v="1468089.56"/>
    <n v="17877.22"/>
    <n v="40491.71"/>
    <n v="0.45400000000000001"/>
    <n v="30856.91"/>
    <n v="0"/>
    <n v="7623.4"/>
    <x v="5"/>
    <n v="11"/>
  </r>
  <r>
    <n v="41840"/>
    <n v="3202553"/>
    <x v="31"/>
    <n v="0.28399999999999997"/>
    <n v="1358102.4"/>
    <n v="0"/>
    <n v="1358102.4"/>
    <n v="16537.88"/>
    <n v="37619.89"/>
    <n v="0.35"/>
    <n v="28545.16"/>
    <n v="0"/>
    <n v="7052.27"/>
    <x v="5"/>
    <n v="11"/>
  </r>
  <r>
    <n v="41841"/>
    <n v="3202603"/>
    <x v="32"/>
    <n v="0.314"/>
    <n v="1501563.93"/>
    <n v="0"/>
    <n v="1501563.93"/>
    <n v="18284.84"/>
    <n v="57552.63"/>
    <n v="0.52"/>
    <n v="31560.49"/>
    <n v="0"/>
    <n v="7797.23"/>
    <x v="5"/>
    <n v="11"/>
  </r>
  <r>
    <n v="41842"/>
    <n v="3202652"/>
    <x v="33"/>
    <n v="0.316"/>
    <n v="1511128.02"/>
    <n v="0"/>
    <n v="1511128.02"/>
    <n v="18401.3"/>
    <n v="57886.87"/>
    <n v="0.55700000000000005"/>
    <n v="31761.52"/>
    <n v="0"/>
    <n v="7846.89"/>
    <x v="5"/>
    <n v="11"/>
  </r>
  <r>
    <n v="41843"/>
    <n v="3202702"/>
    <x v="34"/>
    <n v="0.40400000000000003"/>
    <n v="1931948.47"/>
    <n v="0"/>
    <n v="1931948.47"/>
    <n v="23525.72"/>
    <n v="45957.5"/>
    <n v="0.55200000000000005"/>
    <n v="40606.49"/>
    <n v="0"/>
    <n v="10032.1"/>
    <x v="5"/>
    <n v="11"/>
  </r>
  <r>
    <n v="41844"/>
    <n v="3202801"/>
    <x v="35"/>
    <n v="3.4060000000000001"/>
    <n v="16287664.65"/>
    <n v="0"/>
    <n v="16287664.65"/>
    <n v="198338.11"/>
    <n v="150419.84"/>
    <n v="1.2130000000000001"/>
    <n v="342340.85"/>
    <n v="0"/>
    <n v="84577.55"/>
    <x v="5"/>
    <n v="11"/>
  </r>
  <r>
    <n v="41845"/>
    <n v="3202900"/>
    <x v="36"/>
    <n v="0.39200000000000002"/>
    <n v="1874563.86"/>
    <n v="0"/>
    <n v="1874563.86"/>
    <n v="22826.94"/>
    <n v="27105.55"/>
    <n v="0.438"/>
    <n v="39400.35"/>
    <n v="0"/>
    <n v="9734.1200000000008"/>
    <x v="5"/>
    <n v="11"/>
  </r>
  <r>
    <n v="41846"/>
    <n v="3203007"/>
    <x v="37"/>
    <n v="0.5"/>
    <n v="2391025.35"/>
    <n v="0"/>
    <n v="2391025.35"/>
    <n v="29115.99"/>
    <n v="89380.17"/>
    <n v="0.90300000000000002"/>
    <n v="50255.55"/>
    <n v="0"/>
    <n v="12415.96"/>
    <x v="5"/>
    <n v="11"/>
  </r>
  <r>
    <n v="41847"/>
    <n v="3203056"/>
    <x v="38"/>
    <n v="1.109"/>
    <n v="5303294.2"/>
    <n v="0"/>
    <n v="5303294.2"/>
    <n v="64579.26"/>
    <n v="125829.3"/>
    <n v="0.98899999999999999"/>
    <n v="111466.82"/>
    <n v="0"/>
    <n v="27538.61"/>
    <x v="5"/>
    <n v="11"/>
  </r>
  <r>
    <n v="41848"/>
    <n v="3203106"/>
    <x v="39"/>
    <n v="0.216"/>
    <n v="1032922.97"/>
    <n v="0"/>
    <n v="1032922.97"/>
    <n v="12578.11"/>
    <n v="30502.560000000001"/>
    <n v="0.45100000000000001"/>
    <n v="21710.400000000001"/>
    <n v="0"/>
    <n v="5363.7"/>
    <x v="5"/>
    <n v="11"/>
  </r>
  <r>
    <n v="41849"/>
    <n v="3203130"/>
    <x v="40"/>
    <n v="0.376"/>
    <n v="1798051.04"/>
    <n v="0"/>
    <n v="1798051.04"/>
    <n v="21895.22"/>
    <n v="71146.679999999993"/>
    <n v="0.61499999999999999"/>
    <n v="37792.18"/>
    <n v="0"/>
    <n v="9336.81"/>
    <x v="5"/>
    <n v="11"/>
  </r>
  <r>
    <n v="41850"/>
    <n v="3203163"/>
    <x v="41"/>
    <n v="0.42799999999999999"/>
    <n v="2046717.69"/>
    <n v="0"/>
    <n v="2046717.69"/>
    <n v="24923.29"/>
    <n v="24349.8"/>
    <n v="0.44500000000000001"/>
    <n v="43018.76"/>
    <n v="0"/>
    <n v="10628.07"/>
    <x v="5"/>
    <n v="11"/>
  </r>
  <r>
    <n v="41851"/>
    <n v="3203205"/>
    <x v="42"/>
    <n v="4.431"/>
    <n v="21189266.600000001"/>
    <n v="0"/>
    <n v="21189266.600000001"/>
    <n v="258025.89"/>
    <n v="785807.31"/>
    <n v="4.0979999999999999"/>
    <n v="445364.74"/>
    <n v="0"/>
    <n v="110030.28"/>
    <x v="5"/>
    <n v="11"/>
  </r>
  <r>
    <n v="41852"/>
    <n v="3203304"/>
    <x v="43"/>
    <n v="0.314"/>
    <n v="1501563.93"/>
    <n v="0"/>
    <n v="1501563.93"/>
    <n v="18284.84"/>
    <n v="68218.649999999994"/>
    <n v="0.52400000000000002"/>
    <n v="31560.49"/>
    <n v="0"/>
    <n v="7797.23"/>
    <x v="5"/>
    <n v="11"/>
  </r>
  <r>
    <n v="41853"/>
    <n v="3203320"/>
    <x v="44"/>
    <n v="0.58499999999999996"/>
    <n v="2797499.66"/>
    <n v="0"/>
    <n v="2797499.66"/>
    <n v="34065.71"/>
    <n v="241835.42"/>
    <n v="1.3140000000000001"/>
    <n v="58799"/>
    <n v="0"/>
    <n v="14526.68"/>
    <x v="5"/>
    <n v="11"/>
  </r>
  <r>
    <n v="41854"/>
    <n v="3203346"/>
    <x v="45"/>
    <n v="0.55500000000000005"/>
    <n v="2654038.12"/>
    <n v="0"/>
    <n v="2654038.12"/>
    <n v="32318.75"/>
    <n v="43911.61"/>
    <n v="0.68500000000000005"/>
    <n v="55783.67"/>
    <n v="0"/>
    <n v="13781.72"/>
    <x v="5"/>
    <n v="11"/>
  </r>
  <r>
    <n v="41855"/>
    <n v="3203353"/>
    <x v="46"/>
    <n v="0.505"/>
    <n v="2414935.61"/>
    <n v="0"/>
    <n v="2414935.61"/>
    <n v="29407.15"/>
    <n v="34573.72"/>
    <n v="0.46300000000000002"/>
    <n v="50758.12"/>
    <n v="0"/>
    <n v="12540.12"/>
    <x v="5"/>
    <n v="11"/>
  </r>
  <r>
    <n v="41856"/>
    <n v="3203403"/>
    <x v="47"/>
    <n v="0.46899999999999997"/>
    <n v="2242781.7799999998"/>
    <n v="0"/>
    <n v="2242781.7799999998"/>
    <n v="27310.799999999999"/>
    <n v="90305.52"/>
    <n v="0.83899999999999997"/>
    <n v="47139.71"/>
    <n v="0"/>
    <n v="11646.18"/>
    <x v="5"/>
    <n v="11"/>
  </r>
  <r>
    <n v="41857"/>
    <n v="3203502"/>
    <x v="48"/>
    <n v="0.51500000000000001"/>
    <n v="2462756.1"/>
    <n v="0"/>
    <n v="2462756.1"/>
    <n v="29989.47"/>
    <n v="76784.490000000005"/>
    <n v="0.69699999999999995"/>
    <n v="51763.22"/>
    <n v="0"/>
    <n v="12788.44"/>
    <x v="5"/>
    <n v="11"/>
  </r>
  <r>
    <n v="41858"/>
    <n v="3203601"/>
    <x v="49"/>
    <n v="0.30599999999999999"/>
    <n v="1463307.52"/>
    <n v="0"/>
    <n v="1463307.52"/>
    <n v="17818.98"/>
    <n v="19399.64"/>
    <n v="0.29699999999999999"/>
    <n v="30756.400000000001"/>
    <n v="0"/>
    <n v="7598.57"/>
    <x v="5"/>
    <n v="11"/>
  </r>
  <r>
    <n v="41859"/>
    <n v="3203700"/>
    <x v="50"/>
    <n v="0.505"/>
    <n v="2414935.61"/>
    <n v="0"/>
    <n v="2414935.61"/>
    <n v="29407.15"/>
    <n v="57243.21"/>
    <n v="0.68500000000000005"/>
    <n v="50758.12"/>
    <n v="0"/>
    <n v="12540.12"/>
    <x v="5"/>
    <n v="11"/>
  </r>
  <r>
    <n v="41860"/>
    <n v="3203809"/>
    <x v="51"/>
    <n v="0.32"/>
    <n v="1530256.2"/>
    <n v="0"/>
    <n v="1530256.2"/>
    <n v="18634.23"/>
    <n v="59827.56"/>
    <n v="0.55300000000000005"/>
    <n v="32163.56"/>
    <n v="0"/>
    <n v="7946.22"/>
    <x v="5"/>
    <n v="11"/>
  </r>
  <r>
    <n v="41861"/>
    <n v="3203908"/>
    <x v="52"/>
    <n v="1.2250000000000001"/>
    <n v="5858012.0700000003"/>
    <n v="0"/>
    <n v="5858012.0700000003"/>
    <n v="71334.17"/>
    <n v="230947.81"/>
    <n v="1.4710000000000001"/>
    <n v="123126.11"/>
    <n v="0"/>
    <n v="30419.11"/>
    <x v="5"/>
    <n v="11"/>
  </r>
  <r>
    <n v="41862"/>
    <n v="3204005"/>
    <x v="53"/>
    <n v="0.435"/>
    <n v="2080192.03"/>
    <n v="0"/>
    <n v="2080192.03"/>
    <n v="25330.91"/>
    <n v="66504.53"/>
    <n v="0.69099999999999995"/>
    <n v="43722.34"/>
    <n v="0"/>
    <n v="10801.89"/>
    <x v="5"/>
    <n v="11"/>
  </r>
  <r>
    <n v="41863"/>
    <n v="3204054"/>
    <x v="54"/>
    <n v="0.33400000000000002"/>
    <n v="1597204.95"/>
    <n v="0"/>
    <n v="1597204.95"/>
    <n v="19449.48"/>
    <n v="92599.23"/>
    <n v="0.78400000000000003"/>
    <n v="33570.71"/>
    <n v="0"/>
    <n v="8293.86"/>
    <x v="5"/>
    <n v="11"/>
  </r>
  <r>
    <n v="41864"/>
    <n v="3204104"/>
    <x v="55"/>
    <n v="0.755"/>
    <n v="3610448.29"/>
    <n v="0"/>
    <n v="3610448.29"/>
    <n v="43965.14"/>
    <n v="94998.56"/>
    <n v="0.83499999999999996"/>
    <n v="75885.899999999994"/>
    <n v="0"/>
    <n v="18748.11"/>
    <x v="5"/>
    <n v="11"/>
  </r>
  <r>
    <n v="41865"/>
    <n v="3204203"/>
    <x v="56"/>
    <n v="0.36499999999999999"/>
    <n v="1745448.5"/>
    <n v="0"/>
    <n v="1745448.5"/>
    <n v="21254.67"/>
    <n v="100309.53"/>
    <n v="0.745"/>
    <n v="36686.559999999998"/>
    <n v="0"/>
    <n v="9063.65"/>
    <x v="5"/>
    <n v="11"/>
  </r>
  <r>
    <n v="41866"/>
    <n v="3204252"/>
    <x v="57"/>
    <n v="0.27"/>
    <n v="1291153.69"/>
    <n v="0"/>
    <n v="1291153.69"/>
    <n v="15722.63"/>
    <n v="22900.82"/>
    <n v="0.31"/>
    <n v="27137.99"/>
    <n v="0"/>
    <n v="6704.62"/>
    <x v="5"/>
    <n v="11"/>
  </r>
  <r>
    <n v="41867"/>
    <n v="1718402"/>
    <x v="58"/>
    <n v="0.39100000000000001"/>
    <n v="1869781.81"/>
    <n v="0"/>
    <n v="1869781.81"/>
    <n v="22768.7"/>
    <n v="114429.91"/>
    <n v="0.55900000000000005"/>
    <n v="39299.85"/>
    <n v="0"/>
    <n v="9709.2800000000007"/>
    <x v="5"/>
    <n v="11"/>
  </r>
  <r>
    <n v="41868"/>
    <n v="3204351"/>
    <x v="59"/>
    <n v="0.88200000000000001"/>
    <n v="4217768.71"/>
    <n v="0"/>
    <n v="4217768.71"/>
    <n v="51360.6"/>
    <n v="99456.75"/>
    <n v="0.70299999999999996"/>
    <n v="88650.79"/>
    <n v="0"/>
    <n v="21901.759999999998"/>
    <x v="5"/>
    <n v="11"/>
  </r>
  <r>
    <n v="41869"/>
    <n v="3204401"/>
    <x v="60"/>
    <n v="0.312"/>
    <n v="1491999.84"/>
    <n v="0"/>
    <n v="1491999.84"/>
    <n v="18168.38"/>
    <n v="44061.1"/>
    <n v="0.44400000000000001"/>
    <n v="31359.46"/>
    <n v="0"/>
    <n v="7747.56"/>
    <x v="5"/>
    <n v="11"/>
  </r>
  <r>
    <n v="41870"/>
    <n v="3204500"/>
    <x v="61"/>
    <n v="0.51800000000000002"/>
    <n v="2477102.25"/>
    <n v="0"/>
    <n v="2477102.25"/>
    <n v="30164.16"/>
    <n v="25297.02"/>
    <n v="0.54800000000000004"/>
    <n v="52064.76"/>
    <n v="0"/>
    <n v="12862.94"/>
    <x v="5"/>
    <n v="11"/>
  </r>
  <r>
    <n v="41871"/>
    <n v="3204559"/>
    <x v="62"/>
    <n v="2.1909999999999998"/>
    <n v="10477473.050000001"/>
    <n v="0"/>
    <n v="10477473.050000001"/>
    <n v="127586.26"/>
    <n v="455645.67"/>
    <n v="1.31"/>
    <n v="220219.85"/>
    <n v="0"/>
    <n v="54406.76"/>
    <x v="5"/>
    <n v="11"/>
  </r>
  <r>
    <n v="41872"/>
    <n v="3204609"/>
    <x v="63"/>
    <n v="0.66"/>
    <n v="3156153.43"/>
    <n v="0"/>
    <n v="3156153.43"/>
    <n v="38433.1"/>
    <n v="105433.17"/>
    <n v="0.82199999999999995"/>
    <n v="66337.33"/>
    <n v="0"/>
    <n v="16389.07"/>
    <x v="5"/>
    <n v="11"/>
  </r>
  <r>
    <n v="41873"/>
    <n v="3204658"/>
    <x v="64"/>
    <n v="0.42099999999999999"/>
    <n v="2013243.34"/>
    <n v="0"/>
    <n v="2013243.34"/>
    <n v="24515.66"/>
    <n v="38215.18"/>
    <n v="0.33800000000000002"/>
    <n v="42315.18"/>
    <n v="0"/>
    <n v="10454.24"/>
    <x v="5"/>
    <n v="11"/>
  </r>
  <r>
    <n v="41874"/>
    <n v="3204708"/>
    <x v="65"/>
    <n v="0.72299999999999998"/>
    <n v="3457422.66"/>
    <n v="0"/>
    <n v="3457422.66"/>
    <n v="42101.72"/>
    <n v="157427.21"/>
    <n v="1.0840000000000001"/>
    <n v="72669.539999999994"/>
    <n v="0"/>
    <n v="17953.490000000002"/>
    <x v="5"/>
    <n v="11"/>
  </r>
  <r>
    <n v="41875"/>
    <n v="3204807"/>
    <x v="66"/>
    <n v="0.28599999999999998"/>
    <n v="1367666.5"/>
    <n v="0"/>
    <n v="1367666.5"/>
    <n v="16654.34"/>
    <n v="43537.99"/>
    <n v="0.443"/>
    <n v="28746.18"/>
    <n v="0"/>
    <n v="7101.93"/>
    <x v="5"/>
    <n v="11"/>
  </r>
  <r>
    <n v="41876"/>
    <n v="3204906"/>
    <x v="67"/>
    <n v="1.998"/>
    <n v="9554537.2799999993"/>
    <n v="0"/>
    <n v="9554537.2799999993"/>
    <n v="116347.49"/>
    <n v="533540.85"/>
    <n v="2.9940000000000002"/>
    <n v="200821.2"/>
    <n v="0"/>
    <n v="49614.2"/>
    <x v="5"/>
    <n v="11"/>
  </r>
  <r>
    <n v="41877"/>
    <n v="3204955"/>
    <x v="68"/>
    <n v="0.3"/>
    <n v="1434615.21"/>
    <n v="0"/>
    <n v="1434615.21"/>
    <n v="17469.59"/>
    <n v="35385.58"/>
    <n v="0.441"/>
    <n v="30153.34"/>
    <n v="0"/>
    <n v="7449.58"/>
    <x v="5"/>
    <n v="11"/>
  </r>
  <r>
    <n v="41878"/>
    <n v="3205002"/>
    <x v="69"/>
    <n v="14.551"/>
    <n v="69583619.579999998"/>
    <n v="0"/>
    <n v="69583619.579999998"/>
    <n v="847333.48"/>
    <n v="2023982.14"/>
    <n v="8.8559999999999999"/>
    <n v="1462537.18"/>
    <n v="0"/>
    <n v="361329.41"/>
    <x v="5"/>
    <n v="11"/>
  </r>
  <r>
    <n v="41879"/>
    <n v="3205010"/>
    <x v="70"/>
    <n v="0.78200000000000003"/>
    <n v="3739563.65"/>
    <n v="0"/>
    <n v="3739563.65"/>
    <n v="45537.4"/>
    <n v="96038.82"/>
    <n v="0.93799999999999994"/>
    <n v="78599.69"/>
    <n v="0"/>
    <n v="19418.57"/>
    <x v="5"/>
    <n v="11"/>
  </r>
  <r>
    <n v="41880"/>
    <n v="3205036"/>
    <x v="71"/>
    <n v="0.45700000000000002"/>
    <n v="2185397.16"/>
    <n v="0"/>
    <n v="2185397.16"/>
    <n v="26612.01"/>
    <n v="78970.19"/>
    <n v="0.70399999999999996"/>
    <n v="45933.58"/>
    <n v="0"/>
    <n v="11348.19"/>
    <x v="5"/>
    <n v="11"/>
  </r>
  <r>
    <n v="41881"/>
    <n v="3205069"/>
    <x v="72"/>
    <n v="0.67"/>
    <n v="3203973.96"/>
    <n v="0"/>
    <n v="3203973.96"/>
    <n v="39015.42"/>
    <n v="99751.77"/>
    <n v="0.83899999999999997"/>
    <n v="67342.45"/>
    <n v="0"/>
    <n v="16637.39"/>
    <x v="5"/>
    <n v="11"/>
  </r>
  <r>
    <n v="41882"/>
    <n v="2112803"/>
    <x v="73"/>
    <n v="3.3740000000000001"/>
    <n v="16134639.01"/>
    <n v="0"/>
    <n v="16134639.01"/>
    <n v="196474.69"/>
    <n v="213198.64"/>
    <n v="1.944"/>
    <n v="339124.49"/>
    <n v="0"/>
    <n v="83782.929999999993"/>
    <x v="5"/>
    <n v="11"/>
  </r>
  <r>
    <n v="41883"/>
    <n v="3205150"/>
    <x v="74"/>
    <n v="0.36799999999999999"/>
    <n v="1759794.64"/>
    <n v="0"/>
    <n v="1759794.64"/>
    <n v="21429.37"/>
    <n v="32538.14"/>
    <n v="0.34100000000000003"/>
    <n v="36988.089999999997"/>
    <n v="0"/>
    <n v="9138.15"/>
    <x v="5"/>
    <n v="11"/>
  </r>
  <r>
    <n v="41884"/>
    <n v="3205176"/>
    <x v="75"/>
    <n v="0.7"/>
    <n v="3347435.49"/>
    <n v="0"/>
    <n v="3347435.49"/>
    <n v="40762.379999999997"/>
    <n v="82683.850000000006"/>
    <n v="0.55400000000000005"/>
    <n v="70357.77"/>
    <n v="0"/>
    <n v="17382.349999999999"/>
    <x v="5"/>
    <n v="11"/>
  </r>
  <r>
    <n v="41885"/>
    <n v="3205200"/>
    <x v="76"/>
    <n v="6.6219999999999999"/>
    <n v="31666739.649999999"/>
    <n v="0"/>
    <n v="31666739.649999999"/>
    <n v="385612.14"/>
    <n v="2158980.06"/>
    <n v="8.01"/>
    <n v="665584.59"/>
    <n v="0"/>
    <n v="164437.04"/>
    <x v="5"/>
    <n v="11"/>
  </r>
  <r>
    <n v="41886"/>
    <n v="3205309"/>
    <x v="77"/>
    <n v="10.878"/>
    <n v="52019147.420000002"/>
    <n v="0"/>
    <n v="52019147.420000002"/>
    <n v="633447.43999999994"/>
    <n v="1952300.86"/>
    <n v="9.1780000000000008"/>
    <n v="1093359.8500000001"/>
    <n v="0"/>
    <n v="270121.75"/>
    <x v="5"/>
    <n v="11"/>
  </r>
  <r>
    <n v="41887"/>
    <n v="3200102"/>
    <x v="0"/>
    <n v="0.67100000000000004"/>
    <n v="3642247.93"/>
    <n v="0"/>
    <n v="3642247.93"/>
    <n v="47330.04"/>
    <n v="116306.75"/>
    <n v="1.004"/>
    <n v="64163.68"/>
    <n v="0"/>
    <n v="100893.23"/>
    <x v="5"/>
    <n v="12"/>
  </r>
  <r>
    <n v="41888"/>
    <n v="3200169"/>
    <x v="1"/>
    <n v="0.309"/>
    <n v="1677279.61"/>
    <n v="0"/>
    <n v="1677279.61"/>
    <n v="21795.8"/>
    <n v="39404.82"/>
    <n v="0.45700000000000002"/>
    <n v="29547.8"/>
    <n v="0"/>
    <n v="46462.01"/>
    <x v="5"/>
    <n v="12"/>
  </r>
  <r>
    <n v="41889"/>
    <n v="3200136"/>
    <x v="2"/>
    <n v="0.51900000000000002"/>
    <n v="2817178.35"/>
    <n v="0"/>
    <n v="2817178.35"/>
    <n v="36608.480000000003"/>
    <n v="39715.14"/>
    <n v="0.35099999999999998"/>
    <n v="49628.84"/>
    <n v="0"/>
    <n v="78038.14"/>
    <x v="5"/>
    <n v="12"/>
  </r>
  <r>
    <n v="41890"/>
    <n v="3200201"/>
    <x v="3"/>
    <n v="0.41799999999999998"/>
    <n v="2268941.31"/>
    <n v="0"/>
    <n v="2268941.31"/>
    <n v="29484.28"/>
    <n v="78704.87"/>
    <n v="0.98299999999999998"/>
    <n v="39970.82"/>
    <n v="0"/>
    <n v="62851.53"/>
    <x v="5"/>
    <n v="12"/>
  </r>
  <r>
    <n v="41891"/>
    <n v="3200300"/>
    <x v="4"/>
    <n v="0.442"/>
    <n v="2399215.4700000002"/>
    <n v="0"/>
    <n v="2399215.4700000002"/>
    <n v="31177.16"/>
    <n v="59595.64"/>
    <n v="0.55500000000000005"/>
    <n v="42265.79"/>
    <n v="0"/>
    <n v="66460.23"/>
    <x v="5"/>
    <n v="12"/>
  </r>
  <r>
    <n v="41892"/>
    <n v="3200359"/>
    <x v="5"/>
    <n v="0.25800000000000001"/>
    <n v="1400447.04"/>
    <n v="0"/>
    <n v="1400447.04"/>
    <n v="18198.43"/>
    <n v="16572.849999999999"/>
    <n v="0.32300000000000001"/>
    <n v="24670.99"/>
    <n v="0"/>
    <n v="38793.53"/>
    <x v="5"/>
    <n v="12"/>
  </r>
  <r>
    <n v="41893"/>
    <n v="3200409"/>
    <x v="6"/>
    <n v="3.4780000000000002"/>
    <n v="18878894.579999998"/>
    <n v="0"/>
    <n v="18878894.579999998"/>
    <n v="245326.18"/>
    <n v="128691.27"/>
    <n v="1.0049999999999999"/>
    <n v="332580.15000000002"/>
    <n v="0"/>
    <n v="522960.77"/>
    <x v="5"/>
    <n v="12"/>
  </r>
  <r>
    <n v="41894"/>
    <n v="3200508"/>
    <x v="7"/>
    <n v="0.23799999999999999"/>
    <n v="1291885.26"/>
    <n v="0"/>
    <n v="1291885.26"/>
    <n v="16787.7"/>
    <n v="58595.38"/>
    <n v="0.31900000000000001"/>
    <n v="22758.5"/>
    <n v="0"/>
    <n v="35786.269999999997"/>
    <x v="5"/>
    <n v="12"/>
  </r>
  <r>
    <n v="41895"/>
    <n v="3200607"/>
    <x v="8"/>
    <n v="4.4800000000000004"/>
    <n v="24317840.09"/>
    <n v="0"/>
    <n v="24317840.09"/>
    <n v="316003.81"/>
    <n v="487786.6"/>
    <n v="2.4649999999999999"/>
    <n v="428395.37"/>
    <n v="0"/>
    <n v="673623.99"/>
    <x v="5"/>
    <n v="12"/>
  </r>
  <r>
    <n v="41896"/>
    <n v="3200706"/>
    <x v="9"/>
    <n v="0.39500000000000002"/>
    <n v="2144095.2599999998"/>
    <n v="0"/>
    <n v="2144095.2599999998"/>
    <n v="27861.94"/>
    <n v="49159.69"/>
    <n v="0.438"/>
    <n v="37771.47"/>
    <n v="0"/>
    <n v="59393.18"/>
    <x v="5"/>
    <n v="12"/>
  </r>
  <r>
    <n v="41897"/>
    <n v="3200805"/>
    <x v="10"/>
    <n v="0.54"/>
    <n v="2931168.21"/>
    <n v="0"/>
    <n v="2931168.21"/>
    <n v="38089.75"/>
    <n v="148412.79"/>
    <n v="1.0069999999999999"/>
    <n v="51636.93"/>
    <n v="0"/>
    <n v="81195.75"/>
    <x v="5"/>
    <n v="12"/>
  </r>
  <r>
    <n v="41898"/>
    <n v="3200904"/>
    <x v="11"/>
    <n v="0.81299999999999994"/>
    <n v="4413036.59"/>
    <n v="0"/>
    <n v="4413036.59"/>
    <n v="57346.23"/>
    <n v="199907.11"/>
    <n v="1.3120000000000001"/>
    <n v="77742.289999999994"/>
    <n v="0"/>
    <n v="122244.71"/>
    <x v="5"/>
    <n v="12"/>
  </r>
  <r>
    <n v="41899"/>
    <n v="3107109"/>
    <x v="12"/>
    <n v="0.48699999999999999"/>
    <n v="2643479.4900000002"/>
    <n v="0"/>
    <n v="2643479.4900000002"/>
    <n v="34351.31"/>
    <n v="57647.13"/>
    <n v="0.55200000000000005"/>
    <n v="46568.86"/>
    <n v="0"/>
    <n v="73226.539999999994"/>
    <x v="5"/>
    <n v="12"/>
  </r>
  <r>
    <n v="41900"/>
    <n v="3201100"/>
    <x v="13"/>
    <n v="0.247"/>
    <n v="1340738.03"/>
    <n v="0"/>
    <n v="1340738.03"/>
    <n v="17422.53"/>
    <n v="156288.79"/>
    <n v="0.435"/>
    <n v="23619.119999999999"/>
    <n v="0"/>
    <n v="37139.53"/>
    <x v="5"/>
    <n v="12"/>
  </r>
  <r>
    <n v="41901"/>
    <n v="3201159"/>
    <x v="14"/>
    <n v="0.40699999999999997"/>
    <n v="2209232.36"/>
    <n v="0"/>
    <n v="2209232.36"/>
    <n v="28708.38"/>
    <n v="38160.93"/>
    <n v="0.54600000000000004"/>
    <n v="38918.959999999999"/>
    <n v="0"/>
    <n v="61197.54"/>
    <x v="5"/>
    <n v="12"/>
  </r>
  <r>
    <n v="41902"/>
    <n v="3201209"/>
    <x v="15"/>
    <n v="2.5920000000000001"/>
    <n v="14069607.48"/>
    <n v="0"/>
    <n v="14069607.48"/>
    <n v="182830.78"/>
    <n v="1306158.05"/>
    <n v="4.298"/>
    <n v="247857.31"/>
    <n v="0"/>
    <n v="389739.6"/>
    <x v="5"/>
    <n v="12"/>
  </r>
  <r>
    <n v="41903"/>
    <n v="3201308"/>
    <x v="16"/>
    <n v="8.3239999999999998"/>
    <n v="45183415.350000001"/>
    <n v="0"/>
    <n v="45183415.350000001"/>
    <n v="587146.37"/>
    <n v="1176552.3"/>
    <n v="6.4569999999999999"/>
    <n v="795973.89"/>
    <n v="0"/>
    <n v="1251617.43"/>
    <x v="5"/>
    <n v="12"/>
  </r>
  <r>
    <n v="41904"/>
    <n v="3201407"/>
    <x v="17"/>
    <n v="0.80700000000000005"/>
    <n v="4380468.0599999996"/>
    <n v="0"/>
    <n v="4380468.0599999996"/>
    <n v="56923.01"/>
    <n v="344783.35999999999"/>
    <n v="1.1639999999999999"/>
    <n v="77168.539999999994"/>
    <n v="0"/>
    <n v="121342.54"/>
    <x v="5"/>
    <n v="12"/>
  </r>
  <r>
    <n v="41905"/>
    <n v="3201506"/>
    <x v="18"/>
    <n v="2.0139999999999998"/>
    <n v="10932171.880000001"/>
    <n v="0"/>
    <n v="10932171.880000001"/>
    <n v="142060.64000000001"/>
    <n v="519275.87"/>
    <n v="2.86"/>
    <n v="192586.67"/>
    <n v="0"/>
    <n v="302830.07"/>
    <x v="5"/>
    <n v="12"/>
  </r>
  <r>
    <n v="41906"/>
    <n v="3201605"/>
    <x v="19"/>
    <n v="0.60099999999999998"/>
    <n v="3262281.68"/>
    <n v="0"/>
    <n v="3262281.68"/>
    <n v="42392.480000000003"/>
    <n v="62557.19"/>
    <n v="0.94399999999999995"/>
    <n v="57470"/>
    <n v="0"/>
    <n v="90367.86"/>
    <x v="5"/>
    <n v="12"/>
  </r>
  <r>
    <n v="41907"/>
    <n v="3201704"/>
    <x v="20"/>
    <n v="0.371"/>
    <n v="2013821.13"/>
    <n v="0"/>
    <n v="2013821.13"/>
    <n v="26169.07"/>
    <n v="36820.79"/>
    <n v="0.45600000000000002"/>
    <n v="35476.49"/>
    <n v="0"/>
    <n v="55784.49"/>
    <x v="5"/>
    <n v="12"/>
  </r>
  <r>
    <n v="41908"/>
    <n v="3201803"/>
    <x v="21"/>
    <n v="0.187"/>
    <n v="1015052.68"/>
    <n v="0"/>
    <n v="1015052.68"/>
    <n v="13190.34"/>
    <n v="18226.5"/>
    <n v="0.29299999999999998"/>
    <n v="17881.68"/>
    <n v="0"/>
    <n v="28117.79"/>
    <x v="5"/>
    <n v="12"/>
  </r>
  <r>
    <n v="41909"/>
    <n v="3201902"/>
    <x v="22"/>
    <n v="1.0620000000000001"/>
    <n v="5764630.8600000003"/>
    <n v="0"/>
    <n v="5764630.8600000003"/>
    <n v="74909.83"/>
    <n v="143603.63"/>
    <n v="1.147"/>
    <n v="101552.65"/>
    <n v="0"/>
    <n v="159684.98000000001"/>
    <x v="5"/>
    <n v="12"/>
  </r>
  <r>
    <n v="41910"/>
    <n v="3202009"/>
    <x v="23"/>
    <n v="0.34899999999999998"/>
    <n v="1894403.19"/>
    <n v="0"/>
    <n v="1894403.19"/>
    <n v="24617.26"/>
    <n v="42954.3"/>
    <n v="0.312"/>
    <n v="33372.769999999997"/>
    <n v="0"/>
    <n v="52476.51"/>
    <x v="5"/>
    <n v="12"/>
  </r>
  <r>
    <n v="41911"/>
    <n v="3202108"/>
    <x v="24"/>
    <n v="0.57099999999999995"/>
    <n v="3099438.99"/>
    <n v="0"/>
    <n v="3099438.99"/>
    <n v="40276.379999999997"/>
    <n v="68797.960000000006"/>
    <n v="0.79200000000000004"/>
    <n v="54601.279999999999"/>
    <n v="0"/>
    <n v="85856.99"/>
    <x v="5"/>
    <n v="12"/>
  </r>
  <r>
    <n v="41912"/>
    <n v="3202207"/>
    <x v="25"/>
    <n v="0.36799999999999999"/>
    <n v="1997536.87"/>
    <n v="0"/>
    <n v="1997536.87"/>
    <n v="25957.46"/>
    <n v="64753.919999999998"/>
    <n v="0.68600000000000005"/>
    <n v="35189.61"/>
    <n v="0"/>
    <n v="55333.4"/>
    <x v="5"/>
    <n v="12"/>
  </r>
  <r>
    <n v="41913"/>
    <n v="3202256"/>
    <x v="26"/>
    <n v="0.53100000000000003"/>
    <n v="2882315.43"/>
    <n v="0"/>
    <n v="2882315.43"/>
    <n v="37454.92"/>
    <n v="52033.86"/>
    <n v="0.44400000000000001"/>
    <n v="50776.33"/>
    <n v="0"/>
    <n v="79842.490000000005"/>
    <x v="5"/>
    <n v="12"/>
  </r>
  <r>
    <n v="41914"/>
    <n v="3202306"/>
    <x v="27"/>
    <n v="0.36699999999999999"/>
    <n v="1992108.77"/>
    <n v="0"/>
    <n v="1992108.77"/>
    <n v="25886.92"/>
    <n v="152899.09"/>
    <n v="0.99"/>
    <n v="35094"/>
    <n v="0"/>
    <n v="55183.040000000001"/>
    <x v="5"/>
    <n v="12"/>
  </r>
  <r>
    <n v="41915"/>
    <n v="3202405"/>
    <x v="28"/>
    <n v="0.79"/>
    <n v="4288190.54"/>
    <n v="0"/>
    <n v="4288190.54"/>
    <n v="55723.89"/>
    <n v="892447.95"/>
    <n v="3.0129999999999999"/>
    <n v="75542.929999999993"/>
    <n v="0"/>
    <n v="118786.38"/>
    <x v="5"/>
    <n v="12"/>
  </r>
  <r>
    <n v="41916"/>
    <n v="3202454"/>
    <x v="29"/>
    <n v="0.33900000000000002"/>
    <n v="1840122.27"/>
    <n v="0"/>
    <n v="1840122.27"/>
    <n v="23911.9"/>
    <n v="91627.96"/>
    <n v="0.86499999999999999"/>
    <n v="32416.53"/>
    <n v="0"/>
    <n v="50972.89"/>
    <x v="5"/>
    <n v="12"/>
  </r>
  <r>
    <n v="41917"/>
    <n v="3202504"/>
    <x v="30"/>
    <n v="0.307"/>
    <n v="1666423.41"/>
    <n v="0"/>
    <n v="1666423.41"/>
    <n v="21654.73"/>
    <n v="46014.559999999998"/>
    <n v="0.45400000000000001"/>
    <n v="29356.560000000001"/>
    <n v="0"/>
    <n v="46161.29"/>
    <x v="5"/>
    <n v="12"/>
  </r>
  <r>
    <n v="41918"/>
    <n v="3202553"/>
    <x v="31"/>
    <n v="0.28399999999999997"/>
    <n v="1541577.36"/>
    <n v="0"/>
    <n v="1541577.36"/>
    <n v="20032.38"/>
    <n v="33301.919999999998"/>
    <n v="0.35"/>
    <n v="27157.200000000001"/>
    <n v="0"/>
    <n v="42702.95"/>
    <x v="5"/>
    <n v="12"/>
  </r>
  <r>
    <n v="41919"/>
    <n v="3202603"/>
    <x v="32"/>
    <n v="0.314"/>
    <n v="1704420.05"/>
    <n v="0"/>
    <n v="1704420.05"/>
    <n v="22148.48"/>
    <n v="42720.23"/>
    <n v="0.52"/>
    <n v="30025.93"/>
    <n v="0"/>
    <n v="47213.82"/>
    <x v="5"/>
    <n v="12"/>
  </r>
  <r>
    <n v="41920"/>
    <n v="3202652"/>
    <x v="33"/>
    <n v="0.316"/>
    <n v="1715276.21"/>
    <n v="0"/>
    <n v="1715276.21"/>
    <n v="22289.56"/>
    <n v="75737.210000000006"/>
    <n v="0.55700000000000005"/>
    <n v="30217.17"/>
    <n v="0"/>
    <n v="47514.55"/>
    <x v="5"/>
    <n v="12"/>
  </r>
  <r>
    <n v="41921"/>
    <n v="3202702"/>
    <x v="34"/>
    <n v="0.40400000000000003"/>
    <n v="2192948.0699999998"/>
    <n v="0"/>
    <n v="2192948.0699999998"/>
    <n v="28496.77"/>
    <n v="43565.919999999998"/>
    <n v="0.55200000000000005"/>
    <n v="38632.080000000002"/>
    <n v="0"/>
    <n v="60746.45"/>
    <x v="5"/>
    <n v="12"/>
  </r>
  <r>
    <n v="41922"/>
    <n v="3202801"/>
    <x v="35"/>
    <n v="3.4060000000000001"/>
    <n v="18488072.16"/>
    <n v="0"/>
    <n v="18488072.16"/>
    <n v="240247.54"/>
    <n v="201878.49"/>
    <n v="1.2130000000000001"/>
    <n v="325695.23"/>
    <n v="0"/>
    <n v="512134.67"/>
    <x v="5"/>
    <n v="12"/>
  </r>
  <r>
    <n v="41923"/>
    <n v="3202900"/>
    <x v="36"/>
    <n v="0.39200000000000002"/>
    <n v="2127811.0099999998"/>
    <n v="0"/>
    <n v="2127811.0099999998"/>
    <n v="27650.33"/>
    <n v="41423.24"/>
    <n v="0.438"/>
    <n v="37484.589999999997"/>
    <n v="0"/>
    <n v="58942.1"/>
    <x v="5"/>
    <n v="12"/>
  </r>
  <r>
    <n v="41924"/>
    <n v="3203007"/>
    <x v="37"/>
    <n v="0.5"/>
    <n v="2714044.64"/>
    <n v="0"/>
    <n v="2714044.64"/>
    <n v="35268.28"/>
    <n v="103659.92"/>
    <n v="0.90300000000000002"/>
    <n v="47811.99"/>
    <n v="0"/>
    <n v="75181.25"/>
    <x v="5"/>
    <n v="12"/>
  </r>
  <r>
    <n v="41925"/>
    <n v="3203056"/>
    <x v="38"/>
    <n v="1.109"/>
    <n v="6019751.0499999998"/>
    <n v="0"/>
    <n v="6019751.0499999998"/>
    <n v="78225.05"/>
    <n v="144450.28"/>
    <n v="0.98899999999999999"/>
    <n v="106046.98"/>
    <n v="0"/>
    <n v="166752.01"/>
    <x v="5"/>
    <n v="12"/>
  </r>
  <r>
    <n v="41926"/>
    <n v="3203106"/>
    <x v="39"/>
    <n v="0.216"/>
    <n v="1172467.28"/>
    <n v="0"/>
    <n v="1172467.28"/>
    <n v="15235.9"/>
    <n v="38789.46"/>
    <n v="0.45100000000000001"/>
    <n v="20654.78"/>
    <n v="0"/>
    <n v="32478.3"/>
    <x v="5"/>
    <n v="12"/>
  </r>
  <r>
    <n v="41927"/>
    <n v="3203130"/>
    <x v="40"/>
    <n v="0.376"/>
    <n v="2040961.57"/>
    <n v="0"/>
    <n v="2040961.57"/>
    <n v="26521.75"/>
    <n v="65082.01"/>
    <n v="0.61499999999999999"/>
    <n v="35954.61"/>
    <n v="0"/>
    <n v="56536.3"/>
    <x v="5"/>
    <n v="12"/>
  </r>
  <r>
    <n v="41928"/>
    <n v="3203163"/>
    <x v="41"/>
    <n v="0.42799999999999999"/>
    <n v="2323222.2400000002"/>
    <n v="0"/>
    <n v="2323222.2400000002"/>
    <n v="30189.65"/>
    <n v="29106.1"/>
    <n v="0.44500000000000001"/>
    <n v="40927.050000000003"/>
    <n v="0"/>
    <n v="64355.15"/>
    <x v="5"/>
    <n v="12"/>
  </r>
  <r>
    <n v="41929"/>
    <n v="3203205"/>
    <x v="42"/>
    <n v="4.431"/>
    <n v="24051863.699999999"/>
    <n v="0"/>
    <n v="24051863.699999999"/>
    <n v="312547.52"/>
    <n v="898633.63"/>
    <n v="4.0979999999999999"/>
    <n v="423709.79"/>
    <n v="0"/>
    <n v="666256.22"/>
    <x v="5"/>
    <n v="12"/>
  </r>
  <r>
    <n v="41930"/>
    <n v="3203304"/>
    <x v="43"/>
    <n v="0.314"/>
    <n v="1704420.05"/>
    <n v="0"/>
    <n v="1704420.05"/>
    <n v="22148.48"/>
    <n v="59353.17"/>
    <n v="0.52400000000000002"/>
    <n v="30025.93"/>
    <n v="0"/>
    <n v="47213.82"/>
    <x v="5"/>
    <n v="12"/>
  </r>
  <r>
    <n v="41931"/>
    <n v="3203320"/>
    <x v="44"/>
    <n v="0.58499999999999996"/>
    <n v="3175432.24"/>
    <n v="0"/>
    <n v="3175432.24"/>
    <n v="41263.89"/>
    <n v="285057.15999999997"/>
    <n v="1.3140000000000001"/>
    <n v="55940.02"/>
    <n v="0"/>
    <n v="87962.06"/>
    <x v="5"/>
    <n v="12"/>
  </r>
  <r>
    <n v="41932"/>
    <n v="3203346"/>
    <x v="45"/>
    <n v="0.55500000000000005"/>
    <n v="3012589.59"/>
    <n v="0"/>
    <n v="3012589.59"/>
    <n v="39147.79"/>
    <n v="46522.09"/>
    <n v="0.68500000000000005"/>
    <n v="53071.3"/>
    <n v="0"/>
    <n v="83451.179999999993"/>
    <x v="5"/>
    <n v="12"/>
  </r>
  <r>
    <n v="41933"/>
    <n v="3203353"/>
    <x v="46"/>
    <n v="0.505"/>
    <n v="2741185.11"/>
    <n v="0"/>
    <n v="2741185.11"/>
    <n v="35620.97"/>
    <n v="56720.99"/>
    <n v="0.46300000000000002"/>
    <n v="48290.1"/>
    <n v="0"/>
    <n v="75933.06"/>
    <x v="5"/>
    <n v="12"/>
  </r>
  <r>
    <n v="41934"/>
    <n v="3203403"/>
    <x v="47"/>
    <n v="0.46899999999999997"/>
    <n v="2545773.89"/>
    <n v="0"/>
    <n v="2545773.89"/>
    <n v="33081.65"/>
    <n v="110671.42"/>
    <n v="0.83899999999999997"/>
    <n v="44847.65"/>
    <n v="0"/>
    <n v="70520.009999999995"/>
    <x v="5"/>
    <n v="12"/>
  </r>
  <r>
    <n v="41935"/>
    <n v="3203502"/>
    <x v="48"/>
    <n v="0.51500000000000001"/>
    <n v="2795465.97"/>
    <n v="0"/>
    <n v="2795465.97"/>
    <n v="36326.33"/>
    <n v="95095.54"/>
    <n v="0.69699999999999995"/>
    <n v="49246.34"/>
    <n v="0"/>
    <n v="77436.679999999993"/>
    <x v="5"/>
    <n v="12"/>
  </r>
  <r>
    <n v="41936"/>
    <n v="3203601"/>
    <x v="49"/>
    <n v="0.30599999999999999"/>
    <n v="1660995.32"/>
    <n v="0"/>
    <n v="1660995.32"/>
    <n v="21584.19"/>
    <n v="16997.73"/>
    <n v="0.29699999999999999"/>
    <n v="29260.93"/>
    <n v="0"/>
    <n v="46010.92"/>
    <x v="5"/>
    <n v="12"/>
  </r>
  <r>
    <n v="41937"/>
    <n v="3203700"/>
    <x v="50"/>
    <n v="0.505"/>
    <n v="2741185.11"/>
    <n v="0"/>
    <n v="2741185.11"/>
    <n v="35620.97"/>
    <n v="61129.02"/>
    <n v="0.68500000000000005"/>
    <n v="48290.1"/>
    <n v="0"/>
    <n v="75933.06"/>
    <x v="5"/>
    <n v="12"/>
  </r>
  <r>
    <n v="41938"/>
    <n v="3203809"/>
    <x v="51"/>
    <n v="0.32"/>
    <n v="1736988.58"/>
    <n v="0"/>
    <n v="1736988.58"/>
    <n v="22571.7"/>
    <n v="46656.07"/>
    <n v="0.55300000000000005"/>
    <n v="30599.67"/>
    <n v="0"/>
    <n v="48116"/>
    <x v="5"/>
    <n v="12"/>
  </r>
  <r>
    <n v="41939"/>
    <n v="3203908"/>
    <x v="52"/>
    <n v="1.2250000000000001"/>
    <n v="6649409.3899999997"/>
    <n v="0"/>
    <n v="6649409.3899999997"/>
    <n v="86407.29"/>
    <n v="243105.54"/>
    <n v="1.4710000000000001"/>
    <n v="117139.35"/>
    <n v="0"/>
    <n v="184194.06"/>
    <x v="5"/>
    <n v="12"/>
  </r>
  <r>
    <n v="41940"/>
    <n v="3204005"/>
    <x v="53"/>
    <n v="0.435"/>
    <n v="2361218.84"/>
    <n v="0"/>
    <n v="2361218.84"/>
    <n v="30683.41"/>
    <n v="60031.85"/>
    <n v="0.69099999999999995"/>
    <n v="41596.42"/>
    <n v="0"/>
    <n v="65407.68"/>
    <x v="5"/>
    <n v="12"/>
  </r>
  <r>
    <n v="41941"/>
    <n v="3204054"/>
    <x v="54"/>
    <n v="0.33400000000000002"/>
    <n v="1812981.85"/>
    <n v="0"/>
    <n v="1812981.85"/>
    <n v="23559.21"/>
    <n v="112317.55"/>
    <n v="0.78400000000000003"/>
    <n v="31938.41"/>
    <n v="0"/>
    <n v="50221.08"/>
    <x v="5"/>
    <n v="12"/>
  </r>
  <r>
    <n v="41942"/>
    <n v="3204104"/>
    <x v="55"/>
    <n v="0.755"/>
    <n v="4098207.45"/>
    <n v="0"/>
    <n v="4098207.45"/>
    <n v="53255.11"/>
    <n v="88610.7"/>
    <n v="0.83499999999999996"/>
    <n v="72196.09"/>
    <n v="0"/>
    <n v="113523.69"/>
    <x v="5"/>
    <n v="12"/>
  </r>
  <r>
    <n v="41943"/>
    <n v="3204203"/>
    <x v="56"/>
    <n v="0.36499999999999999"/>
    <n v="1981252.6"/>
    <n v="0"/>
    <n v="1981252.6"/>
    <n v="25745.85"/>
    <n v="124010.23"/>
    <n v="0.745"/>
    <n v="34902.75"/>
    <n v="0"/>
    <n v="54882.32"/>
    <x v="5"/>
    <n v="12"/>
  </r>
  <r>
    <n v="41944"/>
    <n v="3204252"/>
    <x v="57"/>
    <n v="0.27"/>
    <n v="1465584.1"/>
    <n v="0"/>
    <n v="1465584.1"/>
    <n v="19044.87"/>
    <n v="15127.89"/>
    <n v="0.31"/>
    <n v="25818.47"/>
    <n v="0"/>
    <n v="40597.870000000003"/>
    <x v="5"/>
    <n v="12"/>
  </r>
  <r>
    <n v="41945"/>
    <n v="1718402"/>
    <x v="58"/>
    <n v="0.39100000000000001"/>
    <n v="2122382.9300000002"/>
    <n v="0"/>
    <n v="2122382.9300000002"/>
    <n v="27579.8"/>
    <n v="104925.7"/>
    <n v="0.55900000000000005"/>
    <n v="37388.97"/>
    <n v="0"/>
    <n v="58791.73"/>
    <x v="5"/>
    <n v="12"/>
  </r>
  <r>
    <n v="41946"/>
    <n v="3204351"/>
    <x v="59"/>
    <n v="0.88200000000000001"/>
    <n v="4787574.74"/>
    <n v="0"/>
    <n v="4787574.74"/>
    <n v="62213.25"/>
    <n v="74599.350000000006"/>
    <n v="0.70299999999999996"/>
    <n v="84340.34"/>
    <n v="0"/>
    <n v="132619.72"/>
    <x v="5"/>
    <n v="12"/>
  </r>
  <r>
    <n v="41947"/>
    <n v="3204401"/>
    <x v="60"/>
    <n v="0.312"/>
    <n v="1693563.86"/>
    <n v="0"/>
    <n v="1693563.86"/>
    <n v="22007.41"/>
    <n v="45703.92"/>
    <n v="0.44400000000000001"/>
    <n v="29834.68"/>
    <n v="0"/>
    <n v="46913.1"/>
    <x v="5"/>
    <n v="12"/>
  </r>
  <r>
    <n v="41948"/>
    <n v="3204500"/>
    <x v="61"/>
    <n v="0.51800000000000002"/>
    <n v="2811750.27"/>
    <n v="0"/>
    <n v="2811750.27"/>
    <n v="36537.94"/>
    <n v="25022.92"/>
    <n v="0.54800000000000004"/>
    <n v="49533.21"/>
    <n v="0"/>
    <n v="77887.77"/>
    <x v="5"/>
    <n v="12"/>
  </r>
  <r>
    <n v="41949"/>
    <n v="3204559"/>
    <x v="62"/>
    <n v="2.1909999999999998"/>
    <n v="11892943.640000001"/>
    <n v="0"/>
    <n v="11892943.640000001"/>
    <n v="154545.62"/>
    <n v="500364.34"/>
    <n v="1.31"/>
    <n v="209512.1"/>
    <n v="0"/>
    <n v="329444.23"/>
    <x v="5"/>
    <n v="12"/>
  </r>
  <r>
    <n v="41950"/>
    <n v="3204609"/>
    <x v="63"/>
    <n v="0.66"/>
    <n v="3582538.92"/>
    <n v="0"/>
    <n v="3582538.92"/>
    <n v="46554.13"/>
    <n v="122948.6"/>
    <n v="0.82199999999999995"/>
    <n v="63111.81"/>
    <n v="0"/>
    <n v="99239.25"/>
    <x v="5"/>
    <n v="12"/>
  </r>
  <r>
    <n v="41951"/>
    <n v="3204658"/>
    <x v="64"/>
    <n v="0.42099999999999999"/>
    <n v="2285225.59"/>
    <n v="0"/>
    <n v="2285225.59"/>
    <n v="29695.89"/>
    <n v="54204.639999999999"/>
    <n v="0.33800000000000002"/>
    <n v="40257.68"/>
    <n v="0"/>
    <n v="63302.61"/>
    <x v="5"/>
    <n v="12"/>
  </r>
  <r>
    <n v="41952"/>
    <n v="3204708"/>
    <x v="65"/>
    <n v="0.72299999999999998"/>
    <n v="3924508.55"/>
    <n v="0"/>
    <n v="3924508.55"/>
    <n v="50997.94"/>
    <n v="122080.58"/>
    <n v="1.0840000000000001"/>
    <n v="69136.13"/>
    <n v="0"/>
    <n v="108712.09"/>
    <x v="5"/>
    <n v="12"/>
  </r>
  <r>
    <n v="41953"/>
    <n v="3204807"/>
    <x v="66"/>
    <n v="0.28599999999999998"/>
    <n v="1552433.53"/>
    <n v="0"/>
    <n v="1552433.53"/>
    <n v="20173.46"/>
    <n v="37281.72"/>
    <n v="0.443"/>
    <n v="27348.46"/>
    <n v="0"/>
    <n v="43003.67"/>
    <x v="5"/>
    <n v="12"/>
  </r>
  <r>
    <n v="41954"/>
    <n v="3204906"/>
    <x v="67"/>
    <n v="1.998"/>
    <n v="10845322.439999999"/>
    <n v="0"/>
    <n v="10845322.439999999"/>
    <n v="140932.06"/>
    <n v="610101.49"/>
    <n v="2.9940000000000002"/>
    <n v="191056.68"/>
    <n v="0"/>
    <n v="300424.27"/>
    <x v="5"/>
    <n v="12"/>
  </r>
  <r>
    <n v="41955"/>
    <n v="3204955"/>
    <x v="68"/>
    <n v="0.3"/>
    <n v="1628426.79"/>
    <n v="0"/>
    <n v="1628426.79"/>
    <n v="21160.97"/>
    <n v="41818.49"/>
    <n v="0.441"/>
    <n v="28687.19"/>
    <n v="0"/>
    <n v="45108.75"/>
    <x v="5"/>
    <n v="12"/>
  </r>
  <r>
    <n v="41956"/>
    <n v="3205002"/>
    <x v="69"/>
    <n v="14.551"/>
    <n v="78984127.450000003"/>
    <n v="0"/>
    <n v="78984127.450000003"/>
    <n v="1026377.56"/>
    <n v="2346942.14"/>
    <n v="8.8559999999999999"/>
    <n v="1391424.33"/>
    <n v="0"/>
    <n v="2187924.7000000002"/>
    <x v="5"/>
    <n v="12"/>
  </r>
  <r>
    <n v="41957"/>
    <n v="3205010"/>
    <x v="70"/>
    <n v="0.78200000000000003"/>
    <n v="4244765.82"/>
    <n v="0"/>
    <n v="4244765.82"/>
    <n v="55159.59"/>
    <n v="110888.24"/>
    <n v="0.93799999999999994"/>
    <n v="74777.94"/>
    <n v="0"/>
    <n v="117583.47"/>
    <x v="5"/>
    <n v="12"/>
  </r>
  <r>
    <n v="41958"/>
    <n v="3205036"/>
    <x v="71"/>
    <n v="0.45700000000000002"/>
    <n v="2480636.7999999998"/>
    <n v="0"/>
    <n v="2480636.7999999998"/>
    <n v="32235.21"/>
    <n v="95698.8"/>
    <n v="0.70399999999999996"/>
    <n v="43700.15"/>
    <n v="0"/>
    <n v="68715.66"/>
    <x v="5"/>
    <n v="12"/>
  </r>
  <r>
    <n v="41959"/>
    <n v="3205069"/>
    <x v="72"/>
    <n v="0.67"/>
    <n v="3636819.84"/>
    <n v="0"/>
    <n v="3636819.84"/>
    <n v="47259.5"/>
    <n v="88900.11"/>
    <n v="0.83899999999999997"/>
    <n v="64068.06"/>
    <n v="0"/>
    <n v="100742.87"/>
    <x v="5"/>
    <n v="12"/>
  </r>
  <r>
    <n v="41960"/>
    <n v="2112803"/>
    <x v="73"/>
    <n v="3.3740000000000001"/>
    <n v="18314373.309999999"/>
    <n v="0"/>
    <n v="18314373.309999999"/>
    <n v="237990.37"/>
    <n v="218512.29"/>
    <n v="1.944"/>
    <n v="322635.26"/>
    <n v="0"/>
    <n v="507323.07"/>
    <x v="5"/>
    <n v="12"/>
  </r>
  <r>
    <n v="41961"/>
    <n v="3205150"/>
    <x v="74"/>
    <n v="0.36799999999999999"/>
    <n v="1997536.87"/>
    <n v="0"/>
    <n v="1997536.87"/>
    <n v="25957.46"/>
    <n v="26493.99"/>
    <n v="0.34100000000000003"/>
    <n v="35189.61"/>
    <n v="0"/>
    <n v="55333.4"/>
    <x v="5"/>
    <n v="12"/>
  </r>
  <r>
    <n v="41962"/>
    <n v="3205176"/>
    <x v="75"/>
    <n v="0.7"/>
    <n v="3799662.5"/>
    <n v="0"/>
    <n v="3799662.5"/>
    <n v="49375.6"/>
    <n v="67848.179999999993"/>
    <n v="0.55400000000000005"/>
    <n v="66936.78"/>
    <n v="0"/>
    <n v="105253.75"/>
    <x v="5"/>
    <n v="12"/>
  </r>
  <r>
    <n v="41963"/>
    <n v="3205200"/>
    <x v="76"/>
    <n v="6.6219999999999999"/>
    <n v="35944807.359999999"/>
    <n v="0"/>
    <n v="35944807.359999999"/>
    <n v="467093.14"/>
    <n v="2179992.87"/>
    <n v="8.01"/>
    <n v="633221.91"/>
    <n v="0"/>
    <n v="995700.46"/>
    <x v="5"/>
    <n v="12"/>
  </r>
  <r>
    <n v="41964"/>
    <n v="3205309"/>
    <x v="77"/>
    <n v="10.878"/>
    <n v="59046755.420000002"/>
    <n v="0"/>
    <n v="59046755.420000002"/>
    <n v="767296.76"/>
    <n v="2221243.12"/>
    <n v="9.1780000000000008"/>
    <n v="1040197.53"/>
    <n v="0"/>
    <n v="1635643.25"/>
    <x v="5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5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Icm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ela dinâmica7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82" firstHeaderRow="0" firstDataRow="1" firstDataCol="1"/>
  <pivotFields count="15">
    <pivotField showAll="0"/>
    <pivotField showAll="0"/>
    <pivotField axis="axisRow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Icms" fld="4" baseField="0" baseItem="0"/>
    <dataField name="Soma de Icms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9"/>
  <sheetViews>
    <sheetView workbookViewId="0">
      <selection activeCell="C18" sqref="C18"/>
    </sheetView>
  </sheetViews>
  <sheetFormatPr defaultRowHeight="14.4" x14ac:dyDescent="0.3"/>
  <cols>
    <col min="1" max="1" width="25.5546875" bestFit="1" customWidth="1"/>
    <col min="3" max="3" width="16" style="4" bestFit="1" customWidth="1"/>
    <col min="4" max="4" width="18.77734375" style="4" bestFit="1" customWidth="1"/>
    <col min="5" max="5" width="16.5546875" style="4" bestFit="1" customWidth="1"/>
    <col min="6" max="6" width="19.44140625" style="4" bestFit="1" customWidth="1"/>
    <col min="7" max="7" width="14" style="4" bestFit="1" customWidth="1"/>
    <col min="8" max="8" width="17.77734375" style="4" bestFit="1" customWidth="1"/>
    <col min="9" max="9" width="15.77734375" style="4" bestFit="1" customWidth="1"/>
    <col min="10" max="12" width="12.33203125" style="4" bestFit="1" customWidth="1"/>
    <col min="13" max="14" width="14" style="4" bestFit="1" customWidth="1"/>
    <col min="15" max="15" width="11.77734375" bestFit="1" customWidth="1"/>
  </cols>
  <sheetData>
    <row r="1" spans="1:18" ht="72" x14ac:dyDescent="0.3">
      <c r="A1" t="s">
        <v>2</v>
      </c>
      <c r="B1" t="s">
        <v>13</v>
      </c>
      <c r="C1" s="4" t="s">
        <v>93</v>
      </c>
      <c r="D1" s="4" t="s">
        <v>94</v>
      </c>
      <c r="E1" s="4" t="s">
        <v>95</v>
      </c>
      <c r="F1" s="11" t="s">
        <v>108</v>
      </c>
      <c r="G1" s="12" t="s">
        <v>110</v>
      </c>
      <c r="H1" s="12" t="s">
        <v>115</v>
      </c>
      <c r="I1" s="12" t="s">
        <v>116</v>
      </c>
      <c r="J1" s="12" t="s">
        <v>111</v>
      </c>
      <c r="K1" s="12" t="s">
        <v>112</v>
      </c>
      <c r="L1" s="12" t="s">
        <v>114</v>
      </c>
      <c r="M1" s="12" t="s">
        <v>113</v>
      </c>
      <c r="N1" s="12" t="s">
        <v>109</v>
      </c>
      <c r="O1" t="s">
        <v>98</v>
      </c>
      <c r="P1" t="s">
        <v>99</v>
      </c>
      <c r="Q1" t="s">
        <v>100</v>
      </c>
      <c r="R1" t="s">
        <v>101</v>
      </c>
    </row>
    <row r="2" spans="1:18" x14ac:dyDescent="0.3">
      <c r="A2" t="s">
        <v>15</v>
      </c>
      <c r="B2">
        <v>2020</v>
      </c>
      <c r="C2" s="4">
        <v>22798611.43</v>
      </c>
      <c r="D2" s="4">
        <v>1543371.0700000003</v>
      </c>
      <c r="E2" s="4">
        <v>24341982.5</v>
      </c>
      <c r="F2" s="4">
        <f>C2*0.75</f>
        <v>17098958.572499998</v>
      </c>
      <c r="G2" s="4">
        <f>C2*0.07</f>
        <v>1595902.8001000001</v>
      </c>
      <c r="H2" s="4">
        <f>C2*0.06</f>
        <v>1367916.6857999999</v>
      </c>
      <c r="I2" s="4">
        <f>C2*0.03</f>
        <v>683958.34289999993</v>
      </c>
      <c r="J2" s="4">
        <f>C2*0.025</f>
        <v>569965.28575000004</v>
      </c>
      <c r="K2" s="4">
        <f>C2*0.01</f>
        <v>227986.11430000002</v>
      </c>
      <c r="L2" s="4">
        <f>C2*0.005</f>
        <v>113993.05715000001</v>
      </c>
      <c r="M2" s="4">
        <f>C2*0.05</f>
        <v>1139930.5715000001</v>
      </c>
      <c r="N2" s="4">
        <f>C2*0</f>
        <v>0</v>
      </c>
      <c r="O2">
        <v>443695.75</v>
      </c>
      <c r="P2">
        <v>606209.58000000007</v>
      </c>
      <c r="Q2">
        <v>11241.34</v>
      </c>
      <c r="R2">
        <v>0</v>
      </c>
    </row>
    <row r="3" spans="1:18" x14ac:dyDescent="0.3">
      <c r="A3" t="s">
        <v>15</v>
      </c>
      <c r="B3">
        <v>2021</v>
      </c>
      <c r="C3" s="4">
        <v>28403614.309999999</v>
      </c>
      <c r="D3" s="4">
        <v>1920142.86</v>
      </c>
      <c r="E3" s="4">
        <v>30323757.170000002</v>
      </c>
      <c r="F3" s="4">
        <f t="shared" ref="F3:F66" si="0">C3*0.75</f>
        <v>21302710.732499998</v>
      </c>
      <c r="G3" s="4">
        <f t="shared" ref="G3:G6" si="1">C3*0.07</f>
        <v>1988253.0017000001</v>
      </c>
      <c r="H3" s="4">
        <f t="shared" ref="H3:H6" si="2">C3*0.06</f>
        <v>1704216.8585999999</v>
      </c>
      <c r="I3" s="4">
        <f t="shared" ref="I3:I6" si="3">C3*0.03</f>
        <v>852108.42929999996</v>
      </c>
      <c r="J3" s="4">
        <f t="shared" ref="J3:J6" si="4">C3*0.025</f>
        <v>710090.35774999997</v>
      </c>
      <c r="K3" s="4">
        <f t="shared" ref="K3:K6" si="5">C3*0.01</f>
        <v>284036.14309999999</v>
      </c>
      <c r="L3" s="4">
        <f t="shared" ref="L3:L6" si="6">C3*0.005</f>
        <v>142018.07154999999</v>
      </c>
      <c r="M3" s="4">
        <f t="shared" ref="M3:M6" si="7">C3*0.05</f>
        <v>1420180.7154999999</v>
      </c>
      <c r="N3" s="4">
        <f t="shared" ref="N3:N6" si="8">C3*0</f>
        <v>0</v>
      </c>
      <c r="O3">
        <v>601954.79999999993</v>
      </c>
      <c r="P3">
        <v>853861.08000000007</v>
      </c>
      <c r="Q3">
        <v>0</v>
      </c>
      <c r="R3">
        <v>0</v>
      </c>
    </row>
    <row r="4" spans="1:18" x14ac:dyDescent="0.3">
      <c r="A4" t="s">
        <v>15</v>
      </c>
      <c r="B4">
        <v>2022</v>
      </c>
      <c r="C4" s="4">
        <v>33384733.839999996</v>
      </c>
      <c r="D4" s="4">
        <v>1904477</v>
      </c>
      <c r="E4" s="4">
        <v>35289210.840000004</v>
      </c>
      <c r="F4" s="4">
        <f t="shared" si="0"/>
        <v>25038550.379999995</v>
      </c>
      <c r="G4" s="4">
        <f t="shared" si="1"/>
        <v>2336931.3687999998</v>
      </c>
      <c r="H4" s="4">
        <f t="shared" si="2"/>
        <v>2003084.0303999996</v>
      </c>
      <c r="I4" s="4">
        <f t="shared" si="3"/>
        <v>1001542.0151999998</v>
      </c>
      <c r="J4" s="4">
        <f t="shared" si="4"/>
        <v>834618.3459999999</v>
      </c>
      <c r="K4" s="4">
        <f t="shared" si="5"/>
        <v>333847.33839999995</v>
      </c>
      <c r="L4" s="4">
        <f t="shared" si="6"/>
        <v>166923.66919999997</v>
      </c>
      <c r="M4" s="4">
        <f t="shared" si="7"/>
        <v>1669236.6919999998</v>
      </c>
      <c r="N4" s="4">
        <f t="shared" si="8"/>
        <v>0</v>
      </c>
      <c r="O4">
        <v>377663.85000000003</v>
      </c>
      <c r="P4">
        <v>895668.37</v>
      </c>
      <c r="Q4">
        <v>37060.130000000005</v>
      </c>
      <c r="R4">
        <v>0</v>
      </c>
    </row>
    <row r="5" spans="1:18" x14ac:dyDescent="0.3">
      <c r="A5" t="s">
        <v>15</v>
      </c>
      <c r="B5">
        <v>2023</v>
      </c>
      <c r="C5" s="4">
        <v>33584248.75</v>
      </c>
      <c r="D5" s="4">
        <v>0</v>
      </c>
      <c r="E5" s="4">
        <v>33584248.75</v>
      </c>
      <c r="F5" s="4">
        <f t="shared" si="0"/>
        <v>25188186.5625</v>
      </c>
      <c r="G5" s="4">
        <f t="shared" si="1"/>
        <v>2350897.4125000001</v>
      </c>
      <c r="H5" s="4">
        <f t="shared" si="2"/>
        <v>2015054.9249999998</v>
      </c>
      <c r="I5" s="4">
        <f t="shared" si="3"/>
        <v>1007527.4624999999</v>
      </c>
      <c r="J5" s="4">
        <f t="shared" si="4"/>
        <v>839606.21875</v>
      </c>
      <c r="K5" s="4">
        <f t="shared" si="5"/>
        <v>335842.48749999999</v>
      </c>
      <c r="L5" s="4">
        <f t="shared" si="6"/>
        <v>167921.24374999999</v>
      </c>
      <c r="M5" s="4">
        <f t="shared" si="7"/>
        <v>1679212.4375</v>
      </c>
      <c r="N5" s="4">
        <f t="shared" si="8"/>
        <v>0</v>
      </c>
      <c r="O5">
        <v>384506.30999999994</v>
      </c>
      <c r="P5">
        <v>680128.75</v>
      </c>
      <c r="Q5">
        <v>243.82</v>
      </c>
      <c r="R5">
        <v>996625.27</v>
      </c>
    </row>
    <row r="6" spans="1:18" x14ac:dyDescent="0.3">
      <c r="A6" t="s">
        <v>15</v>
      </c>
      <c r="B6">
        <v>2024</v>
      </c>
      <c r="C6" s="4">
        <v>37986667.57</v>
      </c>
      <c r="D6" s="4">
        <v>0</v>
      </c>
      <c r="E6" s="4">
        <v>37986667.57</v>
      </c>
      <c r="F6" s="4">
        <f t="shared" si="0"/>
        <v>28490000.677500002</v>
      </c>
      <c r="G6" s="4">
        <f t="shared" si="1"/>
        <v>2659066.7299000002</v>
      </c>
      <c r="H6" s="4">
        <f t="shared" si="2"/>
        <v>2279200.0542000001</v>
      </c>
      <c r="I6" s="4">
        <f t="shared" si="3"/>
        <v>1139600.0271000001</v>
      </c>
      <c r="J6" s="4">
        <f t="shared" si="4"/>
        <v>949666.68925000005</v>
      </c>
      <c r="K6" s="4">
        <f t="shared" si="5"/>
        <v>379866.67570000002</v>
      </c>
      <c r="L6" s="4">
        <f t="shared" si="6"/>
        <v>189933.33785000001</v>
      </c>
      <c r="M6" s="4">
        <f t="shared" si="7"/>
        <v>1899333.3785000001</v>
      </c>
      <c r="N6" s="4">
        <f t="shared" si="8"/>
        <v>0</v>
      </c>
      <c r="O6">
        <v>471158.94999999995</v>
      </c>
      <c r="P6">
        <v>732059.95</v>
      </c>
      <c r="Q6">
        <v>51753.350000000006</v>
      </c>
      <c r="R6">
        <v>21175.449999999997</v>
      </c>
    </row>
    <row r="7" spans="1:18" x14ac:dyDescent="0.3">
      <c r="A7" t="s">
        <v>15</v>
      </c>
      <c r="B7">
        <v>2025</v>
      </c>
      <c r="C7" s="4">
        <v>37801042.190000005</v>
      </c>
      <c r="D7" s="4">
        <v>0</v>
      </c>
      <c r="E7" s="4">
        <v>37801042.190000005</v>
      </c>
      <c r="F7" s="4">
        <f t="shared" si="0"/>
        <v>28350781.642500006</v>
      </c>
      <c r="G7" s="4">
        <f>C7*0.035</f>
        <v>1323036.4766500003</v>
      </c>
      <c r="H7" s="4">
        <f>C7*0.06</f>
        <v>2268062.5314000002</v>
      </c>
      <c r="I7" s="4">
        <f>C7*0.03</f>
        <v>1134031.2657000001</v>
      </c>
      <c r="J7" s="4">
        <f>C7*0</f>
        <v>0</v>
      </c>
      <c r="K7" s="4">
        <f>C7*0</f>
        <v>0</v>
      </c>
      <c r="L7" s="4">
        <f>C7*0</f>
        <v>0</v>
      </c>
      <c r="M7" s="4">
        <f>C7*0</f>
        <v>0</v>
      </c>
      <c r="N7" s="4">
        <f>C7*0.1</f>
        <v>3780104.2190000005</v>
      </c>
      <c r="O7">
        <v>463166.8</v>
      </c>
      <c r="P7">
        <v>680589.39</v>
      </c>
      <c r="Q7">
        <v>48249.53</v>
      </c>
      <c r="R7">
        <v>261050.46000000002</v>
      </c>
    </row>
    <row r="8" spans="1:18" x14ac:dyDescent="0.3">
      <c r="A8" t="s">
        <v>16</v>
      </c>
      <c r="B8">
        <v>2020</v>
      </c>
      <c r="C8" s="4">
        <v>8608159.3599999994</v>
      </c>
      <c r="D8" s="4">
        <v>582758.08000000007</v>
      </c>
      <c r="E8" s="4">
        <v>9190917.4399999995</v>
      </c>
      <c r="F8" s="4">
        <f t="shared" si="0"/>
        <v>6456119.5199999996</v>
      </c>
      <c r="G8" s="4">
        <f t="shared" ref="G8:G12" si="9">C8*0.07</f>
        <v>602571.15520000004</v>
      </c>
      <c r="H8" s="4">
        <f t="shared" ref="H8:H12" si="10">C8*0.06</f>
        <v>516489.56159999996</v>
      </c>
      <c r="I8" s="4">
        <f t="shared" ref="I8:I12" si="11">C8*0.03</f>
        <v>258244.78079999998</v>
      </c>
      <c r="J8" s="4">
        <f t="shared" ref="J8:J12" si="12">C8*0.025</f>
        <v>215203.984</v>
      </c>
      <c r="K8" s="4">
        <f t="shared" ref="K8:K12" si="13">C8*0.01</f>
        <v>86081.593599999993</v>
      </c>
      <c r="L8" s="4">
        <f t="shared" ref="L8:L12" si="14">C8*0.005</f>
        <v>43040.796799999996</v>
      </c>
      <c r="M8" s="4">
        <f t="shared" ref="M8:M12" si="15">C8*0.05</f>
        <v>430407.96799999999</v>
      </c>
      <c r="N8" s="4">
        <f t="shared" ref="N8:N12" si="16">C8*0</f>
        <v>0</v>
      </c>
      <c r="O8">
        <v>167534.31</v>
      </c>
      <c r="P8">
        <v>228897.62</v>
      </c>
      <c r="Q8">
        <v>5027.8999999999996</v>
      </c>
      <c r="R8">
        <v>0</v>
      </c>
    </row>
    <row r="9" spans="1:18" x14ac:dyDescent="0.3">
      <c r="A9" t="s">
        <v>16</v>
      </c>
      <c r="B9">
        <v>2021</v>
      </c>
      <c r="C9" s="4">
        <v>10607075.930000002</v>
      </c>
      <c r="D9" s="4">
        <v>717046.1100000001</v>
      </c>
      <c r="E9" s="4">
        <v>11324122.039999999</v>
      </c>
      <c r="F9" s="4">
        <f t="shared" si="0"/>
        <v>7955306.9475000016</v>
      </c>
      <c r="G9" s="4">
        <f t="shared" si="9"/>
        <v>742495.31510000012</v>
      </c>
      <c r="H9" s="4">
        <f t="shared" si="10"/>
        <v>636424.55580000009</v>
      </c>
      <c r="I9" s="4">
        <f t="shared" si="11"/>
        <v>318212.27790000004</v>
      </c>
      <c r="J9" s="4">
        <f t="shared" si="12"/>
        <v>265176.89825000003</v>
      </c>
      <c r="K9" s="4">
        <f t="shared" si="13"/>
        <v>106070.75930000002</v>
      </c>
      <c r="L9" s="4">
        <f t="shared" si="14"/>
        <v>53035.37965000001</v>
      </c>
      <c r="M9" s="4">
        <f t="shared" si="15"/>
        <v>530353.79650000005</v>
      </c>
      <c r="N9" s="4">
        <f t="shared" si="16"/>
        <v>0</v>
      </c>
      <c r="O9">
        <v>224790.15</v>
      </c>
      <c r="P9">
        <v>318860.41000000003</v>
      </c>
      <c r="Q9">
        <v>0</v>
      </c>
      <c r="R9">
        <v>0</v>
      </c>
    </row>
    <row r="10" spans="1:18" x14ac:dyDescent="0.3">
      <c r="A10" t="s">
        <v>16</v>
      </c>
      <c r="B10">
        <v>2022</v>
      </c>
      <c r="C10" s="4">
        <v>12554977.459999997</v>
      </c>
      <c r="D10" s="4">
        <v>716492.05</v>
      </c>
      <c r="E10" s="4">
        <v>13271469.509999998</v>
      </c>
      <c r="F10" s="4">
        <f t="shared" si="0"/>
        <v>9416233.0949999988</v>
      </c>
      <c r="G10" s="4">
        <f t="shared" si="9"/>
        <v>878848.42219999991</v>
      </c>
      <c r="H10" s="4">
        <f t="shared" si="10"/>
        <v>753298.64759999979</v>
      </c>
      <c r="I10" s="4">
        <f t="shared" si="11"/>
        <v>376649.3237999999</v>
      </c>
      <c r="J10" s="4">
        <f t="shared" si="12"/>
        <v>313874.43649999995</v>
      </c>
      <c r="K10" s="4">
        <f t="shared" si="13"/>
        <v>125549.77459999998</v>
      </c>
      <c r="L10" s="4">
        <f t="shared" si="14"/>
        <v>62774.887299999988</v>
      </c>
      <c r="M10" s="4">
        <f t="shared" si="15"/>
        <v>627748.87299999991</v>
      </c>
      <c r="N10" s="4">
        <f t="shared" si="16"/>
        <v>0</v>
      </c>
      <c r="O10">
        <v>141967.65</v>
      </c>
      <c r="P10">
        <v>336855.54999999993</v>
      </c>
      <c r="Q10">
        <v>16537.190000000002</v>
      </c>
      <c r="R10">
        <v>0</v>
      </c>
    </row>
    <row r="11" spans="1:18" x14ac:dyDescent="0.3">
      <c r="A11" t="s">
        <v>16</v>
      </c>
      <c r="B11">
        <v>2023</v>
      </c>
      <c r="C11" s="4">
        <v>12753973.899999999</v>
      </c>
      <c r="D11" s="4">
        <v>0</v>
      </c>
      <c r="E11" s="4">
        <v>12753973.899999999</v>
      </c>
      <c r="F11" s="4">
        <f t="shared" si="0"/>
        <v>9565480.4249999989</v>
      </c>
      <c r="G11" s="4">
        <f t="shared" si="9"/>
        <v>892778.17299999995</v>
      </c>
      <c r="H11" s="4">
        <f t="shared" si="10"/>
        <v>765238.43399999989</v>
      </c>
      <c r="I11" s="4">
        <f t="shared" si="11"/>
        <v>382619.21699999995</v>
      </c>
      <c r="J11" s="4">
        <f t="shared" si="12"/>
        <v>318849.34749999997</v>
      </c>
      <c r="K11" s="4">
        <f t="shared" si="13"/>
        <v>127539.73899999999</v>
      </c>
      <c r="L11" s="4">
        <f t="shared" si="14"/>
        <v>63769.869499999993</v>
      </c>
      <c r="M11" s="4">
        <f t="shared" si="15"/>
        <v>637698.69499999995</v>
      </c>
      <c r="N11" s="4">
        <f t="shared" si="16"/>
        <v>0</v>
      </c>
      <c r="O11">
        <v>145903.03</v>
      </c>
      <c r="P11">
        <v>258288.04</v>
      </c>
      <c r="Q11">
        <v>108.77</v>
      </c>
      <c r="R11">
        <v>378481.87</v>
      </c>
    </row>
    <row r="12" spans="1:18" x14ac:dyDescent="0.3">
      <c r="A12" t="s">
        <v>16</v>
      </c>
      <c r="B12">
        <v>2024</v>
      </c>
      <c r="C12" s="4">
        <v>14634017.84</v>
      </c>
      <c r="D12" s="4">
        <v>0</v>
      </c>
      <c r="E12" s="4">
        <v>14634017.84</v>
      </c>
      <c r="F12" s="4">
        <f t="shared" si="0"/>
        <v>10975513.379999999</v>
      </c>
      <c r="G12" s="4">
        <f t="shared" si="9"/>
        <v>1024381.2488000001</v>
      </c>
      <c r="H12" s="4">
        <f t="shared" si="10"/>
        <v>878041.07039999997</v>
      </c>
      <c r="I12" s="4">
        <f t="shared" si="11"/>
        <v>439020.53519999998</v>
      </c>
      <c r="J12" s="4">
        <f t="shared" si="12"/>
        <v>365850.446</v>
      </c>
      <c r="K12" s="4">
        <f t="shared" si="13"/>
        <v>146340.1784</v>
      </c>
      <c r="L12" s="4">
        <f t="shared" si="14"/>
        <v>73170.089200000002</v>
      </c>
      <c r="M12" s="4">
        <f t="shared" si="15"/>
        <v>731700.89199999999</v>
      </c>
      <c r="N12" s="4">
        <f t="shared" si="16"/>
        <v>0</v>
      </c>
      <c r="O12">
        <v>181512.03999999998</v>
      </c>
      <c r="P12">
        <v>282023.07999999996</v>
      </c>
      <c r="Q12">
        <v>23554.39</v>
      </c>
      <c r="R12">
        <v>8041.66</v>
      </c>
    </row>
    <row r="13" spans="1:18" x14ac:dyDescent="0.3">
      <c r="A13" t="s">
        <v>16</v>
      </c>
      <c r="B13">
        <v>2025</v>
      </c>
      <c r="C13" s="4">
        <v>17398603.190000005</v>
      </c>
      <c r="D13" s="4">
        <v>0</v>
      </c>
      <c r="E13" s="4">
        <v>17398603.190000005</v>
      </c>
      <c r="F13" s="4">
        <f t="shared" si="0"/>
        <v>13048952.392500004</v>
      </c>
      <c r="G13" s="4">
        <f>C13*0.035</f>
        <v>608951.11165000021</v>
      </c>
      <c r="H13" s="4">
        <f>C13*0.06</f>
        <v>1043916.1914000002</v>
      </c>
      <c r="I13" s="4">
        <f>C13*0.03</f>
        <v>521958.09570000012</v>
      </c>
      <c r="J13" s="4">
        <f>C13*0</f>
        <v>0</v>
      </c>
      <c r="K13" s="4">
        <f>C13*0</f>
        <v>0</v>
      </c>
      <c r="L13" s="4">
        <f>C13*0</f>
        <v>0</v>
      </c>
      <c r="M13" s="4">
        <f>C13*0</f>
        <v>0</v>
      </c>
      <c r="N13" s="4">
        <f>C13*0.1</f>
        <v>1739860.3190000006</v>
      </c>
      <c r="O13">
        <v>213291.40999999997</v>
      </c>
      <c r="P13">
        <v>313415.96000000002</v>
      </c>
      <c r="Q13">
        <v>22003.809999999998</v>
      </c>
      <c r="R13">
        <v>120215.50000000003</v>
      </c>
    </row>
    <row r="14" spans="1:18" x14ac:dyDescent="0.3">
      <c r="A14" t="s">
        <v>17</v>
      </c>
      <c r="B14">
        <v>2020</v>
      </c>
      <c r="C14" s="4">
        <v>11606993.32</v>
      </c>
      <c r="D14" s="4">
        <v>785783.28000000014</v>
      </c>
      <c r="E14" s="4">
        <v>12392776.6</v>
      </c>
      <c r="F14" s="4">
        <f t="shared" si="0"/>
        <v>8705244.9900000002</v>
      </c>
      <c r="G14" s="4">
        <f t="shared" ref="G14:G18" si="17">C14*0.07</f>
        <v>812489.53240000014</v>
      </c>
      <c r="H14" s="4">
        <f t="shared" ref="H14:H18" si="18">C14*0.06</f>
        <v>696419.59919999994</v>
      </c>
      <c r="I14" s="4">
        <f t="shared" ref="I14:I18" si="19">C14*0.03</f>
        <v>348209.79959999997</v>
      </c>
      <c r="J14" s="4">
        <f t="shared" ref="J14:J18" si="20">C14*0.025</f>
        <v>290174.83300000004</v>
      </c>
      <c r="K14" s="4">
        <f t="shared" ref="K14:K18" si="21">C14*0.01</f>
        <v>116069.9332</v>
      </c>
      <c r="L14" s="4">
        <f t="shared" ref="L14:L18" si="22">C14*0.005</f>
        <v>58034.9666</v>
      </c>
      <c r="M14" s="4">
        <f t="shared" ref="M14:M18" si="23">C14*0.05</f>
        <v>580349.66600000008</v>
      </c>
      <c r="N14" s="4">
        <f t="shared" ref="N14:N18" si="24">C14*0</f>
        <v>0</v>
      </c>
      <c r="O14">
        <v>225901.12</v>
      </c>
      <c r="P14">
        <v>308642.63</v>
      </c>
      <c r="Q14">
        <v>3953.85</v>
      </c>
      <c r="R14">
        <v>0</v>
      </c>
    </row>
    <row r="15" spans="1:18" x14ac:dyDescent="0.3">
      <c r="A15" t="s">
        <v>17</v>
      </c>
      <c r="B15">
        <v>2021</v>
      </c>
      <c r="C15" s="4">
        <v>15126039.25</v>
      </c>
      <c r="D15" s="4">
        <v>1022630.89</v>
      </c>
      <c r="E15" s="4">
        <v>16148670.140000001</v>
      </c>
      <c r="F15" s="4">
        <f t="shared" si="0"/>
        <v>11344529.4375</v>
      </c>
      <c r="G15" s="4">
        <f t="shared" si="17"/>
        <v>1058822.7475000001</v>
      </c>
      <c r="H15" s="4">
        <f t="shared" si="18"/>
        <v>907562.35499999998</v>
      </c>
      <c r="I15" s="4">
        <f t="shared" si="19"/>
        <v>453781.17749999999</v>
      </c>
      <c r="J15" s="4">
        <f t="shared" si="20"/>
        <v>378150.98125000001</v>
      </c>
      <c r="K15" s="4">
        <f t="shared" si="21"/>
        <v>151260.39250000002</v>
      </c>
      <c r="L15" s="4">
        <f t="shared" si="22"/>
        <v>75630.196250000008</v>
      </c>
      <c r="M15" s="4">
        <f t="shared" si="23"/>
        <v>756301.96250000002</v>
      </c>
      <c r="N15" s="4">
        <f t="shared" si="24"/>
        <v>0</v>
      </c>
      <c r="O15">
        <v>320589.98</v>
      </c>
      <c r="P15">
        <v>454750.56999999995</v>
      </c>
      <c r="Q15">
        <v>0</v>
      </c>
      <c r="R15">
        <v>0</v>
      </c>
    </row>
    <row r="16" spans="1:18" x14ac:dyDescent="0.3">
      <c r="A16" t="s">
        <v>17</v>
      </c>
      <c r="B16">
        <v>2022</v>
      </c>
      <c r="C16" s="4">
        <v>17386988.75</v>
      </c>
      <c r="D16" s="4">
        <v>990629.06</v>
      </c>
      <c r="E16" s="4">
        <v>18377617.809999999</v>
      </c>
      <c r="F16" s="4">
        <f t="shared" si="0"/>
        <v>13040241.5625</v>
      </c>
      <c r="G16" s="4">
        <f t="shared" si="17"/>
        <v>1217089.2125000001</v>
      </c>
      <c r="H16" s="4">
        <f t="shared" si="18"/>
        <v>1043219.325</v>
      </c>
      <c r="I16" s="4">
        <f t="shared" si="19"/>
        <v>521609.66249999998</v>
      </c>
      <c r="J16" s="4">
        <f t="shared" si="20"/>
        <v>434674.71875</v>
      </c>
      <c r="K16" s="4">
        <f t="shared" si="21"/>
        <v>173869.88750000001</v>
      </c>
      <c r="L16" s="4">
        <f t="shared" si="22"/>
        <v>86934.943750000006</v>
      </c>
      <c r="M16" s="4">
        <f t="shared" si="23"/>
        <v>869349.4375</v>
      </c>
      <c r="N16" s="4">
        <f t="shared" si="24"/>
        <v>0</v>
      </c>
      <c r="O16">
        <v>196958.65999999997</v>
      </c>
      <c r="P16">
        <v>466371.48</v>
      </c>
      <c r="Q16">
        <v>13089.789999999999</v>
      </c>
      <c r="R16">
        <v>0</v>
      </c>
    </row>
    <row r="17" spans="1:18" x14ac:dyDescent="0.3">
      <c r="A17" t="s">
        <v>17</v>
      </c>
      <c r="B17">
        <v>2023</v>
      </c>
      <c r="C17" s="4">
        <v>17828919.879999999</v>
      </c>
      <c r="D17" s="4">
        <v>0</v>
      </c>
      <c r="E17" s="4">
        <v>17828919.879999999</v>
      </c>
      <c r="F17" s="4">
        <f t="shared" si="0"/>
        <v>13371689.91</v>
      </c>
      <c r="G17" s="4">
        <f t="shared" si="17"/>
        <v>1248024.3916</v>
      </c>
      <c r="H17" s="4">
        <f t="shared" si="18"/>
        <v>1069735.1927999998</v>
      </c>
      <c r="I17" s="4">
        <f t="shared" si="19"/>
        <v>534867.59639999992</v>
      </c>
      <c r="J17" s="4">
        <f t="shared" si="20"/>
        <v>445722.99699999997</v>
      </c>
      <c r="K17" s="4">
        <f t="shared" si="21"/>
        <v>178289.19879999998</v>
      </c>
      <c r="L17" s="4">
        <f t="shared" si="22"/>
        <v>89144.599399999992</v>
      </c>
      <c r="M17" s="4">
        <f t="shared" si="23"/>
        <v>891445.99399999995</v>
      </c>
      <c r="N17" s="4">
        <f t="shared" si="24"/>
        <v>0</v>
      </c>
      <c r="O17">
        <v>203760.16000000003</v>
      </c>
      <c r="P17">
        <v>361067.01</v>
      </c>
      <c r="Q17">
        <v>86.16</v>
      </c>
      <c r="R17">
        <v>529088.82999999996</v>
      </c>
    </row>
    <row r="18" spans="1:18" x14ac:dyDescent="0.3">
      <c r="A18" t="s">
        <v>17</v>
      </c>
      <c r="B18">
        <v>2024</v>
      </c>
      <c r="C18" s="4">
        <v>23868020.819999997</v>
      </c>
      <c r="D18" s="4">
        <v>0</v>
      </c>
      <c r="E18" s="4">
        <v>23868020.819999997</v>
      </c>
      <c r="F18" s="4">
        <f t="shared" si="0"/>
        <v>17901015.614999998</v>
      </c>
      <c r="G18" s="4">
        <f t="shared" si="17"/>
        <v>1670761.4574</v>
      </c>
      <c r="H18" s="4">
        <f t="shared" si="18"/>
        <v>1432081.2491999997</v>
      </c>
      <c r="I18" s="4">
        <f t="shared" si="19"/>
        <v>716040.62459999986</v>
      </c>
      <c r="J18" s="4">
        <f t="shared" si="20"/>
        <v>596700.52049999998</v>
      </c>
      <c r="K18" s="4">
        <f t="shared" si="21"/>
        <v>238680.20819999996</v>
      </c>
      <c r="L18" s="4">
        <f t="shared" si="22"/>
        <v>119340.10409999998</v>
      </c>
      <c r="M18" s="4">
        <f t="shared" si="23"/>
        <v>1193401.041</v>
      </c>
      <c r="N18" s="4">
        <f t="shared" si="24"/>
        <v>0</v>
      </c>
      <c r="O18">
        <v>296083.49</v>
      </c>
      <c r="P18">
        <v>460037.65000000008</v>
      </c>
      <c r="Q18">
        <v>18231.260000000002</v>
      </c>
      <c r="R18">
        <v>11241.67</v>
      </c>
    </row>
    <row r="19" spans="1:18" x14ac:dyDescent="0.3">
      <c r="A19" t="s">
        <v>17</v>
      </c>
      <c r="B19">
        <v>2025</v>
      </c>
      <c r="C19" s="4">
        <v>29220659.120000005</v>
      </c>
      <c r="D19" s="4">
        <v>0</v>
      </c>
      <c r="E19" s="4">
        <v>29220659.120000005</v>
      </c>
      <c r="F19" s="4">
        <f t="shared" si="0"/>
        <v>21915494.340000004</v>
      </c>
      <c r="G19" s="4">
        <f>C19*0.035</f>
        <v>1022723.0692000003</v>
      </c>
      <c r="H19" s="4">
        <f>C19*0.06</f>
        <v>1753239.5472000001</v>
      </c>
      <c r="I19" s="4">
        <f>C19*0.03</f>
        <v>876619.77360000007</v>
      </c>
      <c r="J19" s="4">
        <f>C19*0</f>
        <v>0</v>
      </c>
      <c r="K19" s="4">
        <f>C19*0</f>
        <v>0</v>
      </c>
      <c r="L19" s="4">
        <f>C19*0</f>
        <v>0</v>
      </c>
      <c r="M19" s="4">
        <f>C19*0</f>
        <v>0</v>
      </c>
      <c r="N19" s="4">
        <f>C19*0.1</f>
        <v>2922065.9120000005</v>
      </c>
      <c r="O19">
        <v>358246.73000000004</v>
      </c>
      <c r="P19">
        <v>526417.13</v>
      </c>
      <c r="Q19">
        <v>16917.699999999997</v>
      </c>
      <c r="R19">
        <v>201915.34999999998</v>
      </c>
    </row>
    <row r="20" spans="1:18" x14ac:dyDescent="0.3">
      <c r="A20" t="s">
        <v>18</v>
      </c>
      <c r="B20">
        <v>2020</v>
      </c>
      <c r="C20" s="4">
        <v>14607490.670000002</v>
      </c>
      <c r="D20" s="4">
        <v>988811.89</v>
      </c>
      <c r="E20" s="4">
        <v>15596302.559999999</v>
      </c>
      <c r="F20" s="4">
        <f t="shared" si="0"/>
        <v>10955618.002500001</v>
      </c>
      <c r="G20" s="4">
        <f t="shared" ref="G20:G24" si="25">C20*0.07</f>
        <v>1022524.3469000002</v>
      </c>
      <c r="H20" s="4">
        <f t="shared" ref="H20:H24" si="26">C20*0.06</f>
        <v>876449.44020000007</v>
      </c>
      <c r="I20" s="4">
        <f t="shared" ref="I20:I24" si="27">C20*0.03</f>
        <v>438224.72010000004</v>
      </c>
      <c r="J20" s="4">
        <f t="shared" ref="J20:J24" si="28">C20*0.025</f>
        <v>365187.26675000007</v>
      </c>
      <c r="K20" s="4">
        <f t="shared" ref="K20:K24" si="29">C20*0.01</f>
        <v>146074.90670000002</v>
      </c>
      <c r="L20" s="4">
        <f t="shared" ref="L20:L24" si="30">C20*0.005</f>
        <v>73037.453350000011</v>
      </c>
      <c r="M20" s="4">
        <f t="shared" ref="M20:M24" si="31">C20*0.05</f>
        <v>730374.53350000014</v>
      </c>
      <c r="N20" s="4">
        <f t="shared" ref="N20:N24" si="32">C20*0</f>
        <v>0</v>
      </c>
      <c r="O20">
        <v>284267.91000000003</v>
      </c>
      <c r="P20">
        <v>388387.59</v>
      </c>
      <c r="Q20">
        <v>11220.06</v>
      </c>
      <c r="R20">
        <v>0</v>
      </c>
    </row>
    <row r="21" spans="1:18" x14ac:dyDescent="0.3">
      <c r="A21" t="s">
        <v>18</v>
      </c>
      <c r="B21">
        <v>2021</v>
      </c>
      <c r="C21" s="4">
        <v>17229001.91</v>
      </c>
      <c r="D21" s="4">
        <v>1164600.1600000001</v>
      </c>
      <c r="E21" s="4">
        <v>18393602.07</v>
      </c>
      <c r="F21" s="4">
        <f t="shared" si="0"/>
        <v>12921751.432500001</v>
      </c>
      <c r="G21" s="4">
        <f t="shared" si="25"/>
        <v>1206030.1337000001</v>
      </c>
      <c r="H21" s="4">
        <f t="shared" si="26"/>
        <v>1033740.1146</v>
      </c>
      <c r="I21" s="4">
        <f t="shared" si="27"/>
        <v>516870.05729999999</v>
      </c>
      <c r="J21" s="4">
        <f t="shared" si="28"/>
        <v>430725.04775000003</v>
      </c>
      <c r="K21" s="4">
        <f t="shared" si="29"/>
        <v>172290.0191</v>
      </c>
      <c r="L21" s="4">
        <f t="shared" si="30"/>
        <v>86145.009550000002</v>
      </c>
      <c r="M21" s="4">
        <f t="shared" si="31"/>
        <v>861450.09550000005</v>
      </c>
      <c r="N21" s="4">
        <f t="shared" si="32"/>
        <v>0</v>
      </c>
      <c r="O21">
        <v>365095.38000000006</v>
      </c>
      <c r="P21">
        <v>517880.65</v>
      </c>
      <c r="Q21">
        <v>0</v>
      </c>
      <c r="R21">
        <v>0</v>
      </c>
    </row>
    <row r="22" spans="1:18" x14ac:dyDescent="0.3">
      <c r="A22" t="s">
        <v>18</v>
      </c>
      <c r="B22">
        <v>2022</v>
      </c>
      <c r="C22" s="4">
        <v>21216436.170000002</v>
      </c>
      <c r="D22" s="4">
        <v>1213362.6199999996</v>
      </c>
      <c r="E22" s="4">
        <v>22429798.790000003</v>
      </c>
      <c r="F22" s="4">
        <f t="shared" si="0"/>
        <v>15912327.127500001</v>
      </c>
      <c r="G22" s="4">
        <f t="shared" si="25"/>
        <v>1485150.5319000003</v>
      </c>
      <c r="H22" s="4">
        <f t="shared" si="26"/>
        <v>1272986.1702000001</v>
      </c>
      <c r="I22" s="4">
        <f t="shared" si="27"/>
        <v>636493.08510000003</v>
      </c>
      <c r="J22" s="4">
        <f t="shared" si="28"/>
        <v>530410.90425000002</v>
      </c>
      <c r="K22" s="4">
        <f t="shared" si="29"/>
        <v>212164.36170000001</v>
      </c>
      <c r="L22" s="4">
        <f t="shared" si="30"/>
        <v>106082.18085</v>
      </c>
      <c r="M22" s="4">
        <f t="shared" si="31"/>
        <v>1060821.8085</v>
      </c>
      <c r="N22" s="4">
        <f t="shared" si="32"/>
        <v>0</v>
      </c>
      <c r="O22">
        <v>239348.46000000002</v>
      </c>
      <c r="P22">
        <v>569452.02</v>
      </c>
      <c r="Q22">
        <v>36847.57</v>
      </c>
      <c r="R22">
        <v>0</v>
      </c>
    </row>
    <row r="23" spans="1:18" x14ac:dyDescent="0.3">
      <c r="A23" t="s">
        <v>18</v>
      </c>
      <c r="B23">
        <v>2023</v>
      </c>
      <c r="C23" s="4">
        <v>21977136.629999999</v>
      </c>
      <c r="D23" s="4">
        <v>0</v>
      </c>
      <c r="E23" s="4">
        <v>21977136.629999999</v>
      </c>
      <c r="F23" s="4">
        <f t="shared" si="0"/>
        <v>16482852.4725</v>
      </c>
      <c r="G23" s="4">
        <f t="shared" si="25"/>
        <v>1538399.5641000001</v>
      </c>
      <c r="H23" s="4">
        <f t="shared" si="26"/>
        <v>1318628.1978</v>
      </c>
      <c r="I23" s="4">
        <f t="shared" si="27"/>
        <v>659314.09889999998</v>
      </c>
      <c r="J23" s="4">
        <f t="shared" si="28"/>
        <v>549428.41575000004</v>
      </c>
      <c r="K23" s="4">
        <f t="shared" si="29"/>
        <v>219771.36629999999</v>
      </c>
      <c r="L23" s="4">
        <f t="shared" si="30"/>
        <v>109885.68315</v>
      </c>
      <c r="M23" s="4">
        <f t="shared" si="31"/>
        <v>1098856.8315000001</v>
      </c>
      <c r="N23" s="4">
        <f t="shared" si="32"/>
        <v>0</v>
      </c>
      <c r="O23">
        <v>251052.06999999998</v>
      </c>
      <c r="P23">
        <v>445077.68999999994</v>
      </c>
      <c r="Q23">
        <v>242.44</v>
      </c>
      <c r="R23">
        <v>652193.66999999993</v>
      </c>
    </row>
    <row r="24" spans="1:18" x14ac:dyDescent="0.3">
      <c r="A24" t="s">
        <v>18</v>
      </c>
      <c r="B24">
        <v>2024</v>
      </c>
      <c r="C24" s="4">
        <v>24287080.009999998</v>
      </c>
      <c r="D24" s="4">
        <v>0</v>
      </c>
      <c r="E24" s="4">
        <v>24287080.009999998</v>
      </c>
      <c r="F24" s="4">
        <f t="shared" si="0"/>
        <v>18215310.0075</v>
      </c>
      <c r="G24" s="4">
        <f t="shared" si="25"/>
        <v>1700095.6007000001</v>
      </c>
      <c r="H24" s="4">
        <f t="shared" si="26"/>
        <v>1457224.8005999997</v>
      </c>
      <c r="I24" s="4">
        <f t="shared" si="27"/>
        <v>728612.40029999986</v>
      </c>
      <c r="J24" s="4">
        <f t="shared" si="28"/>
        <v>607177.00024999992</v>
      </c>
      <c r="K24" s="4">
        <f t="shared" si="29"/>
        <v>242870.80009999999</v>
      </c>
      <c r="L24" s="4">
        <f t="shared" si="30"/>
        <v>121435.40005</v>
      </c>
      <c r="M24" s="4">
        <f t="shared" si="31"/>
        <v>1214354.0004999998</v>
      </c>
      <c r="N24" s="4">
        <f t="shared" si="32"/>
        <v>0</v>
      </c>
      <c r="O24">
        <v>301232.76999999996</v>
      </c>
      <c r="P24">
        <v>468038.32</v>
      </c>
      <c r="Q24">
        <v>50502.869999999995</v>
      </c>
      <c r="R24">
        <v>13857.26</v>
      </c>
    </row>
    <row r="25" spans="1:18" x14ac:dyDescent="0.3">
      <c r="A25" t="s">
        <v>18</v>
      </c>
      <c r="B25">
        <v>2025</v>
      </c>
      <c r="C25" s="4">
        <v>23550157.260000002</v>
      </c>
      <c r="D25" s="4">
        <v>0</v>
      </c>
      <c r="E25" s="4">
        <v>23550157.260000002</v>
      </c>
      <c r="F25" s="4">
        <f t="shared" si="0"/>
        <v>17662617.945</v>
      </c>
      <c r="G25" s="4">
        <f>C25*0.035</f>
        <v>824255.50410000014</v>
      </c>
      <c r="H25" s="4">
        <f>C25*0.06</f>
        <v>1413009.4356</v>
      </c>
      <c r="I25" s="4">
        <f>C25*0.03</f>
        <v>706504.71779999998</v>
      </c>
      <c r="J25" s="4">
        <f>C25*0</f>
        <v>0</v>
      </c>
      <c r="K25" s="4">
        <f>C25*0</f>
        <v>0</v>
      </c>
      <c r="L25" s="4">
        <f>C25*0</f>
        <v>0</v>
      </c>
      <c r="M25" s="4">
        <f>C25*0</f>
        <v>0</v>
      </c>
      <c r="N25" s="4">
        <f>C25*0.1</f>
        <v>2355015.7260000003</v>
      </c>
      <c r="O25">
        <v>288530.12</v>
      </c>
      <c r="P25">
        <v>423973.71</v>
      </c>
      <c r="Q25">
        <v>47147.679999999993</v>
      </c>
      <c r="R25">
        <v>162621.62</v>
      </c>
    </row>
    <row r="26" spans="1:18" x14ac:dyDescent="0.3">
      <c r="A26" t="s">
        <v>19</v>
      </c>
      <c r="B26">
        <v>2020</v>
      </c>
      <c r="C26" s="4">
        <v>14162843.48</v>
      </c>
      <c r="D26" s="4">
        <v>958733.3</v>
      </c>
      <c r="E26" s="4">
        <v>15121576.780000001</v>
      </c>
      <c r="F26" s="4">
        <f t="shared" si="0"/>
        <v>10622132.609999999</v>
      </c>
      <c r="G26" s="4">
        <f t="shared" ref="G26:G30" si="33">C26*0.07</f>
        <v>991399.04360000009</v>
      </c>
      <c r="H26" s="4">
        <f t="shared" ref="H26:H30" si="34">C26*0.06</f>
        <v>849770.60880000005</v>
      </c>
      <c r="I26" s="4">
        <f t="shared" ref="I26:I30" si="35">C26*0.03</f>
        <v>424885.30440000002</v>
      </c>
      <c r="J26" s="4">
        <f t="shared" ref="J26:J30" si="36">C26*0.025</f>
        <v>354071.08700000006</v>
      </c>
      <c r="K26" s="4">
        <f t="shared" ref="K26:K30" si="37">C26*0.01</f>
        <v>141628.43480000002</v>
      </c>
      <c r="L26" s="4">
        <f t="shared" ref="L26:L30" si="38">C26*0.005</f>
        <v>70814.217400000009</v>
      </c>
      <c r="M26" s="4">
        <f t="shared" ref="M26:M30" si="39">C26*0.05</f>
        <v>708142.17400000012</v>
      </c>
      <c r="N26" s="4">
        <f t="shared" ref="N26:N30" si="40">C26*0</f>
        <v>0</v>
      </c>
      <c r="O26">
        <v>275620.99</v>
      </c>
      <c r="P26">
        <v>376573.55000000005</v>
      </c>
      <c r="Q26">
        <v>6376.26</v>
      </c>
      <c r="R26">
        <v>0</v>
      </c>
    </row>
    <row r="27" spans="1:18" x14ac:dyDescent="0.3">
      <c r="A27" t="s">
        <v>19</v>
      </c>
      <c r="B27">
        <v>2021</v>
      </c>
      <c r="C27" s="4">
        <v>17085887.670000002</v>
      </c>
      <c r="D27" s="4">
        <v>1154974.44</v>
      </c>
      <c r="E27" s="4">
        <v>18240862.109999999</v>
      </c>
      <c r="F27" s="4">
        <f t="shared" si="0"/>
        <v>12814415.752500001</v>
      </c>
      <c r="G27" s="4">
        <f t="shared" si="33"/>
        <v>1196012.1369000003</v>
      </c>
      <c r="H27" s="4">
        <f t="shared" si="34"/>
        <v>1025153.2602</v>
      </c>
      <c r="I27" s="4">
        <f t="shared" si="35"/>
        <v>512576.63010000001</v>
      </c>
      <c r="J27" s="4">
        <f t="shared" si="36"/>
        <v>427147.19175000006</v>
      </c>
      <c r="K27" s="4">
        <f t="shared" si="37"/>
        <v>170858.87670000002</v>
      </c>
      <c r="L27" s="4">
        <f t="shared" si="38"/>
        <v>85429.438350000011</v>
      </c>
      <c r="M27" s="4">
        <f t="shared" si="39"/>
        <v>854294.38350000011</v>
      </c>
      <c r="N27" s="4">
        <f t="shared" si="40"/>
        <v>0</v>
      </c>
      <c r="O27">
        <v>362078.09</v>
      </c>
      <c r="P27">
        <v>513600.63999999996</v>
      </c>
      <c r="Q27">
        <v>0</v>
      </c>
      <c r="R27">
        <v>0</v>
      </c>
    </row>
    <row r="28" spans="1:18" x14ac:dyDescent="0.3">
      <c r="A28" t="s">
        <v>19</v>
      </c>
      <c r="B28">
        <v>2022</v>
      </c>
      <c r="C28" s="4">
        <v>20424614.420000002</v>
      </c>
      <c r="D28" s="4">
        <v>1166228.95</v>
      </c>
      <c r="E28" s="4">
        <v>21590843.369999997</v>
      </c>
      <c r="F28" s="4">
        <f t="shared" si="0"/>
        <v>15318460.815000001</v>
      </c>
      <c r="G28" s="4">
        <f t="shared" si="33"/>
        <v>1429723.0094000003</v>
      </c>
      <c r="H28" s="4">
        <f t="shared" si="34"/>
        <v>1225476.8652000001</v>
      </c>
      <c r="I28" s="4">
        <f t="shared" si="35"/>
        <v>612738.43260000006</v>
      </c>
      <c r="J28" s="4">
        <f t="shared" si="36"/>
        <v>510615.36050000007</v>
      </c>
      <c r="K28" s="4">
        <f t="shared" si="37"/>
        <v>204246.14420000001</v>
      </c>
      <c r="L28" s="4">
        <f t="shared" si="38"/>
        <v>102123.0721</v>
      </c>
      <c r="M28" s="4">
        <f t="shared" si="39"/>
        <v>1021230.7210000001</v>
      </c>
      <c r="N28" s="4">
        <f t="shared" si="40"/>
        <v>0</v>
      </c>
      <c r="O28">
        <v>230817.93000000002</v>
      </c>
      <c r="P28">
        <v>548051.55000000005</v>
      </c>
      <c r="Q28">
        <v>21183.87</v>
      </c>
      <c r="R28">
        <v>0</v>
      </c>
    </row>
    <row r="29" spans="1:18" x14ac:dyDescent="0.3">
      <c r="A29" t="s">
        <v>19</v>
      </c>
      <c r="B29">
        <v>2023</v>
      </c>
      <c r="C29" s="4">
        <v>20609487.140000001</v>
      </c>
      <c r="D29" s="4">
        <v>0</v>
      </c>
      <c r="E29" s="4">
        <v>20609487.140000001</v>
      </c>
      <c r="F29" s="4">
        <f t="shared" si="0"/>
        <v>15457115.355</v>
      </c>
      <c r="G29" s="4">
        <f t="shared" si="33"/>
        <v>1442664.0998000002</v>
      </c>
      <c r="H29" s="4">
        <f t="shared" si="34"/>
        <v>1236569.2283999999</v>
      </c>
      <c r="I29" s="4">
        <f t="shared" si="35"/>
        <v>618284.61419999995</v>
      </c>
      <c r="J29" s="4">
        <f t="shared" si="36"/>
        <v>515237.17850000004</v>
      </c>
      <c r="K29" s="4">
        <f t="shared" si="37"/>
        <v>206094.8714</v>
      </c>
      <c r="L29" s="4">
        <f t="shared" si="38"/>
        <v>103047.4357</v>
      </c>
      <c r="M29" s="4">
        <f t="shared" si="39"/>
        <v>1030474.3570000001</v>
      </c>
      <c r="N29" s="4">
        <f t="shared" si="40"/>
        <v>0</v>
      </c>
      <c r="O29">
        <v>235919.23000000004</v>
      </c>
      <c r="P29">
        <v>417372.06000000006</v>
      </c>
      <c r="Q29">
        <v>139.49</v>
      </c>
      <c r="R29">
        <v>611595.27</v>
      </c>
    </row>
    <row r="30" spans="1:18" x14ac:dyDescent="0.3">
      <c r="A30" t="s">
        <v>19</v>
      </c>
      <c r="B30">
        <v>2024</v>
      </c>
      <c r="C30" s="4">
        <v>23767197.75</v>
      </c>
      <c r="D30" s="4">
        <v>0</v>
      </c>
      <c r="E30" s="4">
        <v>23767197.75</v>
      </c>
      <c r="F30" s="4">
        <f t="shared" si="0"/>
        <v>17825398.3125</v>
      </c>
      <c r="G30" s="4">
        <f t="shared" si="33"/>
        <v>1663703.8425000003</v>
      </c>
      <c r="H30" s="4">
        <f t="shared" si="34"/>
        <v>1426031.865</v>
      </c>
      <c r="I30" s="4">
        <f t="shared" si="35"/>
        <v>713015.9325</v>
      </c>
      <c r="J30" s="4">
        <f t="shared" si="36"/>
        <v>594179.94374999998</v>
      </c>
      <c r="K30" s="4">
        <f t="shared" si="37"/>
        <v>237671.97750000001</v>
      </c>
      <c r="L30" s="4">
        <f t="shared" si="38"/>
        <v>118835.98875</v>
      </c>
      <c r="M30" s="4">
        <f t="shared" si="39"/>
        <v>1188359.8875</v>
      </c>
      <c r="N30" s="4">
        <f t="shared" si="40"/>
        <v>0</v>
      </c>
      <c r="O30">
        <v>294796.18</v>
      </c>
      <c r="P30">
        <v>458037.52999999997</v>
      </c>
      <c r="Q30">
        <v>28976.489999999998</v>
      </c>
      <c r="R30">
        <v>12994.66</v>
      </c>
    </row>
    <row r="31" spans="1:18" x14ac:dyDescent="0.3">
      <c r="A31" t="s">
        <v>19</v>
      </c>
      <c r="B31">
        <v>2025</v>
      </c>
      <c r="C31" s="4">
        <v>24896275.68</v>
      </c>
      <c r="D31" s="4">
        <v>0</v>
      </c>
      <c r="E31" s="4">
        <v>24896275.68</v>
      </c>
      <c r="F31" s="4">
        <f t="shared" si="0"/>
        <v>18672206.759999998</v>
      </c>
      <c r="G31" s="4">
        <f>C31*0.035</f>
        <v>871369.64880000008</v>
      </c>
      <c r="H31" s="4">
        <f>C31*0.06</f>
        <v>1493776.5407999998</v>
      </c>
      <c r="I31" s="4">
        <f>C31*0.03</f>
        <v>746888.27039999992</v>
      </c>
      <c r="J31" s="4">
        <f>C31*0</f>
        <v>0</v>
      </c>
      <c r="K31" s="4">
        <f>C31*0</f>
        <v>0</v>
      </c>
      <c r="L31" s="4">
        <f>C31*0</f>
        <v>0</v>
      </c>
      <c r="M31" s="4">
        <f>C31*0</f>
        <v>0</v>
      </c>
      <c r="N31" s="4">
        <f>C31*0.1</f>
        <v>2489627.568</v>
      </c>
      <c r="O31">
        <v>305096.44</v>
      </c>
      <c r="P31">
        <v>448316.69</v>
      </c>
      <c r="Q31">
        <v>26733.84</v>
      </c>
      <c r="R31">
        <v>171958.74</v>
      </c>
    </row>
    <row r="32" spans="1:18" x14ac:dyDescent="0.3">
      <c r="A32" t="s">
        <v>20</v>
      </c>
      <c r="B32">
        <v>2020</v>
      </c>
      <c r="C32" s="4">
        <v>6247935.9999999991</v>
      </c>
      <c r="D32" s="4">
        <v>422969.77</v>
      </c>
      <c r="E32" s="4">
        <v>6670905.7699999996</v>
      </c>
      <c r="F32" s="4">
        <f t="shared" si="0"/>
        <v>4685951.9999999991</v>
      </c>
      <c r="G32" s="4">
        <f t="shared" ref="G32:G36" si="41">C32*0.07</f>
        <v>437355.51999999996</v>
      </c>
      <c r="H32" s="4">
        <f t="shared" ref="H32:H36" si="42">C32*0.06</f>
        <v>374876.15999999992</v>
      </c>
      <c r="I32" s="4">
        <f t="shared" ref="I32:I36" si="43">C32*0.03</f>
        <v>187438.07999999996</v>
      </c>
      <c r="J32" s="4">
        <f t="shared" ref="J32:J36" si="44">C32*0.025</f>
        <v>156198.39999999999</v>
      </c>
      <c r="K32" s="4">
        <f t="shared" ref="K32:K36" si="45">C32*0.01</f>
        <v>62479.359999999993</v>
      </c>
      <c r="L32" s="4">
        <f t="shared" ref="L32:L36" si="46">C32*0.005</f>
        <v>31239.679999999997</v>
      </c>
      <c r="M32" s="4">
        <f t="shared" ref="M32:M36" si="47">C32*0.05</f>
        <v>312396.79999999999</v>
      </c>
      <c r="N32" s="4">
        <f t="shared" ref="N32:N36" si="48">C32*0</f>
        <v>0</v>
      </c>
      <c r="O32">
        <v>121597.48000000001</v>
      </c>
      <c r="P32">
        <v>166135.37</v>
      </c>
      <c r="Q32">
        <v>3693.8</v>
      </c>
      <c r="R32">
        <v>0</v>
      </c>
    </row>
    <row r="33" spans="1:18" x14ac:dyDescent="0.3">
      <c r="A33" t="s">
        <v>20</v>
      </c>
      <c r="B33">
        <v>2021</v>
      </c>
      <c r="C33" s="4">
        <v>8150251.6100000003</v>
      </c>
      <c r="D33" s="4">
        <v>551017.42000000016</v>
      </c>
      <c r="E33" s="4">
        <v>8701269.0299999993</v>
      </c>
      <c r="F33" s="4">
        <f t="shared" si="0"/>
        <v>6112688.7075000005</v>
      </c>
      <c r="G33" s="4">
        <f t="shared" si="41"/>
        <v>570517.61270000006</v>
      </c>
      <c r="H33" s="4">
        <f t="shared" si="42"/>
        <v>489015.09659999999</v>
      </c>
      <c r="I33" s="4">
        <f t="shared" si="43"/>
        <v>244507.54829999999</v>
      </c>
      <c r="J33" s="4">
        <f t="shared" si="44"/>
        <v>203756.29025000002</v>
      </c>
      <c r="K33" s="4">
        <f t="shared" si="45"/>
        <v>81502.516100000008</v>
      </c>
      <c r="L33" s="4">
        <f t="shared" si="46"/>
        <v>40751.258050000004</v>
      </c>
      <c r="M33" s="4">
        <f t="shared" si="47"/>
        <v>407512.58050000004</v>
      </c>
      <c r="N33" s="4">
        <f t="shared" si="48"/>
        <v>0</v>
      </c>
      <c r="O33">
        <v>172741.42</v>
      </c>
      <c r="P33">
        <v>245030.3</v>
      </c>
      <c r="Q33">
        <v>0</v>
      </c>
      <c r="R33">
        <v>0</v>
      </c>
    </row>
    <row r="34" spans="1:18" x14ac:dyDescent="0.3">
      <c r="A34" t="s">
        <v>20</v>
      </c>
      <c r="B34">
        <v>2022</v>
      </c>
      <c r="C34" s="4">
        <v>9636013.25</v>
      </c>
      <c r="D34" s="4">
        <v>549875.12</v>
      </c>
      <c r="E34" s="4">
        <v>10185888.369999999</v>
      </c>
      <c r="F34" s="4">
        <f t="shared" si="0"/>
        <v>7227009.9375</v>
      </c>
      <c r="G34" s="4">
        <f t="shared" si="41"/>
        <v>674520.92750000011</v>
      </c>
      <c r="H34" s="4">
        <f t="shared" si="42"/>
        <v>578160.79499999993</v>
      </c>
      <c r="I34" s="4">
        <f t="shared" si="43"/>
        <v>289080.39749999996</v>
      </c>
      <c r="J34" s="4">
        <f t="shared" si="44"/>
        <v>240900.33125000002</v>
      </c>
      <c r="K34" s="4">
        <f t="shared" si="45"/>
        <v>96360.132500000007</v>
      </c>
      <c r="L34" s="4">
        <f t="shared" si="46"/>
        <v>48180.066250000003</v>
      </c>
      <c r="M34" s="4">
        <f t="shared" si="47"/>
        <v>481800.66250000003</v>
      </c>
      <c r="N34" s="4">
        <f t="shared" si="48"/>
        <v>0</v>
      </c>
      <c r="O34">
        <v>108969.18</v>
      </c>
      <c r="P34">
        <v>258535.85</v>
      </c>
      <c r="Q34">
        <v>12299.75</v>
      </c>
      <c r="R34">
        <v>0</v>
      </c>
    </row>
    <row r="35" spans="1:18" x14ac:dyDescent="0.3">
      <c r="A35" t="s">
        <v>20</v>
      </c>
      <c r="B35">
        <v>2023</v>
      </c>
      <c r="C35" s="4">
        <v>9973544.5999999996</v>
      </c>
      <c r="D35" s="4">
        <v>0</v>
      </c>
      <c r="E35" s="4">
        <v>9973544.5999999996</v>
      </c>
      <c r="F35" s="4">
        <f t="shared" si="0"/>
        <v>7480158.4499999993</v>
      </c>
      <c r="G35" s="4">
        <f t="shared" si="41"/>
        <v>698148.12200000009</v>
      </c>
      <c r="H35" s="4">
        <f t="shared" si="42"/>
        <v>598412.67599999998</v>
      </c>
      <c r="I35" s="4">
        <f t="shared" si="43"/>
        <v>299206.33799999999</v>
      </c>
      <c r="J35" s="4">
        <f t="shared" si="44"/>
        <v>249338.61499999999</v>
      </c>
      <c r="K35" s="4">
        <f t="shared" si="45"/>
        <v>99735.445999999996</v>
      </c>
      <c r="L35" s="4">
        <f t="shared" si="46"/>
        <v>49867.722999999998</v>
      </c>
      <c r="M35" s="4">
        <f t="shared" si="47"/>
        <v>498677.23</v>
      </c>
      <c r="N35" s="4">
        <f t="shared" si="48"/>
        <v>0</v>
      </c>
      <c r="O35">
        <v>113912.48</v>
      </c>
      <c r="P35">
        <v>201983.02000000002</v>
      </c>
      <c r="Q35">
        <v>81.010000000000005</v>
      </c>
      <c r="R35">
        <v>295975.44</v>
      </c>
    </row>
    <row r="36" spans="1:18" x14ac:dyDescent="0.3">
      <c r="A36" t="s">
        <v>20</v>
      </c>
      <c r="B36">
        <v>2024</v>
      </c>
      <c r="C36" s="4">
        <v>11935103.989999998</v>
      </c>
      <c r="D36" s="4">
        <v>0</v>
      </c>
      <c r="E36" s="4">
        <v>11935103.989999998</v>
      </c>
      <c r="F36" s="4">
        <f t="shared" si="0"/>
        <v>8951327.9924999997</v>
      </c>
      <c r="G36" s="4">
        <f t="shared" si="41"/>
        <v>835457.27929999994</v>
      </c>
      <c r="H36" s="4">
        <f t="shared" si="42"/>
        <v>716106.23939999985</v>
      </c>
      <c r="I36" s="4">
        <f t="shared" si="43"/>
        <v>358053.11969999992</v>
      </c>
      <c r="J36" s="4">
        <f t="shared" si="44"/>
        <v>298377.59974999999</v>
      </c>
      <c r="K36" s="4">
        <f t="shared" si="45"/>
        <v>119351.03989999999</v>
      </c>
      <c r="L36" s="4">
        <f t="shared" si="46"/>
        <v>59675.519949999994</v>
      </c>
      <c r="M36" s="4">
        <f t="shared" si="47"/>
        <v>596755.19949999999</v>
      </c>
      <c r="N36" s="4">
        <f t="shared" si="48"/>
        <v>0</v>
      </c>
      <c r="O36">
        <v>148041.74000000002</v>
      </c>
      <c r="P36">
        <v>230018.82</v>
      </c>
      <c r="Q36">
        <v>16811.25</v>
      </c>
      <c r="R36">
        <v>6288.64</v>
      </c>
    </row>
    <row r="37" spans="1:18" x14ac:dyDescent="0.3">
      <c r="A37" t="s">
        <v>20</v>
      </c>
      <c r="B37">
        <v>2025</v>
      </c>
      <c r="C37" s="4">
        <v>14526094.670000002</v>
      </c>
      <c r="D37" s="4">
        <v>0</v>
      </c>
      <c r="E37" s="4">
        <v>14526094.670000002</v>
      </c>
      <c r="F37" s="4">
        <f t="shared" si="0"/>
        <v>10894571.002500001</v>
      </c>
      <c r="G37" s="4">
        <f>C37*0.035</f>
        <v>508413.31345000013</v>
      </c>
      <c r="H37" s="4">
        <f>C37*0.06</f>
        <v>871565.68020000006</v>
      </c>
      <c r="I37" s="4">
        <f>C37*0.03</f>
        <v>435782.84010000003</v>
      </c>
      <c r="J37" s="4">
        <f>C37*0</f>
        <v>0</v>
      </c>
      <c r="K37" s="4">
        <f>C37*0</f>
        <v>0</v>
      </c>
      <c r="L37" s="4">
        <f>C37*0</f>
        <v>0</v>
      </c>
      <c r="M37" s="4">
        <f>C37*0</f>
        <v>0</v>
      </c>
      <c r="N37" s="4">
        <f>C37*0.1</f>
        <v>1452609.4670000002</v>
      </c>
      <c r="O37">
        <v>178087.96</v>
      </c>
      <c r="P37">
        <v>261687.11000000002</v>
      </c>
      <c r="Q37">
        <v>15520.73</v>
      </c>
      <c r="R37">
        <v>100374.10999999999</v>
      </c>
    </row>
    <row r="38" spans="1:18" x14ac:dyDescent="0.3">
      <c r="A38" t="s">
        <v>21</v>
      </c>
      <c r="B38">
        <v>2020</v>
      </c>
      <c r="C38" s="4">
        <v>73671138.140000001</v>
      </c>
      <c r="D38" s="4">
        <v>4987286.0900000008</v>
      </c>
      <c r="E38" s="4">
        <v>78658424.230000004</v>
      </c>
      <c r="F38" s="4">
        <f t="shared" si="0"/>
        <v>55253353.605000004</v>
      </c>
      <c r="G38" s="4">
        <f t="shared" ref="G38:G42" si="49">C38*0.07</f>
        <v>5156979.6698000003</v>
      </c>
      <c r="H38" s="4">
        <f t="shared" ref="H38:H42" si="50">C38*0.06</f>
        <v>4420268.2884</v>
      </c>
      <c r="I38" s="4">
        <f t="shared" ref="I38:I42" si="51">C38*0.03</f>
        <v>2210134.1442</v>
      </c>
      <c r="J38" s="4">
        <f t="shared" ref="J38:J42" si="52">C38*0.025</f>
        <v>1841778.4535000001</v>
      </c>
      <c r="K38" s="4">
        <f t="shared" ref="K38:K42" si="53">C38*0.01</f>
        <v>736711.38140000007</v>
      </c>
      <c r="L38" s="4">
        <f t="shared" ref="L38:L42" si="54">C38*0.005</f>
        <v>368355.69070000004</v>
      </c>
      <c r="M38" s="4">
        <f t="shared" ref="M38:M42" si="55">C38*0.05</f>
        <v>3683556.9070000001</v>
      </c>
      <c r="N38" s="4">
        <f t="shared" ref="N38:N42" si="56">C38*0</f>
        <v>0</v>
      </c>
      <c r="O38">
        <v>1433769.5999999999</v>
      </c>
      <c r="P38">
        <v>1958920.7799999998</v>
      </c>
      <c r="Q38">
        <v>10096.34</v>
      </c>
      <c r="R38">
        <v>0</v>
      </c>
    </row>
    <row r="39" spans="1:18" x14ac:dyDescent="0.3">
      <c r="A39" t="s">
        <v>21</v>
      </c>
      <c r="B39">
        <v>2021</v>
      </c>
      <c r="C39" s="4">
        <v>92470678.829999998</v>
      </c>
      <c r="D39" s="4">
        <v>6251290.4699999988</v>
      </c>
      <c r="E39" s="4">
        <v>98721969.300000012</v>
      </c>
      <c r="F39" s="4">
        <f t="shared" si="0"/>
        <v>69353009.122500002</v>
      </c>
      <c r="G39" s="4">
        <f t="shared" si="49"/>
        <v>6472947.5181000009</v>
      </c>
      <c r="H39" s="4">
        <f t="shared" si="50"/>
        <v>5548240.7297999999</v>
      </c>
      <c r="I39" s="4">
        <f t="shared" si="51"/>
        <v>2774120.3648999999</v>
      </c>
      <c r="J39" s="4">
        <f t="shared" si="52"/>
        <v>2311766.9707499999</v>
      </c>
      <c r="K39" s="4">
        <f t="shared" si="53"/>
        <v>924706.78830000001</v>
      </c>
      <c r="L39" s="4">
        <f t="shared" si="54"/>
        <v>462353.39415000001</v>
      </c>
      <c r="M39" s="4">
        <f t="shared" si="55"/>
        <v>4623533.9414999997</v>
      </c>
      <c r="N39" s="4">
        <f t="shared" si="56"/>
        <v>0</v>
      </c>
      <c r="O39">
        <v>1959747.5699999996</v>
      </c>
      <c r="P39">
        <v>2779863.47</v>
      </c>
      <c r="Q39">
        <v>0</v>
      </c>
      <c r="R39">
        <v>0</v>
      </c>
    </row>
    <row r="40" spans="1:18" x14ac:dyDescent="0.3">
      <c r="A40" t="s">
        <v>21</v>
      </c>
      <c r="B40">
        <v>2022</v>
      </c>
      <c r="C40" s="4">
        <v>75941658.950000003</v>
      </c>
      <c r="D40" s="4">
        <v>4229216.18</v>
      </c>
      <c r="E40" s="4">
        <v>80170875.129999995</v>
      </c>
      <c r="F40" s="4">
        <f t="shared" si="0"/>
        <v>56956244.212500006</v>
      </c>
      <c r="G40" s="4">
        <f t="shared" si="49"/>
        <v>5315916.1265000012</v>
      </c>
      <c r="H40" s="4">
        <f t="shared" si="50"/>
        <v>4556499.5369999995</v>
      </c>
      <c r="I40" s="4">
        <f t="shared" si="51"/>
        <v>2278249.7684999998</v>
      </c>
      <c r="J40" s="4">
        <f t="shared" si="52"/>
        <v>1898541.4737500001</v>
      </c>
      <c r="K40" s="4">
        <f t="shared" si="53"/>
        <v>759416.5895</v>
      </c>
      <c r="L40" s="4">
        <f t="shared" si="54"/>
        <v>379708.29475</v>
      </c>
      <c r="M40" s="4">
        <f t="shared" si="55"/>
        <v>3797082.9475000002</v>
      </c>
      <c r="N40" s="4">
        <f t="shared" si="56"/>
        <v>0</v>
      </c>
      <c r="O40">
        <v>881467.12</v>
      </c>
      <c r="P40">
        <v>2029168.2</v>
      </c>
      <c r="Q40">
        <v>34060.990000000005</v>
      </c>
      <c r="R40">
        <v>0</v>
      </c>
    </row>
    <row r="41" spans="1:18" x14ac:dyDescent="0.3">
      <c r="A41" t="s">
        <v>21</v>
      </c>
      <c r="B41">
        <v>2023</v>
      </c>
      <c r="C41" s="4">
        <v>138873465.54999998</v>
      </c>
      <c r="D41" s="4">
        <v>0</v>
      </c>
      <c r="E41" s="4">
        <v>138873465.54999998</v>
      </c>
      <c r="F41" s="4">
        <f t="shared" si="0"/>
        <v>104155099.16249999</v>
      </c>
      <c r="G41" s="4">
        <f t="shared" si="49"/>
        <v>9721142.5885000005</v>
      </c>
      <c r="H41" s="4">
        <f t="shared" si="50"/>
        <v>8332407.9329999983</v>
      </c>
      <c r="I41" s="4">
        <f t="shared" si="51"/>
        <v>4166203.9664999992</v>
      </c>
      <c r="J41" s="4">
        <f t="shared" si="52"/>
        <v>3471836.6387499999</v>
      </c>
      <c r="K41" s="4">
        <f t="shared" si="53"/>
        <v>1388734.6554999999</v>
      </c>
      <c r="L41" s="4">
        <f t="shared" si="54"/>
        <v>694367.32774999994</v>
      </c>
      <c r="M41" s="4">
        <f t="shared" si="55"/>
        <v>6943673.2774999999</v>
      </c>
      <c r="N41" s="4">
        <f t="shared" si="56"/>
        <v>0</v>
      </c>
      <c r="O41">
        <v>1525552.3800000001</v>
      </c>
      <c r="P41">
        <v>2813462.91</v>
      </c>
      <c r="Q41">
        <v>224.64</v>
      </c>
      <c r="R41">
        <v>4122702.19</v>
      </c>
    </row>
    <row r="42" spans="1:18" x14ac:dyDescent="0.3">
      <c r="A42" t="s">
        <v>21</v>
      </c>
      <c r="B42">
        <v>2024</v>
      </c>
      <c r="C42" s="4">
        <v>220752352.81</v>
      </c>
      <c r="D42" s="4">
        <v>0</v>
      </c>
      <c r="E42" s="4">
        <v>220752352.81</v>
      </c>
      <c r="F42" s="4">
        <f t="shared" si="0"/>
        <v>165564264.60750002</v>
      </c>
      <c r="G42" s="4">
        <f t="shared" si="49"/>
        <v>15452664.696700001</v>
      </c>
      <c r="H42" s="4">
        <f t="shared" si="50"/>
        <v>13245141.1686</v>
      </c>
      <c r="I42" s="4">
        <f t="shared" si="51"/>
        <v>6622570.5843000002</v>
      </c>
      <c r="J42" s="4">
        <f t="shared" si="52"/>
        <v>5518808.8202500008</v>
      </c>
      <c r="K42" s="4">
        <f t="shared" si="53"/>
        <v>2207523.5281000002</v>
      </c>
      <c r="L42" s="4">
        <f t="shared" si="54"/>
        <v>1103761.7640500001</v>
      </c>
      <c r="M42" s="4">
        <f t="shared" si="55"/>
        <v>11037617.640500002</v>
      </c>
      <c r="N42" s="4">
        <f t="shared" si="56"/>
        <v>0</v>
      </c>
      <c r="O42">
        <v>2738772.2700000005</v>
      </c>
      <c r="P42">
        <v>4255348.4000000004</v>
      </c>
      <c r="Q42">
        <v>47435.29</v>
      </c>
      <c r="R42">
        <v>87596.38</v>
      </c>
    </row>
    <row r="43" spans="1:18" x14ac:dyDescent="0.3">
      <c r="A43" t="s">
        <v>21</v>
      </c>
      <c r="B43">
        <v>2025</v>
      </c>
      <c r="C43" s="4">
        <v>196009998.61000001</v>
      </c>
      <c r="D43" s="4">
        <v>0</v>
      </c>
      <c r="E43" s="4">
        <v>196009998.61000001</v>
      </c>
      <c r="F43" s="4">
        <f t="shared" si="0"/>
        <v>147007498.95750001</v>
      </c>
      <c r="G43" s="4">
        <f>C43*0.035</f>
        <v>6860349.9513500016</v>
      </c>
      <c r="H43" s="4">
        <f>C43*0.06</f>
        <v>11760599.9166</v>
      </c>
      <c r="I43" s="4">
        <f>C43*0.03</f>
        <v>5880299.9583000001</v>
      </c>
      <c r="J43" s="4">
        <f>C43*0</f>
        <v>0</v>
      </c>
      <c r="K43" s="4">
        <f>C43*0</f>
        <v>0</v>
      </c>
      <c r="L43" s="4">
        <f>C43*0</f>
        <v>0</v>
      </c>
      <c r="M43" s="4">
        <f>C43*0</f>
        <v>0</v>
      </c>
      <c r="N43" s="4">
        <f>C43*0.1</f>
        <v>19600999.861000001</v>
      </c>
      <c r="O43">
        <v>2400736.3199999998</v>
      </c>
      <c r="P43">
        <v>3527704.7</v>
      </c>
      <c r="Q43">
        <v>47291.199999999997</v>
      </c>
      <c r="R43">
        <v>1353105.15</v>
      </c>
    </row>
    <row r="44" spans="1:18" x14ac:dyDescent="0.3">
      <c r="A44" t="s">
        <v>22</v>
      </c>
      <c r="B44">
        <v>2020</v>
      </c>
      <c r="C44" s="4">
        <v>5387145.6699999999</v>
      </c>
      <c r="D44" s="4">
        <v>364694.07</v>
      </c>
      <c r="E44" s="4">
        <v>5751839.7500000009</v>
      </c>
      <c r="F44" s="4">
        <f t="shared" si="0"/>
        <v>4040359.2524999999</v>
      </c>
      <c r="G44" s="4">
        <f t="shared" ref="G44:G48" si="57">C44*0.07</f>
        <v>377100.19690000004</v>
      </c>
      <c r="H44" s="4">
        <f t="shared" ref="H44:H48" si="58">C44*0.06</f>
        <v>323228.7402</v>
      </c>
      <c r="I44" s="4">
        <f t="shared" ref="I44:I48" si="59">C44*0.03</f>
        <v>161614.3701</v>
      </c>
      <c r="J44" s="4">
        <f t="shared" ref="J44:J48" si="60">C44*0.025</f>
        <v>134678.64175000001</v>
      </c>
      <c r="K44" s="4">
        <f t="shared" ref="K44:K48" si="61">C44*0.01</f>
        <v>53871.456700000002</v>
      </c>
      <c r="L44" s="4">
        <f t="shared" ref="L44:L48" si="62">C44*0.005</f>
        <v>26935.728350000001</v>
      </c>
      <c r="M44" s="4">
        <f t="shared" ref="M44:M48" si="63">C44*0.05</f>
        <v>269357.28350000002</v>
      </c>
      <c r="N44" s="4">
        <f t="shared" ref="N44:N48" si="64">C44*0</f>
        <v>0</v>
      </c>
      <c r="O44">
        <v>104844.06</v>
      </c>
      <c r="P44">
        <v>143245.63999999998</v>
      </c>
      <c r="Q44">
        <v>3663.18</v>
      </c>
      <c r="R44">
        <v>0</v>
      </c>
    </row>
    <row r="45" spans="1:18" x14ac:dyDescent="0.3">
      <c r="A45" t="s">
        <v>22</v>
      </c>
      <c r="B45">
        <v>2021</v>
      </c>
      <c r="C45" s="4">
        <v>6940320.5</v>
      </c>
      <c r="D45" s="4">
        <v>469207.26</v>
      </c>
      <c r="E45" s="4">
        <v>7409527.7599999988</v>
      </c>
      <c r="F45" s="4">
        <f t="shared" si="0"/>
        <v>5205240.375</v>
      </c>
      <c r="G45" s="4">
        <f t="shared" si="57"/>
        <v>485822.43500000006</v>
      </c>
      <c r="H45" s="4">
        <f t="shared" si="58"/>
        <v>416419.23</v>
      </c>
      <c r="I45" s="4">
        <f t="shared" si="59"/>
        <v>208209.61499999999</v>
      </c>
      <c r="J45" s="4">
        <f t="shared" si="60"/>
        <v>173508.01250000001</v>
      </c>
      <c r="K45" s="4">
        <f t="shared" si="61"/>
        <v>69403.205000000002</v>
      </c>
      <c r="L45" s="4">
        <f t="shared" si="62"/>
        <v>34701.602500000001</v>
      </c>
      <c r="M45" s="4">
        <f t="shared" si="63"/>
        <v>347016.02500000002</v>
      </c>
      <c r="N45" s="4">
        <f t="shared" si="64"/>
        <v>0</v>
      </c>
      <c r="O45">
        <v>147094.21999999997</v>
      </c>
      <c r="P45">
        <v>208650.27000000002</v>
      </c>
      <c r="Q45">
        <v>0</v>
      </c>
      <c r="R45">
        <v>0</v>
      </c>
    </row>
    <row r="46" spans="1:18" x14ac:dyDescent="0.3">
      <c r="A46" t="s">
        <v>22</v>
      </c>
      <c r="B46">
        <v>2022</v>
      </c>
      <c r="C46" s="4">
        <v>7748293.6699999999</v>
      </c>
      <c r="D46" s="4">
        <v>440724.05999999994</v>
      </c>
      <c r="E46" s="4">
        <v>8189017.7299999986</v>
      </c>
      <c r="F46" s="4">
        <f t="shared" si="0"/>
        <v>5811220.2524999995</v>
      </c>
      <c r="G46" s="4">
        <f t="shared" si="57"/>
        <v>542380.55690000008</v>
      </c>
      <c r="H46" s="4">
        <f t="shared" si="58"/>
        <v>464897.6202</v>
      </c>
      <c r="I46" s="4">
        <f t="shared" si="59"/>
        <v>232448.8101</v>
      </c>
      <c r="J46" s="4">
        <f t="shared" si="60"/>
        <v>193707.34175000002</v>
      </c>
      <c r="K46" s="4">
        <f t="shared" si="61"/>
        <v>77482.936700000006</v>
      </c>
      <c r="L46" s="4">
        <f t="shared" si="62"/>
        <v>38741.468350000003</v>
      </c>
      <c r="M46" s="4">
        <f t="shared" si="63"/>
        <v>387414.68350000004</v>
      </c>
      <c r="N46" s="4">
        <f t="shared" si="64"/>
        <v>0</v>
      </c>
      <c r="O46">
        <v>87932.35</v>
      </c>
      <c r="P46">
        <v>207773.50999999998</v>
      </c>
      <c r="Q46">
        <v>12137.380000000001</v>
      </c>
      <c r="R46">
        <v>0</v>
      </c>
    </row>
    <row r="47" spans="1:18" x14ac:dyDescent="0.3">
      <c r="A47" t="s">
        <v>22</v>
      </c>
      <c r="B47">
        <v>2023</v>
      </c>
      <c r="C47" s="4">
        <v>8164043.540000001</v>
      </c>
      <c r="D47" s="4">
        <v>0</v>
      </c>
      <c r="E47" s="4">
        <v>8164043.540000001</v>
      </c>
      <c r="F47" s="4">
        <f t="shared" si="0"/>
        <v>6123032.6550000012</v>
      </c>
      <c r="G47" s="4">
        <f t="shared" si="57"/>
        <v>571483.04780000017</v>
      </c>
      <c r="H47" s="4">
        <f t="shared" si="58"/>
        <v>489842.61240000004</v>
      </c>
      <c r="I47" s="4">
        <f t="shared" si="59"/>
        <v>244921.30620000002</v>
      </c>
      <c r="J47" s="4">
        <f t="shared" si="60"/>
        <v>204101.08850000004</v>
      </c>
      <c r="K47" s="4">
        <f t="shared" si="61"/>
        <v>81640.435400000017</v>
      </c>
      <c r="L47" s="4">
        <f t="shared" si="62"/>
        <v>40820.217700000008</v>
      </c>
      <c r="M47" s="4">
        <f t="shared" si="63"/>
        <v>408202.17700000008</v>
      </c>
      <c r="N47" s="4">
        <f t="shared" si="64"/>
        <v>0</v>
      </c>
      <c r="O47">
        <v>93074.50999999998</v>
      </c>
      <c r="P47">
        <v>165340.08999999997</v>
      </c>
      <c r="Q47">
        <v>79.900000000000006</v>
      </c>
      <c r="R47">
        <v>242280.79</v>
      </c>
    </row>
    <row r="48" spans="1:18" x14ac:dyDescent="0.3">
      <c r="A48" t="s">
        <v>22</v>
      </c>
      <c r="B48">
        <v>2024</v>
      </c>
      <c r="C48" s="4">
        <v>9755662.6500000004</v>
      </c>
      <c r="D48" s="4">
        <v>0</v>
      </c>
      <c r="E48" s="4">
        <v>9755662.6500000004</v>
      </c>
      <c r="F48" s="4">
        <f t="shared" si="0"/>
        <v>7316746.9875000007</v>
      </c>
      <c r="G48" s="4">
        <f t="shared" si="57"/>
        <v>682896.38550000009</v>
      </c>
      <c r="H48" s="4">
        <f t="shared" si="58"/>
        <v>585339.75899999996</v>
      </c>
      <c r="I48" s="4">
        <f t="shared" si="59"/>
        <v>292669.87949999998</v>
      </c>
      <c r="J48" s="4">
        <f t="shared" si="60"/>
        <v>243891.56625000003</v>
      </c>
      <c r="K48" s="4">
        <f t="shared" si="61"/>
        <v>97556.626499999998</v>
      </c>
      <c r="L48" s="4">
        <f t="shared" si="62"/>
        <v>48778.313249999999</v>
      </c>
      <c r="M48" s="4">
        <f t="shared" si="63"/>
        <v>487783.13250000007</v>
      </c>
      <c r="N48" s="4">
        <f t="shared" si="64"/>
        <v>0</v>
      </c>
      <c r="O48">
        <v>121008.03</v>
      </c>
      <c r="P48">
        <v>188015.39000000004</v>
      </c>
      <c r="Q48">
        <v>16650.12</v>
      </c>
      <c r="R48">
        <v>5147.79</v>
      </c>
    </row>
    <row r="49" spans="1:18" x14ac:dyDescent="0.3">
      <c r="A49" t="s">
        <v>22</v>
      </c>
      <c r="B49">
        <v>2025</v>
      </c>
      <c r="C49" s="4">
        <v>13396078.99</v>
      </c>
      <c r="D49" s="4">
        <v>0</v>
      </c>
      <c r="E49" s="4">
        <v>13396078.99</v>
      </c>
      <c r="F49" s="4">
        <f t="shared" si="0"/>
        <v>10047059.2425</v>
      </c>
      <c r="G49" s="4">
        <f>C49*0.035</f>
        <v>468862.76465000003</v>
      </c>
      <c r="H49" s="4">
        <f>C49*0.06</f>
        <v>803764.73939999996</v>
      </c>
      <c r="I49" s="4">
        <f>C49*0.03</f>
        <v>401882.36969999998</v>
      </c>
      <c r="J49" s="4">
        <f>C49*0</f>
        <v>0</v>
      </c>
      <c r="K49" s="4">
        <f>C49*0</f>
        <v>0</v>
      </c>
      <c r="L49" s="4">
        <f>C49*0</f>
        <v>0</v>
      </c>
      <c r="M49" s="4">
        <f>C49*0</f>
        <v>0</v>
      </c>
      <c r="N49" s="4">
        <f>C49*0.1</f>
        <v>1339607.8990000002</v>
      </c>
      <c r="O49">
        <v>164282.69999999998</v>
      </c>
      <c r="P49">
        <v>241401.28999999998</v>
      </c>
      <c r="Q49">
        <v>15368.09</v>
      </c>
      <c r="R49">
        <v>92593.16</v>
      </c>
    </row>
    <row r="50" spans="1:18" x14ac:dyDescent="0.3">
      <c r="A50" t="s">
        <v>23</v>
      </c>
      <c r="B50">
        <v>2020</v>
      </c>
      <c r="C50" s="4">
        <v>92956560.480000004</v>
      </c>
      <c r="D50" s="4">
        <v>6293764.8199999994</v>
      </c>
      <c r="E50" s="4">
        <v>99250325.299999982</v>
      </c>
      <c r="F50" s="4">
        <f t="shared" si="0"/>
        <v>69717420.359999999</v>
      </c>
      <c r="G50" s="4">
        <f t="shared" ref="G50:G54" si="65">C50*0.07</f>
        <v>6506959.2336000009</v>
      </c>
      <c r="H50" s="4">
        <f t="shared" ref="H50:H54" si="66">C50*0.06</f>
        <v>5577393.6288000001</v>
      </c>
      <c r="I50" s="4">
        <f t="shared" ref="I50:I54" si="67">C50*0.03</f>
        <v>2788696.8144</v>
      </c>
      <c r="J50" s="4">
        <f t="shared" ref="J50:J54" si="68">C50*0.025</f>
        <v>2323914.0120000001</v>
      </c>
      <c r="K50" s="4">
        <f t="shared" ref="K50:K54" si="69">C50*0.01</f>
        <v>929565.60480000009</v>
      </c>
      <c r="L50" s="4">
        <f t="shared" ref="L50:L54" si="70">C50*0.005</f>
        <v>464782.80240000004</v>
      </c>
      <c r="M50" s="4">
        <f t="shared" ref="M50:M54" si="71">C50*0.05</f>
        <v>4647828.0240000002</v>
      </c>
      <c r="N50" s="4">
        <f t="shared" ref="N50:N54" si="72">C50*0</f>
        <v>0</v>
      </c>
      <c r="O50">
        <v>1809370.73</v>
      </c>
      <c r="P50">
        <v>2472094.5100000002</v>
      </c>
      <c r="Q50">
        <v>26923.77</v>
      </c>
      <c r="R50">
        <v>0</v>
      </c>
    </row>
    <row r="51" spans="1:18" x14ac:dyDescent="0.3">
      <c r="A51" t="s">
        <v>23</v>
      </c>
      <c r="B51">
        <v>2021</v>
      </c>
      <c r="C51" s="4">
        <v>184250929.10000002</v>
      </c>
      <c r="D51" s="4">
        <v>12463922.41</v>
      </c>
      <c r="E51" s="4">
        <v>196714851.50999996</v>
      </c>
      <c r="F51" s="4">
        <f t="shared" si="0"/>
        <v>138188196.82500002</v>
      </c>
      <c r="G51" s="4">
        <f t="shared" si="65"/>
        <v>12897565.037000002</v>
      </c>
      <c r="H51" s="4">
        <f t="shared" si="66"/>
        <v>11055055.746000001</v>
      </c>
      <c r="I51" s="4">
        <f t="shared" si="67"/>
        <v>5527527.8730000006</v>
      </c>
      <c r="J51" s="4">
        <f t="shared" si="68"/>
        <v>4606273.227500001</v>
      </c>
      <c r="K51" s="4">
        <f t="shared" si="69"/>
        <v>1842509.2910000002</v>
      </c>
      <c r="L51" s="4">
        <f t="shared" si="70"/>
        <v>921254.6455000001</v>
      </c>
      <c r="M51" s="4">
        <f t="shared" si="71"/>
        <v>9212546.4550000019</v>
      </c>
      <c r="N51" s="4">
        <f t="shared" si="72"/>
        <v>0</v>
      </c>
      <c r="O51">
        <v>3907425.9000000004</v>
      </c>
      <c r="P51">
        <v>5542606.9400000004</v>
      </c>
      <c r="Q51">
        <v>0</v>
      </c>
      <c r="R51">
        <v>0</v>
      </c>
    </row>
    <row r="52" spans="1:18" x14ac:dyDescent="0.3">
      <c r="A52" t="s">
        <v>23</v>
      </c>
      <c r="B52">
        <v>2022</v>
      </c>
      <c r="C52" s="4">
        <v>208817743.67000002</v>
      </c>
      <c r="D52" s="4">
        <v>11887597.559999999</v>
      </c>
      <c r="E52" s="4">
        <v>220705341.22999999</v>
      </c>
      <c r="F52" s="4">
        <f t="shared" si="0"/>
        <v>156613307.7525</v>
      </c>
      <c r="G52" s="4">
        <f t="shared" si="65"/>
        <v>14617242.056900002</v>
      </c>
      <c r="H52" s="4">
        <f t="shared" si="66"/>
        <v>12529064.620200001</v>
      </c>
      <c r="I52" s="4">
        <f t="shared" si="67"/>
        <v>6264532.3101000004</v>
      </c>
      <c r="J52" s="4">
        <f t="shared" si="68"/>
        <v>5220443.5917500006</v>
      </c>
      <c r="K52" s="4">
        <f t="shared" si="69"/>
        <v>2088177.4367000002</v>
      </c>
      <c r="L52" s="4">
        <f t="shared" si="70"/>
        <v>1044088.7183500001</v>
      </c>
      <c r="M52" s="4">
        <f t="shared" si="71"/>
        <v>10440887.183500001</v>
      </c>
      <c r="N52" s="4">
        <f t="shared" si="72"/>
        <v>0</v>
      </c>
      <c r="O52">
        <v>2367658.2799999998</v>
      </c>
      <c r="P52">
        <v>5600372.1699999999</v>
      </c>
      <c r="Q52">
        <v>94127.790000000008</v>
      </c>
      <c r="R52">
        <v>0</v>
      </c>
    </row>
    <row r="53" spans="1:18" x14ac:dyDescent="0.3">
      <c r="A53" t="s">
        <v>23</v>
      </c>
      <c r="B53">
        <v>2023</v>
      </c>
      <c r="C53" s="4">
        <v>129019118.73999999</v>
      </c>
      <c r="D53" s="4">
        <v>0</v>
      </c>
      <c r="E53" s="4">
        <v>129019118.73999999</v>
      </c>
      <c r="F53" s="4">
        <f t="shared" si="0"/>
        <v>96764339.054999992</v>
      </c>
      <c r="G53" s="4">
        <f t="shared" si="65"/>
        <v>9031338.3118000012</v>
      </c>
      <c r="H53" s="4">
        <f t="shared" si="66"/>
        <v>7741147.1243999992</v>
      </c>
      <c r="I53" s="4">
        <f t="shared" si="67"/>
        <v>3870573.5621999996</v>
      </c>
      <c r="J53" s="4">
        <f t="shared" si="68"/>
        <v>3225477.9685</v>
      </c>
      <c r="K53" s="4">
        <f t="shared" si="69"/>
        <v>1290191.1873999999</v>
      </c>
      <c r="L53" s="4">
        <f t="shared" si="70"/>
        <v>645095.59369999997</v>
      </c>
      <c r="M53" s="4">
        <f t="shared" si="71"/>
        <v>6450955.9369999999</v>
      </c>
      <c r="N53" s="4">
        <f t="shared" si="72"/>
        <v>0</v>
      </c>
      <c r="O53">
        <v>1557240.9700000002</v>
      </c>
      <c r="P53">
        <v>2611479.8400000003</v>
      </c>
      <c r="Q53">
        <v>621.04999999999995</v>
      </c>
      <c r="R53">
        <v>3826726.74</v>
      </c>
    </row>
    <row r="54" spans="1:18" x14ac:dyDescent="0.3">
      <c r="A54" t="s">
        <v>23</v>
      </c>
      <c r="B54">
        <v>2024</v>
      </c>
      <c r="C54" s="4">
        <v>196477667.26999998</v>
      </c>
      <c r="D54" s="4">
        <v>0</v>
      </c>
      <c r="E54" s="4">
        <v>196477667.26999998</v>
      </c>
      <c r="F54" s="4">
        <f t="shared" si="0"/>
        <v>147358250.45249999</v>
      </c>
      <c r="G54" s="4">
        <f t="shared" si="65"/>
        <v>13753436.708900001</v>
      </c>
      <c r="H54" s="4">
        <f t="shared" si="66"/>
        <v>11788660.036199998</v>
      </c>
      <c r="I54" s="4">
        <f t="shared" si="67"/>
        <v>5894330.0180999991</v>
      </c>
      <c r="J54" s="4">
        <f t="shared" si="68"/>
        <v>4911941.6817499995</v>
      </c>
      <c r="K54" s="4">
        <f t="shared" si="69"/>
        <v>1964776.6726999998</v>
      </c>
      <c r="L54" s="4">
        <f t="shared" si="70"/>
        <v>982388.33634999988</v>
      </c>
      <c r="M54" s="4">
        <f t="shared" si="71"/>
        <v>9823883.363499999</v>
      </c>
      <c r="N54" s="4">
        <f t="shared" si="72"/>
        <v>0</v>
      </c>
      <c r="O54">
        <v>2437539.4899999998</v>
      </c>
      <c r="P54">
        <v>3787310.0799999996</v>
      </c>
      <c r="Q54">
        <v>126523.67</v>
      </c>
      <c r="R54">
        <v>81307.599999999991</v>
      </c>
    </row>
    <row r="55" spans="1:18" x14ac:dyDescent="0.3">
      <c r="A55" t="s">
        <v>23</v>
      </c>
      <c r="B55">
        <v>2025</v>
      </c>
      <c r="C55" s="4">
        <v>252202165.84999999</v>
      </c>
      <c r="D55" s="4">
        <v>0</v>
      </c>
      <c r="E55" s="4">
        <v>252202165.84999999</v>
      </c>
      <c r="F55" s="4">
        <f t="shared" si="0"/>
        <v>189151624.38749999</v>
      </c>
      <c r="G55" s="4">
        <f>C55*0.035</f>
        <v>8827075.8047500011</v>
      </c>
      <c r="H55" s="4">
        <f>C55*0.06</f>
        <v>15132129.950999999</v>
      </c>
      <c r="I55" s="4">
        <f>C55*0.03</f>
        <v>7566064.9754999997</v>
      </c>
      <c r="J55" s="4">
        <f>C55*0</f>
        <v>0</v>
      </c>
      <c r="K55" s="4">
        <f>C55*0</f>
        <v>0</v>
      </c>
      <c r="L55" s="4">
        <f>C55*0</f>
        <v>0</v>
      </c>
      <c r="M55" s="4">
        <f>C55*0</f>
        <v>0</v>
      </c>
      <c r="N55" s="4">
        <f>C55*0.1</f>
        <v>25220216.585000001</v>
      </c>
      <c r="O55">
        <v>3092380.3</v>
      </c>
      <c r="P55">
        <v>4544024.47</v>
      </c>
      <c r="Q55">
        <v>118005.79</v>
      </c>
      <c r="R55">
        <v>1742930.1500000001</v>
      </c>
    </row>
    <row r="56" spans="1:18" x14ac:dyDescent="0.3">
      <c r="A56" t="s">
        <v>24</v>
      </c>
      <c r="B56">
        <v>2020</v>
      </c>
      <c r="C56" s="4">
        <v>10524055.319999998</v>
      </c>
      <c r="D56" s="4">
        <v>712468.64999999991</v>
      </c>
      <c r="E56" s="4">
        <v>11236523.970000001</v>
      </c>
      <c r="F56" s="4">
        <f t="shared" si="0"/>
        <v>7893041.4899999984</v>
      </c>
      <c r="G56" s="4">
        <f t="shared" ref="G56:G60" si="73">C56*0.07</f>
        <v>736683.87239999999</v>
      </c>
      <c r="H56" s="4">
        <f t="shared" ref="H56:H60" si="74">C56*0.06</f>
        <v>631443.31919999991</v>
      </c>
      <c r="I56" s="4">
        <f t="shared" ref="I56:I60" si="75">C56*0.03</f>
        <v>315721.65959999996</v>
      </c>
      <c r="J56" s="4">
        <f t="shared" ref="J56:J60" si="76">C56*0.025</f>
        <v>263101.38299999997</v>
      </c>
      <c r="K56" s="4">
        <f t="shared" ref="K56:K60" si="77">C56*0.01</f>
        <v>105240.55319999998</v>
      </c>
      <c r="L56" s="4">
        <f t="shared" ref="L56:L60" si="78">C56*0.005</f>
        <v>52620.27659999999</v>
      </c>
      <c r="M56" s="4">
        <f t="shared" ref="M56:M60" si="79">C56*0.05</f>
        <v>526202.76599999995</v>
      </c>
      <c r="N56" s="4">
        <f t="shared" ref="N56:N60" si="80">C56*0</f>
        <v>0</v>
      </c>
      <c r="O56">
        <v>204824.25</v>
      </c>
      <c r="P56">
        <v>279845.83</v>
      </c>
      <c r="Q56">
        <v>5116.78</v>
      </c>
      <c r="R56">
        <v>0</v>
      </c>
    </row>
    <row r="57" spans="1:18" x14ac:dyDescent="0.3">
      <c r="A57" t="s">
        <v>24</v>
      </c>
      <c r="B57">
        <v>2021</v>
      </c>
      <c r="C57" s="4">
        <v>13133962.540000003</v>
      </c>
      <c r="D57" s="4">
        <v>887885.56</v>
      </c>
      <c r="E57" s="4">
        <v>14021848.1</v>
      </c>
      <c r="F57" s="4">
        <f t="shared" si="0"/>
        <v>9850471.9050000012</v>
      </c>
      <c r="G57" s="4">
        <f t="shared" si="73"/>
        <v>919377.37780000025</v>
      </c>
      <c r="H57" s="4">
        <f t="shared" si="74"/>
        <v>788037.75240000011</v>
      </c>
      <c r="I57" s="4">
        <f t="shared" si="75"/>
        <v>394018.87620000006</v>
      </c>
      <c r="J57" s="4">
        <f t="shared" si="76"/>
        <v>328349.06350000011</v>
      </c>
      <c r="K57" s="4">
        <f t="shared" si="77"/>
        <v>131339.62540000002</v>
      </c>
      <c r="L57" s="4">
        <f t="shared" si="78"/>
        <v>65669.812700000009</v>
      </c>
      <c r="M57" s="4">
        <f t="shared" si="79"/>
        <v>656698.12700000021</v>
      </c>
      <c r="N57" s="4">
        <f t="shared" si="80"/>
        <v>0</v>
      </c>
      <c r="O57">
        <v>278347.52000000002</v>
      </c>
      <c r="P57">
        <v>394830.46999999991</v>
      </c>
      <c r="Q57">
        <v>0</v>
      </c>
      <c r="R57">
        <v>0</v>
      </c>
    </row>
    <row r="58" spans="1:18" x14ac:dyDescent="0.3">
      <c r="A58" t="s">
        <v>24</v>
      </c>
      <c r="B58">
        <v>2022</v>
      </c>
      <c r="C58" s="4">
        <v>15557398.639999999</v>
      </c>
      <c r="D58" s="4">
        <v>887870.34</v>
      </c>
      <c r="E58" s="4">
        <v>16445268.979999999</v>
      </c>
      <c r="F58" s="4">
        <f t="shared" si="0"/>
        <v>11668048.979999999</v>
      </c>
      <c r="G58" s="4">
        <f t="shared" si="73"/>
        <v>1089017.9047999999</v>
      </c>
      <c r="H58" s="4">
        <f t="shared" si="74"/>
        <v>933443.91839999985</v>
      </c>
      <c r="I58" s="4">
        <f t="shared" si="75"/>
        <v>466721.95919999992</v>
      </c>
      <c r="J58" s="4">
        <f t="shared" si="76"/>
        <v>388934.96600000001</v>
      </c>
      <c r="K58" s="4">
        <f t="shared" si="77"/>
        <v>155573.98639999999</v>
      </c>
      <c r="L58" s="4">
        <f t="shared" si="78"/>
        <v>77786.993199999997</v>
      </c>
      <c r="M58" s="4">
        <f t="shared" si="79"/>
        <v>777869.93200000003</v>
      </c>
      <c r="N58" s="4">
        <f t="shared" si="80"/>
        <v>0</v>
      </c>
      <c r="O58">
        <v>175910.57000000004</v>
      </c>
      <c r="P58">
        <v>417414.75</v>
      </c>
      <c r="Q58">
        <v>17172.86</v>
      </c>
      <c r="R58">
        <v>0</v>
      </c>
    </row>
    <row r="59" spans="1:18" x14ac:dyDescent="0.3">
      <c r="A59" t="s">
        <v>24</v>
      </c>
      <c r="B59">
        <v>2023</v>
      </c>
      <c r="C59" s="4">
        <v>15622663.020000001</v>
      </c>
      <c r="D59" s="4">
        <v>0</v>
      </c>
      <c r="E59" s="4">
        <v>15622663.020000001</v>
      </c>
      <c r="F59" s="4">
        <f t="shared" si="0"/>
        <v>11716997.265000001</v>
      </c>
      <c r="G59" s="4">
        <f t="shared" si="73"/>
        <v>1093586.4114000001</v>
      </c>
      <c r="H59" s="4">
        <f t="shared" si="74"/>
        <v>937359.78120000008</v>
      </c>
      <c r="I59" s="4">
        <f t="shared" si="75"/>
        <v>468679.89060000004</v>
      </c>
      <c r="J59" s="4">
        <f t="shared" si="76"/>
        <v>390566.57550000004</v>
      </c>
      <c r="K59" s="4">
        <f t="shared" si="77"/>
        <v>156226.63020000001</v>
      </c>
      <c r="L59" s="4">
        <f t="shared" si="78"/>
        <v>78113.315100000007</v>
      </c>
      <c r="M59" s="4">
        <f t="shared" si="79"/>
        <v>781133.15100000007</v>
      </c>
      <c r="N59" s="4">
        <f t="shared" si="80"/>
        <v>0</v>
      </c>
      <c r="O59">
        <v>178899.80000000002</v>
      </c>
      <c r="P59">
        <v>316380.51000000007</v>
      </c>
      <c r="Q59">
        <v>113.2</v>
      </c>
      <c r="R59">
        <v>463607.55</v>
      </c>
    </row>
    <row r="60" spans="1:18" x14ac:dyDescent="0.3">
      <c r="A60" t="s">
        <v>24</v>
      </c>
      <c r="B60">
        <v>2024</v>
      </c>
      <c r="C60" s="4">
        <v>16814553.010000002</v>
      </c>
      <c r="D60" s="4">
        <v>0</v>
      </c>
      <c r="E60" s="4">
        <v>16814553.010000002</v>
      </c>
      <c r="F60" s="4">
        <f t="shared" si="0"/>
        <v>12610914.7575</v>
      </c>
      <c r="G60" s="4">
        <f t="shared" si="73"/>
        <v>1177018.7107000002</v>
      </c>
      <c r="H60" s="4">
        <f t="shared" si="74"/>
        <v>1008873.1806000001</v>
      </c>
      <c r="I60" s="4">
        <f t="shared" si="75"/>
        <v>504436.59030000004</v>
      </c>
      <c r="J60" s="4">
        <f t="shared" si="76"/>
        <v>420363.82525000005</v>
      </c>
      <c r="K60" s="4">
        <f t="shared" si="77"/>
        <v>168145.53010000003</v>
      </c>
      <c r="L60" s="4">
        <f t="shared" si="78"/>
        <v>84072.765050000016</v>
      </c>
      <c r="M60" s="4">
        <f t="shared" si="79"/>
        <v>840727.65050000011</v>
      </c>
      <c r="N60" s="4">
        <f t="shared" si="80"/>
        <v>0</v>
      </c>
      <c r="O60">
        <v>208545.75</v>
      </c>
      <c r="P60">
        <v>324026.53000000003</v>
      </c>
      <c r="Q60">
        <v>22982.03</v>
      </c>
      <c r="R60">
        <v>9850.33</v>
      </c>
    </row>
    <row r="61" spans="1:18" x14ac:dyDescent="0.3">
      <c r="A61" t="s">
        <v>24</v>
      </c>
      <c r="B61">
        <v>2025</v>
      </c>
      <c r="C61" s="4">
        <v>22234952.289999999</v>
      </c>
      <c r="D61" s="4">
        <v>0</v>
      </c>
      <c r="E61" s="4">
        <v>22234952.289999999</v>
      </c>
      <c r="F61" s="4">
        <f t="shared" si="0"/>
        <v>16676214.217499999</v>
      </c>
      <c r="G61" s="4">
        <f>C61*0.035</f>
        <v>778223.33015000005</v>
      </c>
      <c r="H61" s="4">
        <f>C61*0.06</f>
        <v>1334097.1373999999</v>
      </c>
      <c r="I61" s="4">
        <f>C61*0.03</f>
        <v>667048.56869999995</v>
      </c>
      <c r="J61" s="4">
        <f>C61*0</f>
        <v>0</v>
      </c>
      <c r="K61" s="4">
        <f>C61*0</f>
        <v>0</v>
      </c>
      <c r="L61" s="4">
        <f>C61*0</f>
        <v>0</v>
      </c>
      <c r="M61" s="4">
        <f>C61*0</f>
        <v>0</v>
      </c>
      <c r="N61" s="4">
        <f>C61*0.1</f>
        <v>2223495.2289999998</v>
      </c>
      <c r="O61">
        <v>272654.06</v>
      </c>
      <c r="P61">
        <v>400645.03</v>
      </c>
      <c r="Q61">
        <v>21091.96</v>
      </c>
      <c r="R61">
        <v>153673.51999999999</v>
      </c>
    </row>
    <row r="62" spans="1:18" x14ac:dyDescent="0.3">
      <c r="A62" t="s">
        <v>25</v>
      </c>
      <c r="B62">
        <v>2020</v>
      </c>
      <c r="C62" s="4">
        <v>19245207.819999997</v>
      </c>
      <c r="D62" s="4">
        <v>1302750.0499999998</v>
      </c>
      <c r="E62" s="4">
        <v>20547957.870000001</v>
      </c>
      <c r="F62" s="4">
        <f t="shared" si="0"/>
        <v>14433905.864999998</v>
      </c>
      <c r="G62" s="4">
        <f t="shared" ref="G62:G66" si="81">C62*0.07</f>
        <v>1347164.5473999998</v>
      </c>
      <c r="H62" s="4">
        <f t="shared" ref="H62:H66" si="82">C62*0.06</f>
        <v>1154712.4691999997</v>
      </c>
      <c r="I62" s="4">
        <f t="shared" ref="I62:I66" si="83">C62*0.03</f>
        <v>577356.23459999985</v>
      </c>
      <c r="J62" s="4">
        <f t="shared" ref="J62:J66" si="84">C62*0.025</f>
        <v>481130.19549999991</v>
      </c>
      <c r="K62" s="4">
        <f t="shared" ref="K62:K66" si="85">C62*0.01</f>
        <v>192452.07819999996</v>
      </c>
      <c r="L62" s="4">
        <f t="shared" ref="L62:L66" si="86">C62*0.005</f>
        <v>96226.03909999998</v>
      </c>
      <c r="M62" s="4">
        <f t="shared" ref="M62:M66" si="87">C62*0.05</f>
        <v>962260.39099999983</v>
      </c>
      <c r="N62" s="4">
        <f t="shared" ref="N62:N66" si="88">C62*0</f>
        <v>0</v>
      </c>
      <c r="O62">
        <v>374520.29000000004</v>
      </c>
      <c r="P62">
        <v>511696.99000000005</v>
      </c>
      <c r="Q62">
        <v>11261.27</v>
      </c>
      <c r="R62">
        <v>0</v>
      </c>
    </row>
    <row r="63" spans="1:18" x14ac:dyDescent="0.3">
      <c r="A63" t="s">
        <v>25</v>
      </c>
      <c r="B63">
        <v>2021</v>
      </c>
      <c r="C63" s="4">
        <v>23457052.240000002</v>
      </c>
      <c r="D63" s="4">
        <v>1585683.0799999998</v>
      </c>
      <c r="E63" s="4">
        <v>25042735.320000004</v>
      </c>
      <c r="F63" s="4">
        <f t="shared" si="0"/>
        <v>17592789.18</v>
      </c>
      <c r="G63" s="4">
        <f t="shared" si="81"/>
        <v>1641993.6568000002</v>
      </c>
      <c r="H63" s="4">
        <f t="shared" si="82"/>
        <v>1407423.1344000001</v>
      </c>
      <c r="I63" s="4">
        <f t="shared" si="83"/>
        <v>703711.56720000005</v>
      </c>
      <c r="J63" s="4">
        <f t="shared" si="84"/>
        <v>586426.3060000001</v>
      </c>
      <c r="K63" s="4">
        <f t="shared" si="85"/>
        <v>234570.52240000002</v>
      </c>
      <c r="L63" s="4">
        <f t="shared" si="86"/>
        <v>117285.26120000001</v>
      </c>
      <c r="M63" s="4">
        <f t="shared" si="87"/>
        <v>1172852.6120000002</v>
      </c>
      <c r="N63" s="4">
        <f t="shared" si="88"/>
        <v>0</v>
      </c>
      <c r="O63">
        <v>497103.0199999999</v>
      </c>
      <c r="P63">
        <v>705130.88</v>
      </c>
      <c r="Q63">
        <v>0</v>
      </c>
      <c r="R63">
        <v>0</v>
      </c>
    </row>
    <row r="64" spans="1:18" x14ac:dyDescent="0.3">
      <c r="A64" t="s">
        <v>25</v>
      </c>
      <c r="B64">
        <v>2022</v>
      </c>
      <c r="C64" s="4">
        <v>26880252.430000003</v>
      </c>
      <c r="D64" s="4">
        <v>1531251.3900000001</v>
      </c>
      <c r="E64" s="4">
        <v>28411503.820000004</v>
      </c>
      <c r="F64" s="4">
        <f t="shared" si="0"/>
        <v>20160189.322500002</v>
      </c>
      <c r="G64" s="4">
        <f t="shared" si="81"/>
        <v>1881617.6701000005</v>
      </c>
      <c r="H64" s="4">
        <f t="shared" si="82"/>
        <v>1612815.1458000001</v>
      </c>
      <c r="I64" s="4">
        <f t="shared" si="83"/>
        <v>806407.57290000003</v>
      </c>
      <c r="J64" s="4">
        <f t="shared" si="84"/>
        <v>672006.31075000018</v>
      </c>
      <c r="K64" s="4">
        <f t="shared" si="85"/>
        <v>268802.52430000005</v>
      </c>
      <c r="L64" s="4">
        <f t="shared" si="86"/>
        <v>134401.26215000002</v>
      </c>
      <c r="M64" s="4">
        <f t="shared" si="87"/>
        <v>1344012.6215000004</v>
      </c>
      <c r="N64" s="4">
        <f t="shared" si="88"/>
        <v>0</v>
      </c>
      <c r="O64">
        <v>304553.01</v>
      </c>
      <c r="P64">
        <v>720987.71</v>
      </c>
      <c r="Q64">
        <v>37453.82</v>
      </c>
      <c r="R64">
        <v>0</v>
      </c>
    </row>
    <row r="65" spans="1:18" x14ac:dyDescent="0.3">
      <c r="A65" t="s">
        <v>25</v>
      </c>
      <c r="B65">
        <v>2023</v>
      </c>
      <c r="C65" s="4">
        <v>26788130.600000005</v>
      </c>
      <c r="D65" s="4">
        <v>0</v>
      </c>
      <c r="E65" s="4">
        <v>26788130.600000005</v>
      </c>
      <c r="F65" s="4">
        <f t="shared" si="0"/>
        <v>20091097.950000003</v>
      </c>
      <c r="G65" s="4">
        <f t="shared" si="81"/>
        <v>1875169.1420000005</v>
      </c>
      <c r="H65" s="4">
        <f t="shared" si="82"/>
        <v>1607287.8360000004</v>
      </c>
      <c r="I65" s="4">
        <f t="shared" si="83"/>
        <v>803643.91800000018</v>
      </c>
      <c r="J65" s="4">
        <f t="shared" si="84"/>
        <v>669703.26500000013</v>
      </c>
      <c r="K65" s="4">
        <f t="shared" si="85"/>
        <v>267881.30600000004</v>
      </c>
      <c r="L65" s="4">
        <f t="shared" si="86"/>
        <v>133940.65300000002</v>
      </c>
      <c r="M65" s="4">
        <f t="shared" si="87"/>
        <v>1339406.5300000003</v>
      </c>
      <c r="N65" s="4">
        <f t="shared" si="88"/>
        <v>0</v>
      </c>
      <c r="O65">
        <v>306901.69</v>
      </c>
      <c r="P65">
        <v>542494.24000000011</v>
      </c>
      <c r="Q65">
        <v>246.64</v>
      </c>
      <c r="R65">
        <v>794942.9</v>
      </c>
    </row>
    <row r="66" spans="1:18" x14ac:dyDescent="0.3">
      <c r="A66" t="s">
        <v>25</v>
      </c>
      <c r="B66">
        <v>2024</v>
      </c>
      <c r="C66" s="4">
        <v>30772919.649999999</v>
      </c>
      <c r="D66" s="4">
        <v>0</v>
      </c>
      <c r="E66" s="4">
        <v>30772919.649999999</v>
      </c>
      <c r="F66" s="4">
        <f t="shared" si="0"/>
        <v>23079689.737499997</v>
      </c>
      <c r="G66" s="4">
        <f t="shared" si="81"/>
        <v>2154104.3755000001</v>
      </c>
      <c r="H66" s="4">
        <f t="shared" si="82"/>
        <v>1846375.1789999998</v>
      </c>
      <c r="I66" s="4">
        <f t="shared" si="83"/>
        <v>923187.58949999989</v>
      </c>
      <c r="J66" s="4">
        <f t="shared" si="84"/>
        <v>769322.99124999996</v>
      </c>
      <c r="K66" s="4">
        <f t="shared" si="85"/>
        <v>307729.19650000002</v>
      </c>
      <c r="L66" s="4">
        <f t="shared" si="86"/>
        <v>153864.59825000001</v>
      </c>
      <c r="M66" s="4">
        <f t="shared" si="87"/>
        <v>1538645.9824999999</v>
      </c>
      <c r="N66" s="4">
        <f t="shared" si="88"/>
        <v>0</v>
      </c>
      <c r="O66">
        <v>381690.22000000003</v>
      </c>
      <c r="P66">
        <v>593048.54</v>
      </c>
      <c r="Q66">
        <v>51879.61</v>
      </c>
      <c r="R66">
        <v>16890.28</v>
      </c>
    </row>
    <row r="67" spans="1:18" x14ac:dyDescent="0.3">
      <c r="A67" t="s">
        <v>25</v>
      </c>
      <c r="B67">
        <v>2025</v>
      </c>
      <c r="C67" s="4">
        <v>30421747.770000003</v>
      </c>
      <c r="D67" s="4">
        <v>0</v>
      </c>
      <c r="E67" s="4">
        <v>30421747.770000003</v>
      </c>
      <c r="F67" s="4">
        <f t="shared" ref="F67:F130" si="89">C67*0.75</f>
        <v>22816310.827500001</v>
      </c>
      <c r="G67" s="4">
        <f>C67*0.035</f>
        <v>1064761.1719500001</v>
      </c>
      <c r="H67" s="4">
        <f>C67*0.06</f>
        <v>1825304.8662</v>
      </c>
      <c r="I67" s="4">
        <f>C67*0.03</f>
        <v>912652.43310000002</v>
      </c>
      <c r="J67" s="4">
        <f>C67*0</f>
        <v>0</v>
      </c>
      <c r="K67" s="4">
        <f>C67*0</f>
        <v>0</v>
      </c>
      <c r="L67" s="4">
        <f>C67*0</f>
        <v>0</v>
      </c>
      <c r="M67" s="4">
        <f>C67*0</f>
        <v>0</v>
      </c>
      <c r="N67" s="4">
        <f>C67*0.1</f>
        <v>3042174.7770000007</v>
      </c>
      <c r="O67">
        <v>372742.28</v>
      </c>
      <c r="P67">
        <v>547717.20000000007</v>
      </c>
      <c r="Q67">
        <v>48357.09</v>
      </c>
      <c r="R67">
        <v>210085.34000000003</v>
      </c>
    </row>
    <row r="68" spans="1:18" x14ac:dyDescent="0.3">
      <c r="A68" t="s">
        <v>26</v>
      </c>
      <c r="B68">
        <v>2020</v>
      </c>
      <c r="C68" s="4">
        <v>26244011.91</v>
      </c>
      <c r="D68" s="4">
        <v>1776478.6400000001</v>
      </c>
      <c r="E68" s="4">
        <v>28020490.549999997</v>
      </c>
      <c r="F68" s="4">
        <f t="shared" si="89"/>
        <v>19683008.932500001</v>
      </c>
      <c r="G68" s="4">
        <f t="shared" ref="G68:G72" si="90">C68*0.07</f>
        <v>1837080.8337000001</v>
      </c>
      <c r="H68" s="4">
        <f t="shared" ref="H68:H72" si="91">C68*0.06</f>
        <v>1574640.7146000001</v>
      </c>
      <c r="I68" s="4">
        <f t="shared" ref="I68:I72" si="92">C68*0.03</f>
        <v>787320.35730000003</v>
      </c>
      <c r="J68" s="4">
        <f t="shared" ref="J68:J72" si="93">C68*0.025</f>
        <v>656100.29775000003</v>
      </c>
      <c r="K68" s="4">
        <f t="shared" ref="K68:K72" si="94">C68*0.01</f>
        <v>262440.11910000001</v>
      </c>
      <c r="L68" s="4">
        <f t="shared" ref="L68:L72" si="95">C68*0.005</f>
        <v>131220.05955000001</v>
      </c>
      <c r="M68" s="4">
        <f t="shared" ref="M68:M72" si="96">C68*0.05</f>
        <v>1312200.5955000001</v>
      </c>
      <c r="N68" s="4">
        <f t="shared" ref="N68:N72" si="97">C68*0</f>
        <v>0</v>
      </c>
      <c r="O68">
        <v>510709.46000000008</v>
      </c>
      <c r="P68">
        <v>697768.63000000012</v>
      </c>
      <c r="Q68">
        <v>14880.9</v>
      </c>
      <c r="R68">
        <v>0</v>
      </c>
    </row>
    <row r="69" spans="1:18" x14ac:dyDescent="0.3">
      <c r="A69" t="s">
        <v>26</v>
      </c>
      <c r="B69">
        <v>2021</v>
      </c>
      <c r="C69" s="4">
        <v>32248515.130000003</v>
      </c>
      <c r="D69" s="4">
        <v>2180012.87</v>
      </c>
      <c r="E69" s="4">
        <v>34428528.000000007</v>
      </c>
      <c r="F69" s="4">
        <f t="shared" si="89"/>
        <v>24186386.347500004</v>
      </c>
      <c r="G69" s="4">
        <f t="shared" si="90"/>
        <v>2257396.0591000002</v>
      </c>
      <c r="H69" s="4">
        <f t="shared" si="91"/>
        <v>1934910.9078000002</v>
      </c>
      <c r="I69" s="4">
        <f t="shared" si="92"/>
        <v>967455.45390000008</v>
      </c>
      <c r="J69" s="4">
        <f t="shared" si="93"/>
        <v>806212.87825000007</v>
      </c>
      <c r="K69" s="4">
        <f t="shared" si="94"/>
        <v>322485.15130000003</v>
      </c>
      <c r="L69" s="4">
        <f t="shared" si="95"/>
        <v>161242.57565000001</v>
      </c>
      <c r="M69" s="4">
        <f t="shared" si="96"/>
        <v>1612425.7565000001</v>
      </c>
      <c r="N69" s="4">
        <f t="shared" si="97"/>
        <v>0</v>
      </c>
      <c r="O69">
        <v>683422.38000000012</v>
      </c>
      <c r="P69">
        <v>969421.19000000006</v>
      </c>
      <c r="Q69">
        <v>0</v>
      </c>
      <c r="R69">
        <v>0</v>
      </c>
    </row>
    <row r="70" spans="1:18" x14ac:dyDescent="0.3">
      <c r="A70" t="s">
        <v>26</v>
      </c>
      <c r="B70">
        <v>2022</v>
      </c>
      <c r="C70" s="4">
        <v>42891284.039999999</v>
      </c>
      <c r="D70" s="4">
        <v>2462476.7600000002</v>
      </c>
      <c r="E70" s="4">
        <v>45353760.799999997</v>
      </c>
      <c r="F70" s="4">
        <f t="shared" si="89"/>
        <v>32168463.030000001</v>
      </c>
      <c r="G70" s="4">
        <f t="shared" si="90"/>
        <v>3002389.8828000003</v>
      </c>
      <c r="H70" s="4">
        <f t="shared" si="91"/>
        <v>2573477.0423999997</v>
      </c>
      <c r="I70" s="4">
        <f t="shared" si="92"/>
        <v>1286738.5211999998</v>
      </c>
      <c r="J70" s="4">
        <f t="shared" si="93"/>
        <v>1072282.101</v>
      </c>
      <c r="K70" s="4">
        <f t="shared" si="94"/>
        <v>428912.84039999999</v>
      </c>
      <c r="L70" s="4">
        <f t="shared" si="95"/>
        <v>214456.42019999999</v>
      </c>
      <c r="M70" s="4">
        <f t="shared" si="96"/>
        <v>2144564.202</v>
      </c>
      <c r="N70" s="4">
        <f t="shared" si="97"/>
        <v>0</v>
      </c>
      <c r="O70">
        <v>481797.31000000006</v>
      </c>
      <c r="P70">
        <v>1151972.48</v>
      </c>
      <c r="Q70">
        <v>49646.87</v>
      </c>
      <c r="R70">
        <v>0</v>
      </c>
    </row>
    <row r="71" spans="1:18" x14ac:dyDescent="0.3">
      <c r="A71" t="s">
        <v>26</v>
      </c>
      <c r="B71">
        <v>2023</v>
      </c>
      <c r="C71" s="4">
        <v>45409975.689999998</v>
      </c>
      <c r="D71" s="4">
        <v>0</v>
      </c>
      <c r="E71" s="4">
        <v>45409975.689999998</v>
      </c>
      <c r="F71" s="4">
        <f t="shared" si="89"/>
        <v>34057481.767499998</v>
      </c>
      <c r="G71" s="4">
        <f t="shared" si="90"/>
        <v>3178698.2982999999</v>
      </c>
      <c r="H71" s="4">
        <f t="shared" si="91"/>
        <v>2724598.5414</v>
      </c>
      <c r="I71" s="4">
        <f t="shared" si="92"/>
        <v>1362299.2707</v>
      </c>
      <c r="J71" s="4">
        <f t="shared" si="93"/>
        <v>1135249.39225</v>
      </c>
      <c r="K71" s="4">
        <f t="shared" si="94"/>
        <v>454099.75689999998</v>
      </c>
      <c r="L71" s="4">
        <f t="shared" si="95"/>
        <v>227049.87844999999</v>
      </c>
      <c r="M71" s="4">
        <f t="shared" si="96"/>
        <v>2270498.7845000001</v>
      </c>
      <c r="N71" s="4">
        <f t="shared" si="97"/>
        <v>0</v>
      </c>
      <c r="O71">
        <v>517990.41000000003</v>
      </c>
      <c r="P71">
        <v>919648.44</v>
      </c>
      <c r="Q71">
        <v>327.05</v>
      </c>
      <c r="R71">
        <v>1347605</v>
      </c>
    </row>
    <row r="72" spans="1:18" x14ac:dyDescent="0.3">
      <c r="A72" t="s">
        <v>26</v>
      </c>
      <c r="B72">
        <v>2024</v>
      </c>
      <c r="C72" s="4">
        <v>45879621.079999998</v>
      </c>
      <c r="D72" s="4">
        <v>0</v>
      </c>
      <c r="E72" s="4">
        <v>45879621.079999998</v>
      </c>
      <c r="F72" s="4">
        <f t="shared" si="89"/>
        <v>34409715.810000002</v>
      </c>
      <c r="G72" s="4">
        <f t="shared" si="90"/>
        <v>3211573.4756</v>
      </c>
      <c r="H72" s="4">
        <f t="shared" si="91"/>
        <v>2752777.2648</v>
      </c>
      <c r="I72" s="4">
        <f t="shared" si="92"/>
        <v>1376388.6324</v>
      </c>
      <c r="J72" s="4">
        <f t="shared" si="93"/>
        <v>1146990.527</v>
      </c>
      <c r="K72" s="4">
        <f t="shared" si="94"/>
        <v>458796.2108</v>
      </c>
      <c r="L72" s="4">
        <f t="shared" si="95"/>
        <v>229398.1054</v>
      </c>
      <c r="M72" s="4">
        <f t="shared" si="96"/>
        <v>2293981.054</v>
      </c>
      <c r="N72" s="4">
        <f t="shared" si="97"/>
        <v>0</v>
      </c>
      <c r="O72">
        <v>568995.22000000009</v>
      </c>
      <c r="P72">
        <v>884072.39000000013</v>
      </c>
      <c r="Q72">
        <v>67445.790000000008</v>
      </c>
      <c r="R72">
        <v>28632.71</v>
      </c>
    </row>
    <row r="73" spans="1:18" x14ac:dyDescent="0.3">
      <c r="A73" t="s">
        <v>26</v>
      </c>
      <c r="B73">
        <v>2025</v>
      </c>
      <c r="C73" s="4">
        <v>45800189.900000006</v>
      </c>
      <c r="D73" s="4">
        <v>0</v>
      </c>
      <c r="E73" s="4">
        <v>45800189.900000006</v>
      </c>
      <c r="F73" s="4">
        <f t="shared" si="89"/>
        <v>34350142.425000004</v>
      </c>
      <c r="G73" s="4">
        <f>C73*0.035</f>
        <v>1603006.6465000003</v>
      </c>
      <c r="H73" s="4">
        <f>C73*0.06</f>
        <v>2748011.3940000003</v>
      </c>
      <c r="I73" s="4">
        <f>C73*0.03</f>
        <v>1374005.6970000002</v>
      </c>
      <c r="J73" s="4">
        <f>C73*0</f>
        <v>0</v>
      </c>
      <c r="K73" s="4">
        <f>C73*0</f>
        <v>0</v>
      </c>
      <c r="L73" s="4">
        <f>C73*0</f>
        <v>0</v>
      </c>
      <c r="M73" s="4">
        <f>C73*0</f>
        <v>0</v>
      </c>
      <c r="N73" s="4">
        <f>C73*0.1</f>
        <v>4580018.9900000012</v>
      </c>
      <c r="O73">
        <v>561184.20000000007</v>
      </c>
      <c r="P73">
        <v>824618.74000000011</v>
      </c>
      <c r="Q73">
        <v>62887.31</v>
      </c>
      <c r="R73">
        <v>316295.14</v>
      </c>
    </row>
    <row r="74" spans="1:18" x14ac:dyDescent="0.3">
      <c r="A74" t="s">
        <v>27</v>
      </c>
      <c r="B74">
        <v>2020</v>
      </c>
      <c r="C74" s="4">
        <v>11218234.85</v>
      </c>
      <c r="D74" s="4">
        <v>759465.29000000015</v>
      </c>
      <c r="E74" s="4">
        <v>11977700.140000001</v>
      </c>
      <c r="F74" s="4">
        <f t="shared" si="89"/>
        <v>8413676.1374999993</v>
      </c>
      <c r="G74" s="4">
        <f t="shared" ref="G74:G78" si="98">C74*0.07</f>
        <v>785276.43950000009</v>
      </c>
      <c r="H74" s="4">
        <f t="shared" ref="H74:H78" si="99">C74*0.06</f>
        <v>673094.0909999999</v>
      </c>
      <c r="I74" s="4">
        <f t="shared" ref="I74:I78" si="100">C74*0.03</f>
        <v>336547.04549999995</v>
      </c>
      <c r="J74" s="4">
        <f t="shared" ref="J74:J78" si="101">C74*0.025</f>
        <v>280455.87125000003</v>
      </c>
      <c r="K74" s="4">
        <f t="shared" ref="K74:K78" si="102">C74*0.01</f>
        <v>112182.34849999999</v>
      </c>
      <c r="L74" s="4">
        <f t="shared" ref="L74:L78" si="103">C74*0.005</f>
        <v>56091.174249999996</v>
      </c>
      <c r="M74" s="4">
        <f t="shared" ref="M74:M78" si="104">C74*0.05</f>
        <v>560911.74250000005</v>
      </c>
      <c r="N74" s="4">
        <f t="shared" ref="N74:N78" si="105">C74*0</f>
        <v>0</v>
      </c>
      <c r="O74">
        <v>218335.07</v>
      </c>
      <c r="P74">
        <v>298305.30999999994</v>
      </c>
      <c r="Q74">
        <v>6434.61</v>
      </c>
      <c r="R74">
        <v>0</v>
      </c>
    </row>
    <row r="75" spans="1:18" x14ac:dyDescent="0.3">
      <c r="A75" t="s">
        <v>27</v>
      </c>
      <c r="B75">
        <v>2021</v>
      </c>
      <c r="C75" s="4">
        <v>14734343.479999999</v>
      </c>
      <c r="D75" s="4">
        <v>996162.44999999984</v>
      </c>
      <c r="E75" s="4">
        <v>15730505.929999998</v>
      </c>
      <c r="F75" s="4">
        <f t="shared" si="89"/>
        <v>11050757.609999999</v>
      </c>
      <c r="G75" s="4">
        <f t="shared" si="98"/>
        <v>1031404.0436</v>
      </c>
      <c r="H75" s="4">
        <f t="shared" si="99"/>
        <v>884060.60879999993</v>
      </c>
      <c r="I75" s="4">
        <f t="shared" si="100"/>
        <v>442030.30439999996</v>
      </c>
      <c r="J75" s="4">
        <f t="shared" si="101"/>
        <v>368358.587</v>
      </c>
      <c r="K75" s="4">
        <f t="shared" si="102"/>
        <v>147343.43479999999</v>
      </c>
      <c r="L75" s="4">
        <f t="shared" si="103"/>
        <v>73671.717399999994</v>
      </c>
      <c r="M75" s="4">
        <f t="shared" si="104"/>
        <v>736717.174</v>
      </c>
      <c r="N75" s="4">
        <f t="shared" si="105"/>
        <v>0</v>
      </c>
      <c r="O75">
        <v>312292.34000000003</v>
      </c>
      <c r="P75">
        <v>442980.55999999994</v>
      </c>
      <c r="Q75">
        <v>0</v>
      </c>
      <c r="R75">
        <v>0</v>
      </c>
    </row>
    <row r="76" spans="1:18" x14ac:dyDescent="0.3">
      <c r="A76" t="s">
        <v>27</v>
      </c>
      <c r="B76">
        <v>2022</v>
      </c>
      <c r="C76" s="4">
        <v>16693549.950000001</v>
      </c>
      <c r="D76" s="4">
        <v>950337.64999999991</v>
      </c>
      <c r="E76" s="4">
        <v>17643887.599999998</v>
      </c>
      <c r="F76" s="4">
        <f t="shared" si="89"/>
        <v>12520162.4625</v>
      </c>
      <c r="G76" s="4">
        <f t="shared" si="98"/>
        <v>1168548.4965000001</v>
      </c>
      <c r="H76" s="4">
        <f t="shared" si="99"/>
        <v>1001612.997</v>
      </c>
      <c r="I76" s="4">
        <f t="shared" si="100"/>
        <v>500806.49849999999</v>
      </c>
      <c r="J76" s="4">
        <f t="shared" si="101"/>
        <v>417338.74875000003</v>
      </c>
      <c r="K76" s="4">
        <f t="shared" si="102"/>
        <v>166935.49950000001</v>
      </c>
      <c r="L76" s="4">
        <f t="shared" si="103"/>
        <v>83467.749750000003</v>
      </c>
      <c r="M76" s="4">
        <f t="shared" si="104"/>
        <v>834677.49750000006</v>
      </c>
      <c r="N76" s="4">
        <f t="shared" si="105"/>
        <v>0</v>
      </c>
      <c r="O76">
        <v>189273.57</v>
      </c>
      <c r="P76">
        <v>447708.76</v>
      </c>
      <c r="Q76">
        <v>21399.25</v>
      </c>
      <c r="R76">
        <v>0</v>
      </c>
    </row>
    <row r="77" spans="1:18" x14ac:dyDescent="0.3">
      <c r="A77" t="s">
        <v>27</v>
      </c>
      <c r="B77">
        <v>2023</v>
      </c>
      <c r="C77" s="4">
        <v>17431474.260000002</v>
      </c>
      <c r="D77" s="4">
        <v>0</v>
      </c>
      <c r="E77" s="4">
        <v>17431474.260000002</v>
      </c>
      <c r="F77" s="4">
        <f t="shared" si="89"/>
        <v>13073605.695</v>
      </c>
      <c r="G77" s="4">
        <f t="shared" si="98"/>
        <v>1220203.1982000002</v>
      </c>
      <c r="H77" s="4">
        <f t="shared" si="99"/>
        <v>1045888.4556000001</v>
      </c>
      <c r="I77" s="4">
        <f t="shared" si="100"/>
        <v>522944.22780000005</v>
      </c>
      <c r="J77" s="4">
        <f t="shared" si="101"/>
        <v>435786.85650000005</v>
      </c>
      <c r="K77" s="4">
        <f t="shared" si="102"/>
        <v>174314.74260000003</v>
      </c>
      <c r="L77" s="4">
        <f t="shared" si="103"/>
        <v>87157.371300000013</v>
      </c>
      <c r="M77" s="4">
        <f t="shared" si="104"/>
        <v>871573.71300000011</v>
      </c>
      <c r="N77" s="4">
        <f t="shared" si="105"/>
        <v>0</v>
      </c>
      <c r="O77">
        <v>198895.2</v>
      </c>
      <c r="P77">
        <v>353023.47</v>
      </c>
      <c r="Q77">
        <v>140.91999999999999</v>
      </c>
      <c r="R77">
        <v>517302.20999999996</v>
      </c>
    </row>
    <row r="78" spans="1:18" x14ac:dyDescent="0.3">
      <c r="A78" t="s">
        <v>27</v>
      </c>
      <c r="B78">
        <v>2024</v>
      </c>
      <c r="C78" s="4">
        <v>21741884.519999996</v>
      </c>
      <c r="D78" s="4">
        <v>0</v>
      </c>
      <c r="E78" s="4">
        <v>21741884.519999996</v>
      </c>
      <c r="F78" s="4">
        <f t="shared" si="89"/>
        <v>16306413.389999997</v>
      </c>
      <c r="G78" s="4">
        <f t="shared" si="98"/>
        <v>1521931.9163999998</v>
      </c>
      <c r="H78" s="4">
        <f t="shared" si="99"/>
        <v>1304513.0711999997</v>
      </c>
      <c r="I78" s="4">
        <f t="shared" si="100"/>
        <v>652256.53559999983</v>
      </c>
      <c r="J78" s="4">
        <f t="shared" si="101"/>
        <v>543547.1129999999</v>
      </c>
      <c r="K78" s="4">
        <f t="shared" si="102"/>
        <v>217418.84519999995</v>
      </c>
      <c r="L78" s="4">
        <f t="shared" si="103"/>
        <v>108709.42259999998</v>
      </c>
      <c r="M78" s="4">
        <f t="shared" si="104"/>
        <v>1087094.2259999998</v>
      </c>
      <c r="N78" s="4">
        <f t="shared" si="105"/>
        <v>0</v>
      </c>
      <c r="O78">
        <v>269693.44</v>
      </c>
      <c r="P78">
        <v>419034.31</v>
      </c>
      <c r="Q78">
        <v>28925.090000000004</v>
      </c>
      <c r="R78">
        <v>10991.22</v>
      </c>
    </row>
    <row r="79" spans="1:18" x14ac:dyDescent="0.3">
      <c r="A79" t="s">
        <v>27</v>
      </c>
      <c r="B79">
        <v>2025</v>
      </c>
      <c r="C79" s="4">
        <v>27416928.470000006</v>
      </c>
      <c r="D79" s="4">
        <v>0</v>
      </c>
      <c r="E79" s="4">
        <v>27416928.470000006</v>
      </c>
      <c r="F79" s="4">
        <f t="shared" si="89"/>
        <v>20562696.352500007</v>
      </c>
      <c r="G79" s="4">
        <f>C79*0.035</f>
        <v>959592.49645000033</v>
      </c>
      <c r="H79" s="4">
        <f>C79*0.06</f>
        <v>1645015.7082000002</v>
      </c>
      <c r="I79" s="4">
        <f>C79*0.03</f>
        <v>822507.85410000011</v>
      </c>
      <c r="J79" s="4">
        <f>C79*0</f>
        <v>0</v>
      </c>
      <c r="K79" s="4">
        <f>C79*0</f>
        <v>0</v>
      </c>
      <c r="L79" s="4">
        <f>C79*0</f>
        <v>0</v>
      </c>
      <c r="M79" s="4">
        <f>C79*0</f>
        <v>0</v>
      </c>
      <c r="N79" s="4">
        <f>C79*0.1</f>
        <v>2741692.847000001</v>
      </c>
      <c r="O79">
        <v>336158.31</v>
      </c>
      <c r="P79">
        <v>493959.81000000006</v>
      </c>
      <c r="Q79">
        <v>26569.34</v>
      </c>
      <c r="R79">
        <v>189465.86</v>
      </c>
    </row>
    <row r="80" spans="1:18" x14ac:dyDescent="0.3">
      <c r="A80" t="s">
        <v>28</v>
      </c>
      <c r="B80">
        <v>2020</v>
      </c>
      <c r="C80" s="4">
        <v>5026027.7</v>
      </c>
      <c r="D80" s="4">
        <v>340255.48</v>
      </c>
      <c r="E80" s="4">
        <v>5366283.1800000006</v>
      </c>
      <c r="F80" s="4">
        <f t="shared" si="89"/>
        <v>3769520.7750000004</v>
      </c>
      <c r="G80" s="4">
        <f t="shared" ref="G80:G84" si="106">C80*0.07</f>
        <v>351821.93900000007</v>
      </c>
      <c r="H80" s="4">
        <f t="shared" ref="H80:H84" si="107">C80*0.06</f>
        <v>301561.66200000001</v>
      </c>
      <c r="I80" s="4">
        <f t="shared" ref="I80:I84" si="108">C80*0.03</f>
        <v>150780.83100000001</v>
      </c>
      <c r="J80" s="4">
        <f t="shared" ref="J80:J84" si="109">C80*0.025</f>
        <v>125650.6925</v>
      </c>
      <c r="K80" s="4">
        <f t="shared" ref="K80:K84" si="110">C80*0.01</f>
        <v>50260.277000000002</v>
      </c>
      <c r="L80" s="4">
        <f t="shared" ref="L80:L84" si="111">C80*0.005</f>
        <v>25130.138500000001</v>
      </c>
      <c r="M80" s="4">
        <f t="shared" ref="M80:M84" si="112">C80*0.05</f>
        <v>251301.38500000001</v>
      </c>
      <c r="N80" s="4">
        <f t="shared" ref="N80:N84" si="113">C80*0</f>
        <v>0</v>
      </c>
      <c r="O80">
        <v>97818.430000000022</v>
      </c>
      <c r="P80">
        <v>133646.69</v>
      </c>
      <c r="Q80">
        <v>4856.7299999999996</v>
      </c>
      <c r="R80">
        <v>0</v>
      </c>
    </row>
    <row r="81" spans="1:18" x14ac:dyDescent="0.3">
      <c r="A81" t="s">
        <v>28</v>
      </c>
      <c r="B81">
        <v>2021</v>
      </c>
      <c r="C81" s="4">
        <v>6051275.1799999997</v>
      </c>
      <c r="D81" s="4">
        <v>409053.42000000004</v>
      </c>
      <c r="E81" s="4">
        <v>6460328.5999999996</v>
      </c>
      <c r="F81" s="4">
        <f t="shared" si="89"/>
        <v>4538456.3849999998</v>
      </c>
      <c r="G81" s="4">
        <f t="shared" si="106"/>
        <v>423589.26260000002</v>
      </c>
      <c r="H81" s="4">
        <f t="shared" si="107"/>
        <v>363076.51079999999</v>
      </c>
      <c r="I81" s="4">
        <f t="shared" si="108"/>
        <v>181538.25539999999</v>
      </c>
      <c r="J81" s="4">
        <f t="shared" si="109"/>
        <v>151281.87950000001</v>
      </c>
      <c r="K81" s="4">
        <f t="shared" si="110"/>
        <v>60512.751799999998</v>
      </c>
      <c r="L81" s="4">
        <f t="shared" si="111"/>
        <v>30256.375899999999</v>
      </c>
      <c r="M81" s="4">
        <f t="shared" si="112"/>
        <v>302563.75900000002</v>
      </c>
      <c r="N81" s="4">
        <f t="shared" si="113"/>
        <v>0</v>
      </c>
      <c r="O81">
        <v>128235.99</v>
      </c>
      <c r="P81">
        <v>181900.22999999998</v>
      </c>
      <c r="Q81">
        <v>0</v>
      </c>
      <c r="R81">
        <v>0</v>
      </c>
    </row>
    <row r="82" spans="1:18" x14ac:dyDescent="0.3">
      <c r="A82" t="s">
        <v>28</v>
      </c>
      <c r="B82">
        <v>2022</v>
      </c>
      <c r="C82" s="4">
        <v>7329725.0700000003</v>
      </c>
      <c r="D82" s="4">
        <v>418818.18</v>
      </c>
      <c r="E82" s="4">
        <v>7748543.25</v>
      </c>
      <c r="F82" s="4">
        <f t="shared" si="89"/>
        <v>5497293.8025000002</v>
      </c>
      <c r="G82" s="4">
        <f t="shared" si="106"/>
        <v>513080.75490000006</v>
      </c>
      <c r="H82" s="4">
        <f t="shared" si="107"/>
        <v>439783.50420000002</v>
      </c>
      <c r="I82" s="4">
        <f t="shared" si="108"/>
        <v>219891.75210000001</v>
      </c>
      <c r="J82" s="4">
        <f t="shared" si="109"/>
        <v>183243.12675000002</v>
      </c>
      <c r="K82" s="4">
        <f t="shared" si="110"/>
        <v>73297.250700000004</v>
      </c>
      <c r="L82" s="4">
        <f t="shared" si="111"/>
        <v>36648.625350000002</v>
      </c>
      <c r="M82" s="4">
        <f t="shared" si="112"/>
        <v>366486.25350000005</v>
      </c>
      <c r="N82" s="4">
        <f t="shared" si="113"/>
        <v>0</v>
      </c>
      <c r="O82">
        <v>82768.479999999981</v>
      </c>
      <c r="P82">
        <v>196701.49999999997</v>
      </c>
      <c r="Q82">
        <v>16146.26</v>
      </c>
      <c r="R82">
        <v>0</v>
      </c>
    </row>
    <row r="83" spans="1:18" x14ac:dyDescent="0.3">
      <c r="A83" t="s">
        <v>28</v>
      </c>
      <c r="B83">
        <v>2023</v>
      </c>
      <c r="C83" s="4">
        <v>7766873.9200000009</v>
      </c>
      <c r="D83" s="4">
        <v>0</v>
      </c>
      <c r="E83" s="4">
        <v>7766873.9200000009</v>
      </c>
      <c r="F83" s="4">
        <f t="shared" si="89"/>
        <v>5825155.4400000004</v>
      </c>
      <c r="G83" s="4">
        <f t="shared" si="106"/>
        <v>543681.17440000013</v>
      </c>
      <c r="H83" s="4">
        <f t="shared" si="107"/>
        <v>466012.43520000001</v>
      </c>
      <c r="I83" s="4">
        <f t="shared" si="108"/>
        <v>233006.2176</v>
      </c>
      <c r="J83" s="4">
        <f t="shared" si="109"/>
        <v>194171.84800000003</v>
      </c>
      <c r="K83" s="4">
        <f t="shared" si="110"/>
        <v>77668.739200000011</v>
      </c>
      <c r="L83" s="4">
        <f t="shared" si="111"/>
        <v>38834.369600000005</v>
      </c>
      <c r="M83" s="4">
        <f t="shared" si="112"/>
        <v>388343.69600000005</v>
      </c>
      <c r="N83" s="4">
        <f t="shared" si="113"/>
        <v>0</v>
      </c>
      <c r="O83">
        <v>88546.559999999998</v>
      </c>
      <c r="P83">
        <v>157296.53</v>
      </c>
      <c r="Q83">
        <v>106.32</v>
      </c>
      <c r="R83">
        <v>230494.15</v>
      </c>
    </row>
    <row r="84" spans="1:18" x14ac:dyDescent="0.3">
      <c r="A84" t="s">
        <v>28</v>
      </c>
      <c r="B84">
        <v>2024</v>
      </c>
      <c r="C84" s="4">
        <v>8666465.9000000004</v>
      </c>
      <c r="D84" s="4">
        <v>0</v>
      </c>
      <c r="E84" s="4">
        <v>8666465.9000000004</v>
      </c>
      <c r="F84" s="4">
        <f t="shared" si="89"/>
        <v>6499849.4250000007</v>
      </c>
      <c r="G84" s="4">
        <f t="shared" si="106"/>
        <v>606652.61300000013</v>
      </c>
      <c r="H84" s="4">
        <f t="shared" si="107"/>
        <v>519987.95400000003</v>
      </c>
      <c r="I84" s="4">
        <f t="shared" si="108"/>
        <v>259993.97700000001</v>
      </c>
      <c r="J84" s="4">
        <f t="shared" si="109"/>
        <v>216661.64750000002</v>
      </c>
      <c r="K84" s="4">
        <f t="shared" si="110"/>
        <v>86664.659</v>
      </c>
      <c r="L84" s="4">
        <f t="shared" si="111"/>
        <v>43332.3295</v>
      </c>
      <c r="M84" s="4">
        <f t="shared" si="112"/>
        <v>433323.29500000004</v>
      </c>
      <c r="N84" s="4">
        <f t="shared" si="113"/>
        <v>0</v>
      </c>
      <c r="O84">
        <v>107491.16</v>
      </c>
      <c r="P84">
        <v>167013.67000000001</v>
      </c>
      <c r="Q84">
        <v>22513.640000000003</v>
      </c>
      <c r="R84">
        <v>4897.34</v>
      </c>
    </row>
    <row r="85" spans="1:18" x14ac:dyDescent="0.3">
      <c r="A85" t="s">
        <v>28</v>
      </c>
      <c r="B85">
        <v>2025</v>
      </c>
      <c r="C85" s="4">
        <v>13898045.769999998</v>
      </c>
      <c r="D85" s="4">
        <v>0</v>
      </c>
      <c r="E85" s="4">
        <v>13898045.769999998</v>
      </c>
      <c r="F85" s="4">
        <f t="shared" si="89"/>
        <v>10423534.327499999</v>
      </c>
      <c r="G85" s="4">
        <f>C85*0.035</f>
        <v>486431.60194999998</v>
      </c>
      <c r="H85" s="4">
        <f>C85*0.06</f>
        <v>833882.74619999982</v>
      </c>
      <c r="I85" s="4">
        <f>C85*0.03</f>
        <v>416941.37309999991</v>
      </c>
      <c r="J85" s="4">
        <f>C85*0</f>
        <v>0</v>
      </c>
      <c r="K85" s="4">
        <f>C85*0</f>
        <v>0</v>
      </c>
      <c r="L85" s="4">
        <f>C85*0</f>
        <v>0</v>
      </c>
      <c r="M85" s="4">
        <f>C85*0</f>
        <v>0</v>
      </c>
      <c r="N85" s="4">
        <f>C85*0.1</f>
        <v>1389804.5769999998</v>
      </c>
      <c r="O85">
        <v>170495.08999999997</v>
      </c>
      <c r="P85">
        <v>250529.91999999998</v>
      </c>
      <c r="Q85">
        <v>20938.3</v>
      </c>
      <c r="R85">
        <v>96094.59</v>
      </c>
    </row>
    <row r="86" spans="1:18" x14ac:dyDescent="0.3">
      <c r="A86" t="s">
        <v>29</v>
      </c>
      <c r="B86">
        <v>2020</v>
      </c>
      <c r="C86" s="4">
        <v>12134178.26</v>
      </c>
      <c r="D86" s="4">
        <v>821499.85</v>
      </c>
      <c r="E86" s="4">
        <v>12955678.109999999</v>
      </c>
      <c r="F86" s="4">
        <f t="shared" si="89"/>
        <v>9100633.6950000003</v>
      </c>
      <c r="G86" s="4">
        <f t="shared" ref="G86:G90" si="114">C86*0.07</f>
        <v>849392.47820000001</v>
      </c>
      <c r="H86" s="4">
        <f t="shared" ref="H86:H90" si="115">C86*0.06</f>
        <v>728050.69559999998</v>
      </c>
      <c r="I86" s="4">
        <f t="shared" ref="I86:I90" si="116">C86*0.03</f>
        <v>364025.34779999999</v>
      </c>
      <c r="J86" s="4">
        <f t="shared" ref="J86:J90" si="117">C86*0.025</f>
        <v>303354.45650000003</v>
      </c>
      <c r="K86" s="4">
        <f t="shared" ref="K86:K90" si="118">C86*0.01</f>
        <v>121341.78260000001</v>
      </c>
      <c r="L86" s="4">
        <f t="shared" ref="L86:L90" si="119">C86*0.005</f>
        <v>60670.891300000003</v>
      </c>
      <c r="M86" s="4">
        <f t="shared" ref="M86:M90" si="120">C86*0.05</f>
        <v>606708.91300000006</v>
      </c>
      <c r="N86" s="4">
        <f t="shared" ref="N86:N90" si="121">C86*0</f>
        <v>0</v>
      </c>
      <c r="O86">
        <v>236169.36000000002</v>
      </c>
      <c r="P86">
        <v>322671.82</v>
      </c>
      <c r="Q86">
        <v>5203.09</v>
      </c>
      <c r="R86">
        <v>0</v>
      </c>
    </row>
    <row r="87" spans="1:18" x14ac:dyDescent="0.3">
      <c r="A87" t="s">
        <v>29</v>
      </c>
      <c r="B87">
        <v>2021</v>
      </c>
      <c r="C87" s="4">
        <v>15589105.09</v>
      </c>
      <c r="D87" s="4">
        <v>1053911.9000000001</v>
      </c>
      <c r="E87" s="4">
        <v>16643016.989999998</v>
      </c>
      <c r="F87" s="4">
        <f t="shared" si="89"/>
        <v>11691828.817499999</v>
      </c>
      <c r="G87" s="4">
        <f t="shared" si="114"/>
        <v>1091237.3563000001</v>
      </c>
      <c r="H87" s="4">
        <f t="shared" si="115"/>
        <v>935346.30539999995</v>
      </c>
      <c r="I87" s="4">
        <f t="shared" si="116"/>
        <v>467673.15269999998</v>
      </c>
      <c r="J87" s="4">
        <f t="shared" si="117"/>
        <v>389727.62725000002</v>
      </c>
      <c r="K87" s="4">
        <f t="shared" si="118"/>
        <v>155891.0509</v>
      </c>
      <c r="L87" s="4">
        <f t="shared" si="119"/>
        <v>77945.525450000001</v>
      </c>
      <c r="M87" s="4">
        <f t="shared" si="120"/>
        <v>779455.25450000004</v>
      </c>
      <c r="N87" s="4">
        <f t="shared" si="121"/>
        <v>0</v>
      </c>
      <c r="O87">
        <v>330396.24</v>
      </c>
      <c r="P87">
        <v>468660.61</v>
      </c>
      <c r="Q87">
        <v>0</v>
      </c>
      <c r="R87">
        <v>0</v>
      </c>
    </row>
    <row r="88" spans="1:18" x14ac:dyDescent="0.3">
      <c r="A88" t="s">
        <v>29</v>
      </c>
      <c r="B88">
        <v>2022</v>
      </c>
      <c r="C88" s="4">
        <v>17617154.039999999</v>
      </c>
      <c r="D88" s="4">
        <v>1002772.41</v>
      </c>
      <c r="E88" s="4">
        <v>18619926.449999999</v>
      </c>
      <c r="F88" s="4">
        <f t="shared" si="89"/>
        <v>13212865.529999999</v>
      </c>
      <c r="G88" s="4">
        <f t="shared" si="114"/>
        <v>1233200.7828000002</v>
      </c>
      <c r="H88" s="4">
        <f t="shared" si="115"/>
        <v>1057029.2423999999</v>
      </c>
      <c r="I88" s="4">
        <f t="shared" si="116"/>
        <v>528514.62119999994</v>
      </c>
      <c r="J88" s="4">
        <f t="shared" si="117"/>
        <v>440428.85100000002</v>
      </c>
      <c r="K88" s="4">
        <f t="shared" si="118"/>
        <v>176171.5404</v>
      </c>
      <c r="L88" s="4">
        <f t="shared" si="119"/>
        <v>88085.770199999999</v>
      </c>
      <c r="M88" s="4">
        <f t="shared" si="120"/>
        <v>880857.70200000005</v>
      </c>
      <c r="N88" s="4">
        <f t="shared" si="121"/>
        <v>0</v>
      </c>
      <c r="O88">
        <v>199776.73</v>
      </c>
      <c r="P88">
        <v>472467.38000000006</v>
      </c>
      <c r="Q88">
        <v>17274.850000000002</v>
      </c>
      <c r="R88">
        <v>0</v>
      </c>
    </row>
    <row r="89" spans="1:18" x14ac:dyDescent="0.3">
      <c r="A89" t="s">
        <v>29</v>
      </c>
      <c r="B89">
        <v>2023</v>
      </c>
      <c r="C89" s="4">
        <v>18578715.500000004</v>
      </c>
      <c r="D89" s="4">
        <v>0</v>
      </c>
      <c r="E89" s="4">
        <v>18578715.500000004</v>
      </c>
      <c r="F89" s="4">
        <f t="shared" si="89"/>
        <v>13934036.625000004</v>
      </c>
      <c r="G89" s="4">
        <f t="shared" si="114"/>
        <v>1300510.0850000004</v>
      </c>
      <c r="H89" s="4">
        <f t="shared" si="115"/>
        <v>1114722.9300000002</v>
      </c>
      <c r="I89" s="4">
        <f t="shared" si="116"/>
        <v>557361.46500000008</v>
      </c>
      <c r="J89" s="4">
        <f t="shared" si="117"/>
        <v>464467.88750000013</v>
      </c>
      <c r="K89" s="4">
        <f t="shared" si="118"/>
        <v>185787.15500000003</v>
      </c>
      <c r="L89" s="4">
        <f t="shared" si="119"/>
        <v>92893.577500000014</v>
      </c>
      <c r="M89" s="4">
        <f t="shared" si="120"/>
        <v>928935.77500000026</v>
      </c>
      <c r="N89" s="4">
        <f t="shared" si="121"/>
        <v>0</v>
      </c>
      <c r="O89">
        <v>211807.38</v>
      </c>
      <c r="P89">
        <v>376260.45</v>
      </c>
      <c r="Q89">
        <v>113.74</v>
      </c>
      <c r="R89">
        <v>551352.48</v>
      </c>
    </row>
    <row r="90" spans="1:18" x14ac:dyDescent="0.3">
      <c r="A90" t="s">
        <v>29</v>
      </c>
      <c r="B90">
        <v>2024</v>
      </c>
      <c r="C90" s="4">
        <v>21587528.309999999</v>
      </c>
      <c r="D90" s="4">
        <v>0</v>
      </c>
      <c r="E90" s="4">
        <v>21587528.309999999</v>
      </c>
      <c r="F90" s="4">
        <f t="shared" si="89"/>
        <v>16190646.232499998</v>
      </c>
      <c r="G90" s="4">
        <f t="shared" si="114"/>
        <v>1511126.9817000001</v>
      </c>
      <c r="H90" s="4">
        <f t="shared" si="115"/>
        <v>1295251.6985999998</v>
      </c>
      <c r="I90" s="4">
        <f t="shared" si="116"/>
        <v>647625.84929999989</v>
      </c>
      <c r="J90" s="4">
        <f t="shared" si="117"/>
        <v>539688.20774999994</v>
      </c>
      <c r="K90" s="4">
        <f t="shared" si="118"/>
        <v>215875.2831</v>
      </c>
      <c r="L90" s="4">
        <f t="shared" si="119"/>
        <v>107937.64155</v>
      </c>
      <c r="M90" s="4">
        <f t="shared" si="120"/>
        <v>1079376.4154999999</v>
      </c>
      <c r="N90" s="4">
        <f t="shared" si="121"/>
        <v>0</v>
      </c>
      <c r="O90">
        <v>267762.44</v>
      </c>
      <c r="P90">
        <v>416034.06999999995</v>
      </c>
      <c r="Q90">
        <v>24274.44</v>
      </c>
      <c r="R90">
        <v>11714.68</v>
      </c>
    </row>
    <row r="91" spans="1:18" x14ac:dyDescent="0.3">
      <c r="A91" t="s">
        <v>29</v>
      </c>
      <c r="B91">
        <v>2025</v>
      </c>
      <c r="C91" s="4">
        <v>22923911.469999999</v>
      </c>
      <c r="D91" s="4">
        <v>0</v>
      </c>
      <c r="E91" s="4">
        <v>22923911.469999999</v>
      </c>
      <c r="F91" s="4">
        <f t="shared" si="89"/>
        <v>17192933.602499999</v>
      </c>
      <c r="G91" s="4">
        <f>C91*0.035</f>
        <v>802336.90145</v>
      </c>
      <c r="H91" s="4">
        <f>C91*0.06</f>
        <v>1375434.6882</v>
      </c>
      <c r="I91" s="4">
        <f>C91*0.03</f>
        <v>687717.34409999999</v>
      </c>
      <c r="J91" s="4">
        <f>C91*0</f>
        <v>0</v>
      </c>
      <c r="K91" s="4">
        <f>C91*0</f>
        <v>0</v>
      </c>
      <c r="L91" s="4">
        <f>C91*0</f>
        <v>0</v>
      </c>
      <c r="M91" s="4">
        <f>C91*0</f>
        <v>0</v>
      </c>
      <c r="N91" s="4">
        <f>C91*0.1</f>
        <v>2292391.1469999999</v>
      </c>
      <c r="O91">
        <v>280937.23</v>
      </c>
      <c r="P91">
        <v>412816.51</v>
      </c>
      <c r="Q91">
        <v>25369.9</v>
      </c>
      <c r="R91">
        <v>158342.10999999999</v>
      </c>
    </row>
    <row r="92" spans="1:18" x14ac:dyDescent="0.3">
      <c r="A92" t="s">
        <v>30</v>
      </c>
      <c r="B92">
        <v>2020</v>
      </c>
      <c r="C92" s="4">
        <v>93729788.49000001</v>
      </c>
      <c r="D92" s="4">
        <v>6344568.8999999994</v>
      </c>
      <c r="E92" s="4">
        <v>100074357.38999999</v>
      </c>
      <c r="F92" s="4">
        <f t="shared" si="89"/>
        <v>70297341.367500007</v>
      </c>
      <c r="G92" s="4">
        <f t="shared" ref="G92:G96" si="122">C92*0.07</f>
        <v>6561085.1943000015</v>
      </c>
      <c r="H92" s="4">
        <f t="shared" ref="H92:H96" si="123">C92*0.06</f>
        <v>5623787.3094000006</v>
      </c>
      <c r="I92" s="4">
        <f t="shared" ref="I92:I96" si="124">C92*0.03</f>
        <v>2811893.6547000003</v>
      </c>
      <c r="J92" s="4">
        <f t="shared" ref="J92:J96" si="125">C92*0.025</f>
        <v>2343244.7122500003</v>
      </c>
      <c r="K92" s="4">
        <f t="shared" ref="K92:K96" si="126">C92*0.01</f>
        <v>937297.88490000006</v>
      </c>
      <c r="L92" s="4">
        <f t="shared" ref="L92:L96" si="127">C92*0.005</f>
        <v>468648.94245000003</v>
      </c>
      <c r="M92" s="4">
        <f t="shared" ref="M92:M96" si="128">C92*0.05</f>
        <v>4686489.4245000007</v>
      </c>
      <c r="N92" s="4">
        <f t="shared" ref="N92:N96" si="129">C92*0</f>
        <v>0</v>
      </c>
      <c r="O92">
        <v>1823962.43</v>
      </c>
      <c r="P92">
        <v>2492030.7600000002</v>
      </c>
      <c r="Q92">
        <v>50409.54</v>
      </c>
      <c r="R92">
        <v>0</v>
      </c>
    </row>
    <row r="93" spans="1:18" x14ac:dyDescent="0.3">
      <c r="A93" t="s">
        <v>30</v>
      </c>
      <c r="B93">
        <v>2021</v>
      </c>
      <c r="C93" s="4">
        <v>110777771.64999999</v>
      </c>
      <c r="D93" s="4">
        <v>7488090.040000001</v>
      </c>
      <c r="E93" s="4">
        <v>118265861.69</v>
      </c>
      <c r="F93" s="4">
        <f t="shared" si="89"/>
        <v>83083328.737499997</v>
      </c>
      <c r="G93" s="4">
        <f t="shared" si="122"/>
        <v>7754444.0154999997</v>
      </c>
      <c r="H93" s="4">
        <f t="shared" si="123"/>
        <v>6646666.2989999996</v>
      </c>
      <c r="I93" s="4">
        <f t="shared" si="124"/>
        <v>3323333.1494999998</v>
      </c>
      <c r="J93" s="4">
        <f t="shared" si="125"/>
        <v>2769444.2912499998</v>
      </c>
      <c r="K93" s="4">
        <f t="shared" si="126"/>
        <v>1107777.7164999999</v>
      </c>
      <c r="L93" s="4">
        <f t="shared" si="127"/>
        <v>553888.85824999993</v>
      </c>
      <c r="M93" s="4">
        <f t="shared" si="128"/>
        <v>5538888.5824999996</v>
      </c>
      <c r="N93" s="4">
        <f t="shared" si="129"/>
        <v>0</v>
      </c>
      <c r="O93">
        <v>2347472.8299999996</v>
      </c>
      <c r="P93">
        <v>3329844.16</v>
      </c>
      <c r="Q93">
        <v>0</v>
      </c>
      <c r="R93">
        <v>0</v>
      </c>
    </row>
    <row r="94" spans="1:18" x14ac:dyDescent="0.3">
      <c r="A94" t="s">
        <v>30</v>
      </c>
      <c r="B94">
        <v>2022</v>
      </c>
      <c r="C94" s="4">
        <v>134652223.37</v>
      </c>
      <c r="D94" s="4">
        <v>7695431.79</v>
      </c>
      <c r="E94" s="4">
        <v>142347655.16000003</v>
      </c>
      <c r="F94" s="4">
        <f t="shared" si="89"/>
        <v>100989167.5275</v>
      </c>
      <c r="G94" s="4">
        <f t="shared" si="122"/>
        <v>9425655.635900002</v>
      </c>
      <c r="H94" s="4">
        <f t="shared" si="123"/>
        <v>8079133.4022000004</v>
      </c>
      <c r="I94" s="4">
        <f t="shared" si="124"/>
        <v>4039566.7011000002</v>
      </c>
      <c r="J94" s="4">
        <f t="shared" si="125"/>
        <v>3366305.5842500003</v>
      </c>
      <c r="K94" s="4">
        <f t="shared" si="126"/>
        <v>1346522.2337</v>
      </c>
      <c r="L94" s="4">
        <f t="shared" si="127"/>
        <v>673261.11684999999</v>
      </c>
      <c r="M94" s="4">
        <f t="shared" si="128"/>
        <v>6732611.1685000006</v>
      </c>
      <c r="N94" s="4">
        <f t="shared" si="129"/>
        <v>0</v>
      </c>
      <c r="O94">
        <v>1520199.52</v>
      </c>
      <c r="P94">
        <v>3613659.9699999993</v>
      </c>
      <c r="Q94">
        <v>168384.80000000002</v>
      </c>
      <c r="R94">
        <v>0</v>
      </c>
    </row>
    <row r="95" spans="1:18" x14ac:dyDescent="0.3">
      <c r="A95" t="s">
        <v>30</v>
      </c>
      <c r="B95">
        <v>2023</v>
      </c>
      <c r="C95" s="4">
        <v>137336659.91</v>
      </c>
      <c r="D95" s="4">
        <v>0</v>
      </c>
      <c r="E95" s="4">
        <v>137336659.91</v>
      </c>
      <c r="F95" s="4">
        <f t="shared" si="89"/>
        <v>103002494.9325</v>
      </c>
      <c r="G95" s="4">
        <f t="shared" si="122"/>
        <v>9613566.1937000006</v>
      </c>
      <c r="H95" s="4">
        <f t="shared" si="123"/>
        <v>8240199.5945999995</v>
      </c>
      <c r="I95" s="4">
        <f t="shared" si="124"/>
        <v>4120099.7972999997</v>
      </c>
      <c r="J95" s="4">
        <f t="shared" si="125"/>
        <v>3433416.4977500001</v>
      </c>
      <c r="K95" s="4">
        <f t="shared" si="126"/>
        <v>1373366.5991</v>
      </c>
      <c r="L95" s="4">
        <f t="shared" si="127"/>
        <v>686683.29955</v>
      </c>
      <c r="M95" s="4">
        <f t="shared" si="128"/>
        <v>6866832.9955000002</v>
      </c>
      <c r="N95" s="4">
        <f t="shared" si="129"/>
        <v>0</v>
      </c>
      <c r="O95">
        <v>1570804.03</v>
      </c>
      <c r="P95">
        <v>2781288.6299999994</v>
      </c>
      <c r="Q95">
        <v>1109.3800000000001</v>
      </c>
      <c r="R95">
        <v>4075555.67</v>
      </c>
    </row>
    <row r="96" spans="1:18" x14ac:dyDescent="0.3">
      <c r="A96" t="s">
        <v>30</v>
      </c>
      <c r="B96">
        <v>2024</v>
      </c>
      <c r="C96" s="4">
        <v>143083935.19999999</v>
      </c>
      <c r="D96" s="4">
        <v>0</v>
      </c>
      <c r="E96" s="4">
        <v>143083935.19999999</v>
      </c>
      <c r="F96" s="4">
        <f t="shared" si="89"/>
        <v>107312951.39999999</v>
      </c>
      <c r="G96" s="4">
        <f t="shared" si="122"/>
        <v>10015875.464</v>
      </c>
      <c r="H96" s="4">
        <f t="shared" si="123"/>
        <v>8585036.1119999997</v>
      </c>
      <c r="I96" s="4">
        <f t="shared" si="124"/>
        <v>4292518.0559999999</v>
      </c>
      <c r="J96" s="4">
        <f t="shared" si="125"/>
        <v>3577098.38</v>
      </c>
      <c r="K96" s="4">
        <f t="shared" si="126"/>
        <v>1430839.352</v>
      </c>
      <c r="L96" s="4">
        <f t="shared" si="127"/>
        <v>715419.67599999998</v>
      </c>
      <c r="M96" s="4">
        <f t="shared" si="128"/>
        <v>7154196.7599999998</v>
      </c>
      <c r="N96" s="4">
        <f t="shared" si="129"/>
        <v>0</v>
      </c>
      <c r="O96">
        <v>1774569.9400000002</v>
      </c>
      <c r="P96">
        <v>2757225.74</v>
      </c>
      <c r="Q96">
        <v>223501.53999999998</v>
      </c>
      <c r="R96">
        <v>86593.81</v>
      </c>
    </row>
    <row r="97" spans="1:18" x14ac:dyDescent="0.3">
      <c r="A97" t="s">
        <v>30</v>
      </c>
      <c r="B97">
        <v>2025</v>
      </c>
      <c r="C97" s="4">
        <v>146009735.40000001</v>
      </c>
      <c r="D97" s="4">
        <v>0</v>
      </c>
      <c r="E97" s="4">
        <v>146009735.40000001</v>
      </c>
      <c r="F97" s="4">
        <f t="shared" si="89"/>
        <v>109507301.55000001</v>
      </c>
      <c r="G97" s="4">
        <f>C97*0.035</f>
        <v>5110340.739000001</v>
      </c>
      <c r="H97" s="4">
        <f>C97*0.06</f>
        <v>8760584.1239999998</v>
      </c>
      <c r="I97" s="4">
        <f>C97*0.03</f>
        <v>4380292.0619999999</v>
      </c>
      <c r="J97" s="4">
        <f>C97*0</f>
        <v>0</v>
      </c>
      <c r="K97" s="4">
        <f>C97*0</f>
        <v>0</v>
      </c>
      <c r="L97" s="4">
        <f>C97*0</f>
        <v>0</v>
      </c>
      <c r="M97" s="4">
        <f>C97*0</f>
        <v>0</v>
      </c>
      <c r="N97" s="4">
        <f>C97*0.1</f>
        <v>14600973.540000001</v>
      </c>
      <c r="O97">
        <v>1789162.8900000001</v>
      </c>
      <c r="P97">
        <v>2629042.73</v>
      </c>
      <c r="Q97">
        <v>206264.94</v>
      </c>
      <c r="R97">
        <v>1008409.59</v>
      </c>
    </row>
    <row r="98" spans="1:18" x14ac:dyDescent="0.3">
      <c r="A98" t="s">
        <v>31</v>
      </c>
      <c r="B98">
        <v>2020</v>
      </c>
      <c r="C98" s="4">
        <v>166355931.72999999</v>
      </c>
      <c r="D98" s="4">
        <v>11262264.220000001</v>
      </c>
      <c r="E98" s="4">
        <v>177618195.95000002</v>
      </c>
      <c r="F98" s="4">
        <f t="shared" si="89"/>
        <v>124766948.79749998</v>
      </c>
      <c r="G98" s="4">
        <f t="shared" ref="G98:G102" si="130">C98*0.07</f>
        <v>11644915.221100001</v>
      </c>
      <c r="H98" s="4">
        <f t="shared" ref="H98:H102" si="131">C98*0.06</f>
        <v>9981355.9037999995</v>
      </c>
      <c r="I98" s="4">
        <f t="shared" ref="I98:I102" si="132">C98*0.03</f>
        <v>4990677.9518999998</v>
      </c>
      <c r="J98" s="4">
        <f t="shared" ref="J98:J102" si="133">C98*0.025</f>
        <v>4158898.2932500001</v>
      </c>
      <c r="K98" s="4">
        <f t="shared" ref="K98:K102" si="134">C98*0.01</f>
        <v>1663559.3173</v>
      </c>
      <c r="L98" s="4">
        <f t="shared" ref="L98:L102" si="135">C98*0.005</f>
        <v>831779.65865</v>
      </c>
      <c r="M98" s="4">
        <f t="shared" ref="M98:M102" si="136">C98*0.05</f>
        <v>8317796.5865000002</v>
      </c>
      <c r="N98" s="4">
        <f t="shared" ref="N98:N102" si="137">C98*0</f>
        <v>0</v>
      </c>
      <c r="O98">
        <v>3237735.98</v>
      </c>
      <c r="P98">
        <v>4423631.4700000007</v>
      </c>
      <c r="Q98">
        <v>74419.429999999993</v>
      </c>
      <c r="R98">
        <v>0</v>
      </c>
    </row>
    <row r="99" spans="1:18" x14ac:dyDescent="0.3">
      <c r="A99" t="s">
        <v>31</v>
      </c>
      <c r="B99">
        <v>2021</v>
      </c>
      <c r="C99" s="4">
        <v>231811798.97000003</v>
      </c>
      <c r="D99" s="4">
        <v>15673889.619999999</v>
      </c>
      <c r="E99" s="4">
        <v>247485688.58999997</v>
      </c>
      <c r="F99" s="4">
        <f t="shared" si="89"/>
        <v>173858849.22750002</v>
      </c>
      <c r="G99" s="4">
        <f t="shared" si="130"/>
        <v>16226825.927900003</v>
      </c>
      <c r="H99" s="4">
        <f t="shared" si="131"/>
        <v>13908707.938200001</v>
      </c>
      <c r="I99" s="4">
        <f t="shared" si="132"/>
        <v>6954353.9691000003</v>
      </c>
      <c r="J99" s="4">
        <f t="shared" si="133"/>
        <v>5795294.9742500009</v>
      </c>
      <c r="K99" s="4">
        <f t="shared" si="134"/>
        <v>2318117.9897000003</v>
      </c>
      <c r="L99" s="4">
        <f t="shared" si="135"/>
        <v>1159058.9948500001</v>
      </c>
      <c r="M99" s="4">
        <f t="shared" si="136"/>
        <v>11590589.948500002</v>
      </c>
      <c r="N99" s="4">
        <f t="shared" si="137"/>
        <v>0</v>
      </c>
      <c r="O99">
        <v>4913701.18</v>
      </c>
      <c r="P99">
        <v>6969988.7300000004</v>
      </c>
      <c r="Q99">
        <v>0</v>
      </c>
      <c r="R99">
        <v>0</v>
      </c>
    </row>
    <row r="100" spans="1:18" x14ac:dyDescent="0.3">
      <c r="A100" t="s">
        <v>31</v>
      </c>
      <c r="B100">
        <v>2022</v>
      </c>
      <c r="C100" s="4">
        <v>310267964.80000001</v>
      </c>
      <c r="D100" s="4">
        <v>17818412.370000001</v>
      </c>
      <c r="E100" s="4">
        <v>328086377.17000002</v>
      </c>
      <c r="F100" s="4">
        <f t="shared" si="89"/>
        <v>232700973.60000002</v>
      </c>
      <c r="G100" s="4">
        <f t="shared" si="130"/>
        <v>21718757.536000002</v>
      </c>
      <c r="H100" s="4">
        <f t="shared" si="131"/>
        <v>18616077.888</v>
      </c>
      <c r="I100" s="4">
        <f t="shared" si="132"/>
        <v>9308038.9440000001</v>
      </c>
      <c r="J100" s="4">
        <f t="shared" si="133"/>
        <v>7756699.120000001</v>
      </c>
      <c r="K100" s="4">
        <f t="shared" si="134"/>
        <v>3102679.648</v>
      </c>
      <c r="L100" s="4">
        <f t="shared" si="135"/>
        <v>1551339.824</v>
      </c>
      <c r="M100" s="4">
        <f t="shared" si="136"/>
        <v>15513398.240000002</v>
      </c>
      <c r="N100" s="4">
        <f t="shared" si="137"/>
        <v>0</v>
      </c>
      <c r="O100">
        <v>3484106.05</v>
      </c>
      <c r="P100">
        <v>8333607.0000000009</v>
      </c>
      <c r="Q100">
        <v>248130.37000000002</v>
      </c>
      <c r="R100">
        <v>0</v>
      </c>
    </row>
    <row r="101" spans="1:18" x14ac:dyDescent="0.3">
      <c r="A101" t="s">
        <v>31</v>
      </c>
      <c r="B101">
        <v>2023</v>
      </c>
      <c r="C101" s="4">
        <v>322111446.07000005</v>
      </c>
      <c r="D101" s="4">
        <v>0</v>
      </c>
      <c r="E101" s="4">
        <v>322111446.07000005</v>
      </c>
      <c r="F101" s="4">
        <f t="shared" si="89"/>
        <v>241583584.55250004</v>
      </c>
      <c r="G101" s="4">
        <f t="shared" si="130"/>
        <v>22547801.224900007</v>
      </c>
      <c r="H101" s="4">
        <f t="shared" si="131"/>
        <v>19326686.764200002</v>
      </c>
      <c r="I101" s="4">
        <f t="shared" si="132"/>
        <v>9663343.382100001</v>
      </c>
      <c r="J101" s="4">
        <f t="shared" si="133"/>
        <v>8052786.1517500021</v>
      </c>
      <c r="K101" s="4">
        <f t="shared" si="134"/>
        <v>3221114.4607000006</v>
      </c>
      <c r="L101" s="4">
        <f t="shared" si="135"/>
        <v>1610557.2303500003</v>
      </c>
      <c r="M101" s="4">
        <f t="shared" si="136"/>
        <v>16105572.303500004</v>
      </c>
      <c r="N101" s="4">
        <f t="shared" si="137"/>
        <v>0</v>
      </c>
      <c r="O101">
        <v>3680508.4000000004</v>
      </c>
      <c r="P101">
        <v>6523337.29</v>
      </c>
      <c r="Q101">
        <v>1634.47</v>
      </c>
      <c r="R101">
        <v>9558959.1099999994</v>
      </c>
    </row>
    <row r="102" spans="1:18" x14ac:dyDescent="0.3">
      <c r="A102" t="s">
        <v>31</v>
      </c>
      <c r="B102">
        <v>2024</v>
      </c>
      <c r="C102" s="4">
        <v>369586801.63000005</v>
      </c>
      <c r="D102" s="4">
        <v>0</v>
      </c>
      <c r="E102" s="4">
        <v>369586801.63000005</v>
      </c>
      <c r="F102" s="4">
        <f t="shared" si="89"/>
        <v>277190101.22250003</v>
      </c>
      <c r="G102" s="4">
        <f t="shared" si="130"/>
        <v>25871076.114100005</v>
      </c>
      <c r="H102" s="4">
        <f t="shared" si="131"/>
        <v>22175208.097800002</v>
      </c>
      <c r="I102" s="4">
        <f t="shared" si="132"/>
        <v>11087604.048900001</v>
      </c>
      <c r="J102" s="4">
        <f t="shared" si="133"/>
        <v>9239670.0407500025</v>
      </c>
      <c r="K102" s="4">
        <f t="shared" si="134"/>
        <v>3695868.0163000007</v>
      </c>
      <c r="L102" s="4">
        <f t="shared" si="135"/>
        <v>1847934.0081500004</v>
      </c>
      <c r="M102" s="4">
        <f t="shared" si="136"/>
        <v>18479340.081500005</v>
      </c>
      <c r="N102" s="4">
        <f t="shared" si="137"/>
        <v>0</v>
      </c>
      <c r="O102">
        <v>4584144.78</v>
      </c>
      <c r="P102">
        <v>7122583.1399999987</v>
      </c>
      <c r="Q102">
        <v>334876.01999999996</v>
      </c>
      <c r="R102">
        <v>203100.71000000002</v>
      </c>
    </row>
    <row r="103" spans="1:18" x14ac:dyDescent="0.3">
      <c r="A103" t="s">
        <v>31</v>
      </c>
      <c r="B103">
        <v>2025</v>
      </c>
      <c r="C103" s="4">
        <v>468614665.50999999</v>
      </c>
      <c r="D103" s="4">
        <v>0</v>
      </c>
      <c r="E103" s="4">
        <v>468614665.50999999</v>
      </c>
      <c r="F103" s="4">
        <f t="shared" si="89"/>
        <v>351460999.13249999</v>
      </c>
      <c r="G103" s="4">
        <f>C103*0.035</f>
        <v>16401513.292850001</v>
      </c>
      <c r="H103" s="4">
        <f>C103*0.06</f>
        <v>28116879.930599999</v>
      </c>
      <c r="I103" s="4">
        <f>C103*0.03</f>
        <v>14058439.965299999</v>
      </c>
      <c r="J103" s="4">
        <f>C103*0</f>
        <v>0</v>
      </c>
      <c r="K103" s="4">
        <f>C103*0</f>
        <v>0</v>
      </c>
      <c r="L103" s="4">
        <f>C103*0</f>
        <v>0</v>
      </c>
      <c r="M103" s="4">
        <f>C103*0</f>
        <v>0</v>
      </c>
      <c r="N103" s="4">
        <f>C103*0.1</f>
        <v>46861466.550999999</v>
      </c>
      <c r="O103">
        <v>5745753.0200000005</v>
      </c>
      <c r="P103">
        <v>8442959.7300000004</v>
      </c>
      <c r="Q103">
        <v>310074.18</v>
      </c>
      <c r="R103">
        <v>3238426.4699999997</v>
      </c>
    </row>
    <row r="104" spans="1:18" x14ac:dyDescent="0.3">
      <c r="A104" t="s">
        <v>32</v>
      </c>
      <c r="B104">
        <v>2020</v>
      </c>
      <c r="C104" s="4">
        <v>26020488.649999999</v>
      </c>
      <c r="D104" s="4">
        <v>1761436.9</v>
      </c>
      <c r="E104" s="4">
        <v>27781925.560000002</v>
      </c>
      <c r="F104" s="4">
        <f t="shared" si="89"/>
        <v>19515366.487499997</v>
      </c>
      <c r="G104" s="4">
        <f t="shared" ref="G104:G108" si="138">C104*0.07</f>
        <v>1821434.2055000002</v>
      </c>
      <c r="H104" s="4">
        <f t="shared" ref="H104:H108" si="139">C104*0.06</f>
        <v>1561229.3189999999</v>
      </c>
      <c r="I104" s="4">
        <f t="shared" ref="I104:I108" si="140">C104*0.03</f>
        <v>780614.65949999995</v>
      </c>
      <c r="J104" s="4">
        <f t="shared" ref="J104:J108" si="141">C104*0.025</f>
        <v>650512.21625000006</v>
      </c>
      <c r="K104" s="4">
        <f t="shared" ref="K104:K108" si="142">C104*0.01</f>
        <v>260204.88649999999</v>
      </c>
      <c r="L104" s="4">
        <f t="shared" ref="L104:L108" si="143">C104*0.005</f>
        <v>130102.44325</v>
      </c>
      <c r="M104" s="4">
        <f t="shared" ref="M104:M108" si="144">C104*0.05</f>
        <v>1301024.4325000001</v>
      </c>
      <c r="N104" s="4">
        <f t="shared" ref="N104:N108" si="145">C104*0</f>
        <v>0</v>
      </c>
      <c r="O104">
        <v>506386.01</v>
      </c>
      <c r="P104">
        <v>691861.58</v>
      </c>
      <c r="Q104">
        <v>13033.05</v>
      </c>
      <c r="R104">
        <v>0</v>
      </c>
    </row>
    <row r="105" spans="1:18" x14ac:dyDescent="0.3">
      <c r="A105" t="s">
        <v>32</v>
      </c>
      <c r="B105">
        <v>2021</v>
      </c>
      <c r="C105" s="4">
        <v>33313899.429999996</v>
      </c>
      <c r="D105" s="4">
        <v>2252195.4700000002</v>
      </c>
      <c r="E105" s="4">
        <v>35566094.899999999</v>
      </c>
      <c r="F105" s="4">
        <f t="shared" si="89"/>
        <v>24985424.572499998</v>
      </c>
      <c r="G105" s="4">
        <f t="shared" si="138"/>
        <v>2331972.9600999998</v>
      </c>
      <c r="H105" s="4">
        <f t="shared" si="139"/>
        <v>1998833.9657999997</v>
      </c>
      <c r="I105" s="4">
        <f t="shared" si="140"/>
        <v>999416.98289999983</v>
      </c>
      <c r="J105" s="4">
        <f t="shared" si="141"/>
        <v>832847.48574999999</v>
      </c>
      <c r="K105" s="4">
        <f t="shared" si="142"/>
        <v>333138.99429999996</v>
      </c>
      <c r="L105" s="4">
        <f t="shared" si="143"/>
        <v>166569.49714999998</v>
      </c>
      <c r="M105" s="4">
        <f t="shared" si="144"/>
        <v>1665694.9715</v>
      </c>
      <c r="N105" s="4">
        <f t="shared" si="145"/>
        <v>0</v>
      </c>
      <c r="O105">
        <v>706052.22</v>
      </c>
      <c r="P105">
        <v>1001521.27</v>
      </c>
      <c r="Q105">
        <v>0</v>
      </c>
      <c r="R105">
        <v>0</v>
      </c>
    </row>
    <row r="106" spans="1:18" x14ac:dyDescent="0.3">
      <c r="A106" t="s">
        <v>32</v>
      </c>
      <c r="B106">
        <v>2022</v>
      </c>
      <c r="C106" s="4">
        <v>40198949.799999997</v>
      </c>
      <c r="D106" s="4">
        <v>2296477.8800000004</v>
      </c>
      <c r="E106" s="4">
        <v>42495427.68</v>
      </c>
      <c r="F106" s="4">
        <f t="shared" si="89"/>
        <v>30149212.349999998</v>
      </c>
      <c r="G106" s="4">
        <f t="shared" si="138"/>
        <v>2813926.486</v>
      </c>
      <c r="H106" s="4">
        <f t="shared" si="139"/>
        <v>2411936.9879999999</v>
      </c>
      <c r="I106" s="4">
        <f t="shared" si="140"/>
        <v>1205968.4939999999</v>
      </c>
      <c r="J106" s="4">
        <f t="shared" si="141"/>
        <v>1004973.745</v>
      </c>
      <c r="K106" s="4">
        <f t="shared" si="142"/>
        <v>401989.49799999996</v>
      </c>
      <c r="L106" s="4">
        <f t="shared" si="143"/>
        <v>200994.74899999998</v>
      </c>
      <c r="M106" s="4">
        <f t="shared" si="144"/>
        <v>2009947.49</v>
      </c>
      <c r="N106" s="4">
        <f t="shared" si="145"/>
        <v>0</v>
      </c>
      <c r="O106">
        <v>454038.39</v>
      </c>
      <c r="P106">
        <v>1078747.68</v>
      </c>
      <c r="Q106">
        <v>43403.369999999995</v>
      </c>
      <c r="R106">
        <v>0</v>
      </c>
    </row>
    <row r="107" spans="1:18" x14ac:dyDescent="0.3">
      <c r="A107" t="s">
        <v>32</v>
      </c>
      <c r="B107">
        <v>2023</v>
      </c>
      <c r="C107" s="4">
        <v>39675115.299999997</v>
      </c>
      <c r="D107" s="4">
        <v>0</v>
      </c>
      <c r="E107" s="4">
        <v>39675115.299999997</v>
      </c>
      <c r="F107" s="4">
        <f t="shared" si="89"/>
        <v>29756336.474999998</v>
      </c>
      <c r="G107" s="4">
        <f t="shared" si="138"/>
        <v>2777258.071</v>
      </c>
      <c r="H107" s="4">
        <f t="shared" si="139"/>
        <v>2380506.9179999996</v>
      </c>
      <c r="I107" s="4">
        <f t="shared" si="140"/>
        <v>1190253.4589999998</v>
      </c>
      <c r="J107" s="4">
        <f t="shared" si="141"/>
        <v>991877.88249999995</v>
      </c>
      <c r="K107" s="4">
        <f t="shared" si="142"/>
        <v>396751.15299999999</v>
      </c>
      <c r="L107" s="4">
        <f t="shared" si="143"/>
        <v>198375.5765</v>
      </c>
      <c r="M107" s="4">
        <f t="shared" si="144"/>
        <v>1983755.7649999999</v>
      </c>
      <c r="N107" s="4">
        <f t="shared" si="145"/>
        <v>0</v>
      </c>
      <c r="O107">
        <v>455072.38</v>
      </c>
      <c r="P107">
        <v>803463.51</v>
      </c>
      <c r="Q107">
        <v>285.86</v>
      </c>
      <c r="R107">
        <v>1177353.6399999999</v>
      </c>
    </row>
    <row r="108" spans="1:18" x14ac:dyDescent="0.3">
      <c r="A108" t="s">
        <v>32</v>
      </c>
      <c r="B108">
        <v>2024</v>
      </c>
      <c r="C108" s="4">
        <v>43022113.170000002</v>
      </c>
      <c r="D108" s="4">
        <v>0</v>
      </c>
      <c r="E108" s="4">
        <v>43022113.170000002</v>
      </c>
      <c r="F108" s="4">
        <f t="shared" si="89"/>
        <v>32266584.877500001</v>
      </c>
      <c r="G108" s="4">
        <f t="shared" si="138"/>
        <v>3011547.9219000004</v>
      </c>
      <c r="H108" s="4">
        <f t="shared" si="139"/>
        <v>2581326.7902000002</v>
      </c>
      <c r="I108" s="4">
        <f t="shared" si="140"/>
        <v>1290663.3951000001</v>
      </c>
      <c r="J108" s="4">
        <f t="shared" si="141"/>
        <v>1075552.8292500002</v>
      </c>
      <c r="K108" s="4">
        <f t="shared" si="142"/>
        <v>430221.13170000003</v>
      </c>
      <c r="L108" s="4">
        <f t="shared" si="143"/>
        <v>215110.56585000001</v>
      </c>
      <c r="M108" s="4">
        <f t="shared" si="144"/>
        <v>2151105.6585000004</v>
      </c>
      <c r="N108" s="4">
        <f t="shared" si="145"/>
        <v>0</v>
      </c>
      <c r="O108">
        <v>533593.93999999994</v>
      </c>
      <c r="P108">
        <v>829067.87</v>
      </c>
      <c r="Q108">
        <v>59592.590000000004</v>
      </c>
      <c r="R108">
        <v>25015.39</v>
      </c>
    </row>
    <row r="109" spans="1:18" x14ac:dyDescent="0.3">
      <c r="A109" t="s">
        <v>32</v>
      </c>
      <c r="B109">
        <v>2025</v>
      </c>
      <c r="C109" s="4">
        <v>45454235.060000002</v>
      </c>
      <c r="D109" s="4">
        <v>0</v>
      </c>
      <c r="E109" s="4">
        <v>45454235.060000002</v>
      </c>
      <c r="F109" s="4">
        <f t="shared" si="89"/>
        <v>34090676.295000002</v>
      </c>
      <c r="G109" s="4">
        <f>C109*0.035</f>
        <v>1590898.2271000003</v>
      </c>
      <c r="H109" s="4">
        <f>C109*0.06</f>
        <v>2727254.1036</v>
      </c>
      <c r="I109" s="4">
        <f>C109*0.03</f>
        <v>1363627.0518</v>
      </c>
      <c r="J109" s="4">
        <f>C109*0</f>
        <v>0</v>
      </c>
      <c r="K109" s="4">
        <f>C109*0</f>
        <v>0</v>
      </c>
      <c r="L109" s="4">
        <f>C109*0</f>
        <v>0</v>
      </c>
      <c r="M109" s="4">
        <f>C109*0</f>
        <v>0</v>
      </c>
      <c r="N109" s="4">
        <f>C109*0.1</f>
        <v>4545423.5060000001</v>
      </c>
      <c r="O109">
        <v>557042.61</v>
      </c>
      <c r="P109">
        <v>818532.97</v>
      </c>
      <c r="Q109">
        <v>55801.49</v>
      </c>
      <c r="R109">
        <v>313960.87</v>
      </c>
    </row>
    <row r="110" spans="1:18" x14ac:dyDescent="0.3">
      <c r="A110" t="s">
        <v>33</v>
      </c>
      <c r="B110">
        <v>2020</v>
      </c>
      <c r="C110" s="4">
        <v>62621113.290000007</v>
      </c>
      <c r="D110" s="4">
        <v>4239103.25</v>
      </c>
      <c r="E110" s="4">
        <v>66860216.539999999</v>
      </c>
      <c r="F110" s="4">
        <f t="shared" si="89"/>
        <v>46965834.967500001</v>
      </c>
      <c r="G110" s="4">
        <f t="shared" ref="G110:G114" si="146">C110*0.07</f>
        <v>4383477.9303000011</v>
      </c>
      <c r="H110" s="4">
        <f t="shared" ref="H110:H114" si="147">C110*0.06</f>
        <v>3757266.7974</v>
      </c>
      <c r="I110" s="4">
        <f t="shared" ref="I110:I114" si="148">C110*0.03</f>
        <v>1878633.3987</v>
      </c>
      <c r="J110" s="4">
        <f t="shared" ref="J110:J114" si="149">C110*0.025</f>
        <v>1565527.8322500002</v>
      </c>
      <c r="K110" s="4">
        <f t="shared" ref="K110:K114" si="150">C110*0.01</f>
        <v>626211.13290000008</v>
      </c>
      <c r="L110" s="4">
        <f t="shared" ref="L110:L114" si="151">C110*0.005</f>
        <v>313105.56645000004</v>
      </c>
      <c r="M110" s="4">
        <f t="shared" ref="M110:M114" si="152">C110*0.05</f>
        <v>3131055.6645000004</v>
      </c>
      <c r="N110" s="4">
        <f t="shared" ref="N110:N114" si="153">C110*0</f>
        <v>0</v>
      </c>
      <c r="O110">
        <v>1218677.1300000001</v>
      </c>
      <c r="P110">
        <v>1665045.74</v>
      </c>
      <c r="Q110">
        <v>31780.05</v>
      </c>
      <c r="R110">
        <v>0</v>
      </c>
    </row>
    <row r="111" spans="1:18" x14ac:dyDescent="0.3">
      <c r="A111" t="s">
        <v>33</v>
      </c>
      <c r="B111">
        <v>2021</v>
      </c>
      <c r="C111" s="4">
        <v>78340709.170000002</v>
      </c>
      <c r="D111" s="4">
        <v>5296032.29</v>
      </c>
      <c r="E111" s="4">
        <v>83636741.459999993</v>
      </c>
      <c r="F111" s="4">
        <f t="shared" si="89"/>
        <v>58755531.877499998</v>
      </c>
      <c r="G111" s="4">
        <f t="shared" si="146"/>
        <v>5483849.6419000011</v>
      </c>
      <c r="H111" s="4">
        <f t="shared" si="147"/>
        <v>4700442.5501999995</v>
      </c>
      <c r="I111" s="4">
        <f t="shared" si="148"/>
        <v>2350221.2750999997</v>
      </c>
      <c r="J111" s="4">
        <f t="shared" si="149"/>
        <v>1958517.7292500001</v>
      </c>
      <c r="K111" s="4">
        <f t="shared" si="150"/>
        <v>783407.09169999999</v>
      </c>
      <c r="L111" s="4">
        <f t="shared" si="151"/>
        <v>391703.54584999999</v>
      </c>
      <c r="M111" s="4">
        <f t="shared" si="152"/>
        <v>3917035.4585000002</v>
      </c>
      <c r="N111" s="4">
        <f t="shared" si="153"/>
        <v>0</v>
      </c>
      <c r="O111">
        <v>1660278.85</v>
      </c>
      <c r="P111">
        <v>2355072.9299999997</v>
      </c>
      <c r="Q111">
        <v>0</v>
      </c>
      <c r="R111">
        <v>0</v>
      </c>
    </row>
    <row r="112" spans="1:18" x14ac:dyDescent="0.3">
      <c r="A112" t="s">
        <v>33</v>
      </c>
      <c r="B112">
        <v>2022</v>
      </c>
      <c r="C112" s="4">
        <v>90810058.00999999</v>
      </c>
      <c r="D112" s="4">
        <v>5176388.72</v>
      </c>
      <c r="E112" s="4">
        <v>95986446.729999989</v>
      </c>
      <c r="F112" s="4">
        <f t="shared" si="89"/>
        <v>68107543.507499993</v>
      </c>
      <c r="G112" s="4">
        <f t="shared" si="146"/>
        <v>6356704.0607000003</v>
      </c>
      <c r="H112" s="4">
        <f t="shared" si="147"/>
        <v>5448603.4805999994</v>
      </c>
      <c r="I112" s="4">
        <f t="shared" si="148"/>
        <v>2724301.7402999997</v>
      </c>
      <c r="J112" s="4">
        <f t="shared" si="149"/>
        <v>2270251.4502499998</v>
      </c>
      <c r="K112" s="4">
        <f t="shared" si="150"/>
        <v>908100.5800999999</v>
      </c>
      <c r="L112" s="4">
        <f t="shared" si="151"/>
        <v>454050.29004999995</v>
      </c>
      <c r="M112" s="4">
        <f t="shared" si="152"/>
        <v>4540502.9004999995</v>
      </c>
      <c r="N112" s="4">
        <f t="shared" si="153"/>
        <v>0</v>
      </c>
      <c r="O112">
        <v>1028154.12</v>
      </c>
      <c r="P112">
        <v>2435994.5100000002</v>
      </c>
      <c r="Q112">
        <v>106015.33000000002</v>
      </c>
      <c r="R112">
        <v>0</v>
      </c>
    </row>
    <row r="113" spans="1:18" x14ac:dyDescent="0.3">
      <c r="A113" t="s">
        <v>33</v>
      </c>
      <c r="B113">
        <v>2023</v>
      </c>
      <c r="C113" s="4">
        <v>98496082.149999991</v>
      </c>
      <c r="D113" s="4">
        <v>0</v>
      </c>
      <c r="E113" s="4">
        <v>98496082.149999991</v>
      </c>
      <c r="F113" s="4">
        <f t="shared" si="89"/>
        <v>73872061.612499997</v>
      </c>
      <c r="G113" s="4">
        <f t="shared" si="146"/>
        <v>6894725.7505000001</v>
      </c>
      <c r="H113" s="4">
        <f t="shared" si="147"/>
        <v>5909764.9289999995</v>
      </c>
      <c r="I113" s="4">
        <f t="shared" si="148"/>
        <v>2954882.4644999998</v>
      </c>
      <c r="J113" s="4">
        <f t="shared" si="149"/>
        <v>2462402.05375</v>
      </c>
      <c r="K113" s="4">
        <f t="shared" si="150"/>
        <v>984960.82149999996</v>
      </c>
      <c r="L113" s="4">
        <f t="shared" si="151"/>
        <v>492480.41074999998</v>
      </c>
      <c r="M113" s="4">
        <f t="shared" si="152"/>
        <v>4924804.1074999999</v>
      </c>
      <c r="N113" s="4">
        <f t="shared" si="153"/>
        <v>0</v>
      </c>
      <c r="O113">
        <v>1120487.81</v>
      </c>
      <c r="P113">
        <v>1994805.9900000002</v>
      </c>
      <c r="Q113">
        <v>698.37</v>
      </c>
      <c r="R113">
        <v>2923084.9000000004</v>
      </c>
    </row>
    <row r="114" spans="1:18" x14ac:dyDescent="0.3">
      <c r="A114" t="s">
        <v>33</v>
      </c>
      <c r="B114">
        <v>2024</v>
      </c>
      <c r="C114" s="4">
        <v>111106094.81</v>
      </c>
      <c r="D114" s="4">
        <v>0</v>
      </c>
      <c r="E114" s="4">
        <v>111106094.81</v>
      </c>
      <c r="F114" s="4">
        <f t="shared" si="89"/>
        <v>83329571.107500002</v>
      </c>
      <c r="G114" s="4">
        <f t="shared" si="146"/>
        <v>7777426.6367000006</v>
      </c>
      <c r="H114" s="4">
        <f t="shared" si="147"/>
        <v>6666365.6886</v>
      </c>
      <c r="I114" s="4">
        <f t="shared" si="148"/>
        <v>3333182.8443</v>
      </c>
      <c r="J114" s="4">
        <f t="shared" si="149"/>
        <v>2777652.3702500002</v>
      </c>
      <c r="K114" s="4">
        <f t="shared" si="150"/>
        <v>1111060.9481000002</v>
      </c>
      <c r="L114" s="4">
        <f t="shared" si="151"/>
        <v>555530.47405000008</v>
      </c>
      <c r="M114" s="4">
        <f t="shared" si="152"/>
        <v>5555304.7405000003</v>
      </c>
      <c r="N114" s="4">
        <f t="shared" si="153"/>
        <v>0</v>
      </c>
      <c r="O114">
        <v>1378075.52</v>
      </c>
      <c r="P114">
        <v>2141175.2999999998</v>
      </c>
      <c r="Q114">
        <v>146788.1</v>
      </c>
      <c r="R114">
        <v>62107.23</v>
      </c>
    </row>
    <row r="115" spans="1:18" x14ac:dyDescent="0.3">
      <c r="A115" t="s">
        <v>33</v>
      </c>
      <c r="B115">
        <v>2025</v>
      </c>
      <c r="C115" s="4">
        <v>113450267.91</v>
      </c>
      <c r="D115" s="4">
        <v>0</v>
      </c>
      <c r="E115" s="4">
        <v>113450267.91</v>
      </c>
      <c r="F115" s="4">
        <f t="shared" si="89"/>
        <v>85087700.932500005</v>
      </c>
      <c r="G115" s="4">
        <f>C115*0.035</f>
        <v>3970759.3768500001</v>
      </c>
      <c r="H115" s="4">
        <f>C115*0.06</f>
        <v>6807016.0745999999</v>
      </c>
      <c r="I115" s="4">
        <f>C115*0.03</f>
        <v>3403508.0373</v>
      </c>
      <c r="J115" s="4">
        <f>C115*0</f>
        <v>0</v>
      </c>
      <c r="K115" s="4">
        <f>C115*0</f>
        <v>0</v>
      </c>
      <c r="L115" s="4">
        <f>C115*0</f>
        <v>0</v>
      </c>
      <c r="M115" s="4">
        <f>C115*0</f>
        <v>0</v>
      </c>
      <c r="N115" s="4">
        <f>C115*0.1</f>
        <v>11345026.791000001</v>
      </c>
      <c r="O115">
        <v>1390190.6099999999</v>
      </c>
      <c r="P115">
        <v>2042782.4100000001</v>
      </c>
      <c r="Q115">
        <v>137240.83000000002</v>
      </c>
      <c r="R115">
        <v>783540.46</v>
      </c>
    </row>
    <row r="116" spans="1:18" x14ac:dyDescent="0.3">
      <c r="A116" t="s">
        <v>35</v>
      </c>
      <c r="B116">
        <v>2020</v>
      </c>
      <c r="C116" s="4">
        <v>12690027.389999999</v>
      </c>
      <c r="D116" s="4">
        <v>859098.28</v>
      </c>
      <c r="E116" s="4">
        <v>13549125.66</v>
      </c>
      <c r="F116" s="4">
        <f t="shared" si="89"/>
        <v>9517520.5424999986</v>
      </c>
      <c r="G116" s="4">
        <f t="shared" ref="G116:G120" si="154">C116*0.07</f>
        <v>888301.91729999997</v>
      </c>
      <c r="H116" s="4">
        <f t="shared" ref="H116:H120" si="155">C116*0.06</f>
        <v>761401.64339999994</v>
      </c>
      <c r="I116" s="4">
        <f t="shared" ref="I116:I120" si="156">C116*0.03</f>
        <v>380700.82169999997</v>
      </c>
      <c r="J116" s="4">
        <f t="shared" ref="J116:J120" si="157">C116*0.025</f>
        <v>317250.68475000001</v>
      </c>
      <c r="K116" s="4">
        <f t="shared" ref="K116:K120" si="158">C116*0.01</f>
        <v>126900.27389999999</v>
      </c>
      <c r="L116" s="4">
        <f t="shared" ref="L116:L120" si="159">C116*0.005</f>
        <v>63450.136949999993</v>
      </c>
      <c r="M116" s="4">
        <f t="shared" ref="M116:M120" si="160">C116*0.05</f>
        <v>634501.36950000003</v>
      </c>
      <c r="N116" s="4">
        <f t="shared" ref="N116:N120" si="161">C116*0</f>
        <v>0</v>
      </c>
      <c r="O116">
        <v>246978.01000000004</v>
      </c>
      <c r="P116">
        <v>337439.42000000004</v>
      </c>
      <c r="Q116">
        <v>5239.17</v>
      </c>
      <c r="R116">
        <v>0</v>
      </c>
    </row>
    <row r="117" spans="1:18" x14ac:dyDescent="0.3">
      <c r="A117" t="s">
        <v>35</v>
      </c>
      <c r="B117">
        <v>2021</v>
      </c>
      <c r="C117" s="4">
        <v>16229880.359999999</v>
      </c>
      <c r="D117" s="4">
        <v>1097223.55</v>
      </c>
      <c r="E117" s="4">
        <v>17327103.91</v>
      </c>
      <c r="F117" s="4">
        <f t="shared" si="89"/>
        <v>12172410.27</v>
      </c>
      <c r="G117" s="4">
        <f t="shared" si="154"/>
        <v>1136091.6252000001</v>
      </c>
      <c r="H117" s="4">
        <f t="shared" si="155"/>
        <v>973792.82159999991</v>
      </c>
      <c r="I117" s="4">
        <f t="shared" si="156"/>
        <v>486896.41079999995</v>
      </c>
      <c r="J117" s="4">
        <f t="shared" si="157"/>
        <v>405747.00900000002</v>
      </c>
      <c r="K117" s="4">
        <f t="shared" si="158"/>
        <v>162298.80359999998</v>
      </c>
      <c r="L117" s="4">
        <f t="shared" si="159"/>
        <v>81149.401799999992</v>
      </c>
      <c r="M117" s="4">
        <f t="shared" si="160"/>
        <v>811494.01800000004</v>
      </c>
      <c r="N117" s="4">
        <f t="shared" si="161"/>
        <v>0</v>
      </c>
      <c r="O117">
        <v>343974.19</v>
      </c>
      <c r="P117">
        <v>487920.61999999994</v>
      </c>
      <c r="Q117">
        <v>0</v>
      </c>
      <c r="R117">
        <v>0</v>
      </c>
    </row>
    <row r="118" spans="1:18" x14ac:dyDescent="0.3">
      <c r="A118" t="s">
        <v>35</v>
      </c>
      <c r="B118">
        <v>2022</v>
      </c>
      <c r="C118" s="4">
        <v>19774365.870000001</v>
      </c>
      <c r="D118" s="4">
        <v>1130248.93</v>
      </c>
      <c r="E118" s="4">
        <v>20904614.799999997</v>
      </c>
      <c r="F118" s="4">
        <f t="shared" si="89"/>
        <v>14830774.4025</v>
      </c>
      <c r="G118" s="4">
        <f t="shared" si="154"/>
        <v>1384205.6109000002</v>
      </c>
      <c r="H118" s="4">
        <f t="shared" si="155"/>
        <v>1186461.9521999999</v>
      </c>
      <c r="I118" s="4">
        <f t="shared" si="156"/>
        <v>593230.97609999997</v>
      </c>
      <c r="J118" s="4">
        <f t="shared" si="157"/>
        <v>494359.14675000007</v>
      </c>
      <c r="K118" s="4">
        <f t="shared" si="158"/>
        <v>197743.65870000003</v>
      </c>
      <c r="L118" s="4">
        <f t="shared" si="159"/>
        <v>98871.829350000015</v>
      </c>
      <c r="M118" s="4">
        <f t="shared" si="160"/>
        <v>988718.29350000015</v>
      </c>
      <c r="N118" s="4">
        <f t="shared" si="161"/>
        <v>0</v>
      </c>
      <c r="O118">
        <v>223220.49</v>
      </c>
      <c r="P118">
        <v>530696.11</v>
      </c>
      <c r="Q118">
        <v>17467.13</v>
      </c>
      <c r="R118">
        <v>0</v>
      </c>
    </row>
    <row r="119" spans="1:18" x14ac:dyDescent="0.3">
      <c r="A119" t="s">
        <v>35</v>
      </c>
      <c r="B119">
        <v>2023</v>
      </c>
      <c r="C119" s="4">
        <v>20300301.370000001</v>
      </c>
      <c r="D119" s="4">
        <v>0</v>
      </c>
      <c r="E119" s="4">
        <v>20300301.370000001</v>
      </c>
      <c r="F119" s="4">
        <f t="shared" si="89"/>
        <v>15225226.0275</v>
      </c>
      <c r="G119" s="4">
        <f t="shared" si="154"/>
        <v>1421021.0959000003</v>
      </c>
      <c r="H119" s="4">
        <f t="shared" si="155"/>
        <v>1218018.0822000001</v>
      </c>
      <c r="I119" s="4">
        <f t="shared" si="156"/>
        <v>609009.04110000003</v>
      </c>
      <c r="J119" s="4">
        <f t="shared" si="157"/>
        <v>507507.53425000003</v>
      </c>
      <c r="K119" s="4">
        <f t="shared" si="158"/>
        <v>203003.01370000001</v>
      </c>
      <c r="L119" s="4">
        <f t="shared" si="159"/>
        <v>101501.50685000001</v>
      </c>
      <c r="M119" s="4">
        <f t="shared" si="160"/>
        <v>1015015.0685000001</v>
      </c>
      <c r="N119" s="4">
        <f t="shared" si="161"/>
        <v>0</v>
      </c>
      <c r="O119">
        <v>232060.45</v>
      </c>
      <c r="P119">
        <v>411115.92000000004</v>
      </c>
      <c r="Q119">
        <v>115.05</v>
      </c>
      <c r="R119">
        <v>602427.88</v>
      </c>
    </row>
    <row r="120" spans="1:18" x14ac:dyDescent="0.3">
      <c r="A120" t="s">
        <v>35</v>
      </c>
      <c r="B120">
        <v>2024</v>
      </c>
      <c r="C120" s="4">
        <v>21018988.73</v>
      </c>
      <c r="D120" s="4">
        <v>0</v>
      </c>
      <c r="E120" s="4">
        <v>21018988.73</v>
      </c>
      <c r="F120" s="4">
        <f t="shared" si="89"/>
        <v>15764241.547499999</v>
      </c>
      <c r="G120" s="4">
        <f t="shared" si="154"/>
        <v>1471329.2111000002</v>
      </c>
      <c r="H120" s="4">
        <f t="shared" si="155"/>
        <v>1261139.3237999999</v>
      </c>
      <c r="I120" s="4">
        <f t="shared" si="156"/>
        <v>630569.66189999995</v>
      </c>
      <c r="J120" s="4">
        <f t="shared" si="157"/>
        <v>525474.71825000003</v>
      </c>
      <c r="K120" s="4">
        <f t="shared" si="158"/>
        <v>210189.8873</v>
      </c>
      <c r="L120" s="4">
        <f t="shared" si="159"/>
        <v>105094.94365</v>
      </c>
      <c r="M120" s="4">
        <f t="shared" si="160"/>
        <v>1050949.4365000001</v>
      </c>
      <c r="N120" s="4">
        <f t="shared" si="161"/>
        <v>0</v>
      </c>
      <c r="O120">
        <v>260682.2</v>
      </c>
      <c r="P120">
        <v>405033.17</v>
      </c>
      <c r="Q120">
        <v>23792.620000000003</v>
      </c>
      <c r="R120">
        <v>12799.859999999999</v>
      </c>
    </row>
    <row r="121" spans="1:18" x14ac:dyDescent="0.3">
      <c r="A121" t="s">
        <v>35</v>
      </c>
      <c r="B121">
        <v>2025</v>
      </c>
      <c r="C121" s="4">
        <v>20900472</v>
      </c>
      <c r="D121" s="4">
        <v>0</v>
      </c>
      <c r="E121" s="4">
        <v>20900472</v>
      </c>
      <c r="F121" s="4">
        <f t="shared" si="89"/>
        <v>15675354</v>
      </c>
      <c r="G121" s="4">
        <f>C121*0.035</f>
        <v>731516.52</v>
      </c>
      <c r="H121" s="4">
        <f>C121*0.06</f>
        <v>1254028.32</v>
      </c>
      <c r="I121" s="4">
        <f>C121*0.03</f>
        <v>627014.16</v>
      </c>
      <c r="J121" s="4">
        <f>C121*0</f>
        <v>0</v>
      </c>
      <c r="K121" s="4">
        <f>C121*0</f>
        <v>0</v>
      </c>
      <c r="L121" s="4">
        <f>C121*0</f>
        <v>0</v>
      </c>
      <c r="M121" s="4">
        <f>C121*0</f>
        <v>0</v>
      </c>
      <c r="N121" s="4">
        <f>C121*0.1</f>
        <v>2090047.2000000002</v>
      </c>
      <c r="O121">
        <v>256087.75</v>
      </c>
      <c r="P121">
        <v>376302.03</v>
      </c>
      <c r="Q121">
        <v>21938.76</v>
      </c>
      <c r="R121">
        <v>144336.41</v>
      </c>
    </row>
    <row r="122" spans="1:18" x14ac:dyDescent="0.3">
      <c r="A122" t="s">
        <v>34</v>
      </c>
      <c r="B122">
        <v>2020</v>
      </c>
      <c r="C122" s="4">
        <v>15359158.439999999</v>
      </c>
      <c r="D122" s="4">
        <v>1039572.1</v>
      </c>
      <c r="E122" s="4">
        <v>16398730.539999999</v>
      </c>
      <c r="F122" s="4">
        <f t="shared" si="89"/>
        <v>11519368.83</v>
      </c>
      <c r="G122" s="4">
        <f t="shared" ref="G122:G126" si="162">C122*0.07</f>
        <v>1075141.0908000001</v>
      </c>
      <c r="H122" s="4">
        <f t="shared" ref="H122:H126" si="163">C122*0.06</f>
        <v>921549.50639999995</v>
      </c>
      <c r="I122" s="4">
        <f t="shared" ref="I122:I126" si="164">C122*0.03</f>
        <v>460774.75319999998</v>
      </c>
      <c r="J122" s="4">
        <f t="shared" ref="J122:J126" si="165">C122*0.025</f>
        <v>383978.96100000001</v>
      </c>
      <c r="K122" s="4">
        <f t="shared" ref="K122:K126" si="166">C122*0.01</f>
        <v>153591.58439999999</v>
      </c>
      <c r="L122" s="4">
        <f t="shared" ref="L122:L126" si="167">C122*0.005</f>
        <v>76795.792199999996</v>
      </c>
      <c r="M122" s="4">
        <f t="shared" ref="M122:M126" si="168">C122*0.05</f>
        <v>767957.92200000002</v>
      </c>
      <c r="N122" s="4">
        <f t="shared" ref="N122:N126" si="169">C122*0</f>
        <v>0</v>
      </c>
      <c r="O122">
        <v>298859.61</v>
      </c>
      <c r="P122">
        <v>408323.85</v>
      </c>
      <c r="Q122">
        <v>11259.49</v>
      </c>
      <c r="R122">
        <v>0</v>
      </c>
    </row>
    <row r="123" spans="1:18" x14ac:dyDescent="0.3">
      <c r="A123" t="s">
        <v>34</v>
      </c>
      <c r="B123">
        <v>2021</v>
      </c>
      <c r="C123" s="4">
        <v>20819155.030000001</v>
      </c>
      <c r="D123" s="4">
        <v>1407619.46</v>
      </c>
      <c r="E123" s="4">
        <v>22226774.490000002</v>
      </c>
      <c r="F123" s="4">
        <f t="shared" si="89"/>
        <v>15614366.272500001</v>
      </c>
      <c r="G123" s="4">
        <f t="shared" si="162"/>
        <v>1457340.8521000003</v>
      </c>
      <c r="H123" s="4">
        <f t="shared" si="163"/>
        <v>1249149.3018</v>
      </c>
      <c r="I123" s="4">
        <f t="shared" si="164"/>
        <v>624574.65090000001</v>
      </c>
      <c r="J123" s="4">
        <f t="shared" si="165"/>
        <v>520478.87575000006</v>
      </c>
      <c r="K123" s="4">
        <f t="shared" si="166"/>
        <v>208191.5503</v>
      </c>
      <c r="L123" s="4">
        <f t="shared" si="167"/>
        <v>104095.77515</v>
      </c>
      <c r="M123" s="4">
        <f t="shared" si="168"/>
        <v>1040957.7515000001</v>
      </c>
      <c r="N123" s="4">
        <f t="shared" si="169"/>
        <v>0</v>
      </c>
      <c r="O123">
        <v>441282.65</v>
      </c>
      <c r="P123">
        <v>625950.78</v>
      </c>
      <c r="Q123">
        <v>0</v>
      </c>
      <c r="R123">
        <v>0</v>
      </c>
    </row>
    <row r="124" spans="1:18" x14ac:dyDescent="0.3">
      <c r="A124" t="s">
        <v>34</v>
      </c>
      <c r="B124">
        <v>2022</v>
      </c>
      <c r="C124" s="4">
        <v>27033059.899999999</v>
      </c>
      <c r="D124" s="4">
        <v>1550188.2000000002</v>
      </c>
      <c r="E124" s="4">
        <v>28583248.099999998</v>
      </c>
      <c r="F124" s="4">
        <f t="shared" si="89"/>
        <v>20274794.924999997</v>
      </c>
      <c r="G124" s="4">
        <f t="shared" si="162"/>
        <v>1892314.193</v>
      </c>
      <c r="H124" s="4">
        <f t="shared" si="163"/>
        <v>1621983.5939999998</v>
      </c>
      <c r="I124" s="4">
        <f t="shared" si="164"/>
        <v>810991.7969999999</v>
      </c>
      <c r="J124" s="4">
        <f t="shared" si="165"/>
        <v>675826.49750000006</v>
      </c>
      <c r="K124" s="4">
        <f t="shared" si="166"/>
        <v>270330.59899999999</v>
      </c>
      <c r="L124" s="4">
        <f t="shared" si="167"/>
        <v>135165.29949999999</v>
      </c>
      <c r="M124" s="4">
        <f t="shared" si="168"/>
        <v>1351652.9950000001</v>
      </c>
      <c r="N124" s="4">
        <f t="shared" si="169"/>
        <v>0</v>
      </c>
      <c r="O124">
        <v>304062.24</v>
      </c>
      <c r="P124">
        <v>725907.21</v>
      </c>
      <c r="Q124">
        <v>37542.51</v>
      </c>
      <c r="R124">
        <v>0</v>
      </c>
    </row>
    <row r="125" spans="1:18" x14ac:dyDescent="0.3">
      <c r="A125" t="s">
        <v>34</v>
      </c>
      <c r="B125">
        <v>2023</v>
      </c>
      <c r="C125" s="4">
        <v>35034294.859999999</v>
      </c>
      <c r="D125" s="4">
        <v>0</v>
      </c>
      <c r="E125" s="4">
        <v>35034294.859999999</v>
      </c>
      <c r="F125" s="4">
        <f t="shared" si="89"/>
        <v>26275721.145</v>
      </c>
      <c r="G125" s="4">
        <f t="shared" si="162"/>
        <v>2452400.6402000003</v>
      </c>
      <c r="H125" s="4">
        <f t="shared" si="163"/>
        <v>2102057.6916</v>
      </c>
      <c r="I125" s="4">
        <f t="shared" si="164"/>
        <v>1051028.8458</v>
      </c>
      <c r="J125" s="4">
        <f t="shared" si="165"/>
        <v>875857.37150000001</v>
      </c>
      <c r="K125" s="4">
        <f t="shared" si="166"/>
        <v>350342.9486</v>
      </c>
      <c r="L125" s="4">
        <f t="shared" si="167"/>
        <v>175171.4743</v>
      </c>
      <c r="M125" s="4">
        <f t="shared" si="168"/>
        <v>1751714.743</v>
      </c>
      <c r="N125" s="4">
        <f t="shared" si="169"/>
        <v>0</v>
      </c>
      <c r="O125">
        <v>393483.27999999997</v>
      </c>
      <c r="P125">
        <v>709621.82</v>
      </c>
      <c r="Q125">
        <v>247.29</v>
      </c>
      <c r="R125">
        <v>1039842.9199999999</v>
      </c>
    </row>
    <row r="126" spans="1:18" x14ac:dyDescent="0.3">
      <c r="A126" t="s">
        <v>34</v>
      </c>
      <c r="B126">
        <v>2024</v>
      </c>
      <c r="C126" s="4">
        <v>39491733.719999999</v>
      </c>
      <c r="D126" s="4">
        <v>0</v>
      </c>
      <c r="E126" s="4">
        <v>39491733.719999999</v>
      </c>
      <c r="F126" s="4">
        <f t="shared" si="89"/>
        <v>29618800.289999999</v>
      </c>
      <c r="G126" s="4">
        <f t="shared" si="162"/>
        <v>2764421.3604000001</v>
      </c>
      <c r="H126" s="4">
        <f t="shared" si="163"/>
        <v>2369504.0231999997</v>
      </c>
      <c r="I126" s="4">
        <f t="shared" si="164"/>
        <v>1184752.0115999999</v>
      </c>
      <c r="J126" s="4">
        <f t="shared" si="165"/>
        <v>987293.34299999999</v>
      </c>
      <c r="K126" s="4">
        <f t="shared" si="166"/>
        <v>394917.33720000001</v>
      </c>
      <c r="L126" s="4">
        <f t="shared" si="167"/>
        <v>197458.6686</v>
      </c>
      <c r="M126" s="4">
        <f t="shared" si="168"/>
        <v>1974586.686</v>
      </c>
      <c r="N126" s="4">
        <f t="shared" si="169"/>
        <v>0</v>
      </c>
      <c r="O126">
        <v>489825.07000000007</v>
      </c>
      <c r="P126">
        <v>761062.31</v>
      </c>
      <c r="Q126">
        <v>49837.869999999995</v>
      </c>
      <c r="R126">
        <v>22093.7</v>
      </c>
    </row>
    <row r="127" spans="1:18" x14ac:dyDescent="0.3">
      <c r="A127" t="s">
        <v>34</v>
      </c>
      <c r="B127">
        <v>2025</v>
      </c>
      <c r="C127" s="4">
        <v>33874836.120000005</v>
      </c>
      <c r="D127" s="4">
        <v>0</v>
      </c>
      <c r="E127" s="4">
        <v>33874836.120000005</v>
      </c>
      <c r="F127" s="4">
        <f t="shared" si="89"/>
        <v>25406127.090000004</v>
      </c>
      <c r="G127" s="4">
        <f>C127*0.035</f>
        <v>1185619.2642000003</v>
      </c>
      <c r="H127" s="4">
        <f>C127*0.06</f>
        <v>2032490.1672000003</v>
      </c>
      <c r="I127" s="4">
        <f>C127*0.03</f>
        <v>1016245.0836000001</v>
      </c>
      <c r="J127" s="4">
        <f>C127*0</f>
        <v>0</v>
      </c>
      <c r="K127" s="4">
        <f>C127*0</f>
        <v>0</v>
      </c>
      <c r="L127" s="4">
        <f>C127*0</f>
        <v>0</v>
      </c>
      <c r="M127" s="4">
        <f>C127*0</f>
        <v>0</v>
      </c>
      <c r="N127" s="4">
        <f>C127*0.1</f>
        <v>3387483.6120000007</v>
      </c>
      <c r="O127">
        <v>414848.3299999999</v>
      </c>
      <c r="P127">
        <v>609588.99</v>
      </c>
      <c r="Q127">
        <v>45479.45</v>
      </c>
      <c r="R127">
        <v>233817.19</v>
      </c>
    </row>
    <row r="128" spans="1:18" x14ac:dyDescent="0.3">
      <c r="A128" t="s">
        <v>36</v>
      </c>
      <c r="B128">
        <v>2020</v>
      </c>
      <c r="C128" s="4">
        <v>5164550.1700000009</v>
      </c>
      <c r="D128" s="4">
        <v>349654.24999999994</v>
      </c>
      <c r="E128" s="4">
        <v>5514204.4200000009</v>
      </c>
      <c r="F128" s="4">
        <f t="shared" si="89"/>
        <v>3873412.6275000004</v>
      </c>
      <c r="G128" s="4">
        <f t="shared" ref="G128:G132" si="170">C128*0.07</f>
        <v>361518.5119000001</v>
      </c>
      <c r="H128" s="4">
        <f t="shared" ref="H128:H132" si="171">C128*0.06</f>
        <v>309873.01020000002</v>
      </c>
      <c r="I128" s="4">
        <f t="shared" ref="I128:I132" si="172">C128*0.03</f>
        <v>154936.50510000001</v>
      </c>
      <c r="J128" s="4">
        <f t="shared" ref="J128:J132" si="173">C128*0.025</f>
        <v>129113.75425000003</v>
      </c>
      <c r="K128" s="4">
        <f t="shared" ref="K128:K132" si="174">C128*0.01</f>
        <v>51645.501700000008</v>
      </c>
      <c r="L128" s="4">
        <f t="shared" ref="L128:L132" si="175">C128*0.005</f>
        <v>25822.750850000004</v>
      </c>
      <c r="M128" s="4">
        <f t="shared" ref="M128:M132" si="176">C128*0.05</f>
        <v>258227.50850000005</v>
      </c>
      <c r="N128" s="4">
        <f t="shared" ref="N128:N132" si="177">C128*0</f>
        <v>0</v>
      </c>
      <c r="O128">
        <v>100520.59000000001</v>
      </c>
      <c r="P128">
        <v>137338.57</v>
      </c>
      <c r="Q128">
        <v>3208.79</v>
      </c>
      <c r="R128">
        <v>0</v>
      </c>
    </row>
    <row r="129" spans="1:18" x14ac:dyDescent="0.3">
      <c r="A129" t="s">
        <v>36</v>
      </c>
      <c r="B129">
        <v>2021</v>
      </c>
      <c r="C129" s="4">
        <v>6762175.0600000005</v>
      </c>
      <c r="D129" s="4">
        <v>457176.15</v>
      </c>
      <c r="E129" s="4">
        <v>7219351.21</v>
      </c>
      <c r="F129" s="4">
        <f t="shared" si="89"/>
        <v>5071631.2949999999</v>
      </c>
      <c r="G129" s="4">
        <f t="shared" si="170"/>
        <v>473352.25420000008</v>
      </c>
      <c r="H129" s="4">
        <f t="shared" si="171"/>
        <v>405730.5036</v>
      </c>
      <c r="I129" s="4">
        <f t="shared" si="172"/>
        <v>202865.2518</v>
      </c>
      <c r="J129" s="4">
        <f t="shared" si="173"/>
        <v>169054.37650000001</v>
      </c>
      <c r="K129" s="4">
        <f t="shared" si="174"/>
        <v>67621.750599999999</v>
      </c>
      <c r="L129" s="4">
        <f t="shared" si="175"/>
        <v>33810.8753</v>
      </c>
      <c r="M129" s="4">
        <f t="shared" si="176"/>
        <v>338108.75300000003</v>
      </c>
      <c r="N129" s="4">
        <f t="shared" si="177"/>
        <v>0</v>
      </c>
      <c r="O129">
        <v>143322.57</v>
      </c>
      <c r="P129">
        <v>203300.27000000002</v>
      </c>
      <c r="Q129">
        <v>0</v>
      </c>
      <c r="R129">
        <v>0</v>
      </c>
    </row>
    <row r="130" spans="1:18" x14ac:dyDescent="0.3">
      <c r="A130" t="s">
        <v>36</v>
      </c>
      <c r="B130">
        <v>2022</v>
      </c>
      <c r="C130" s="4">
        <v>7773924.6999999993</v>
      </c>
      <c r="D130" s="4">
        <v>442924.79999999999</v>
      </c>
      <c r="E130" s="4">
        <v>8216849.4999999991</v>
      </c>
      <c r="F130" s="4">
        <f t="shared" si="89"/>
        <v>5830443.5249999994</v>
      </c>
      <c r="G130" s="4">
        <f t="shared" si="170"/>
        <v>544174.72900000005</v>
      </c>
      <c r="H130" s="4">
        <f t="shared" si="171"/>
        <v>466435.48199999996</v>
      </c>
      <c r="I130" s="4">
        <f t="shared" si="172"/>
        <v>233217.74099999998</v>
      </c>
      <c r="J130" s="4">
        <f t="shared" si="173"/>
        <v>194348.11749999999</v>
      </c>
      <c r="K130" s="4">
        <f t="shared" si="174"/>
        <v>77739.246999999988</v>
      </c>
      <c r="L130" s="4">
        <f t="shared" si="175"/>
        <v>38869.623499999994</v>
      </c>
      <c r="M130" s="4">
        <f t="shared" si="176"/>
        <v>388696.23499999999</v>
      </c>
      <c r="N130" s="4">
        <f t="shared" si="177"/>
        <v>0</v>
      </c>
      <c r="O130">
        <v>88061.890000000014</v>
      </c>
      <c r="P130">
        <v>208520.37999999998</v>
      </c>
      <c r="Q130">
        <v>10625.449999999999</v>
      </c>
      <c r="R130">
        <v>0</v>
      </c>
    </row>
    <row r="131" spans="1:18" x14ac:dyDescent="0.3">
      <c r="A131" t="s">
        <v>36</v>
      </c>
      <c r="B131">
        <v>2023</v>
      </c>
      <c r="C131" s="4">
        <v>8031791.7000000002</v>
      </c>
      <c r="D131" s="4">
        <v>0</v>
      </c>
      <c r="E131" s="4">
        <v>8031791.7000000002</v>
      </c>
      <c r="F131" s="4">
        <f t="shared" ref="F131:F194" si="178">C131*0.75</f>
        <v>6023843.7750000004</v>
      </c>
      <c r="G131" s="4">
        <f t="shared" si="170"/>
        <v>562225.41900000011</v>
      </c>
      <c r="H131" s="4">
        <f t="shared" si="171"/>
        <v>481907.50199999998</v>
      </c>
      <c r="I131" s="4">
        <f t="shared" si="172"/>
        <v>240953.75099999999</v>
      </c>
      <c r="J131" s="4">
        <f t="shared" si="173"/>
        <v>200794.79250000001</v>
      </c>
      <c r="K131" s="4">
        <f t="shared" si="174"/>
        <v>80317.917000000001</v>
      </c>
      <c r="L131" s="4">
        <f t="shared" si="175"/>
        <v>40158.958500000001</v>
      </c>
      <c r="M131" s="4">
        <f t="shared" si="176"/>
        <v>401589.58500000002</v>
      </c>
      <c r="N131" s="4">
        <f t="shared" si="177"/>
        <v>0</v>
      </c>
      <c r="O131">
        <v>91733.729999999981</v>
      </c>
      <c r="P131">
        <v>162658.90999999997</v>
      </c>
      <c r="Q131">
        <v>69.94</v>
      </c>
      <c r="R131">
        <v>238351.9</v>
      </c>
    </row>
    <row r="132" spans="1:18" x14ac:dyDescent="0.3">
      <c r="A132" t="s">
        <v>36</v>
      </c>
      <c r="B132">
        <v>2024</v>
      </c>
      <c r="C132" s="4">
        <v>9340749.9700000007</v>
      </c>
      <c r="D132" s="4">
        <v>0</v>
      </c>
      <c r="E132" s="4">
        <v>9340749.9700000007</v>
      </c>
      <c r="F132" s="4">
        <f t="shared" si="178"/>
        <v>7005562.477500001</v>
      </c>
      <c r="G132" s="4">
        <f t="shared" si="170"/>
        <v>653852.49790000007</v>
      </c>
      <c r="H132" s="4">
        <f t="shared" si="171"/>
        <v>560444.99820000003</v>
      </c>
      <c r="I132" s="4">
        <f t="shared" si="172"/>
        <v>280222.49910000002</v>
      </c>
      <c r="J132" s="4">
        <f t="shared" si="173"/>
        <v>233518.74925000002</v>
      </c>
      <c r="K132" s="4">
        <f t="shared" si="174"/>
        <v>93407.499700000015</v>
      </c>
      <c r="L132" s="4">
        <f t="shared" si="175"/>
        <v>46703.749850000007</v>
      </c>
      <c r="M132" s="4">
        <f t="shared" si="176"/>
        <v>467037.49850000005</v>
      </c>
      <c r="N132" s="4">
        <f t="shared" si="177"/>
        <v>0</v>
      </c>
      <c r="O132">
        <v>115858.75999999998</v>
      </c>
      <c r="P132">
        <v>180014.72</v>
      </c>
      <c r="Q132">
        <v>15077.14</v>
      </c>
      <c r="R132">
        <v>5064.3</v>
      </c>
    </row>
    <row r="133" spans="1:18" x14ac:dyDescent="0.3">
      <c r="A133" t="s">
        <v>36</v>
      </c>
      <c r="B133">
        <v>2025</v>
      </c>
      <c r="C133" s="4">
        <v>10530782.660000002</v>
      </c>
      <c r="D133" s="4">
        <v>0</v>
      </c>
      <c r="E133" s="4">
        <v>10530782.660000002</v>
      </c>
      <c r="F133" s="4">
        <f t="shared" si="178"/>
        <v>7898086.995000001</v>
      </c>
      <c r="G133" s="4">
        <f>C133*0.035</f>
        <v>368577.3931000001</v>
      </c>
      <c r="H133" s="4">
        <f>C133*0.06</f>
        <v>631846.95960000006</v>
      </c>
      <c r="I133" s="4">
        <f>C133*0.03</f>
        <v>315923.47980000003</v>
      </c>
      <c r="J133" s="4">
        <f>C133*0</f>
        <v>0</v>
      </c>
      <c r="K133" s="4">
        <f>C133*0</f>
        <v>0</v>
      </c>
      <c r="L133" s="4">
        <f>C133*0</f>
        <v>0</v>
      </c>
      <c r="M133" s="4">
        <f>C133*0</f>
        <v>0</v>
      </c>
      <c r="N133" s="4">
        <f>C133*0.1</f>
        <v>1053078.2660000003</v>
      </c>
      <c r="O133">
        <v>129079.26999999999</v>
      </c>
      <c r="P133">
        <v>189672.45</v>
      </c>
      <c r="Q133">
        <v>14107.539999999999</v>
      </c>
      <c r="R133">
        <v>72751.76999999999</v>
      </c>
    </row>
    <row r="134" spans="1:18" x14ac:dyDescent="0.3">
      <c r="A134" t="s">
        <v>37</v>
      </c>
      <c r="B134">
        <v>2020</v>
      </c>
      <c r="C134" s="4">
        <v>35601343.960000001</v>
      </c>
      <c r="D134" s="4">
        <v>2409992.0100000002</v>
      </c>
      <c r="E134" s="4">
        <v>38011335.970000006</v>
      </c>
      <c r="F134" s="4">
        <f t="shared" si="178"/>
        <v>26701007.969999999</v>
      </c>
      <c r="G134" s="4">
        <f t="shared" ref="G134:G138" si="179">C134*0.07</f>
        <v>2492094.0772000002</v>
      </c>
      <c r="H134" s="4">
        <f t="shared" ref="H134:H138" si="180">C134*0.06</f>
        <v>2136080.6376</v>
      </c>
      <c r="I134" s="4">
        <f t="shared" ref="I134:I138" si="181">C134*0.03</f>
        <v>1068040.3188</v>
      </c>
      <c r="J134" s="4">
        <f t="shared" ref="J134:J138" si="182">C134*0.025</f>
        <v>890033.59900000005</v>
      </c>
      <c r="K134" s="4">
        <f t="shared" ref="K134:K138" si="183">C134*0.01</f>
        <v>356013.43960000004</v>
      </c>
      <c r="L134" s="4">
        <f t="shared" ref="L134:L138" si="184">C134*0.005</f>
        <v>178006.71980000002</v>
      </c>
      <c r="M134" s="4">
        <f t="shared" ref="M134:M138" si="185">C134*0.05</f>
        <v>1780067.1980000001</v>
      </c>
      <c r="N134" s="4">
        <f t="shared" ref="N134:N138" si="186">C134*0</f>
        <v>0</v>
      </c>
      <c r="O134">
        <v>692835.51000000013</v>
      </c>
      <c r="P134">
        <v>946602.5</v>
      </c>
      <c r="Q134">
        <v>11660.64</v>
      </c>
      <c r="R134">
        <v>0</v>
      </c>
    </row>
    <row r="135" spans="1:18" x14ac:dyDescent="0.3">
      <c r="A135" t="s">
        <v>37</v>
      </c>
      <c r="B135">
        <v>2021</v>
      </c>
      <c r="C135" s="4">
        <v>43567861.219999999</v>
      </c>
      <c r="D135" s="4">
        <v>2945183.3600000003</v>
      </c>
      <c r="E135" s="4">
        <v>46513044.580000006</v>
      </c>
      <c r="F135" s="4">
        <f t="shared" si="178"/>
        <v>32675895.914999999</v>
      </c>
      <c r="G135" s="4">
        <f t="shared" si="179"/>
        <v>3049750.2854000004</v>
      </c>
      <c r="H135" s="4">
        <f t="shared" si="180"/>
        <v>2614071.6731999996</v>
      </c>
      <c r="I135" s="4">
        <f t="shared" si="181"/>
        <v>1307035.8365999998</v>
      </c>
      <c r="J135" s="4">
        <f t="shared" si="182"/>
        <v>1089196.5305000001</v>
      </c>
      <c r="K135" s="4">
        <f t="shared" si="183"/>
        <v>435678.61219999997</v>
      </c>
      <c r="L135" s="4">
        <f t="shared" si="184"/>
        <v>217839.30609999999</v>
      </c>
      <c r="M135" s="4">
        <f t="shared" si="185"/>
        <v>2178393.0610000002</v>
      </c>
      <c r="N135" s="4">
        <f t="shared" si="186"/>
        <v>0</v>
      </c>
      <c r="O135">
        <v>923299.07000000007</v>
      </c>
      <c r="P135">
        <v>1309681.6299999999</v>
      </c>
      <c r="Q135">
        <v>0</v>
      </c>
      <c r="R135">
        <v>0</v>
      </c>
    </row>
    <row r="136" spans="1:18" x14ac:dyDescent="0.3">
      <c r="A136" t="s">
        <v>37</v>
      </c>
      <c r="B136">
        <v>2022</v>
      </c>
      <c r="C136" s="4">
        <v>54601711.579999998</v>
      </c>
      <c r="D136" s="4">
        <v>3125502.92</v>
      </c>
      <c r="E136" s="4">
        <v>57727214.5</v>
      </c>
      <c r="F136" s="4">
        <f t="shared" si="178"/>
        <v>40951283.685000002</v>
      </c>
      <c r="G136" s="4">
        <f t="shared" si="179"/>
        <v>3822119.8106000004</v>
      </c>
      <c r="H136" s="4">
        <f t="shared" si="180"/>
        <v>3276102.6947999997</v>
      </c>
      <c r="I136" s="4">
        <f t="shared" si="181"/>
        <v>1638051.3473999999</v>
      </c>
      <c r="J136" s="4">
        <f t="shared" si="182"/>
        <v>1365042.7895</v>
      </c>
      <c r="K136" s="4">
        <f t="shared" si="183"/>
        <v>546017.11580000003</v>
      </c>
      <c r="L136" s="4">
        <f t="shared" si="184"/>
        <v>273008.55790000001</v>
      </c>
      <c r="M136" s="4">
        <f t="shared" si="185"/>
        <v>2730085.5789999999</v>
      </c>
      <c r="N136" s="4">
        <f t="shared" si="186"/>
        <v>0</v>
      </c>
      <c r="O136">
        <v>615359.90999999992</v>
      </c>
      <c r="P136">
        <v>1465746.24</v>
      </c>
      <c r="Q136">
        <v>38762.619999999995</v>
      </c>
      <c r="R136">
        <v>0</v>
      </c>
    </row>
    <row r="137" spans="1:18" x14ac:dyDescent="0.3">
      <c r="A137" t="s">
        <v>37</v>
      </c>
      <c r="B137">
        <v>2023</v>
      </c>
      <c r="C137" s="4">
        <v>55958382.540000007</v>
      </c>
      <c r="D137" s="4">
        <v>0</v>
      </c>
      <c r="E137" s="4">
        <v>55958382.540000007</v>
      </c>
      <c r="F137" s="4">
        <f t="shared" si="178"/>
        <v>41968786.905000001</v>
      </c>
      <c r="G137" s="4">
        <f t="shared" si="179"/>
        <v>3917086.7778000007</v>
      </c>
      <c r="H137" s="4">
        <f t="shared" si="180"/>
        <v>3357502.9524000003</v>
      </c>
      <c r="I137" s="4">
        <f t="shared" si="181"/>
        <v>1678751.4762000002</v>
      </c>
      <c r="J137" s="4">
        <f t="shared" si="182"/>
        <v>1398959.5635000002</v>
      </c>
      <c r="K137" s="4">
        <f t="shared" si="183"/>
        <v>559583.82540000009</v>
      </c>
      <c r="L137" s="4">
        <f t="shared" si="184"/>
        <v>279791.91270000004</v>
      </c>
      <c r="M137" s="4">
        <f t="shared" si="185"/>
        <v>2797919.1270000003</v>
      </c>
      <c r="N137" s="4">
        <f t="shared" si="186"/>
        <v>0</v>
      </c>
      <c r="O137">
        <v>639875.67999999993</v>
      </c>
      <c r="P137">
        <v>1133249.98</v>
      </c>
      <c r="Q137">
        <v>255.25</v>
      </c>
      <c r="R137">
        <v>1660605.58</v>
      </c>
    </row>
    <row r="138" spans="1:18" x14ac:dyDescent="0.3">
      <c r="A138" t="s">
        <v>37</v>
      </c>
      <c r="B138">
        <v>2024</v>
      </c>
      <c r="C138" s="4">
        <v>62637086.639999993</v>
      </c>
      <c r="D138" s="4">
        <v>0</v>
      </c>
      <c r="E138" s="4">
        <v>62637086.639999993</v>
      </c>
      <c r="F138" s="4">
        <f t="shared" si="178"/>
        <v>46977814.979999997</v>
      </c>
      <c r="G138" s="4">
        <f t="shared" si="179"/>
        <v>4384596.0647999998</v>
      </c>
      <c r="H138" s="4">
        <f t="shared" si="180"/>
        <v>3758225.1983999996</v>
      </c>
      <c r="I138" s="4">
        <f t="shared" si="181"/>
        <v>1879112.5991999998</v>
      </c>
      <c r="J138" s="4">
        <f t="shared" si="182"/>
        <v>1565927.166</v>
      </c>
      <c r="K138" s="4">
        <f t="shared" si="183"/>
        <v>626370.86639999994</v>
      </c>
      <c r="L138" s="4">
        <f t="shared" si="184"/>
        <v>313185.43319999997</v>
      </c>
      <c r="M138" s="4">
        <f t="shared" si="185"/>
        <v>3131854.3319999999</v>
      </c>
      <c r="N138" s="4">
        <f t="shared" si="186"/>
        <v>0</v>
      </c>
      <c r="O138">
        <v>776897.33000000007</v>
      </c>
      <c r="P138">
        <v>1207098.81</v>
      </c>
      <c r="Q138">
        <v>54738.09</v>
      </c>
      <c r="R138">
        <v>35283.14</v>
      </c>
    </row>
    <row r="139" spans="1:18" x14ac:dyDescent="0.3">
      <c r="A139" t="s">
        <v>37</v>
      </c>
      <c r="B139">
        <v>2025</v>
      </c>
      <c r="C139" s="4">
        <v>59836119.670000002</v>
      </c>
      <c r="D139" s="4">
        <v>0</v>
      </c>
      <c r="E139" s="4">
        <v>59836119.670000002</v>
      </c>
      <c r="F139" s="4">
        <f t="shared" si="178"/>
        <v>44877089.752499998</v>
      </c>
      <c r="G139" s="4">
        <f>C139*0.035</f>
        <v>2094264.1884500002</v>
      </c>
      <c r="H139" s="4">
        <f>C139*0.06</f>
        <v>3590167.1801999998</v>
      </c>
      <c r="I139" s="4">
        <f>C139*0.03</f>
        <v>1795083.5900999999</v>
      </c>
      <c r="J139" s="4">
        <f>C139*0</f>
        <v>0</v>
      </c>
      <c r="K139" s="4">
        <f>C139*0</f>
        <v>0</v>
      </c>
      <c r="L139" s="4">
        <f>C139*0</f>
        <v>0</v>
      </c>
      <c r="M139" s="4">
        <f>C139*0</f>
        <v>0</v>
      </c>
      <c r="N139" s="4">
        <f>C139*0.1</f>
        <v>5983611.9670000002</v>
      </c>
      <c r="O139">
        <v>733059.8</v>
      </c>
      <c r="P139">
        <v>1077177.25</v>
      </c>
      <c r="Q139">
        <v>54154.75</v>
      </c>
      <c r="R139">
        <v>413167.83</v>
      </c>
    </row>
    <row r="140" spans="1:18" x14ac:dyDescent="0.3">
      <c r="A140" t="s">
        <v>38</v>
      </c>
      <c r="B140">
        <v>2020</v>
      </c>
      <c r="C140" s="4">
        <v>6942755.4000000004</v>
      </c>
      <c r="D140" s="4">
        <v>469967.72000000003</v>
      </c>
      <c r="E140" s="4">
        <v>7412723.1200000001</v>
      </c>
      <c r="F140" s="4">
        <f t="shared" si="178"/>
        <v>5207066.5500000007</v>
      </c>
      <c r="G140" s="4">
        <f t="shared" ref="G140:G144" si="187">C140*0.07</f>
        <v>485992.87800000008</v>
      </c>
      <c r="H140" s="4">
        <f t="shared" ref="H140:H144" si="188">C140*0.06</f>
        <v>416565.32400000002</v>
      </c>
      <c r="I140" s="4">
        <f t="shared" ref="I140:I144" si="189">C140*0.03</f>
        <v>208282.66200000001</v>
      </c>
      <c r="J140" s="4">
        <f t="shared" ref="J140:J144" si="190">C140*0.025</f>
        <v>173568.88500000001</v>
      </c>
      <c r="K140" s="4">
        <f t="shared" ref="K140:K144" si="191">C140*0.01</f>
        <v>69427.554000000004</v>
      </c>
      <c r="L140" s="4">
        <f t="shared" ref="L140:L144" si="192">C140*0.005</f>
        <v>34713.777000000002</v>
      </c>
      <c r="M140" s="4">
        <f t="shared" ref="M140:M144" si="193">C140*0.05</f>
        <v>347137.77</v>
      </c>
      <c r="N140" s="4">
        <f t="shared" ref="N140:N144" si="194">C140*0</f>
        <v>0</v>
      </c>
      <c r="O140">
        <v>135108.31999999998</v>
      </c>
      <c r="P140">
        <v>184594.87</v>
      </c>
      <c r="Q140">
        <v>3543.68</v>
      </c>
      <c r="R140">
        <v>0</v>
      </c>
    </row>
    <row r="141" spans="1:18" x14ac:dyDescent="0.3">
      <c r="A141" t="s">
        <v>38</v>
      </c>
      <c r="B141">
        <v>2021</v>
      </c>
      <c r="C141" s="4">
        <v>8684750.0899999999</v>
      </c>
      <c r="D141" s="4">
        <v>587111.25</v>
      </c>
      <c r="E141" s="4">
        <v>9271861.3399999999</v>
      </c>
      <c r="F141" s="4">
        <f t="shared" si="178"/>
        <v>6513562.5674999999</v>
      </c>
      <c r="G141" s="4">
        <f t="shared" si="187"/>
        <v>607932.50630000001</v>
      </c>
      <c r="H141" s="4">
        <f t="shared" si="188"/>
        <v>521085.00539999997</v>
      </c>
      <c r="I141" s="4">
        <f t="shared" si="189"/>
        <v>260542.50269999998</v>
      </c>
      <c r="J141" s="4">
        <f t="shared" si="190"/>
        <v>217118.75225000002</v>
      </c>
      <c r="K141" s="4">
        <f t="shared" si="191"/>
        <v>86847.500899999999</v>
      </c>
      <c r="L141" s="4">
        <f t="shared" si="192"/>
        <v>43423.75045</v>
      </c>
      <c r="M141" s="4">
        <f t="shared" si="193"/>
        <v>434237.50450000004</v>
      </c>
      <c r="N141" s="4">
        <f t="shared" si="194"/>
        <v>0</v>
      </c>
      <c r="O141">
        <v>184056.34</v>
      </c>
      <c r="P141">
        <v>261080.31999999998</v>
      </c>
      <c r="Q141">
        <v>0</v>
      </c>
      <c r="R141">
        <v>0</v>
      </c>
    </row>
    <row r="142" spans="1:18" x14ac:dyDescent="0.3">
      <c r="A142" t="s">
        <v>38</v>
      </c>
      <c r="B142">
        <v>2022</v>
      </c>
      <c r="C142" s="4">
        <v>10808839.179999998</v>
      </c>
      <c r="D142" s="4">
        <v>618494.63</v>
      </c>
      <c r="E142" s="4">
        <v>11427333.809999999</v>
      </c>
      <c r="F142" s="4">
        <f t="shared" si="178"/>
        <v>8106629.3849999979</v>
      </c>
      <c r="G142" s="4">
        <f t="shared" si="187"/>
        <v>756618.74259999988</v>
      </c>
      <c r="H142" s="4">
        <f t="shared" si="188"/>
        <v>648530.3507999999</v>
      </c>
      <c r="I142" s="4">
        <f t="shared" si="189"/>
        <v>324265.17539999995</v>
      </c>
      <c r="J142" s="4">
        <f t="shared" si="190"/>
        <v>270220.97949999996</v>
      </c>
      <c r="K142" s="4">
        <f t="shared" si="191"/>
        <v>108088.39179999998</v>
      </c>
      <c r="L142" s="4">
        <f t="shared" si="192"/>
        <v>54044.195899999992</v>
      </c>
      <c r="M142" s="4">
        <f t="shared" si="193"/>
        <v>540441.95899999992</v>
      </c>
      <c r="N142" s="4">
        <f t="shared" si="194"/>
        <v>0</v>
      </c>
      <c r="O142">
        <v>121863.99000000002</v>
      </c>
      <c r="P142">
        <v>290138.25999999995</v>
      </c>
      <c r="Q142">
        <v>11789.49</v>
      </c>
      <c r="R142">
        <v>0</v>
      </c>
    </row>
    <row r="143" spans="1:18" x14ac:dyDescent="0.3">
      <c r="A143" t="s">
        <v>38</v>
      </c>
      <c r="B143">
        <v>2023</v>
      </c>
      <c r="C143" s="4">
        <v>11914745.670000002</v>
      </c>
      <c r="D143" s="4">
        <v>0</v>
      </c>
      <c r="E143" s="4">
        <v>11914745.670000002</v>
      </c>
      <c r="F143" s="4">
        <f t="shared" si="178"/>
        <v>8936059.2525000013</v>
      </c>
      <c r="G143" s="4">
        <f t="shared" si="187"/>
        <v>834032.19690000021</v>
      </c>
      <c r="H143" s="4">
        <f t="shared" si="188"/>
        <v>714884.74020000012</v>
      </c>
      <c r="I143" s="4">
        <f t="shared" si="189"/>
        <v>357442.37010000006</v>
      </c>
      <c r="J143" s="4">
        <f t="shared" si="190"/>
        <v>297868.64175000007</v>
      </c>
      <c r="K143" s="4">
        <f t="shared" si="191"/>
        <v>119147.45670000002</v>
      </c>
      <c r="L143" s="4">
        <f t="shared" si="192"/>
        <v>59573.728350000012</v>
      </c>
      <c r="M143" s="4">
        <f t="shared" si="193"/>
        <v>595737.28350000014</v>
      </c>
      <c r="N143" s="4">
        <f t="shared" si="194"/>
        <v>0</v>
      </c>
      <c r="O143">
        <v>135417.16</v>
      </c>
      <c r="P143">
        <v>241307.18999999994</v>
      </c>
      <c r="Q143">
        <v>77.64</v>
      </c>
      <c r="R143">
        <v>353598.97000000003</v>
      </c>
    </row>
    <row r="144" spans="1:18" x14ac:dyDescent="0.3">
      <c r="A144" t="s">
        <v>38</v>
      </c>
      <c r="B144">
        <v>2024</v>
      </c>
      <c r="C144" s="4">
        <v>13388824.57</v>
      </c>
      <c r="D144" s="4">
        <v>0</v>
      </c>
      <c r="E144" s="4">
        <v>13388824.57</v>
      </c>
      <c r="F144" s="4">
        <f t="shared" si="178"/>
        <v>10041618.4275</v>
      </c>
      <c r="G144" s="4">
        <f t="shared" si="187"/>
        <v>937217.71990000014</v>
      </c>
      <c r="H144" s="4">
        <f t="shared" si="188"/>
        <v>803329.47419999994</v>
      </c>
      <c r="I144" s="4">
        <f t="shared" si="189"/>
        <v>401664.73709999997</v>
      </c>
      <c r="J144" s="4">
        <f t="shared" si="190"/>
        <v>334720.61425000004</v>
      </c>
      <c r="K144" s="4">
        <f t="shared" si="191"/>
        <v>133888.2457</v>
      </c>
      <c r="L144" s="4">
        <f t="shared" si="192"/>
        <v>66944.12285</v>
      </c>
      <c r="M144" s="4">
        <f t="shared" si="193"/>
        <v>669441.22850000008</v>
      </c>
      <c r="N144" s="4">
        <f t="shared" si="194"/>
        <v>0</v>
      </c>
      <c r="O144">
        <v>166064.22</v>
      </c>
      <c r="P144">
        <v>258021.12</v>
      </c>
      <c r="Q144">
        <v>16220.039999999999</v>
      </c>
      <c r="R144">
        <v>7512.9699999999993</v>
      </c>
    </row>
    <row r="145" spans="1:18" x14ac:dyDescent="0.3">
      <c r="A145" t="s">
        <v>38</v>
      </c>
      <c r="B145">
        <v>2025</v>
      </c>
      <c r="C145" s="4">
        <v>19640931.870000001</v>
      </c>
      <c r="D145" s="4">
        <v>0</v>
      </c>
      <c r="E145" s="4">
        <v>19640931.870000001</v>
      </c>
      <c r="F145" s="4">
        <f t="shared" si="178"/>
        <v>14730698.9025</v>
      </c>
      <c r="G145" s="4">
        <f>C145*0.035</f>
        <v>687432.61545000016</v>
      </c>
      <c r="H145" s="4">
        <f>C145*0.06</f>
        <v>1178455.9121999999</v>
      </c>
      <c r="I145" s="4">
        <f>C145*0.03</f>
        <v>589227.95609999995</v>
      </c>
      <c r="J145" s="4">
        <f>C145*0</f>
        <v>0</v>
      </c>
      <c r="K145" s="4">
        <f>C145*0</f>
        <v>0</v>
      </c>
      <c r="L145" s="4">
        <f>C145*0</f>
        <v>0</v>
      </c>
      <c r="M145" s="4">
        <f>C145*0</f>
        <v>0</v>
      </c>
      <c r="N145" s="4">
        <f>C145*0.1</f>
        <v>1964093.1870000002</v>
      </c>
      <c r="O145">
        <v>240901.95000000004</v>
      </c>
      <c r="P145">
        <v>353987.63000000006</v>
      </c>
      <c r="Q145">
        <v>15012.26</v>
      </c>
      <c r="R145">
        <v>135777.35</v>
      </c>
    </row>
    <row r="146" spans="1:18" x14ac:dyDescent="0.3">
      <c r="A146" t="s">
        <v>39</v>
      </c>
      <c r="B146">
        <v>2020</v>
      </c>
      <c r="C146" s="4">
        <v>20022948.640000001</v>
      </c>
      <c r="D146" s="4">
        <v>1355386.91</v>
      </c>
      <c r="E146" s="4">
        <v>21378335.550000001</v>
      </c>
      <c r="F146" s="4">
        <f t="shared" si="178"/>
        <v>15017211.48</v>
      </c>
      <c r="G146" s="4">
        <f t="shared" ref="G146:G150" si="195">C146*0.07</f>
        <v>1401606.4048000001</v>
      </c>
      <c r="H146" s="4">
        <f t="shared" ref="H146:H150" si="196">C146*0.06</f>
        <v>1201376.9184000001</v>
      </c>
      <c r="I146" s="4">
        <f t="shared" ref="I146:I150" si="197">C146*0.03</f>
        <v>600688.45920000004</v>
      </c>
      <c r="J146" s="4">
        <f t="shared" ref="J146:J150" si="198">C146*0.025</f>
        <v>500573.71600000001</v>
      </c>
      <c r="K146" s="4">
        <f t="shared" ref="K146:K150" si="199">C146*0.01</f>
        <v>200229.48640000002</v>
      </c>
      <c r="L146" s="4">
        <f t="shared" ref="L146:L150" si="200">C146*0.005</f>
        <v>100114.74320000001</v>
      </c>
      <c r="M146" s="4">
        <f t="shared" ref="M146:M150" si="201">C146*0.05</f>
        <v>1001147.432</v>
      </c>
      <c r="N146" s="4">
        <f t="shared" ref="N146:N150" si="202">C146*0</f>
        <v>0</v>
      </c>
      <c r="O146">
        <v>389652.42000000004</v>
      </c>
      <c r="P146">
        <v>532371.62</v>
      </c>
      <c r="Q146">
        <v>9294.26</v>
      </c>
      <c r="R146">
        <v>0</v>
      </c>
    </row>
    <row r="147" spans="1:18" x14ac:dyDescent="0.3">
      <c r="A147" t="s">
        <v>39</v>
      </c>
      <c r="B147">
        <v>2021</v>
      </c>
      <c r="C147" s="4">
        <v>24879973.049999997</v>
      </c>
      <c r="D147" s="4">
        <v>1681929.81</v>
      </c>
      <c r="E147" s="4">
        <v>26561902.860000003</v>
      </c>
      <c r="F147" s="4">
        <f t="shared" si="178"/>
        <v>18659979.787499998</v>
      </c>
      <c r="G147" s="4">
        <f t="shared" si="195"/>
        <v>1741598.1135</v>
      </c>
      <c r="H147" s="4">
        <f t="shared" si="196"/>
        <v>1492798.3829999997</v>
      </c>
      <c r="I147" s="4">
        <f t="shared" si="197"/>
        <v>746399.19149999984</v>
      </c>
      <c r="J147" s="4">
        <f t="shared" si="198"/>
        <v>621999.32624999993</v>
      </c>
      <c r="K147" s="4">
        <f t="shared" si="199"/>
        <v>248799.73049999998</v>
      </c>
      <c r="L147" s="4">
        <f t="shared" si="200"/>
        <v>124399.86524999999</v>
      </c>
      <c r="M147" s="4">
        <f t="shared" si="201"/>
        <v>1243998.6524999999</v>
      </c>
      <c r="N147" s="4">
        <f t="shared" si="202"/>
        <v>0</v>
      </c>
      <c r="O147">
        <v>527276.19999999995</v>
      </c>
      <c r="P147">
        <v>747930.92</v>
      </c>
      <c r="Q147">
        <v>0</v>
      </c>
      <c r="R147">
        <v>0</v>
      </c>
    </row>
    <row r="148" spans="1:18" x14ac:dyDescent="0.3">
      <c r="A148" t="s">
        <v>39</v>
      </c>
      <c r="B148">
        <v>2022</v>
      </c>
      <c r="C148" s="4">
        <v>29174603.329999998</v>
      </c>
      <c r="D148" s="4">
        <v>1664089.2</v>
      </c>
      <c r="E148" s="4">
        <v>30838692.530000005</v>
      </c>
      <c r="F148" s="4">
        <f t="shared" si="178"/>
        <v>21880952.497499999</v>
      </c>
      <c r="G148" s="4">
        <f t="shared" si="195"/>
        <v>2042222.2331000001</v>
      </c>
      <c r="H148" s="4">
        <f t="shared" si="196"/>
        <v>1750476.1997999998</v>
      </c>
      <c r="I148" s="4">
        <f t="shared" si="197"/>
        <v>875238.09989999991</v>
      </c>
      <c r="J148" s="4">
        <f t="shared" si="198"/>
        <v>729365.08325000003</v>
      </c>
      <c r="K148" s="4">
        <f t="shared" si="199"/>
        <v>291746.03330000001</v>
      </c>
      <c r="L148" s="4">
        <f t="shared" si="200"/>
        <v>145873.01665000001</v>
      </c>
      <c r="M148" s="4">
        <f t="shared" si="201"/>
        <v>1458730.1665000001</v>
      </c>
      <c r="N148" s="4">
        <f t="shared" si="202"/>
        <v>0</v>
      </c>
      <c r="O148">
        <v>330083.61</v>
      </c>
      <c r="P148">
        <v>782698.84000000008</v>
      </c>
      <c r="Q148">
        <v>30688.59</v>
      </c>
      <c r="R148">
        <v>0</v>
      </c>
    </row>
    <row r="149" spans="1:18" x14ac:dyDescent="0.3">
      <c r="A149" t="s">
        <v>39</v>
      </c>
      <c r="B149">
        <v>2023</v>
      </c>
      <c r="C149" s="4">
        <v>30626368.41</v>
      </c>
      <c r="D149" s="4">
        <v>0</v>
      </c>
      <c r="E149" s="4">
        <v>30626368.41</v>
      </c>
      <c r="F149" s="4">
        <f t="shared" si="178"/>
        <v>22969776.307500001</v>
      </c>
      <c r="G149" s="4">
        <f t="shared" si="195"/>
        <v>2143845.7887000004</v>
      </c>
      <c r="H149" s="4">
        <f t="shared" si="196"/>
        <v>1837582.1046</v>
      </c>
      <c r="I149" s="4">
        <f t="shared" si="197"/>
        <v>918791.05229999998</v>
      </c>
      <c r="J149" s="4">
        <f t="shared" si="198"/>
        <v>765659.21025</v>
      </c>
      <c r="K149" s="4">
        <f t="shared" si="199"/>
        <v>306263.68410000001</v>
      </c>
      <c r="L149" s="4">
        <f t="shared" si="200"/>
        <v>153131.84205000001</v>
      </c>
      <c r="M149" s="4">
        <f t="shared" si="201"/>
        <v>1531318.4205</v>
      </c>
      <c r="N149" s="4">
        <f t="shared" si="202"/>
        <v>0</v>
      </c>
      <c r="O149">
        <v>349365.82000000007</v>
      </c>
      <c r="P149">
        <v>620248.79999999993</v>
      </c>
      <c r="Q149">
        <v>201.94</v>
      </c>
      <c r="R149">
        <v>908880.35</v>
      </c>
    </row>
    <row r="150" spans="1:18" x14ac:dyDescent="0.3">
      <c r="A150" t="s">
        <v>39</v>
      </c>
      <c r="B150">
        <v>2024</v>
      </c>
      <c r="C150" s="4">
        <v>36324511.049999997</v>
      </c>
      <c r="D150" s="4">
        <v>0</v>
      </c>
      <c r="E150" s="4">
        <v>36324511.049999997</v>
      </c>
      <c r="F150" s="4">
        <f t="shared" si="178"/>
        <v>27243383.287499998</v>
      </c>
      <c r="G150" s="4">
        <f t="shared" si="195"/>
        <v>2542715.7735000001</v>
      </c>
      <c r="H150" s="4">
        <f t="shared" si="196"/>
        <v>2179470.6629999997</v>
      </c>
      <c r="I150" s="4">
        <f t="shared" si="197"/>
        <v>1089735.3314999999</v>
      </c>
      <c r="J150" s="4">
        <f t="shared" si="198"/>
        <v>908112.77625</v>
      </c>
      <c r="K150" s="4">
        <f t="shared" si="199"/>
        <v>363245.11049999995</v>
      </c>
      <c r="L150" s="4">
        <f t="shared" si="200"/>
        <v>181622.55524999998</v>
      </c>
      <c r="M150" s="4">
        <f t="shared" si="201"/>
        <v>1816225.5525</v>
      </c>
      <c r="N150" s="4">
        <f t="shared" si="202"/>
        <v>0</v>
      </c>
      <c r="O150">
        <v>450561.82000000007</v>
      </c>
      <c r="P150">
        <v>700057.31</v>
      </c>
      <c r="Q150">
        <v>41843.050000000003</v>
      </c>
      <c r="R150">
        <v>19311.140000000003</v>
      </c>
    </row>
    <row r="151" spans="1:18" x14ac:dyDescent="0.3">
      <c r="A151" t="s">
        <v>39</v>
      </c>
      <c r="B151">
        <v>2025</v>
      </c>
      <c r="C151" s="4">
        <v>32180140.329999998</v>
      </c>
      <c r="D151" s="4">
        <v>0</v>
      </c>
      <c r="E151" s="4">
        <v>32180140.329999998</v>
      </c>
      <c r="F151" s="4">
        <f t="shared" si="178"/>
        <v>24135105.247499999</v>
      </c>
      <c r="G151" s="4">
        <f>C151*0.035</f>
        <v>1126304.9115500001</v>
      </c>
      <c r="H151" s="4">
        <f>C151*0.06</f>
        <v>1930808.4197999998</v>
      </c>
      <c r="I151" s="4">
        <f>C151*0.03</f>
        <v>965404.2098999999</v>
      </c>
      <c r="J151" s="4">
        <f>C151*0</f>
        <v>0</v>
      </c>
      <c r="K151" s="4">
        <f>C151*0</f>
        <v>0</v>
      </c>
      <c r="L151" s="4">
        <f>C151*0</f>
        <v>0</v>
      </c>
      <c r="M151" s="4">
        <f>C151*0</f>
        <v>0</v>
      </c>
      <c r="N151" s="4">
        <f>C151*0.1</f>
        <v>3218014.0329999998</v>
      </c>
      <c r="O151">
        <v>394140.43000000005</v>
      </c>
      <c r="P151">
        <v>579160.26</v>
      </c>
      <c r="Q151">
        <v>38229.11</v>
      </c>
      <c r="R151">
        <v>222145.77000000002</v>
      </c>
    </row>
    <row r="152" spans="1:18" x14ac:dyDescent="0.3">
      <c r="A152" t="s">
        <v>40</v>
      </c>
      <c r="B152">
        <v>2020</v>
      </c>
      <c r="C152" s="4">
        <v>9829715.7699999996</v>
      </c>
      <c r="D152" s="4">
        <v>665475.79999999993</v>
      </c>
      <c r="E152" s="4">
        <v>10495191.57</v>
      </c>
      <c r="F152" s="4">
        <f t="shared" si="178"/>
        <v>7372286.8274999997</v>
      </c>
      <c r="G152" s="4">
        <f t="shared" ref="G152:G156" si="203">C152*0.07</f>
        <v>688080.10389999999</v>
      </c>
      <c r="H152" s="4">
        <f t="shared" ref="H152:H156" si="204">C152*0.06</f>
        <v>589782.94620000001</v>
      </c>
      <c r="I152" s="4">
        <f t="shared" ref="I152:I156" si="205">C152*0.03</f>
        <v>294891.4731</v>
      </c>
      <c r="J152" s="4">
        <f t="shared" ref="J152:J156" si="206">C152*0.025</f>
        <v>245742.89425000001</v>
      </c>
      <c r="K152" s="4">
        <f t="shared" ref="K152:K156" si="207">C152*0.01</f>
        <v>98297.157699999996</v>
      </c>
      <c r="L152" s="4">
        <f t="shared" ref="L152:L156" si="208">C152*0.005</f>
        <v>49148.578849999998</v>
      </c>
      <c r="M152" s="4">
        <f t="shared" ref="M152:M156" si="209">C152*0.05</f>
        <v>491485.78850000002</v>
      </c>
      <c r="N152" s="4">
        <f t="shared" ref="N152:N156" si="210">C152*0</f>
        <v>0</v>
      </c>
      <c r="O152">
        <v>191313.40999999997</v>
      </c>
      <c r="P152">
        <v>261386.33000000002</v>
      </c>
      <c r="Q152">
        <v>8153.61</v>
      </c>
      <c r="R152">
        <v>0</v>
      </c>
    </row>
    <row r="153" spans="1:18" x14ac:dyDescent="0.3">
      <c r="A153" t="s">
        <v>40</v>
      </c>
      <c r="B153">
        <v>2021</v>
      </c>
      <c r="C153" s="4">
        <v>11782287.399999999</v>
      </c>
      <c r="D153" s="4">
        <v>796451.25</v>
      </c>
      <c r="E153" s="4">
        <v>12578738.65</v>
      </c>
      <c r="F153" s="4">
        <f t="shared" si="178"/>
        <v>8836715.5499999989</v>
      </c>
      <c r="G153" s="4">
        <f t="shared" si="203"/>
        <v>824760.11800000002</v>
      </c>
      <c r="H153" s="4">
        <f t="shared" si="204"/>
        <v>706937.24399999983</v>
      </c>
      <c r="I153" s="4">
        <f t="shared" si="205"/>
        <v>353468.62199999992</v>
      </c>
      <c r="J153" s="4">
        <f t="shared" si="206"/>
        <v>294557.185</v>
      </c>
      <c r="K153" s="4">
        <f t="shared" si="207"/>
        <v>117822.87399999998</v>
      </c>
      <c r="L153" s="4">
        <f t="shared" si="208"/>
        <v>58911.436999999991</v>
      </c>
      <c r="M153" s="4">
        <f t="shared" si="209"/>
        <v>589114.37</v>
      </c>
      <c r="N153" s="4">
        <f t="shared" si="210"/>
        <v>0</v>
      </c>
      <c r="O153">
        <v>249683.00999999998</v>
      </c>
      <c r="P153">
        <v>354170.47</v>
      </c>
      <c r="Q153">
        <v>0</v>
      </c>
      <c r="R153">
        <v>0</v>
      </c>
    </row>
    <row r="154" spans="1:18" x14ac:dyDescent="0.3">
      <c r="A154" t="s">
        <v>40</v>
      </c>
      <c r="B154">
        <v>2022</v>
      </c>
      <c r="C154" s="4">
        <v>13112201.720000001</v>
      </c>
      <c r="D154" s="4">
        <v>745689.87</v>
      </c>
      <c r="E154" s="4">
        <v>13857891.589999998</v>
      </c>
      <c r="F154" s="4">
        <f t="shared" si="178"/>
        <v>9834151.290000001</v>
      </c>
      <c r="G154" s="4">
        <f t="shared" si="203"/>
        <v>917854.12040000013</v>
      </c>
      <c r="H154" s="4">
        <f t="shared" si="204"/>
        <v>786732.10320000001</v>
      </c>
      <c r="I154" s="4">
        <f t="shared" si="205"/>
        <v>393366.05160000001</v>
      </c>
      <c r="J154" s="4">
        <f t="shared" si="206"/>
        <v>327805.04300000006</v>
      </c>
      <c r="K154" s="4">
        <f t="shared" si="207"/>
        <v>131122.0172</v>
      </c>
      <c r="L154" s="4">
        <f t="shared" si="208"/>
        <v>65561.008600000001</v>
      </c>
      <c r="M154" s="4">
        <f t="shared" si="209"/>
        <v>655610.08600000013</v>
      </c>
      <c r="N154" s="4">
        <f t="shared" si="210"/>
        <v>0</v>
      </c>
      <c r="O154">
        <v>148833.78</v>
      </c>
      <c r="P154">
        <v>351597.51</v>
      </c>
      <c r="Q154">
        <v>27555.200000000001</v>
      </c>
      <c r="R154">
        <v>0</v>
      </c>
    </row>
    <row r="155" spans="1:18" x14ac:dyDescent="0.3">
      <c r="A155" t="s">
        <v>40</v>
      </c>
      <c r="B155">
        <v>2023</v>
      </c>
      <c r="C155" s="4">
        <v>12622101.339999998</v>
      </c>
      <c r="D155" s="4">
        <v>0</v>
      </c>
      <c r="E155" s="4">
        <v>12622101.339999998</v>
      </c>
      <c r="F155" s="4">
        <f t="shared" si="178"/>
        <v>9466576.004999999</v>
      </c>
      <c r="G155" s="4">
        <f t="shared" si="203"/>
        <v>883547.09379999992</v>
      </c>
      <c r="H155" s="4">
        <f t="shared" si="204"/>
        <v>757326.08039999986</v>
      </c>
      <c r="I155" s="4">
        <f t="shared" si="205"/>
        <v>378663.04019999993</v>
      </c>
      <c r="J155" s="4">
        <f t="shared" si="206"/>
        <v>315552.53349999996</v>
      </c>
      <c r="K155" s="4">
        <f t="shared" si="207"/>
        <v>126221.01339999998</v>
      </c>
      <c r="L155" s="4">
        <f t="shared" si="208"/>
        <v>63110.506699999991</v>
      </c>
      <c r="M155" s="4">
        <f t="shared" si="209"/>
        <v>631105.06699999992</v>
      </c>
      <c r="N155" s="4">
        <f t="shared" si="210"/>
        <v>0</v>
      </c>
      <c r="O155">
        <v>145025.67000000001</v>
      </c>
      <c r="P155">
        <v>255606.84999999998</v>
      </c>
      <c r="Q155">
        <v>181.77</v>
      </c>
      <c r="R155">
        <v>374553.01</v>
      </c>
    </row>
    <row r="156" spans="1:18" x14ac:dyDescent="0.3">
      <c r="A156" t="s">
        <v>40</v>
      </c>
      <c r="B156">
        <v>2024</v>
      </c>
      <c r="C156" s="4">
        <v>13908023.419999998</v>
      </c>
      <c r="D156" s="4">
        <v>0</v>
      </c>
      <c r="E156" s="4">
        <v>13908023.419999998</v>
      </c>
      <c r="F156" s="4">
        <f t="shared" si="178"/>
        <v>10431017.564999998</v>
      </c>
      <c r="G156" s="4">
        <f t="shared" si="203"/>
        <v>973561.63939999999</v>
      </c>
      <c r="H156" s="4">
        <f t="shared" si="204"/>
        <v>834481.4051999998</v>
      </c>
      <c r="I156" s="4">
        <f t="shared" si="205"/>
        <v>417240.7025999999</v>
      </c>
      <c r="J156" s="4">
        <f t="shared" si="206"/>
        <v>347700.58549999999</v>
      </c>
      <c r="K156" s="4">
        <f t="shared" si="207"/>
        <v>139080.23419999998</v>
      </c>
      <c r="L156" s="4">
        <f t="shared" si="208"/>
        <v>69540.117099999989</v>
      </c>
      <c r="M156" s="4">
        <f t="shared" si="209"/>
        <v>695401.17099999997</v>
      </c>
      <c r="N156" s="4">
        <f t="shared" si="210"/>
        <v>0</v>
      </c>
      <c r="O156">
        <v>172500.8</v>
      </c>
      <c r="P156">
        <v>268021.94</v>
      </c>
      <c r="Q156">
        <v>36172.910000000003</v>
      </c>
      <c r="R156">
        <v>7958.1799999999994</v>
      </c>
    </row>
    <row r="157" spans="1:18" x14ac:dyDescent="0.3">
      <c r="A157" t="s">
        <v>40</v>
      </c>
      <c r="B157">
        <v>2025</v>
      </c>
      <c r="C157" s="4">
        <v>20709545.830000002</v>
      </c>
      <c r="D157" s="4">
        <v>0</v>
      </c>
      <c r="E157" s="4">
        <v>20709545.830000002</v>
      </c>
      <c r="F157" s="4">
        <f t="shared" si="178"/>
        <v>15532159.372500002</v>
      </c>
      <c r="G157" s="4">
        <f>C157*0.035</f>
        <v>724834.10405000008</v>
      </c>
      <c r="H157" s="4">
        <f>C157*0.06</f>
        <v>1242572.7498000001</v>
      </c>
      <c r="I157" s="4">
        <f>C157*0.03</f>
        <v>621286.37490000005</v>
      </c>
      <c r="J157" s="4">
        <f>C157*0</f>
        <v>0</v>
      </c>
      <c r="K157" s="4">
        <f>C157*0</f>
        <v>0</v>
      </c>
      <c r="L157" s="4">
        <f>C157*0</f>
        <v>0</v>
      </c>
      <c r="M157" s="4">
        <f>C157*0</f>
        <v>0</v>
      </c>
      <c r="N157" s="4">
        <f>C157*0.1</f>
        <v>2070954.5830000003</v>
      </c>
      <c r="O157">
        <v>254016.94999999998</v>
      </c>
      <c r="P157">
        <v>373259.15</v>
      </c>
      <c r="Q157">
        <v>32991.729999999996</v>
      </c>
      <c r="R157">
        <v>143169.25999999998</v>
      </c>
    </row>
    <row r="158" spans="1:18" x14ac:dyDescent="0.3">
      <c r="A158" t="s">
        <v>41</v>
      </c>
      <c r="B158">
        <v>2020</v>
      </c>
      <c r="C158" s="4">
        <v>11940182.950000001</v>
      </c>
      <c r="D158" s="4">
        <v>808337.64</v>
      </c>
      <c r="E158" s="4">
        <v>12748520.589999998</v>
      </c>
      <c r="F158" s="4">
        <f t="shared" si="178"/>
        <v>8955137.2125000004</v>
      </c>
      <c r="G158" s="4">
        <f t="shared" ref="G158:G162" si="211">C158*0.07</f>
        <v>835812.80650000018</v>
      </c>
      <c r="H158" s="4">
        <f t="shared" ref="H158:H162" si="212">C158*0.06</f>
        <v>716410.97700000007</v>
      </c>
      <c r="I158" s="4">
        <f t="shared" ref="I158:I162" si="213">C158*0.03</f>
        <v>358205.48850000004</v>
      </c>
      <c r="J158" s="4">
        <f t="shared" ref="J158:J162" si="214">C158*0.025</f>
        <v>298504.57375000004</v>
      </c>
      <c r="K158" s="4">
        <f t="shared" ref="K158:K162" si="215">C158*0.01</f>
        <v>119401.82950000001</v>
      </c>
      <c r="L158" s="4">
        <f t="shared" ref="L158:L162" si="216">C158*0.005</f>
        <v>59700.914750000004</v>
      </c>
      <c r="M158" s="4">
        <f t="shared" ref="M158:M162" si="217">C158*0.05</f>
        <v>597009.14750000008</v>
      </c>
      <c r="N158" s="4">
        <f t="shared" ref="N158:N162" si="218">C158*0</f>
        <v>0</v>
      </c>
      <c r="O158">
        <v>232386.31</v>
      </c>
      <c r="P158">
        <v>317503.18999999994</v>
      </c>
      <c r="Q158">
        <v>5224.6899999999996</v>
      </c>
      <c r="R158">
        <v>0</v>
      </c>
    </row>
    <row r="159" spans="1:18" x14ac:dyDescent="0.3">
      <c r="A159" t="s">
        <v>41</v>
      </c>
      <c r="B159">
        <v>2021</v>
      </c>
      <c r="C159" s="4">
        <v>15766316.200000003</v>
      </c>
      <c r="D159" s="4">
        <v>1065941.9099999999</v>
      </c>
      <c r="E159" s="4">
        <v>16832258.109999999</v>
      </c>
      <c r="F159" s="4">
        <f t="shared" si="178"/>
        <v>11824737.150000002</v>
      </c>
      <c r="G159" s="4">
        <f t="shared" si="211"/>
        <v>1103642.1340000003</v>
      </c>
      <c r="H159" s="4">
        <f t="shared" si="212"/>
        <v>945978.97200000018</v>
      </c>
      <c r="I159" s="4">
        <f t="shared" si="213"/>
        <v>472989.48600000009</v>
      </c>
      <c r="J159" s="4">
        <f t="shared" si="214"/>
        <v>394157.90500000009</v>
      </c>
      <c r="K159" s="4">
        <f t="shared" si="215"/>
        <v>157663.16200000004</v>
      </c>
      <c r="L159" s="4">
        <f t="shared" si="216"/>
        <v>78831.58100000002</v>
      </c>
      <c r="M159" s="4">
        <f t="shared" si="217"/>
        <v>788315.81000000017</v>
      </c>
      <c r="N159" s="4">
        <f t="shared" si="218"/>
        <v>0</v>
      </c>
      <c r="O159">
        <v>334167.89</v>
      </c>
      <c r="P159">
        <v>474010.57</v>
      </c>
      <c r="Q159">
        <v>0</v>
      </c>
      <c r="R159">
        <v>0</v>
      </c>
    </row>
    <row r="160" spans="1:18" x14ac:dyDescent="0.3">
      <c r="A160" t="s">
        <v>41</v>
      </c>
      <c r="B160">
        <v>2022</v>
      </c>
      <c r="C160" s="4">
        <v>17982044.52</v>
      </c>
      <c r="D160" s="4">
        <v>1024078.44</v>
      </c>
      <c r="E160" s="4">
        <v>19006122.959999997</v>
      </c>
      <c r="F160" s="4">
        <f t="shared" si="178"/>
        <v>13486533.390000001</v>
      </c>
      <c r="G160" s="4">
        <f t="shared" si="211"/>
        <v>1258743.1164000002</v>
      </c>
      <c r="H160" s="4">
        <f t="shared" si="212"/>
        <v>1078922.6712</v>
      </c>
      <c r="I160" s="4">
        <f t="shared" si="213"/>
        <v>539461.33559999999</v>
      </c>
      <c r="J160" s="4">
        <f t="shared" si="214"/>
        <v>449551.11300000001</v>
      </c>
      <c r="K160" s="4">
        <f t="shared" si="215"/>
        <v>179820.44519999999</v>
      </c>
      <c r="L160" s="4">
        <f t="shared" si="216"/>
        <v>89910.222599999994</v>
      </c>
      <c r="M160" s="4">
        <f t="shared" si="217"/>
        <v>899102.22600000002</v>
      </c>
      <c r="N160" s="4">
        <f t="shared" si="218"/>
        <v>0</v>
      </c>
      <c r="O160">
        <v>203798.24999999997</v>
      </c>
      <c r="P160">
        <v>482296.46</v>
      </c>
      <c r="Q160">
        <v>17528.64</v>
      </c>
      <c r="R160">
        <v>0</v>
      </c>
    </row>
    <row r="161" spans="1:18" x14ac:dyDescent="0.3">
      <c r="A161" t="s">
        <v>41</v>
      </c>
      <c r="B161">
        <v>2023</v>
      </c>
      <c r="C161" s="4">
        <v>19328648.870000001</v>
      </c>
      <c r="D161" s="4">
        <v>0</v>
      </c>
      <c r="E161" s="4">
        <v>19328648.870000001</v>
      </c>
      <c r="F161" s="4">
        <f t="shared" si="178"/>
        <v>14496486.6525</v>
      </c>
      <c r="G161" s="4">
        <f t="shared" si="211"/>
        <v>1353005.4209000003</v>
      </c>
      <c r="H161" s="4">
        <f t="shared" si="212"/>
        <v>1159718.9321999999</v>
      </c>
      <c r="I161" s="4">
        <f t="shared" si="213"/>
        <v>579859.46609999996</v>
      </c>
      <c r="J161" s="4">
        <f t="shared" si="214"/>
        <v>483216.22175000003</v>
      </c>
      <c r="K161" s="4">
        <f t="shared" si="215"/>
        <v>193286.48870000002</v>
      </c>
      <c r="L161" s="4">
        <f t="shared" si="216"/>
        <v>96643.244350000008</v>
      </c>
      <c r="M161" s="4">
        <f t="shared" si="217"/>
        <v>966432.44350000005</v>
      </c>
      <c r="N161" s="4">
        <f t="shared" si="218"/>
        <v>0</v>
      </c>
      <c r="O161">
        <v>220023.13999999998</v>
      </c>
      <c r="P161">
        <v>391453.89999999997</v>
      </c>
      <c r="Q161">
        <v>115.54</v>
      </c>
      <c r="R161">
        <v>573616.12</v>
      </c>
    </row>
    <row r="162" spans="1:18" x14ac:dyDescent="0.3">
      <c r="A162" t="s">
        <v>41</v>
      </c>
      <c r="B162">
        <v>2024</v>
      </c>
      <c r="C162" s="4">
        <v>25373132.620000001</v>
      </c>
      <c r="D162" s="4">
        <v>0</v>
      </c>
      <c r="E162" s="4">
        <v>25373132.620000001</v>
      </c>
      <c r="F162" s="4">
        <f t="shared" si="178"/>
        <v>19029849.465</v>
      </c>
      <c r="G162" s="4">
        <f t="shared" si="211"/>
        <v>1776119.2834000003</v>
      </c>
      <c r="H162" s="4">
        <f t="shared" si="212"/>
        <v>1522387.9572000001</v>
      </c>
      <c r="I162" s="4">
        <f t="shared" si="213"/>
        <v>761193.97860000003</v>
      </c>
      <c r="J162" s="4">
        <f t="shared" si="214"/>
        <v>634328.31550000003</v>
      </c>
      <c r="K162" s="4">
        <f t="shared" si="215"/>
        <v>253731.32620000001</v>
      </c>
      <c r="L162" s="4">
        <f t="shared" si="216"/>
        <v>126865.66310000001</v>
      </c>
      <c r="M162" s="4">
        <f t="shared" si="217"/>
        <v>1268656.6310000001</v>
      </c>
      <c r="N162" s="4">
        <f t="shared" si="218"/>
        <v>0</v>
      </c>
      <c r="O162">
        <v>314749.59999999998</v>
      </c>
      <c r="P162">
        <v>489040.01999999996</v>
      </c>
      <c r="Q162">
        <v>23334.120000000003</v>
      </c>
      <c r="R162">
        <v>12187.75</v>
      </c>
    </row>
    <row r="163" spans="1:18" x14ac:dyDescent="0.3">
      <c r="A163" t="s">
        <v>41</v>
      </c>
      <c r="B163">
        <v>2025</v>
      </c>
      <c r="C163" s="4">
        <v>29899291.469999999</v>
      </c>
      <c r="D163" s="4">
        <v>0</v>
      </c>
      <c r="E163" s="4">
        <v>29899291.469999999</v>
      </c>
      <c r="F163" s="4">
        <f t="shared" si="178"/>
        <v>22424468.602499999</v>
      </c>
      <c r="G163" s="4">
        <f>C163*0.035</f>
        <v>1046475.2014500001</v>
      </c>
      <c r="H163" s="4">
        <f>C163*0.06</f>
        <v>1793957.4881999998</v>
      </c>
      <c r="I163" s="4">
        <f>C163*0.03</f>
        <v>896978.74409999989</v>
      </c>
      <c r="J163" s="4">
        <f>C163*0</f>
        <v>0</v>
      </c>
      <c r="K163" s="4">
        <f>C163*0</f>
        <v>0</v>
      </c>
      <c r="L163" s="4">
        <f>C163*0</f>
        <v>0</v>
      </c>
      <c r="M163" s="4">
        <f>C163*0</f>
        <v>0</v>
      </c>
      <c r="N163" s="4">
        <f>C163*0.1</f>
        <v>2989929.1469999999</v>
      </c>
      <c r="O163">
        <v>366529.89</v>
      </c>
      <c r="P163">
        <v>538588.61</v>
      </c>
      <c r="Q163">
        <v>21364.050000000003</v>
      </c>
      <c r="R163">
        <v>206583.90000000002</v>
      </c>
    </row>
    <row r="164" spans="1:18" x14ac:dyDescent="0.3">
      <c r="A164" t="s">
        <v>42</v>
      </c>
      <c r="B164">
        <v>2020</v>
      </c>
      <c r="C164" s="4">
        <v>11552192.149999999</v>
      </c>
      <c r="D164" s="4">
        <v>782025.1100000001</v>
      </c>
      <c r="E164" s="4">
        <v>12334217.26</v>
      </c>
      <c r="F164" s="4">
        <f t="shared" si="178"/>
        <v>8664144.1124999989</v>
      </c>
      <c r="G164" s="4">
        <f t="shared" ref="G164:G168" si="219">C164*0.07</f>
        <v>808653.45049999992</v>
      </c>
      <c r="H164" s="4">
        <f t="shared" ref="H164:H168" si="220">C164*0.06</f>
        <v>693131.52899999986</v>
      </c>
      <c r="I164" s="4">
        <f t="shared" ref="I164:I168" si="221">C164*0.03</f>
        <v>346565.76449999993</v>
      </c>
      <c r="J164" s="4">
        <f t="shared" ref="J164:J168" si="222">C164*0.025</f>
        <v>288804.80374999996</v>
      </c>
      <c r="K164" s="4">
        <f t="shared" ref="K164:K168" si="223">C164*0.01</f>
        <v>115521.92149999998</v>
      </c>
      <c r="L164" s="4">
        <f t="shared" ref="L164:L168" si="224">C164*0.005</f>
        <v>57760.960749999991</v>
      </c>
      <c r="M164" s="4">
        <f t="shared" ref="M164:M168" si="225">C164*0.05</f>
        <v>577609.60749999993</v>
      </c>
      <c r="N164" s="4">
        <f t="shared" ref="N164:N168" si="226">C164*0</f>
        <v>0</v>
      </c>
      <c r="O164">
        <v>224820.25999999998</v>
      </c>
      <c r="P164">
        <v>307165.86000000004</v>
      </c>
      <c r="Q164">
        <v>11225.52</v>
      </c>
      <c r="R164">
        <v>0</v>
      </c>
    </row>
    <row r="165" spans="1:18" x14ac:dyDescent="0.3">
      <c r="A165" t="s">
        <v>42</v>
      </c>
      <c r="B165">
        <v>2021</v>
      </c>
      <c r="C165" s="4">
        <v>13917914.41</v>
      </c>
      <c r="D165" s="4">
        <v>940823.0199999999</v>
      </c>
      <c r="E165" s="4">
        <v>14858737.43</v>
      </c>
      <c r="F165" s="4">
        <f t="shared" si="178"/>
        <v>10438435.807500001</v>
      </c>
      <c r="G165" s="4">
        <f t="shared" si="219"/>
        <v>974254.00870000012</v>
      </c>
      <c r="H165" s="4">
        <f t="shared" si="220"/>
        <v>835074.86459999997</v>
      </c>
      <c r="I165" s="4">
        <f t="shared" si="221"/>
        <v>417537.43229999999</v>
      </c>
      <c r="J165" s="4">
        <f t="shared" si="222"/>
        <v>347947.86025000003</v>
      </c>
      <c r="K165" s="4">
        <f t="shared" si="223"/>
        <v>139179.1441</v>
      </c>
      <c r="L165" s="4">
        <f t="shared" si="224"/>
        <v>69589.572050000002</v>
      </c>
      <c r="M165" s="4">
        <f t="shared" si="225"/>
        <v>695895.72050000005</v>
      </c>
      <c r="N165" s="4">
        <f t="shared" si="226"/>
        <v>0</v>
      </c>
      <c r="O165">
        <v>294942.77</v>
      </c>
      <c r="P165">
        <v>418370.51</v>
      </c>
      <c r="Q165">
        <v>0</v>
      </c>
      <c r="R165">
        <v>0</v>
      </c>
    </row>
    <row r="166" spans="1:18" x14ac:dyDescent="0.3">
      <c r="A166" t="s">
        <v>42</v>
      </c>
      <c r="B166">
        <v>2022</v>
      </c>
      <c r="C166" s="4">
        <v>15811728.200000001</v>
      </c>
      <c r="D166" s="4">
        <v>900283.58000000007</v>
      </c>
      <c r="E166" s="4">
        <v>16712011.779999999</v>
      </c>
      <c r="F166" s="4">
        <f t="shared" si="178"/>
        <v>11858796.15</v>
      </c>
      <c r="G166" s="4">
        <f t="shared" si="219"/>
        <v>1106820.9740000002</v>
      </c>
      <c r="H166" s="4">
        <f t="shared" si="220"/>
        <v>948703.69200000004</v>
      </c>
      <c r="I166" s="4">
        <f t="shared" si="221"/>
        <v>474351.84600000002</v>
      </c>
      <c r="J166" s="4">
        <f t="shared" si="222"/>
        <v>395293.20500000007</v>
      </c>
      <c r="K166" s="4">
        <f t="shared" si="223"/>
        <v>158117.28200000001</v>
      </c>
      <c r="L166" s="4">
        <f t="shared" si="224"/>
        <v>79058.641000000003</v>
      </c>
      <c r="M166" s="4">
        <f t="shared" si="225"/>
        <v>790586.41000000015</v>
      </c>
      <c r="N166" s="4">
        <f t="shared" si="226"/>
        <v>0</v>
      </c>
      <c r="O166">
        <v>179242.67</v>
      </c>
      <c r="P166">
        <v>424069.94999999995</v>
      </c>
      <c r="Q166">
        <v>37487.449999999997</v>
      </c>
      <c r="R166">
        <v>0</v>
      </c>
    </row>
    <row r="167" spans="1:18" x14ac:dyDescent="0.3">
      <c r="A167" t="s">
        <v>42</v>
      </c>
      <c r="B167">
        <v>2023</v>
      </c>
      <c r="C167" s="4">
        <v>15843312.800000003</v>
      </c>
      <c r="D167" s="4">
        <v>0</v>
      </c>
      <c r="E167" s="4">
        <v>15843312.800000003</v>
      </c>
      <c r="F167" s="4">
        <f t="shared" si="178"/>
        <v>11882484.600000001</v>
      </c>
      <c r="G167" s="4">
        <f t="shared" si="219"/>
        <v>1109031.8960000002</v>
      </c>
      <c r="H167" s="4">
        <f t="shared" si="220"/>
        <v>950598.76800000016</v>
      </c>
      <c r="I167" s="4">
        <f t="shared" si="221"/>
        <v>475299.38400000008</v>
      </c>
      <c r="J167" s="4">
        <f t="shared" si="222"/>
        <v>396082.82000000007</v>
      </c>
      <c r="K167" s="4">
        <f t="shared" si="223"/>
        <v>158433.12800000003</v>
      </c>
      <c r="L167" s="4">
        <f t="shared" si="224"/>
        <v>79216.564000000013</v>
      </c>
      <c r="M167" s="4">
        <f t="shared" si="225"/>
        <v>792165.64000000013</v>
      </c>
      <c r="N167" s="4">
        <f t="shared" si="226"/>
        <v>0</v>
      </c>
      <c r="O167">
        <v>181415.32</v>
      </c>
      <c r="P167">
        <v>320849.17</v>
      </c>
      <c r="Q167">
        <v>246.97</v>
      </c>
      <c r="R167">
        <v>470155.68</v>
      </c>
    </row>
    <row r="168" spans="1:18" x14ac:dyDescent="0.3">
      <c r="A168" t="s">
        <v>42</v>
      </c>
      <c r="B168">
        <v>2024</v>
      </c>
      <c r="C168" s="4">
        <v>17488791.619999997</v>
      </c>
      <c r="D168" s="4">
        <v>0</v>
      </c>
      <c r="E168" s="4">
        <v>17488791.619999997</v>
      </c>
      <c r="F168" s="4">
        <f t="shared" si="178"/>
        <v>13116593.714999998</v>
      </c>
      <c r="G168" s="4">
        <f t="shared" si="219"/>
        <v>1224215.4134</v>
      </c>
      <c r="H168" s="4">
        <f t="shared" si="220"/>
        <v>1049327.4971999999</v>
      </c>
      <c r="I168" s="4">
        <f t="shared" si="221"/>
        <v>524663.74859999993</v>
      </c>
      <c r="J168" s="4">
        <f t="shared" si="222"/>
        <v>437219.79049999994</v>
      </c>
      <c r="K168" s="4">
        <f t="shared" si="223"/>
        <v>174887.91619999998</v>
      </c>
      <c r="L168" s="4">
        <f t="shared" si="224"/>
        <v>87443.958099999989</v>
      </c>
      <c r="M168" s="4">
        <f t="shared" si="225"/>
        <v>874439.58099999989</v>
      </c>
      <c r="N168" s="4">
        <f t="shared" si="226"/>
        <v>0</v>
      </c>
      <c r="O168">
        <v>216913.33000000005</v>
      </c>
      <c r="P168">
        <v>337027.59</v>
      </c>
      <c r="Q168">
        <v>50807.570000000007</v>
      </c>
      <c r="R168">
        <v>9989.4600000000009</v>
      </c>
    </row>
    <row r="169" spans="1:18" x14ac:dyDescent="0.3">
      <c r="A169" t="s">
        <v>42</v>
      </c>
      <c r="B169">
        <v>2025</v>
      </c>
      <c r="C169" s="4">
        <v>20664699.41</v>
      </c>
      <c r="D169" s="4">
        <v>0</v>
      </c>
      <c r="E169" s="4">
        <v>20664699.41</v>
      </c>
      <c r="F169" s="4">
        <f t="shared" si="178"/>
        <v>15498524.557500001</v>
      </c>
      <c r="G169" s="4">
        <f>C169*0.035</f>
        <v>723264.47935000004</v>
      </c>
      <c r="H169" s="4">
        <f>C169*0.06</f>
        <v>1239881.9646000001</v>
      </c>
      <c r="I169" s="4">
        <f>C169*0.03</f>
        <v>619940.98230000003</v>
      </c>
      <c r="J169" s="4">
        <f>C169*0</f>
        <v>0</v>
      </c>
      <c r="K169" s="4">
        <f>C169*0</f>
        <v>0</v>
      </c>
      <c r="L169" s="4">
        <f>C169*0</f>
        <v>0</v>
      </c>
      <c r="M169" s="4">
        <f>C169*0</f>
        <v>0</v>
      </c>
      <c r="N169" s="4">
        <f>C169*0.1</f>
        <v>2066469.9410000001</v>
      </c>
      <c r="O169">
        <v>253326.7</v>
      </c>
      <c r="P169">
        <v>372244.86000000004</v>
      </c>
      <c r="Q169">
        <v>47415.82</v>
      </c>
      <c r="R169">
        <v>142780.22</v>
      </c>
    </row>
    <row r="170" spans="1:18" x14ac:dyDescent="0.3">
      <c r="A170" t="s">
        <v>43</v>
      </c>
      <c r="B170">
        <v>2020</v>
      </c>
      <c r="C170" s="4">
        <v>27632275.109999999</v>
      </c>
      <c r="D170" s="4">
        <v>1870471.57</v>
      </c>
      <c r="E170" s="4">
        <v>29502746.679999996</v>
      </c>
      <c r="F170" s="4">
        <f t="shared" si="178"/>
        <v>20724206.3325</v>
      </c>
      <c r="G170" s="4">
        <f t="shared" ref="G170:G174" si="227">C170*0.07</f>
        <v>1934259.2577000002</v>
      </c>
      <c r="H170" s="4">
        <f t="shared" ref="H170:H174" si="228">C170*0.06</f>
        <v>1657936.5066</v>
      </c>
      <c r="I170" s="4">
        <f t="shared" ref="I170:I174" si="229">C170*0.03</f>
        <v>828968.25329999998</v>
      </c>
      <c r="J170" s="4">
        <f t="shared" ref="J170:J174" si="230">C170*0.025</f>
        <v>690806.87774999999</v>
      </c>
      <c r="K170" s="4">
        <f t="shared" ref="K170:K174" si="231">C170*0.01</f>
        <v>276322.75109999999</v>
      </c>
      <c r="L170" s="4">
        <f t="shared" ref="L170:L174" si="232">C170*0.005</f>
        <v>138161.37555</v>
      </c>
      <c r="M170" s="4">
        <f t="shared" ref="M170:M174" si="233">C170*0.05</f>
        <v>1381613.7555</v>
      </c>
      <c r="N170" s="4">
        <f t="shared" ref="N170:N174" si="234">C170*0</f>
        <v>0</v>
      </c>
      <c r="O170">
        <v>537731.15</v>
      </c>
      <c r="P170">
        <v>734687.6100000001</v>
      </c>
      <c r="Q170">
        <v>31976.5</v>
      </c>
      <c r="R170">
        <v>0</v>
      </c>
    </row>
    <row r="171" spans="1:18" x14ac:dyDescent="0.3">
      <c r="A171" t="s">
        <v>43</v>
      </c>
      <c r="B171">
        <v>2021</v>
      </c>
      <c r="C171" s="4">
        <v>32464805.91</v>
      </c>
      <c r="D171" s="4">
        <v>2194453.64</v>
      </c>
      <c r="E171" s="4">
        <v>34659259.550000004</v>
      </c>
      <c r="F171" s="4">
        <f t="shared" si="178"/>
        <v>24348604.432500001</v>
      </c>
      <c r="G171" s="4">
        <f t="shared" si="227"/>
        <v>2272536.4137000004</v>
      </c>
      <c r="H171" s="4">
        <f t="shared" si="228"/>
        <v>1947888.3546</v>
      </c>
      <c r="I171" s="4">
        <f t="shared" si="229"/>
        <v>973944.17729999998</v>
      </c>
      <c r="J171" s="4">
        <f t="shared" si="230"/>
        <v>811620.14775</v>
      </c>
      <c r="K171" s="4">
        <f t="shared" si="231"/>
        <v>324648.05910000001</v>
      </c>
      <c r="L171" s="4">
        <f t="shared" si="232"/>
        <v>162324.02955000001</v>
      </c>
      <c r="M171" s="4">
        <f t="shared" si="233"/>
        <v>1623240.2955</v>
      </c>
      <c r="N171" s="4">
        <f t="shared" si="234"/>
        <v>0</v>
      </c>
      <c r="O171">
        <v>687948.35000000009</v>
      </c>
      <c r="P171">
        <v>975841.22999999986</v>
      </c>
      <c r="Q171">
        <v>0</v>
      </c>
      <c r="R171">
        <v>0</v>
      </c>
    </row>
    <row r="172" spans="1:18" x14ac:dyDescent="0.3">
      <c r="A172" t="s">
        <v>43</v>
      </c>
      <c r="B172">
        <v>2022</v>
      </c>
      <c r="C172" s="4">
        <v>37947612.600000001</v>
      </c>
      <c r="D172" s="4">
        <v>2164120.1</v>
      </c>
      <c r="E172" s="4">
        <v>40111732.699999996</v>
      </c>
      <c r="F172" s="4">
        <f t="shared" si="178"/>
        <v>28460709.450000003</v>
      </c>
      <c r="G172" s="4">
        <f t="shared" si="227"/>
        <v>2656332.8820000002</v>
      </c>
      <c r="H172" s="4">
        <f t="shared" si="228"/>
        <v>2276856.7560000001</v>
      </c>
      <c r="I172" s="4">
        <f t="shared" si="229"/>
        <v>1138428.378</v>
      </c>
      <c r="J172" s="4">
        <f t="shared" si="230"/>
        <v>948690.31500000006</v>
      </c>
      <c r="K172" s="4">
        <f t="shared" si="231"/>
        <v>379476.12600000005</v>
      </c>
      <c r="L172" s="4">
        <f t="shared" si="232"/>
        <v>189738.06300000002</v>
      </c>
      <c r="M172" s="4">
        <f t="shared" si="233"/>
        <v>1897380.6300000001</v>
      </c>
      <c r="N172" s="4">
        <f t="shared" si="234"/>
        <v>0</v>
      </c>
      <c r="O172">
        <v>429421.70999999996</v>
      </c>
      <c r="P172">
        <v>1018030.86</v>
      </c>
      <c r="Q172">
        <v>107823.34</v>
      </c>
      <c r="R172">
        <v>0</v>
      </c>
    </row>
    <row r="173" spans="1:18" x14ac:dyDescent="0.3">
      <c r="A173" t="s">
        <v>43</v>
      </c>
      <c r="B173">
        <v>2023</v>
      </c>
      <c r="C173" s="4">
        <v>35836877.420000002</v>
      </c>
      <c r="D173" s="4">
        <v>0</v>
      </c>
      <c r="E173" s="4">
        <v>35836877.420000002</v>
      </c>
      <c r="F173" s="4">
        <f t="shared" si="178"/>
        <v>26877658.065000001</v>
      </c>
      <c r="G173" s="4">
        <f t="shared" si="227"/>
        <v>2508581.4194000005</v>
      </c>
      <c r="H173" s="4">
        <f t="shared" si="228"/>
        <v>2150212.6452000001</v>
      </c>
      <c r="I173" s="4">
        <f t="shared" si="229"/>
        <v>1075106.3226000001</v>
      </c>
      <c r="J173" s="4">
        <f t="shared" si="230"/>
        <v>895921.93550000014</v>
      </c>
      <c r="K173" s="4">
        <f t="shared" si="231"/>
        <v>358368.77420000004</v>
      </c>
      <c r="L173" s="4">
        <f t="shared" si="232"/>
        <v>179184.38710000002</v>
      </c>
      <c r="M173" s="4">
        <f t="shared" si="233"/>
        <v>1791843.8710000003</v>
      </c>
      <c r="N173" s="4">
        <f t="shared" si="234"/>
        <v>0</v>
      </c>
      <c r="O173">
        <v>412608.21999999991</v>
      </c>
      <c r="P173">
        <v>725708.98</v>
      </c>
      <c r="Q173">
        <v>711.08</v>
      </c>
      <c r="R173">
        <v>1063416.18</v>
      </c>
    </row>
    <row r="174" spans="1:18" x14ac:dyDescent="0.3">
      <c r="A174" t="s">
        <v>43</v>
      </c>
      <c r="B174">
        <v>2024</v>
      </c>
      <c r="C174" s="4">
        <v>37626062.70000001</v>
      </c>
      <c r="D174" s="4">
        <v>0</v>
      </c>
      <c r="E174" s="4">
        <v>37626062.70000001</v>
      </c>
      <c r="F174" s="4">
        <f t="shared" si="178"/>
        <v>28219547.025000006</v>
      </c>
      <c r="G174" s="4">
        <f t="shared" si="227"/>
        <v>2633824.3890000009</v>
      </c>
      <c r="H174" s="4">
        <f t="shared" si="228"/>
        <v>2257563.7620000006</v>
      </c>
      <c r="I174" s="4">
        <f t="shared" si="229"/>
        <v>1128781.8810000003</v>
      </c>
      <c r="J174" s="4">
        <f t="shared" si="230"/>
        <v>940651.56750000035</v>
      </c>
      <c r="K174" s="4">
        <f t="shared" si="231"/>
        <v>376260.62700000009</v>
      </c>
      <c r="L174" s="4">
        <f t="shared" si="232"/>
        <v>188130.31350000005</v>
      </c>
      <c r="M174" s="4">
        <f t="shared" si="233"/>
        <v>1881303.1350000007</v>
      </c>
      <c r="N174" s="4">
        <f t="shared" si="234"/>
        <v>0</v>
      </c>
      <c r="O174">
        <v>466653.32</v>
      </c>
      <c r="P174">
        <v>725059.37</v>
      </c>
      <c r="Q174">
        <v>149776.28999999998</v>
      </c>
      <c r="R174">
        <v>22594.53</v>
      </c>
    </row>
    <row r="175" spans="1:18" x14ac:dyDescent="0.3">
      <c r="A175" t="s">
        <v>43</v>
      </c>
      <c r="B175">
        <v>2025</v>
      </c>
      <c r="C175" s="4">
        <v>44482526.309999995</v>
      </c>
      <c r="D175" s="4">
        <v>0</v>
      </c>
      <c r="E175" s="4">
        <v>44482526.309999995</v>
      </c>
      <c r="F175" s="4">
        <f t="shared" si="178"/>
        <v>33361894.732499994</v>
      </c>
      <c r="G175" s="4">
        <f>C175*0.035</f>
        <v>1556888.4208499999</v>
      </c>
      <c r="H175" s="4">
        <f>C175*0.06</f>
        <v>2668951.5785999997</v>
      </c>
      <c r="I175" s="4">
        <f>C175*0.03</f>
        <v>1334475.7892999998</v>
      </c>
      <c r="J175" s="4">
        <f>C175*0</f>
        <v>0</v>
      </c>
      <c r="K175" s="4">
        <f>C175*0</f>
        <v>0</v>
      </c>
      <c r="L175" s="4">
        <f>C175*0</f>
        <v>0</v>
      </c>
      <c r="M175" s="4">
        <f>C175*0</f>
        <v>0</v>
      </c>
      <c r="N175" s="4">
        <f>C175*0.1</f>
        <v>4448252.6310000001</v>
      </c>
      <c r="O175">
        <v>545308.14</v>
      </c>
      <c r="P175">
        <v>801290.01</v>
      </c>
      <c r="Q175">
        <v>143479.5</v>
      </c>
      <c r="R175">
        <v>307347.05000000005</v>
      </c>
    </row>
    <row r="176" spans="1:18" x14ac:dyDescent="0.3">
      <c r="A176" t="s">
        <v>44</v>
      </c>
      <c r="B176">
        <v>2020</v>
      </c>
      <c r="C176" s="4">
        <v>11579992.639999999</v>
      </c>
      <c r="D176" s="4">
        <v>783904.91000000015</v>
      </c>
      <c r="E176" s="4">
        <v>12363897.549999999</v>
      </c>
      <c r="F176" s="4">
        <f t="shared" si="178"/>
        <v>8684994.4799999986</v>
      </c>
      <c r="G176" s="4">
        <f t="shared" ref="G176:G180" si="235">C176*0.07</f>
        <v>810599.48479999998</v>
      </c>
      <c r="H176" s="4">
        <f t="shared" ref="H176:H180" si="236">C176*0.06</f>
        <v>694799.55839999986</v>
      </c>
      <c r="I176" s="4">
        <f t="shared" ref="I176:I180" si="237">C176*0.03</f>
        <v>347399.77919999993</v>
      </c>
      <c r="J176" s="4">
        <f t="shared" ref="J176:J180" si="238">C176*0.025</f>
        <v>289499.81599999999</v>
      </c>
      <c r="K176" s="4">
        <f t="shared" ref="K176:K180" si="239">C176*0.01</f>
        <v>115799.9264</v>
      </c>
      <c r="L176" s="4">
        <f t="shared" ref="L176:L180" si="240">C176*0.005</f>
        <v>57899.963199999998</v>
      </c>
      <c r="M176" s="4">
        <f t="shared" ref="M176:M180" si="241">C176*0.05</f>
        <v>578999.63199999998</v>
      </c>
      <c r="N176" s="4">
        <f t="shared" ref="N176:N180" si="242">C176*0</f>
        <v>0</v>
      </c>
      <c r="O176">
        <v>225360.67999999996</v>
      </c>
      <c r="P176">
        <v>307904.25999999995</v>
      </c>
      <c r="Q176">
        <v>9675.25</v>
      </c>
      <c r="R176">
        <v>0</v>
      </c>
    </row>
    <row r="177" spans="1:18" x14ac:dyDescent="0.3">
      <c r="A177" t="s">
        <v>44</v>
      </c>
      <c r="B177">
        <v>2021</v>
      </c>
      <c r="C177" s="4">
        <v>12816564.649999999</v>
      </c>
      <c r="D177" s="4">
        <v>866233.74</v>
      </c>
      <c r="E177" s="4">
        <v>13682798.390000001</v>
      </c>
      <c r="F177" s="4">
        <f t="shared" si="178"/>
        <v>9612423.4874999989</v>
      </c>
      <c r="G177" s="4">
        <f t="shared" si="235"/>
        <v>897159.52549999999</v>
      </c>
      <c r="H177" s="4">
        <f t="shared" si="236"/>
        <v>768993.87899999984</v>
      </c>
      <c r="I177" s="4">
        <f t="shared" si="237"/>
        <v>384496.93949999992</v>
      </c>
      <c r="J177" s="4">
        <f t="shared" si="238"/>
        <v>320414.11624999996</v>
      </c>
      <c r="K177" s="4">
        <f t="shared" si="239"/>
        <v>128165.64649999999</v>
      </c>
      <c r="L177" s="4">
        <f t="shared" si="240"/>
        <v>64082.823249999994</v>
      </c>
      <c r="M177" s="4">
        <f t="shared" si="241"/>
        <v>640828.23249999993</v>
      </c>
      <c r="N177" s="4">
        <f t="shared" si="242"/>
        <v>0</v>
      </c>
      <c r="O177">
        <v>271558.56</v>
      </c>
      <c r="P177">
        <v>385200.48000000004</v>
      </c>
      <c r="Q177">
        <v>0</v>
      </c>
      <c r="R177">
        <v>0</v>
      </c>
    </row>
    <row r="178" spans="1:18" x14ac:dyDescent="0.3">
      <c r="A178" t="s">
        <v>44</v>
      </c>
      <c r="B178">
        <v>2022</v>
      </c>
      <c r="C178" s="4">
        <v>14674110.030000001</v>
      </c>
      <c r="D178" s="4">
        <v>835885.5199999999</v>
      </c>
      <c r="E178" s="4">
        <v>15509995.549999997</v>
      </c>
      <c r="F178" s="4">
        <f t="shared" si="178"/>
        <v>11005582.522500001</v>
      </c>
      <c r="G178" s="4">
        <f t="shared" si="235"/>
        <v>1027187.7021000002</v>
      </c>
      <c r="H178" s="4">
        <f t="shared" si="236"/>
        <v>880446.60180000006</v>
      </c>
      <c r="I178" s="4">
        <f t="shared" si="237"/>
        <v>440223.30090000003</v>
      </c>
      <c r="J178" s="4">
        <f t="shared" si="238"/>
        <v>366852.75075000006</v>
      </c>
      <c r="K178" s="4">
        <f t="shared" si="239"/>
        <v>146741.10030000002</v>
      </c>
      <c r="L178" s="4">
        <f t="shared" si="240"/>
        <v>73370.55015000001</v>
      </c>
      <c r="M178" s="4">
        <f t="shared" si="241"/>
        <v>733705.50150000013</v>
      </c>
      <c r="N178" s="4">
        <f t="shared" si="242"/>
        <v>0</v>
      </c>
      <c r="O178">
        <v>166264.19</v>
      </c>
      <c r="P178">
        <v>393588.35000000003</v>
      </c>
      <c r="Q178">
        <v>32469.94</v>
      </c>
      <c r="R178">
        <v>0</v>
      </c>
    </row>
    <row r="179" spans="1:18" x14ac:dyDescent="0.3">
      <c r="A179" t="s">
        <v>44</v>
      </c>
      <c r="B179">
        <v>2023</v>
      </c>
      <c r="C179" s="4">
        <v>16415622.829999998</v>
      </c>
      <c r="D179" s="4">
        <v>0</v>
      </c>
      <c r="E179" s="4">
        <v>16415622.829999998</v>
      </c>
      <c r="F179" s="4">
        <f t="shared" si="178"/>
        <v>12311717.122499999</v>
      </c>
      <c r="G179" s="4">
        <f t="shared" si="235"/>
        <v>1149093.5981000001</v>
      </c>
      <c r="H179" s="4">
        <f t="shared" si="236"/>
        <v>984937.36979999987</v>
      </c>
      <c r="I179" s="4">
        <f t="shared" si="237"/>
        <v>492468.68489999993</v>
      </c>
      <c r="J179" s="4">
        <f t="shared" si="238"/>
        <v>410390.57074999996</v>
      </c>
      <c r="K179" s="4">
        <f t="shared" si="239"/>
        <v>164156.22829999999</v>
      </c>
      <c r="L179" s="4">
        <f t="shared" si="240"/>
        <v>82078.114149999994</v>
      </c>
      <c r="M179" s="4">
        <f t="shared" si="241"/>
        <v>820781.14149999991</v>
      </c>
      <c r="N179" s="4">
        <f t="shared" si="242"/>
        <v>0</v>
      </c>
      <c r="O179">
        <v>186270.49000000002</v>
      </c>
      <c r="P179">
        <v>332467.67</v>
      </c>
      <c r="Q179">
        <v>214.03</v>
      </c>
      <c r="R179">
        <v>487180.83</v>
      </c>
    </row>
    <row r="180" spans="1:18" x14ac:dyDescent="0.3">
      <c r="A180" t="s">
        <v>44</v>
      </c>
      <c r="B180">
        <v>2024</v>
      </c>
      <c r="C180" s="4">
        <v>17281996.25</v>
      </c>
      <c r="D180" s="4">
        <v>0</v>
      </c>
      <c r="E180" s="4">
        <v>17281996.25</v>
      </c>
      <c r="F180" s="4">
        <f t="shared" si="178"/>
        <v>12961497.1875</v>
      </c>
      <c r="G180" s="4">
        <f t="shared" si="235"/>
        <v>1209739.7375</v>
      </c>
      <c r="H180" s="4">
        <f t="shared" si="236"/>
        <v>1036919.7749999999</v>
      </c>
      <c r="I180" s="4">
        <f t="shared" si="237"/>
        <v>518459.88749999995</v>
      </c>
      <c r="J180" s="4">
        <f t="shared" si="238"/>
        <v>432049.90625</v>
      </c>
      <c r="K180" s="4">
        <f t="shared" si="239"/>
        <v>172819.96249999999</v>
      </c>
      <c r="L180" s="4">
        <f t="shared" si="240"/>
        <v>86409.981249999997</v>
      </c>
      <c r="M180" s="4">
        <f t="shared" si="241"/>
        <v>864099.8125</v>
      </c>
      <c r="N180" s="4">
        <f t="shared" si="242"/>
        <v>0</v>
      </c>
      <c r="O180">
        <v>214338.7</v>
      </c>
      <c r="P180">
        <v>333027.27</v>
      </c>
      <c r="Q180">
        <v>44554.91</v>
      </c>
      <c r="R180">
        <v>10351.19</v>
      </c>
    </row>
    <row r="181" spans="1:18" x14ac:dyDescent="0.3">
      <c r="A181" t="s">
        <v>44</v>
      </c>
      <c r="B181">
        <v>2025</v>
      </c>
      <c r="C181" s="4">
        <v>19091659.920000002</v>
      </c>
      <c r="D181" s="4">
        <v>0</v>
      </c>
      <c r="E181" s="4">
        <v>19091659.920000002</v>
      </c>
      <c r="F181" s="4">
        <f t="shared" si="178"/>
        <v>14318744.940000001</v>
      </c>
      <c r="G181" s="4">
        <f>C181*0.035</f>
        <v>668208.09720000008</v>
      </c>
      <c r="H181" s="4">
        <f>C181*0.06</f>
        <v>1145499.5952000001</v>
      </c>
      <c r="I181" s="4">
        <f>C181*0.03</f>
        <v>572749.79760000005</v>
      </c>
      <c r="J181" s="4">
        <f>C181*0</f>
        <v>0</v>
      </c>
      <c r="K181" s="4">
        <f>C181*0</f>
        <v>0</v>
      </c>
      <c r="L181" s="4">
        <f>C181*0</f>
        <v>0</v>
      </c>
      <c r="M181" s="4">
        <f>C181*0</f>
        <v>0</v>
      </c>
      <c r="N181" s="4">
        <f>C181*0.1</f>
        <v>1909165.9920000003</v>
      </c>
      <c r="O181">
        <v>233999.32000000004</v>
      </c>
      <c r="P181">
        <v>343844.72</v>
      </c>
      <c r="Q181">
        <v>41515.699999999997</v>
      </c>
      <c r="R181">
        <v>131886.91000000003</v>
      </c>
    </row>
    <row r="182" spans="1:18" x14ac:dyDescent="0.3">
      <c r="A182" t="s">
        <v>45</v>
      </c>
      <c r="B182">
        <v>2020</v>
      </c>
      <c r="C182" s="4">
        <v>7164455.2400000002</v>
      </c>
      <c r="D182" s="4">
        <v>485005.73</v>
      </c>
      <c r="E182" s="4">
        <v>7649460.9700000007</v>
      </c>
      <c r="F182" s="4">
        <f t="shared" si="178"/>
        <v>5373341.4299999997</v>
      </c>
      <c r="G182" s="4">
        <f t="shared" ref="G182:G186" si="243">C182*0.07</f>
        <v>501511.86680000008</v>
      </c>
      <c r="H182" s="4">
        <f t="shared" ref="H182:H186" si="244">C182*0.06</f>
        <v>429867.31439999997</v>
      </c>
      <c r="I182" s="4">
        <f t="shared" ref="I182:I186" si="245">C182*0.03</f>
        <v>214933.65719999999</v>
      </c>
      <c r="J182" s="4">
        <f t="shared" ref="J182:J186" si="246">C182*0.025</f>
        <v>179111.38100000002</v>
      </c>
      <c r="K182" s="4">
        <f t="shared" ref="K182:K186" si="247">C182*0.01</f>
        <v>71644.5524</v>
      </c>
      <c r="L182" s="4">
        <f t="shared" ref="L182:L186" si="248">C182*0.005</f>
        <v>35822.2762</v>
      </c>
      <c r="M182" s="4">
        <f t="shared" ref="M182:M186" si="249">C182*0.05</f>
        <v>358222.76200000005</v>
      </c>
      <c r="N182" s="4">
        <f t="shared" ref="N182:N186" si="250">C182*0</f>
        <v>0</v>
      </c>
      <c r="O182">
        <v>139431.81</v>
      </c>
      <c r="P182">
        <v>190501.90000000002</v>
      </c>
      <c r="Q182">
        <v>5200.8599999999997</v>
      </c>
      <c r="R182">
        <v>0</v>
      </c>
    </row>
    <row r="183" spans="1:18" x14ac:dyDescent="0.3">
      <c r="A183" t="s">
        <v>45</v>
      </c>
      <c r="B183">
        <v>2021</v>
      </c>
      <c r="C183" s="4">
        <v>9715601.4800000023</v>
      </c>
      <c r="D183" s="4">
        <v>656889.04</v>
      </c>
      <c r="E183" s="4">
        <v>10372490.52</v>
      </c>
      <c r="F183" s="4">
        <f t="shared" si="178"/>
        <v>7286701.1100000013</v>
      </c>
      <c r="G183" s="4">
        <f t="shared" si="243"/>
        <v>680092.10360000026</v>
      </c>
      <c r="H183" s="4">
        <f t="shared" si="244"/>
        <v>582936.08880000014</v>
      </c>
      <c r="I183" s="4">
        <f t="shared" si="245"/>
        <v>291468.04440000007</v>
      </c>
      <c r="J183" s="4">
        <f t="shared" si="246"/>
        <v>242890.03700000007</v>
      </c>
      <c r="K183" s="4">
        <f t="shared" si="247"/>
        <v>97156.014800000019</v>
      </c>
      <c r="L183" s="4">
        <f t="shared" si="248"/>
        <v>48578.00740000001</v>
      </c>
      <c r="M183" s="4">
        <f t="shared" si="249"/>
        <v>485780.07400000014</v>
      </c>
      <c r="N183" s="4">
        <f t="shared" si="250"/>
        <v>0</v>
      </c>
      <c r="O183">
        <v>205931.9</v>
      </c>
      <c r="P183">
        <v>292110.37000000005</v>
      </c>
      <c r="Q183">
        <v>0</v>
      </c>
      <c r="R183">
        <v>0</v>
      </c>
    </row>
    <row r="184" spans="1:18" x14ac:dyDescent="0.3">
      <c r="A184" t="s">
        <v>45</v>
      </c>
      <c r="B184">
        <v>2022</v>
      </c>
      <c r="C184" s="4">
        <v>11160026.779999999</v>
      </c>
      <c r="D184" s="4">
        <v>635819.16</v>
      </c>
      <c r="E184" s="4">
        <v>11795845.939999999</v>
      </c>
      <c r="F184" s="4">
        <f t="shared" si="178"/>
        <v>8370020.084999999</v>
      </c>
      <c r="G184" s="4">
        <f t="shared" si="243"/>
        <v>781201.87459999998</v>
      </c>
      <c r="H184" s="4">
        <f t="shared" si="244"/>
        <v>669601.60679999995</v>
      </c>
      <c r="I184" s="4">
        <f t="shared" si="245"/>
        <v>334800.80339999998</v>
      </c>
      <c r="J184" s="4">
        <f t="shared" si="246"/>
        <v>279000.66950000002</v>
      </c>
      <c r="K184" s="4">
        <f t="shared" si="247"/>
        <v>111600.2678</v>
      </c>
      <c r="L184" s="4">
        <f t="shared" si="248"/>
        <v>55800.133900000001</v>
      </c>
      <c r="M184" s="4">
        <f t="shared" si="249"/>
        <v>558001.33900000004</v>
      </c>
      <c r="N184" s="4">
        <f t="shared" si="250"/>
        <v>0</v>
      </c>
      <c r="O184">
        <v>126426.15</v>
      </c>
      <c r="P184">
        <v>299343.67000000004</v>
      </c>
      <c r="Q184">
        <v>17377.939999999999</v>
      </c>
      <c r="R184">
        <v>0</v>
      </c>
    </row>
    <row r="185" spans="1:18" x14ac:dyDescent="0.3">
      <c r="A185" t="s">
        <v>45</v>
      </c>
      <c r="B185">
        <v>2023</v>
      </c>
      <c r="C185" s="4">
        <v>10195263.670000002</v>
      </c>
      <c r="D185" s="4">
        <v>0</v>
      </c>
      <c r="E185" s="4">
        <v>10195263.670000002</v>
      </c>
      <c r="F185" s="4">
        <f t="shared" si="178"/>
        <v>7646447.7525000013</v>
      </c>
      <c r="G185" s="4">
        <f t="shared" si="243"/>
        <v>713668.45690000022</v>
      </c>
      <c r="H185" s="4">
        <f t="shared" si="244"/>
        <v>611715.82020000007</v>
      </c>
      <c r="I185" s="4">
        <f t="shared" si="245"/>
        <v>305857.91010000004</v>
      </c>
      <c r="J185" s="4">
        <f t="shared" si="246"/>
        <v>254881.59175000005</v>
      </c>
      <c r="K185" s="4">
        <f t="shared" si="247"/>
        <v>101952.63670000002</v>
      </c>
      <c r="L185" s="4">
        <f t="shared" si="248"/>
        <v>50976.318350000009</v>
      </c>
      <c r="M185" s="4">
        <f t="shared" si="249"/>
        <v>509763.1835000001</v>
      </c>
      <c r="N185" s="4">
        <f t="shared" si="250"/>
        <v>0</v>
      </c>
      <c r="O185">
        <v>117734.03</v>
      </c>
      <c r="P185">
        <v>206451.69</v>
      </c>
      <c r="Q185">
        <v>114.49</v>
      </c>
      <c r="R185">
        <v>302523.55000000005</v>
      </c>
    </row>
    <row r="186" spans="1:18" x14ac:dyDescent="0.3">
      <c r="A186" t="s">
        <v>45</v>
      </c>
      <c r="B186">
        <v>2024</v>
      </c>
      <c r="C186" s="4">
        <v>11779791.02</v>
      </c>
      <c r="D186" s="4">
        <v>0</v>
      </c>
      <c r="E186" s="4">
        <v>11779791.02</v>
      </c>
      <c r="F186" s="4">
        <f t="shared" si="178"/>
        <v>8834843.2650000006</v>
      </c>
      <c r="G186" s="4">
        <f t="shared" si="243"/>
        <v>824585.37140000006</v>
      </c>
      <c r="H186" s="4">
        <f t="shared" si="244"/>
        <v>706787.4611999999</v>
      </c>
      <c r="I186" s="4">
        <f t="shared" si="245"/>
        <v>353393.73059999995</v>
      </c>
      <c r="J186" s="4">
        <f t="shared" si="246"/>
        <v>294494.77549999999</v>
      </c>
      <c r="K186" s="4">
        <f t="shared" si="247"/>
        <v>117797.9102</v>
      </c>
      <c r="L186" s="4">
        <f t="shared" si="248"/>
        <v>58898.955099999999</v>
      </c>
      <c r="M186" s="4">
        <f t="shared" si="249"/>
        <v>588989.55099999998</v>
      </c>
      <c r="N186" s="4">
        <f t="shared" si="250"/>
        <v>0</v>
      </c>
      <c r="O186">
        <v>146110.76</v>
      </c>
      <c r="P186">
        <v>227018.59999999995</v>
      </c>
      <c r="Q186">
        <v>23655.620000000003</v>
      </c>
      <c r="R186">
        <v>6427.77</v>
      </c>
    </row>
    <row r="187" spans="1:18" x14ac:dyDescent="0.3">
      <c r="A187" t="s">
        <v>45</v>
      </c>
      <c r="B187">
        <v>2025</v>
      </c>
      <c r="C187" s="4">
        <v>17277274.68</v>
      </c>
      <c r="D187" s="4">
        <v>0</v>
      </c>
      <c r="E187" s="4">
        <v>17277274.68</v>
      </c>
      <c r="F187" s="4">
        <f t="shared" si="178"/>
        <v>12957956.01</v>
      </c>
      <c r="G187" s="4">
        <f>C187*0.035</f>
        <v>604704.61380000005</v>
      </c>
      <c r="H187" s="4">
        <f>C187*0.06</f>
        <v>1036636.4807999999</v>
      </c>
      <c r="I187" s="4">
        <f>C187*0.03</f>
        <v>518318.24039999995</v>
      </c>
      <c r="J187" s="4">
        <f>C187*0</f>
        <v>0</v>
      </c>
      <c r="K187" s="4">
        <f>C187*0</f>
        <v>0</v>
      </c>
      <c r="L187" s="4">
        <f>C187*0</f>
        <v>0</v>
      </c>
      <c r="M187" s="4">
        <f>C187*0</f>
        <v>0</v>
      </c>
      <c r="N187" s="4">
        <f>C187*0.1</f>
        <v>1727727.4680000001</v>
      </c>
      <c r="O187">
        <v>211910.87000000002</v>
      </c>
      <c r="P187">
        <v>311387.40999999997</v>
      </c>
      <c r="Q187">
        <v>21823.5</v>
      </c>
      <c r="R187">
        <v>119437.4</v>
      </c>
    </row>
    <row r="188" spans="1:18" x14ac:dyDescent="0.3">
      <c r="A188" t="s">
        <v>46</v>
      </c>
      <c r="B188">
        <v>2020</v>
      </c>
      <c r="C188" s="4">
        <v>6998516.1600000011</v>
      </c>
      <c r="D188" s="4">
        <v>473728</v>
      </c>
      <c r="E188" s="4">
        <v>7472244.1600000001</v>
      </c>
      <c r="F188" s="4">
        <f t="shared" si="178"/>
        <v>5248887.120000001</v>
      </c>
      <c r="G188" s="4">
        <f t="shared" ref="G188:G192" si="251">C188*0.07</f>
        <v>489896.13120000012</v>
      </c>
      <c r="H188" s="4">
        <f t="shared" ref="H188:H192" si="252">C188*0.06</f>
        <v>419910.96960000007</v>
      </c>
      <c r="I188" s="4">
        <f t="shared" ref="I188:I192" si="253">C188*0.03</f>
        <v>209955.48480000003</v>
      </c>
      <c r="J188" s="4">
        <f t="shared" ref="J188:J192" si="254">C188*0.025</f>
        <v>174962.90400000004</v>
      </c>
      <c r="K188" s="4">
        <f t="shared" ref="K188:K192" si="255">C188*0.01</f>
        <v>69985.161600000007</v>
      </c>
      <c r="L188" s="4">
        <f t="shared" ref="L188:L192" si="256">C188*0.005</f>
        <v>34992.580800000003</v>
      </c>
      <c r="M188" s="4">
        <f t="shared" ref="M188:M192" si="257">C188*0.05</f>
        <v>349925.80800000008</v>
      </c>
      <c r="N188" s="4">
        <f t="shared" ref="N188:N192" si="258">C188*0</f>
        <v>0</v>
      </c>
      <c r="O188">
        <v>136189.19999999998</v>
      </c>
      <c r="P188">
        <v>186071.65</v>
      </c>
      <c r="Q188">
        <v>3850.95</v>
      </c>
      <c r="R188">
        <v>0</v>
      </c>
    </row>
    <row r="189" spans="1:18" x14ac:dyDescent="0.3">
      <c r="A189" t="s">
        <v>46</v>
      </c>
      <c r="B189">
        <v>2021</v>
      </c>
      <c r="C189" s="4">
        <v>8720404.0399999991</v>
      </c>
      <c r="D189" s="4">
        <v>589517.57999999996</v>
      </c>
      <c r="E189" s="4">
        <v>9309921.6199999992</v>
      </c>
      <c r="F189" s="4">
        <f t="shared" si="178"/>
        <v>6540303.0299999993</v>
      </c>
      <c r="G189" s="4">
        <f t="shared" si="251"/>
        <v>610428.28280000004</v>
      </c>
      <c r="H189" s="4">
        <f t="shared" si="252"/>
        <v>523224.24239999993</v>
      </c>
      <c r="I189" s="4">
        <f t="shared" si="253"/>
        <v>261612.12119999997</v>
      </c>
      <c r="J189" s="4">
        <f t="shared" si="254"/>
        <v>218010.101</v>
      </c>
      <c r="K189" s="4">
        <f t="shared" si="255"/>
        <v>87204.040399999998</v>
      </c>
      <c r="L189" s="4">
        <f t="shared" si="256"/>
        <v>43602.020199999999</v>
      </c>
      <c r="M189" s="4">
        <f t="shared" si="257"/>
        <v>436020.20199999999</v>
      </c>
      <c r="N189" s="4">
        <f t="shared" si="258"/>
        <v>0</v>
      </c>
      <c r="O189">
        <v>184810.68</v>
      </c>
      <c r="P189">
        <v>262150.33</v>
      </c>
      <c r="Q189">
        <v>0</v>
      </c>
      <c r="R189">
        <v>0</v>
      </c>
    </row>
    <row r="190" spans="1:18" x14ac:dyDescent="0.3">
      <c r="A190" t="s">
        <v>46</v>
      </c>
      <c r="B190">
        <v>2022</v>
      </c>
      <c r="C190" s="4">
        <v>10342879.790000001</v>
      </c>
      <c r="D190" s="4">
        <v>590316.42000000004</v>
      </c>
      <c r="E190" s="4">
        <v>10933196.209999999</v>
      </c>
      <c r="F190" s="4">
        <f t="shared" si="178"/>
        <v>7757159.8425000012</v>
      </c>
      <c r="G190" s="4">
        <f t="shared" si="251"/>
        <v>724001.58530000015</v>
      </c>
      <c r="H190" s="4">
        <f t="shared" si="252"/>
        <v>620572.78740000003</v>
      </c>
      <c r="I190" s="4">
        <f t="shared" si="253"/>
        <v>310286.39370000002</v>
      </c>
      <c r="J190" s="4">
        <f t="shared" si="254"/>
        <v>258571.99475000004</v>
      </c>
      <c r="K190" s="4">
        <f t="shared" si="255"/>
        <v>103428.79790000001</v>
      </c>
      <c r="L190" s="4">
        <f t="shared" si="256"/>
        <v>51714.398950000003</v>
      </c>
      <c r="M190" s="4">
        <f t="shared" si="257"/>
        <v>517143.98950000008</v>
      </c>
      <c r="N190" s="4">
        <f t="shared" si="258"/>
        <v>0</v>
      </c>
      <c r="O190">
        <v>116939.85000000002</v>
      </c>
      <c r="P190">
        <v>277509.27</v>
      </c>
      <c r="Q190">
        <v>12729.93</v>
      </c>
      <c r="R190">
        <v>0</v>
      </c>
    </row>
    <row r="191" spans="1:18" x14ac:dyDescent="0.3">
      <c r="A191" t="s">
        <v>46</v>
      </c>
      <c r="B191">
        <v>2023</v>
      </c>
      <c r="C191" s="4">
        <v>10723753.979999999</v>
      </c>
      <c r="D191" s="4">
        <v>0</v>
      </c>
      <c r="E191" s="4">
        <v>10723753.979999999</v>
      </c>
      <c r="F191" s="4">
        <f t="shared" si="178"/>
        <v>8042815.4849999994</v>
      </c>
      <c r="G191" s="4">
        <f t="shared" si="251"/>
        <v>750662.77859999996</v>
      </c>
      <c r="H191" s="4">
        <f t="shared" si="252"/>
        <v>643425.23879999993</v>
      </c>
      <c r="I191" s="4">
        <f t="shared" si="253"/>
        <v>321712.61939999997</v>
      </c>
      <c r="J191" s="4">
        <f t="shared" si="254"/>
        <v>268093.84949999995</v>
      </c>
      <c r="K191" s="4">
        <f t="shared" si="255"/>
        <v>107237.53979999998</v>
      </c>
      <c r="L191" s="4">
        <f t="shared" si="256"/>
        <v>53618.769899999992</v>
      </c>
      <c r="M191" s="4">
        <f t="shared" si="257"/>
        <v>536187.69899999991</v>
      </c>
      <c r="N191" s="4">
        <f t="shared" si="258"/>
        <v>0</v>
      </c>
      <c r="O191">
        <v>122465.28</v>
      </c>
      <c r="P191">
        <v>217176.44999999998</v>
      </c>
      <c r="Q191">
        <v>83.78</v>
      </c>
      <c r="R191">
        <v>318239.08999999997</v>
      </c>
    </row>
    <row r="192" spans="1:18" x14ac:dyDescent="0.3">
      <c r="A192" t="s">
        <v>46</v>
      </c>
      <c r="B192">
        <v>2024</v>
      </c>
      <c r="C192" s="4">
        <v>12143266.629999999</v>
      </c>
      <c r="D192" s="4">
        <v>0</v>
      </c>
      <c r="E192" s="4">
        <v>12143266.629999999</v>
      </c>
      <c r="F192" s="4">
        <f t="shared" si="178"/>
        <v>9107449.9725000001</v>
      </c>
      <c r="G192" s="4">
        <f t="shared" si="251"/>
        <v>850028.66410000005</v>
      </c>
      <c r="H192" s="4">
        <f t="shared" si="252"/>
        <v>728595.9977999999</v>
      </c>
      <c r="I192" s="4">
        <f t="shared" si="253"/>
        <v>364297.99889999995</v>
      </c>
      <c r="J192" s="4">
        <f t="shared" si="254"/>
        <v>303581.66574999999</v>
      </c>
      <c r="K192" s="4">
        <f t="shared" si="255"/>
        <v>121432.6663</v>
      </c>
      <c r="L192" s="4">
        <f t="shared" si="256"/>
        <v>60716.333149999999</v>
      </c>
      <c r="M192" s="4">
        <f t="shared" si="257"/>
        <v>607163.33149999997</v>
      </c>
      <c r="N192" s="4">
        <f t="shared" si="258"/>
        <v>0</v>
      </c>
      <c r="O192">
        <v>150616.36999999997</v>
      </c>
      <c r="P192">
        <v>234019.16999999998</v>
      </c>
      <c r="Q192">
        <v>18021.29</v>
      </c>
      <c r="R192">
        <v>6761.67</v>
      </c>
    </row>
    <row r="193" spans="1:18" x14ac:dyDescent="0.3">
      <c r="A193" t="s">
        <v>46</v>
      </c>
      <c r="B193">
        <v>2025</v>
      </c>
      <c r="C193" s="4">
        <v>15986821.130000001</v>
      </c>
      <c r="D193" s="4">
        <v>0</v>
      </c>
      <c r="E193" s="4">
        <v>15986821.130000001</v>
      </c>
      <c r="F193" s="4">
        <f t="shared" si="178"/>
        <v>11990115.8475</v>
      </c>
      <c r="G193" s="4">
        <f>C193*0.035</f>
        <v>559538.73955000006</v>
      </c>
      <c r="H193" s="4">
        <f>C193*0.06</f>
        <v>959209.26780000003</v>
      </c>
      <c r="I193" s="4">
        <f>C193*0.03</f>
        <v>479604.63390000002</v>
      </c>
      <c r="J193" s="4">
        <f>C193*0</f>
        <v>0</v>
      </c>
      <c r="K193" s="4">
        <f>C193*0</f>
        <v>0</v>
      </c>
      <c r="L193" s="4">
        <f>C193*0</f>
        <v>0</v>
      </c>
      <c r="M193" s="4">
        <f>C193*0</f>
        <v>0</v>
      </c>
      <c r="N193" s="4">
        <f>C193*0.1</f>
        <v>1598682.1130000001</v>
      </c>
      <c r="O193">
        <v>196034.81999999998</v>
      </c>
      <c r="P193">
        <v>288058.67</v>
      </c>
      <c r="Q193">
        <v>16821.829999999998</v>
      </c>
      <c r="R193">
        <v>110489.31999999999</v>
      </c>
    </row>
    <row r="194" spans="1:18" x14ac:dyDescent="0.3">
      <c r="A194" t="s">
        <v>47</v>
      </c>
      <c r="B194">
        <v>2020</v>
      </c>
      <c r="C194" s="4">
        <v>11357588.99</v>
      </c>
      <c r="D194" s="4">
        <v>768865.61999999988</v>
      </c>
      <c r="E194" s="4">
        <v>12126454.600000003</v>
      </c>
      <c r="F194" s="4">
        <f t="shared" si="178"/>
        <v>8518191.7424999997</v>
      </c>
      <c r="G194" s="4">
        <f t="shared" ref="G194:G198" si="259">C194*0.07</f>
        <v>795031.22930000012</v>
      </c>
      <c r="H194" s="4">
        <f t="shared" ref="H194:H198" si="260">C194*0.06</f>
        <v>681455.33939999994</v>
      </c>
      <c r="I194" s="4">
        <f t="shared" ref="I194:I198" si="261">C194*0.03</f>
        <v>340727.66969999997</v>
      </c>
      <c r="J194" s="4">
        <f t="shared" ref="J194:J198" si="262">C194*0.025</f>
        <v>283939.72474999999</v>
      </c>
      <c r="K194" s="4">
        <f t="shared" ref="K194:K198" si="263">C194*0.01</f>
        <v>113575.88990000001</v>
      </c>
      <c r="L194" s="4">
        <f t="shared" ref="L194:L198" si="264">C194*0.005</f>
        <v>56787.944950000005</v>
      </c>
      <c r="M194" s="4">
        <f t="shared" ref="M194:M198" si="265">C194*0.05</f>
        <v>567879.44949999999</v>
      </c>
      <c r="N194" s="4">
        <f t="shared" ref="N194:N198" si="266">C194*0</f>
        <v>0</v>
      </c>
      <c r="O194">
        <v>221037.23</v>
      </c>
      <c r="P194">
        <v>301997.2</v>
      </c>
      <c r="Q194">
        <v>6261.21</v>
      </c>
      <c r="R194">
        <v>0</v>
      </c>
    </row>
    <row r="195" spans="1:18" x14ac:dyDescent="0.3">
      <c r="A195" t="s">
        <v>47</v>
      </c>
      <c r="B195">
        <v>2021</v>
      </c>
      <c r="C195" s="4">
        <v>13242419.379999999</v>
      </c>
      <c r="D195" s="4">
        <v>895106.34000000008</v>
      </c>
      <c r="E195" s="4">
        <v>14137525.719999997</v>
      </c>
      <c r="F195" s="4">
        <f t="shared" ref="F195:F258" si="267">C195*0.75</f>
        <v>9931814.5350000001</v>
      </c>
      <c r="G195" s="4">
        <f t="shared" si="259"/>
        <v>926969.35660000006</v>
      </c>
      <c r="H195" s="4">
        <f t="shared" si="260"/>
        <v>794545.16279999993</v>
      </c>
      <c r="I195" s="4">
        <f t="shared" si="261"/>
        <v>397272.58139999997</v>
      </c>
      <c r="J195" s="4">
        <f t="shared" si="262"/>
        <v>331060.48450000002</v>
      </c>
      <c r="K195" s="4">
        <f t="shared" si="263"/>
        <v>132424.19379999998</v>
      </c>
      <c r="L195" s="4">
        <f t="shared" si="264"/>
        <v>66212.09689999999</v>
      </c>
      <c r="M195" s="4">
        <f t="shared" si="265"/>
        <v>662120.96900000004</v>
      </c>
      <c r="N195" s="4">
        <f t="shared" si="266"/>
        <v>0</v>
      </c>
      <c r="O195">
        <v>280610.49000000005</v>
      </c>
      <c r="P195">
        <v>398040.51</v>
      </c>
      <c r="Q195">
        <v>0</v>
      </c>
      <c r="R195">
        <v>0</v>
      </c>
    </row>
    <row r="196" spans="1:18" x14ac:dyDescent="0.3">
      <c r="A196" t="s">
        <v>47</v>
      </c>
      <c r="B196">
        <v>2022</v>
      </c>
      <c r="C196" s="4">
        <v>14432920.590000002</v>
      </c>
      <c r="D196" s="4">
        <v>819790.52</v>
      </c>
      <c r="E196" s="4">
        <v>15252711.109999999</v>
      </c>
      <c r="F196" s="4">
        <f t="shared" si="267"/>
        <v>10824690.442500001</v>
      </c>
      <c r="G196" s="4">
        <f t="shared" si="259"/>
        <v>1010304.4413000002</v>
      </c>
      <c r="H196" s="4">
        <f t="shared" si="260"/>
        <v>865975.23540000012</v>
      </c>
      <c r="I196" s="4">
        <f t="shared" si="261"/>
        <v>432987.61770000006</v>
      </c>
      <c r="J196" s="4">
        <f t="shared" si="262"/>
        <v>360823.01475000009</v>
      </c>
      <c r="K196" s="4">
        <f t="shared" si="263"/>
        <v>144329.20590000003</v>
      </c>
      <c r="L196" s="4">
        <f t="shared" si="264"/>
        <v>72164.602950000015</v>
      </c>
      <c r="M196" s="4">
        <f t="shared" si="265"/>
        <v>721646.02950000018</v>
      </c>
      <c r="N196" s="4">
        <f t="shared" si="266"/>
        <v>0</v>
      </c>
      <c r="O196">
        <v>164043.87</v>
      </c>
      <c r="P196">
        <v>386930.95</v>
      </c>
      <c r="Q196">
        <v>20904.440000000002</v>
      </c>
      <c r="R196">
        <v>0</v>
      </c>
    </row>
    <row r="197" spans="1:18" x14ac:dyDescent="0.3">
      <c r="A197" t="s">
        <v>47</v>
      </c>
      <c r="B197">
        <v>2023</v>
      </c>
      <c r="C197" s="4">
        <v>13901939.330000002</v>
      </c>
      <c r="D197" s="4">
        <v>0</v>
      </c>
      <c r="E197" s="4">
        <v>13901939.330000002</v>
      </c>
      <c r="F197" s="4">
        <f t="shared" si="267"/>
        <v>10426454.497500002</v>
      </c>
      <c r="G197" s="4">
        <f t="shared" si="259"/>
        <v>973135.75310000021</v>
      </c>
      <c r="H197" s="4">
        <f t="shared" si="260"/>
        <v>834116.35980000009</v>
      </c>
      <c r="I197" s="4">
        <f t="shared" si="261"/>
        <v>417058.17990000005</v>
      </c>
      <c r="J197" s="4">
        <f t="shared" si="262"/>
        <v>347548.48325000005</v>
      </c>
      <c r="K197" s="4">
        <f t="shared" si="263"/>
        <v>139019.39330000003</v>
      </c>
      <c r="L197" s="4">
        <f t="shared" si="264"/>
        <v>69509.696650000013</v>
      </c>
      <c r="M197" s="4">
        <f t="shared" si="265"/>
        <v>695096.9665000001</v>
      </c>
      <c r="N197" s="4">
        <f t="shared" si="266"/>
        <v>0</v>
      </c>
      <c r="O197">
        <v>159699.99</v>
      </c>
      <c r="P197">
        <v>281525.03999999998</v>
      </c>
      <c r="Q197">
        <v>137.72</v>
      </c>
      <c r="R197">
        <v>412532.16</v>
      </c>
    </row>
    <row r="198" spans="1:18" x14ac:dyDescent="0.3">
      <c r="A198" t="s">
        <v>47</v>
      </c>
      <c r="B198">
        <v>2024</v>
      </c>
      <c r="C198" s="4">
        <v>14894437.539999999</v>
      </c>
      <c r="D198" s="4">
        <v>0</v>
      </c>
      <c r="E198" s="4">
        <v>14894437.539999999</v>
      </c>
      <c r="F198" s="4">
        <f t="shared" si="267"/>
        <v>11170828.154999999</v>
      </c>
      <c r="G198" s="4">
        <f t="shared" si="259"/>
        <v>1042610.6278</v>
      </c>
      <c r="H198" s="4">
        <f t="shared" si="260"/>
        <v>893666.25239999988</v>
      </c>
      <c r="I198" s="4">
        <f t="shared" si="261"/>
        <v>446833.12619999994</v>
      </c>
      <c r="J198" s="4">
        <f t="shared" si="262"/>
        <v>372360.93849999999</v>
      </c>
      <c r="K198" s="4">
        <f t="shared" si="263"/>
        <v>148944.37539999999</v>
      </c>
      <c r="L198" s="4">
        <f t="shared" si="264"/>
        <v>74472.187699999995</v>
      </c>
      <c r="M198" s="4">
        <f t="shared" si="265"/>
        <v>744721.87699999998</v>
      </c>
      <c r="N198" s="4">
        <f t="shared" si="266"/>
        <v>0</v>
      </c>
      <c r="O198">
        <v>184730.35000000003</v>
      </c>
      <c r="P198">
        <v>287023.47000000003</v>
      </c>
      <c r="Q198">
        <v>27743.870000000003</v>
      </c>
      <c r="R198">
        <v>8765.119999999999</v>
      </c>
    </row>
    <row r="199" spans="1:18" x14ac:dyDescent="0.3">
      <c r="A199" t="s">
        <v>47</v>
      </c>
      <c r="B199">
        <v>2025</v>
      </c>
      <c r="C199" s="4">
        <v>17680205.66</v>
      </c>
      <c r="D199" s="4">
        <v>0</v>
      </c>
      <c r="E199" s="4">
        <v>17680205.66</v>
      </c>
      <c r="F199" s="4">
        <f t="shared" si="267"/>
        <v>13260154.245000001</v>
      </c>
      <c r="G199" s="4">
        <f>C199*0.035</f>
        <v>618807.19810000004</v>
      </c>
      <c r="H199" s="4">
        <f>C199*0.06</f>
        <v>1060812.3396000001</v>
      </c>
      <c r="I199" s="4">
        <f>C199*0.03</f>
        <v>530406.16980000003</v>
      </c>
      <c r="J199" s="4">
        <f>C199*0</f>
        <v>0</v>
      </c>
      <c r="K199" s="4">
        <f>C199*0</f>
        <v>0</v>
      </c>
      <c r="L199" s="4">
        <f>C199*0</f>
        <v>0</v>
      </c>
      <c r="M199" s="4">
        <f>C199*0</f>
        <v>0</v>
      </c>
      <c r="N199" s="4">
        <f>C199*0.1</f>
        <v>1768020.5660000001</v>
      </c>
      <c r="O199">
        <v>216742.73</v>
      </c>
      <c r="P199">
        <v>318487.44</v>
      </c>
      <c r="Q199">
        <v>25106.78</v>
      </c>
      <c r="R199">
        <v>122160.72999999998</v>
      </c>
    </row>
    <row r="200" spans="1:18" x14ac:dyDescent="0.3">
      <c r="A200" t="s">
        <v>48</v>
      </c>
      <c r="B200">
        <v>2020</v>
      </c>
      <c r="C200" s="4">
        <v>8002371.3100000005</v>
      </c>
      <c r="D200" s="4">
        <v>541411.55000000005</v>
      </c>
      <c r="E200" s="4">
        <v>8543782.8600000013</v>
      </c>
      <c r="F200" s="4">
        <f t="shared" si="267"/>
        <v>6001778.4824999999</v>
      </c>
      <c r="G200" s="4">
        <f t="shared" ref="G200:G204" si="268">C200*0.07</f>
        <v>560165.99170000013</v>
      </c>
      <c r="H200" s="4">
        <f t="shared" ref="H200:H204" si="269">C200*0.06</f>
        <v>480142.27860000002</v>
      </c>
      <c r="I200" s="4">
        <f t="shared" ref="I200:I204" si="270">C200*0.03</f>
        <v>240071.13930000001</v>
      </c>
      <c r="J200" s="4">
        <f t="shared" ref="J200:J204" si="271">C200*0.025</f>
        <v>200059.28275000001</v>
      </c>
      <c r="K200" s="4">
        <f t="shared" ref="K200:K204" si="272">C200*0.01</f>
        <v>80023.713100000008</v>
      </c>
      <c r="L200" s="4">
        <f t="shared" ref="L200:L204" si="273">C200*0.005</f>
        <v>40011.856550000004</v>
      </c>
      <c r="M200" s="4">
        <f t="shared" ref="M200:M204" si="274">C200*0.05</f>
        <v>400118.56550000003</v>
      </c>
      <c r="N200" s="4">
        <f t="shared" ref="N200:N204" si="275">C200*0</f>
        <v>0</v>
      </c>
      <c r="O200">
        <v>155644.78999999998</v>
      </c>
      <c r="P200">
        <v>212653.3</v>
      </c>
      <c r="Q200">
        <v>5321.58</v>
      </c>
      <c r="R200">
        <v>0</v>
      </c>
    </row>
    <row r="201" spans="1:18" x14ac:dyDescent="0.3">
      <c r="A201" t="s">
        <v>48</v>
      </c>
      <c r="B201">
        <v>2021</v>
      </c>
      <c r="C201" s="4">
        <v>10996529.240000002</v>
      </c>
      <c r="D201" s="4">
        <v>743511.52</v>
      </c>
      <c r="E201" s="4">
        <v>11740040.76</v>
      </c>
      <c r="F201" s="4">
        <f t="shared" si="267"/>
        <v>8247396.9300000016</v>
      </c>
      <c r="G201" s="4">
        <f t="shared" si="268"/>
        <v>769757.04680000024</v>
      </c>
      <c r="H201" s="4">
        <f t="shared" si="269"/>
        <v>659791.75440000009</v>
      </c>
      <c r="I201" s="4">
        <f t="shared" si="270"/>
        <v>329895.87720000005</v>
      </c>
      <c r="J201" s="4">
        <f t="shared" si="271"/>
        <v>274913.23100000009</v>
      </c>
      <c r="K201" s="4">
        <f t="shared" si="272"/>
        <v>109965.29240000002</v>
      </c>
      <c r="L201" s="4">
        <f t="shared" si="273"/>
        <v>54982.64620000001</v>
      </c>
      <c r="M201" s="4">
        <f t="shared" si="274"/>
        <v>549826.46200000017</v>
      </c>
      <c r="N201" s="4">
        <f t="shared" si="275"/>
        <v>0</v>
      </c>
      <c r="O201">
        <v>233087.77</v>
      </c>
      <c r="P201">
        <v>330630.42000000004</v>
      </c>
      <c r="Q201">
        <v>0</v>
      </c>
      <c r="R201">
        <v>0</v>
      </c>
    </row>
    <row r="202" spans="1:18" x14ac:dyDescent="0.3">
      <c r="A202" t="s">
        <v>48</v>
      </c>
      <c r="B202">
        <v>2022</v>
      </c>
      <c r="C202" s="4">
        <v>12857842.689999999</v>
      </c>
      <c r="D202" s="4">
        <v>733276.66</v>
      </c>
      <c r="E202" s="4">
        <v>13591119.349999998</v>
      </c>
      <c r="F202" s="4">
        <f t="shared" si="267"/>
        <v>9643382.0175000001</v>
      </c>
      <c r="G202" s="4">
        <f t="shared" si="268"/>
        <v>900048.98830000008</v>
      </c>
      <c r="H202" s="4">
        <f t="shared" si="269"/>
        <v>771470.56139999989</v>
      </c>
      <c r="I202" s="4">
        <f t="shared" si="270"/>
        <v>385735.28069999994</v>
      </c>
      <c r="J202" s="4">
        <f t="shared" si="271"/>
        <v>321446.06725000002</v>
      </c>
      <c r="K202" s="4">
        <f t="shared" si="272"/>
        <v>128578.42689999999</v>
      </c>
      <c r="L202" s="4">
        <f t="shared" si="273"/>
        <v>64289.213449999996</v>
      </c>
      <c r="M202" s="4">
        <f t="shared" si="274"/>
        <v>642892.13450000004</v>
      </c>
      <c r="N202" s="4">
        <f t="shared" si="275"/>
        <v>0</v>
      </c>
      <c r="O202">
        <v>145501.68000000002</v>
      </c>
      <c r="P202">
        <v>344942.32</v>
      </c>
      <c r="Q202">
        <v>19849.27</v>
      </c>
      <c r="R202">
        <v>0</v>
      </c>
    </row>
    <row r="203" spans="1:18" x14ac:dyDescent="0.3">
      <c r="A203" t="s">
        <v>48</v>
      </c>
      <c r="B203">
        <v>2023</v>
      </c>
      <c r="C203" s="4">
        <v>13195169.98</v>
      </c>
      <c r="D203" s="4">
        <v>0</v>
      </c>
      <c r="E203" s="4">
        <v>13195169.98</v>
      </c>
      <c r="F203" s="4">
        <f t="shared" si="267"/>
        <v>9896377.4849999994</v>
      </c>
      <c r="G203" s="4">
        <f t="shared" si="268"/>
        <v>923661.89860000007</v>
      </c>
      <c r="H203" s="4">
        <f t="shared" si="269"/>
        <v>791710.19880000001</v>
      </c>
      <c r="I203" s="4">
        <f t="shared" si="270"/>
        <v>395855.09940000001</v>
      </c>
      <c r="J203" s="4">
        <f t="shared" si="271"/>
        <v>329879.24950000003</v>
      </c>
      <c r="K203" s="4">
        <f t="shared" si="272"/>
        <v>131951.6998</v>
      </c>
      <c r="L203" s="4">
        <f t="shared" si="273"/>
        <v>65975.849900000001</v>
      </c>
      <c r="M203" s="4">
        <f t="shared" si="274"/>
        <v>659758.49900000007</v>
      </c>
      <c r="N203" s="4">
        <f t="shared" si="275"/>
        <v>0</v>
      </c>
      <c r="O203">
        <v>150807.72</v>
      </c>
      <c r="P203">
        <v>267225.34000000003</v>
      </c>
      <c r="Q203">
        <v>136.47999999999999</v>
      </c>
      <c r="R203">
        <v>391578.13</v>
      </c>
    </row>
    <row r="204" spans="1:18" x14ac:dyDescent="0.3">
      <c r="A204" t="s">
        <v>48</v>
      </c>
      <c r="B204">
        <v>2024</v>
      </c>
      <c r="C204" s="4">
        <v>14945555.450000001</v>
      </c>
      <c r="D204" s="4">
        <v>0</v>
      </c>
      <c r="E204" s="4">
        <v>14945555.450000001</v>
      </c>
      <c r="F204" s="4">
        <f t="shared" si="267"/>
        <v>11209166.5875</v>
      </c>
      <c r="G204" s="4">
        <f t="shared" si="268"/>
        <v>1046188.8815000001</v>
      </c>
      <c r="H204" s="4">
        <f t="shared" si="269"/>
        <v>896733.32700000005</v>
      </c>
      <c r="I204" s="4">
        <f t="shared" si="270"/>
        <v>448366.66350000002</v>
      </c>
      <c r="J204" s="4">
        <f t="shared" si="271"/>
        <v>373638.88625000004</v>
      </c>
      <c r="K204" s="4">
        <f t="shared" si="272"/>
        <v>149455.55450000003</v>
      </c>
      <c r="L204" s="4">
        <f t="shared" si="273"/>
        <v>74727.777250000014</v>
      </c>
      <c r="M204" s="4">
        <f t="shared" si="274"/>
        <v>747277.77250000008</v>
      </c>
      <c r="N204" s="4">
        <f t="shared" si="275"/>
        <v>0</v>
      </c>
      <c r="O204">
        <v>185374.01</v>
      </c>
      <c r="P204">
        <v>288023.58999999997</v>
      </c>
      <c r="Q204">
        <v>28771.160000000003</v>
      </c>
      <c r="R204">
        <v>8319.92</v>
      </c>
    </row>
    <row r="205" spans="1:18" x14ac:dyDescent="0.3">
      <c r="A205" t="s">
        <v>48</v>
      </c>
      <c r="B205">
        <v>2025</v>
      </c>
      <c r="C205" s="4">
        <v>17792682.68</v>
      </c>
      <c r="D205" s="4">
        <v>0</v>
      </c>
      <c r="E205" s="4">
        <v>17792682.68</v>
      </c>
      <c r="F205" s="4">
        <f t="shared" si="267"/>
        <v>13344512.01</v>
      </c>
      <c r="G205" s="4">
        <f>C205*0.035</f>
        <v>622743.89380000008</v>
      </c>
      <c r="H205" s="4">
        <f>C205*0.06</f>
        <v>1067560.9608</v>
      </c>
      <c r="I205" s="4">
        <f>C205*0.03</f>
        <v>533780.4804</v>
      </c>
      <c r="J205" s="4">
        <f>C205*0</f>
        <v>0</v>
      </c>
      <c r="K205" s="4">
        <f>C205*0</f>
        <v>0</v>
      </c>
      <c r="L205" s="4">
        <f>C205*0</f>
        <v>0</v>
      </c>
      <c r="M205" s="4">
        <f>C205*0</f>
        <v>0</v>
      </c>
      <c r="N205" s="4">
        <f>C205*0.1</f>
        <v>1779268.2680000002</v>
      </c>
      <c r="O205">
        <v>218123.24</v>
      </c>
      <c r="P205">
        <v>320516.05000000005</v>
      </c>
      <c r="Q205">
        <v>26776.02</v>
      </c>
      <c r="R205">
        <v>122938.82</v>
      </c>
    </row>
    <row r="206" spans="1:18" x14ac:dyDescent="0.3">
      <c r="A206" t="s">
        <v>49</v>
      </c>
      <c r="B206">
        <v>2020</v>
      </c>
      <c r="C206" s="4">
        <v>10635481.01</v>
      </c>
      <c r="D206" s="4">
        <v>719988.75000000012</v>
      </c>
      <c r="E206" s="4">
        <v>11355469.76</v>
      </c>
      <c r="F206" s="4">
        <f t="shared" si="267"/>
        <v>7976610.7575000003</v>
      </c>
      <c r="G206" s="4">
        <f t="shared" ref="G206:G210" si="276">C206*0.07</f>
        <v>744483.67070000002</v>
      </c>
      <c r="H206" s="4">
        <f t="shared" ref="H206:H210" si="277">C206*0.06</f>
        <v>638128.86060000001</v>
      </c>
      <c r="I206" s="4">
        <f t="shared" ref="I206:I210" si="278">C206*0.03</f>
        <v>319064.43030000001</v>
      </c>
      <c r="J206" s="4">
        <f t="shared" ref="J206:J210" si="279">C206*0.025</f>
        <v>265887.02525000001</v>
      </c>
      <c r="K206" s="4">
        <f t="shared" ref="K206:K210" si="280">C206*0.01</f>
        <v>106354.8101</v>
      </c>
      <c r="L206" s="4">
        <f t="shared" ref="L206:L210" si="281">C206*0.005</f>
        <v>53177.405050000001</v>
      </c>
      <c r="M206" s="4">
        <f t="shared" ref="M206:M210" si="282">C206*0.05</f>
        <v>531774.05050000001</v>
      </c>
      <c r="N206" s="4">
        <f t="shared" ref="N206:N210" si="283">C206*0</f>
        <v>0</v>
      </c>
      <c r="O206">
        <v>206985.95</v>
      </c>
      <c r="P206">
        <v>282799.35000000003</v>
      </c>
      <c r="Q206">
        <v>6312.22</v>
      </c>
      <c r="R206">
        <v>0</v>
      </c>
    </row>
    <row r="207" spans="1:18" x14ac:dyDescent="0.3">
      <c r="A207" t="s">
        <v>49</v>
      </c>
      <c r="B207">
        <v>2021</v>
      </c>
      <c r="C207" s="4">
        <v>13631623.5</v>
      </c>
      <c r="D207" s="4">
        <v>921571.35999999987</v>
      </c>
      <c r="E207" s="4">
        <v>14553194.859999999</v>
      </c>
      <c r="F207" s="4">
        <f t="shared" si="267"/>
        <v>10223717.625</v>
      </c>
      <c r="G207" s="4">
        <f t="shared" si="276"/>
        <v>954213.64500000014</v>
      </c>
      <c r="H207" s="4">
        <f t="shared" si="277"/>
        <v>817897.40999999992</v>
      </c>
      <c r="I207" s="4">
        <f t="shared" si="278"/>
        <v>408948.70499999996</v>
      </c>
      <c r="J207" s="4">
        <f t="shared" si="279"/>
        <v>340790.58750000002</v>
      </c>
      <c r="K207" s="4">
        <f t="shared" si="280"/>
        <v>136316.23500000002</v>
      </c>
      <c r="L207" s="4">
        <f t="shared" si="281"/>
        <v>68158.117500000008</v>
      </c>
      <c r="M207" s="4">
        <f t="shared" si="282"/>
        <v>681581.17500000005</v>
      </c>
      <c r="N207" s="4">
        <f t="shared" si="283"/>
        <v>0</v>
      </c>
      <c r="O207">
        <v>288908.14999999997</v>
      </c>
      <c r="P207">
        <v>409810.5</v>
      </c>
      <c r="Q207">
        <v>0</v>
      </c>
      <c r="R207">
        <v>0</v>
      </c>
    </row>
    <row r="208" spans="1:18" x14ac:dyDescent="0.3">
      <c r="A208" t="s">
        <v>49</v>
      </c>
      <c r="B208">
        <v>2022</v>
      </c>
      <c r="C208" s="4">
        <v>14891996.469999999</v>
      </c>
      <c r="D208" s="4">
        <v>845977.95</v>
      </c>
      <c r="E208" s="4">
        <v>15737974.420000002</v>
      </c>
      <c r="F208" s="4">
        <f t="shared" si="267"/>
        <v>11168997.352499999</v>
      </c>
      <c r="G208" s="4">
        <f t="shared" si="276"/>
        <v>1042439.7529</v>
      </c>
      <c r="H208" s="4">
        <f t="shared" si="277"/>
        <v>893519.78819999995</v>
      </c>
      <c r="I208" s="4">
        <f t="shared" si="278"/>
        <v>446759.89409999998</v>
      </c>
      <c r="J208" s="4">
        <f t="shared" si="279"/>
        <v>372299.91174999997</v>
      </c>
      <c r="K208" s="4">
        <f t="shared" si="280"/>
        <v>148919.96469999998</v>
      </c>
      <c r="L208" s="4">
        <f t="shared" si="281"/>
        <v>74459.982349999991</v>
      </c>
      <c r="M208" s="4">
        <f t="shared" si="282"/>
        <v>744599.82349999994</v>
      </c>
      <c r="N208" s="4">
        <f t="shared" si="283"/>
        <v>0</v>
      </c>
      <c r="O208">
        <v>169238.31999999995</v>
      </c>
      <c r="P208">
        <v>399248.08</v>
      </c>
      <c r="Q208">
        <v>20878.879999999997</v>
      </c>
      <c r="R208">
        <v>0</v>
      </c>
    </row>
    <row r="209" spans="1:18" x14ac:dyDescent="0.3">
      <c r="A209" t="s">
        <v>49</v>
      </c>
      <c r="B209">
        <v>2023</v>
      </c>
      <c r="C209" s="4">
        <v>14078700.529999999</v>
      </c>
      <c r="D209" s="4">
        <v>0</v>
      </c>
      <c r="E209" s="4">
        <v>14078700.529999999</v>
      </c>
      <c r="F209" s="4">
        <f t="shared" si="267"/>
        <v>10559025.397499999</v>
      </c>
      <c r="G209" s="4">
        <f t="shared" si="276"/>
        <v>985509.03710000007</v>
      </c>
      <c r="H209" s="4">
        <f t="shared" si="277"/>
        <v>844722.03179999988</v>
      </c>
      <c r="I209" s="4">
        <f t="shared" si="278"/>
        <v>422361.01589999994</v>
      </c>
      <c r="J209" s="4">
        <f t="shared" si="279"/>
        <v>351967.51325000002</v>
      </c>
      <c r="K209" s="4">
        <f t="shared" si="280"/>
        <v>140787.00529999999</v>
      </c>
      <c r="L209" s="4">
        <f t="shared" si="281"/>
        <v>70393.502649999995</v>
      </c>
      <c r="M209" s="4">
        <f t="shared" si="282"/>
        <v>703935.02650000004</v>
      </c>
      <c r="N209" s="4">
        <f t="shared" si="283"/>
        <v>0</v>
      </c>
      <c r="O209">
        <v>162007.32</v>
      </c>
      <c r="P209">
        <v>285099.96999999997</v>
      </c>
      <c r="Q209">
        <v>137.41</v>
      </c>
      <c r="R209">
        <v>417770.66</v>
      </c>
    </row>
    <row r="210" spans="1:18" x14ac:dyDescent="0.3">
      <c r="A210" t="s">
        <v>49</v>
      </c>
      <c r="B210">
        <v>2024</v>
      </c>
      <c r="C210" s="4">
        <v>17538815.93</v>
      </c>
      <c r="D210" s="4">
        <v>0</v>
      </c>
      <c r="E210" s="4">
        <v>17538815.93</v>
      </c>
      <c r="F210" s="4">
        <f t="shared" si="267"/>
        <v>13154111.9475</v>
      </c>
      <c r="G210" s="4">
        <f t="shared" si="276"/>
        <v>1227717.1151000001</v>
      </c>
      <c r="H210" s="4">
        <f t="shared" si="277"/>
        <v>1052328.9557999999</v>
      </c>
      <c r="I210" s="4">
        <f t="shared" si="278"/>
        <v>526164.47789999994</v>
      </c>
      <c r="J210" s="4">
        <f t="shared" si="279"/>
        <v>438470.39825000003</v>
      </c>
      <c r="K210" s="4">
        <f t="shared" si="280"/>
        <v>175388.1593</v>
      </c>
      <c r="L210" s="4">
        <f t="shared" si="281"/>
        <v>87694.07965</v>
      </c>
      <c r="M210" s="4">
        <f t="shared" si="282"/>
        <v>876940.79650000005</v>
      </c>
      <c r="N210" s="4">
        <f t="shared" si="283"/>
        <v>0</v>
      </c>
      <c r="O210">
        <v>217557</v>
      </c>
      <c r="P210">
        <v>338027.69</v>
      </c>
      <c r="Q210">
        <v>28751.919999999998</v>
      </c>
      <c r="R210">
        <v>8876.4500000000007</v>
      </c>
    </row>
    <row r="211" spans="1:18" x14ac:dyDescent="0.3">
      <c r="A211" t="s">
        <v>49</v>
      </c>
      <c r="B211">
        <v>2025</v>
      </c>
      <c r="C211" s="4">
        <v>22742656.289999999</v>
      </c>
      <c r="D211" s="4">
        <v>0</v>
      </c>
      <c r="E211" s="4">
        <v>22742656.289999999</v>
      </c>
      <c r="F211" s="4">
        <f t="shared" si="267"/>
        <v>17056992.217500001</v>
      </c>
      <c r="G211" s="4">
        <f>C211*0.035</f>
        <v>795992.97015000007</v>
      </c>
      <c r="H211" s="4">
        <f>C211*0.06</f>
        <v>1364559.3773999999</v>
      </c>
      <c r="I211" s="4">
        <f>C211*0.03</f>
        <v>682279.68869999994</v>
      </c>
      <c r="J211" s="4">
        <f>C211*0</f>
        <v>0</v>
      </c>
      <c r="K211" s="4">
        <f>C211*0</f>
        <v>0</v>
      </c>
      <c r="L211" s="4">
        <f>C211*0</f>
        <v>0</v>
      </c>
      <c r="M211" s="4">
        <f>C211*0</f>
        <v>0</v>
      </c>
      <c r="N211" s="4">
        <f>C211*0.1</f>
        <v>2274265.6290000002</v>
      </c>
      <c r="O211">
        <v>278866.44</v>
      </c>
      <c r="P211">
        <v>409773.64</v>
      </c>
      <c r="Q211">
        <v>26560.230000000003</v>
      </c>
      <c r="R211">
        <v>157174.94</v>
      </c>
    </row>
    <row r="212" spans="1:18" x14ac:dyDescent="0.3">
      <c r="A212" t="s">
        <v>50</v>
      </c>
      <c r="B212">
        <v>2020</v>
      </c>
      <c r="C212" s="4">
        <v>72118793.739999995</v>
      </c>
      <c r="D212" s="4">
        <v>4883842.5199999996</v>
      </c>
      <c r="E212" s="4">
        <v>77002636.25999999</v>
      </c>
      <c r="F212" s="4">
        <f t="shared" si="267"/>
        <v>54089095.304999992</v>
      </c>
      <c r="G212" s="4">
        <f t="shared" ref="G212:G216" si="284">C212*0.07</f>
        <v>5048315.5618000003</v>
      </c>
      <c r="H212" s="4">
        <f t="shared" ref="H212:H216" si="285">C212*0.06</f>
        <v>4327127.6243999992</v>
      </c>
      <c r="I212" s="4">
        <f t="shared" ref="I212:I216" si="286">C212*0.03</f>
        <v>2163563.8121999996</v>
      </c>
      <c r="J212" s="4">
        <f t="shared" ref="J212:J216" si="287">C212*0.025</f>
        <v>1802969.8435</v>
      </c>
      <c r="K212" s="4">
        <f t="shared" ref="K212:K216" si="288">C212*0.01</f>
        <v>721187.93739999994</v>
      </c>
      <c r="L212" s="4">
        <f t="shared" ref="L212:L216" si="289">C212*0.005</f>
        <v>360593.96869999997</v>
      </c>
      <c r="M212" s="4">
        <f t="shared" ref="M212:M216" si="290">C212*0.05</f>
        <v>3605939.6869999999</v>
      </c>
      <c r="N212" s="4">
        <f t="shared" ref="N212:N216" si="291">C212*0</f>
        <v>0</v>
      </c>
      <c r="O212">
        <v>1404045.77</v>
      </c>
      <c r="P212">
        <v>1918309.8799999997</v>
      </c>
      <c r="Q212">
        <v>11705.64</v>
      </c>
      <c r="R212">
        <v>0</v>
      </c>
    </row>
    <row r="213" spans="1:18" x14ac:dyDescent="0.3">
      <c r="A213" t="s">
        <v>50</v>
      </c>
      <c r="B213">
        <v>2021</v>
      </c>
      <c r="C213" s="4">
        <v>94847724.069999993</v>
      </c>
      <c r="D213" s="4">
        <v>6412495.3099999996</v>
      </c>
      <c r="E213" s="4">
        <v>101260219.38000001</v>
      </c>
      <c r="F213" s="4">
        <f t="shared" si="267"/>
        <v>71135793.052499995</v>
      </c>
      <c r="G213" s="4">
        <f t="shared" si="284"/>
        <v>6639340.6848999998</v>
      </c>
      <c r="H213" s="4">
        <f t="shared" si="285"/>
        <v>5690863.4441999998</v>
      </c>
      <c r="I213" s="4">
        <f t="shared" si="286"/>
        <v>2845431.7220999999</v>
      </c>
      <c r="J213" s="4">
        <f t="shared" si="287"/>
        <v>2371193.1017499999</v>
      </c>
      <c r="K213" s="4">
        <f t="shared" si="288"/>
        <v>948477.24069999997</v>
      </c>
      <c r="L213" s="4">
        <f t="shared" si="289"/>
        <v>474238.62034999998</v>
      </c>
      <c r="M213" s="4">
        <f t="shared" si="290"/>
        <v>4742386.2034999998</v>
      </c>
      <c r="N213" s="4">
        <f t="shared" si="291"/>
        <v>0</v>
      </c>
      <c r="O213">
        <v>2010287.6300000001</v>
      </c>
      <c r="P213">
        <v>2851553.5700000003</v>
      </c>
      <c r="Q213">
        <v>0</v>
      </c>
      <c r="R213">
        <v>0</v>
      </c>
    </row>
    <row r="214" spans="1:18" x14ac:dyDescent="0.3">
      <c r="A214" t="s">
        <v>50</v>
      </c>
      <c r="B214">
        <v>2022</v>
      </c>
      <c r="C214" s="4">
        <v>95491989.989999995</v>
      </c>
      <c r="D214" s="4">
        <v>5397163.6199999992</v>
      </c>
      <c r="E214" s="4">
        <v>100889153.61</v>
      </c>
      <c r="F214" s="4">
        <f t="shared" si="267"/>
        <v>71618992.492499992</v>
      </c>
      <c r="G214" s="4">
        <f t="shared" si="284"/>
        <v>6684439.2993000001</v>
      </c>
      <c r="H214" s="4">
        <f t="shared" si="285"/>
        <v>5729519.3993999995</v>
      </c>
      <c r="I214" s="4">
        <f t="shared" si="286"/>
        <v>2864759.6996999998</v>
      </c>
      <c r="J214" s="4">
        <f t="shared" si="287"/>
        <v>2387299.74975</v>
      </c>
      <c r="K214" s="4">
        <f t="shared" si="288"/>
        <v>954919.89989999996</v>
      </c>
      <c r="L214" s="4">
        <f t="shared" si="289"/>
        <v>477459.94994999998</v>
      </c>
      <c r="M214" s="4">
        <f t="shared" si="290"/>
        <v>4774599.4994999999</v>
      </c>
      <c r="N214" s="4">
        <f t="shared" si="291"/>
        <v>0</v>
      </c>
      <c r="O214">
        <v>1091186.0100000002</v>
      </c>
      <c r="P214">
        <v>2557898.7999999998</v>
      </c>
      <c r="Q214">
        <v>39123.25</v>
      </c>
      <c r="R214">
        <v>0</v>
      </c>
    </row>
    <row r="215" spans="1:18" x14ac:dyDescent="0.3">
      <c r="A215" t="s">
        <v>50</v>
      </c>
      <c r="B215">
        <v>2023</v>
      </c>
      <c r="C215" s="4">
        <v>108332408.27</v>
      </c>
      <c r="D215" s="4">
        <v>0</v>
      </c>
      <c r="E215" s="4">
        <v>108332408.27</v>
      </c>
      <c r="F215" s="4">
        <f t="shared" si="267"/>
        <v>81249306.202500001</v>
      </c>
      <c r="G215" s="4">
        <f t="shared" si="284"/>
        <v>7583268.5789000001</v>
      </c>
      <c r="H215" s="4">
        <f t="shared" si="285"/>
        <v>6499944.4961999999</v>
      </c>
      <c r="I215" s="4">
        <f t="shared" si="286"/>
        <v>3249972.2481</v>
      </c>
      <c r="J215" s="4">
        <f t="shared" si="287"/>
        <v>2708310.2067499999</v>
      </c>
      <c r="K215" s="4">
        <f t="shared" si="288"/>
        <v>1083324.0826999999</v>
      </c>
      <c r="L215" s="4">
        <f t="shared" si="289"/>
        <v>541662.04134999996</v>
      </c>
      <c r="M215" s="4">
        <f t="shared" si="290"/>
        <v>5416620.4134999998</v>
      </c>
      <c r="N215" s="4">
        <f t="shared" si="291"/>
        <v>0</v>
      </c>
      <c r="O215">
        <v>1226992.8099999998</v>
      </c>
      <c r="P215">
        <v>2194107.8200000003</v>
      </c>
      <c r="Q215">
        <v>257.77</v>
      </c>
      <c r="R215">
        <v>3215131.4799999995</v>
      </c>
    </row>
    <row r="216" spans="1:18" x14ac:dyDescent="0.3">
      <c r="A216" t="s">
        <v>50</v>
      </c>
      <c r="B216">
        <v>2024</v>
      </c>
      <c r="C216" s="4">
        <v>197389632.56999999</v>
      </c>
      <c r="D216" s="4">
        <v>0</v>
      </c>
      <c r="E216" s="4">
        <v>197389632.56999999</v>
      </c>
      <c r="F216" s="4">
        <f t="shared" si="267"/>
        <v>148042224.42750001</v>
      </c>
      <c r="G216" s="4">
        <f t="shared" si="284"/>
        <v>13817274.279900001</v>
      </c>
      <c r="H216" s="4">
        <f t="shared" si="285"/>
        <v>11843377.9542</v>
      </c>
      <c r="I216" s="4">
        <f t="shared" si="286"/>
        <v>5921688.9770999998</v>
      </c>
      <c r="J216" s="4">
        <f t="shared" si="287"/>
        <v>4934740.8142499998</v>
      </c>
      <c r="K216" s="4">
        <f t="shared" si="288"/>
        <v>1973896.3256999999</v>
      </c>
      <c r="L216" s="4">
        <f t="shared" si="289"/>
        <v>986948.16284999996</v>
      </c>
      <c r="M216" s="4">
        <f t="shared" si="290"/>
        <v>9869481.6284999996</v>
      </c>
      <c r="N216" s="4">
        <f t="shared" si="291"/>
        <v>0</v>
      </c>
      <c r="O216">
        <v>2449125.36</v>
      </c>
      <c r="P216">
        <v>3805311.5399999996</v>
      </c>
      <c r="Q216">
        <v>60205.880000000005</v>
      </c>
      <c r="R216">
        <v>68313.210000000006</v>
      </c>
    </row>
    <row r="217" spans="1:18" x14ac:dyDescent="0.3">
      <c r="A217" t="s">
        <v>50</v>
      </c>
      <c r="B217">
        <v>2025</v>
      </c>
      <c r="C217" s="4">
        <v>191892963.79999998</v>
      </c>
      <c r="D217" s="4">
        <v>0</v>
      </c>
      <c r="E217" s="4">
        <v>191892963.79999998</v>
      </c>
      <c r="F217" s="4">
        <f t="shared" si="267"/>
        <v>143919722.84999999</v>
      </c>
      <c r="G217" s="4">
        <f>C217*0.035</f>
        <v>6716253.733</v>
      </c>
      <c r="H217" s="4">
        <f>C217*0.06</f>
        <v>11513577.827999998</v>
      </c>
      <c r="I217" s="4">
        <f>C217*0.03</f>
        <v>5756788.9139999989</v>
      </c>
      <c r="J217" s="4">
        <f>C217*0</f>
        <v>0</v>
      </c>
      <c r="K217" s="4">
        <f>C217*0</f>
        <v>0</v>
      </c>
      <c r="L217" s="4">
        <f>C217*0</f>
        <v>0</v>
      </c>
      <c r="M217" s="4">
        <f>C217*0</f>
        <v>0</v>
      </c>
      <c r="N217" s="4">
        <f>C217*0.1</f>
        <v>19189296.379999999</v>
      </c>
      <c r="O217">
        <v>2351037.33</v>
      </c>
      <c r="P217">
        <v>3454675.76</v>
      </c>
      <c r="Q217">
        <v>58118.31</v>
      </c>
      <c r="R217">
        <v>1325093.77</v>
      </c>
    </row>
    <row r="218" spans="1:18" x14ac:dyDescent="0.3">
      <c r="A218" t="s">
        <v>51</v>
      </c>
      <c r="B218">
        <v>2020</v>
      </c>
      <c r="C218" s="4">
        <v>9608399.7699999996</v>
      </c>
      <c r="D218" s="4">
        <v>650434.5199999999</v>
      </c>
      <c r="E218" s="4">
        <v>10258834.290000001</v>
      </c>
      <c r="F218" s="4">
        <f t="shared" si="267"/>
        <v>7206299.8274999997</v>
      </c>
      <c r="G218" s="4">
        <f t="shared" ref="G218:G222" si="292">C218*0.07</f>
        <v>672587.98389999999</v>
      </c>
      <c r="H218" s="4">
        <f t="shared" ref="H218:H222" si="293">C218*0.06</f>
        <v>576503.98619999993</v>
      </c>
      <c r="I218" s="4">
        <f t="shared" ref="I218:I222" si="294">C218*0.03</f>
        <v>288251.99309999996</v>
      </c>
      <c r="J218" s="4">
        <f t="shared" ref="J218:J222" si="295">C218*0.025</f>
        <v>240209.99424999999</v>
      </c>
      <c r="K218" s="4">
        <f t="shared" ref="K218:K222" si="296">C218*0.01</f>
        <v>96083.997699999993</v>
      </c>
      <c r="L218" s="4">
        <f t="shared" ref="L218:L222" si="297">C218*0.005</f>
        <v>48041.998849999996</v>
      </c>
      <c r="M218" s="4">
        <f t="shared" ref="M218:M222" si="298">C218*0.05</f>
        <v>480419.98849999998</v>
      </c>
      <c r="N218" s="4">
        <f t="shared" ref="N218:N222" si="299">C218*0</f>
        <v>0</v>
      </c>
      <c r="O218">
        <v>186989.93000000002</v>
      </c>
      <c r="P218">
        <v>255479.3</v>
      </c>
      <c r="Q218">
        <v>4956.07</v>
      </c>
      <c r="R218">
        <v>0</v>
      </c>
    </row>
    <row r="219" spans="1:18" x14ac:dyDescent="0.3">
      <c r="A219" t="s">
        <v>51</v>
      </c>
      <c r="B219">
        <v>2021</v>
      </c>
      <c r="C219" s="4">
        <v>12172612.639999997</v>
      </c>
      <c r="D219" s="4">
        <v>822917.94999999984</v>
      </c>
      <c r="E219" s="4">
        <v>12995530.59</v>
      </c>
      <c r="F219" s="4">
        <f t="shared" si="267"/>
        <v>9129459.4799999967</v>
      </c>
      <c r="G219" s="4">
        <f t="shared" si="292"/>
        <v>852082.88479999988</v>
      </c>
      <c r="H219" s="4">
        <f t="shared" si="293"/>
        <v>730356.75839999982</v>
      </c>
      <c r="I219" s="4">
        <f t="shared" si="294"/>
        <v>365178.37919999991</v>
      </c>
      <c r="J219" s="4">
        <f t="shared" si="295"/>
        <v>304315.31599999993</v>
      </c>
      <c r="K219" s="4">
        <f t="shared" si="296"/>
        <v>121726.12639999996</v>
      </c>
      <c r="L219" s="4">
        <f t="shared" si="297"/>
        <v>60863.063199999982</v>
      </c>
      <c r="M219" s="4">
        <f t="shared" si="298"/>
        <v>608630.63199999987</v>
      </c>
      <c r="N219" s="4">
        <f t="shared" si="299"/>
        <v>0</v>
      </c>
      <c r="O219">
        <v>257980.61999999997</v>
      </c>
      <c r="P219">
        <v>365940.4800000001</v>
      </c>
      <c r="Q219">
        <v>0</v>
      </c>
      <c r="R219">
        <v>0</v>
      </c>
    </row>
    <row r="220" spans="1:18" x14ac:dyDescent="0.3">
      <c r="A220" t="s">
        <v>51</v>
      </c>
      <c r="B220">
        <v>2022</v>
      </c>
      <c r="C220" s="4">
        <v>14430477.230000004</v>
      </c>
      <c r="D220" s="4">
        <v>823592.14999999991</v>
      </c>
      <c r="E220" s="4">
        <v>15254069.380000001</v>
      </c>
      <c r="F220" s="4">
        <f t="shared" si="267"/>
        <v>10822857.922500003</v>
      </c>
      <c r="G220" s="4">
        <f t="shared" si="292"/>
        <v>1010133.4061000004</v>
      </c>
      <c r="H220" s="4">
        <f t="shared" si="293"/>
        <v>865828.63380000019</v>
      </c>
      <c r="I220" s="4">
        <f t="shared" si="294"/>
        <v>432914.31690000009</v>
      </c>
      <c r="J220" s="4">
        <f t="shared" si="295"/>
        <v>360761.93075000012</v>
      </c>
      <c r="K220" s="4">
        <f t="shared" si="296"/>
        <v>144304.77230000004</v>
      </c>
      <c r="L220" s="4">
        <f t="shared" si="297"/>
        <v>72152.38615000002</v>
      </c>
      <c r="M220" s="4">
        <f t="shared" si="298"/>
        <v>721523.86150000023</v>
      </c>
      <c r="N220" s="4">
        <f t="shared" si="299"/>
        <v>0</v>
      </c>
      <c r="O220">
        <v>163160.57</v>
      </c>
      <c r="P220">
        <v>387181.74</v>
      </c>
      <c r="Q220">
        <v>16362.08</v>
      </c>
      <c r="R220">
        <v>0</v>
      </c>
    </row>
    <row r="221" spans="1:18" x14ac:dyDescent="0.3">
      <c r="A221" t="s">
        <v>51</v>
      </c>
      <c r="B221">
        <v>2023</v>
      </c>
      <c r="C221" s="4">
        <v>15357158.979999999</v>
      </c>
      <c r="D221" s="4">
        <v>0</v>
      </c>
      <c r="E221" s="4">
        <v>15357158.979999999</v>
      </c>
      <c r="F221" s="4">
        <f t="shared" si="267"/>
        <v>11517869.234999999</v>
      </c>
      <c r="G221" s="4">
        <f t="shared" si="292"/>
        <v>1075001.1285999999</v>
      </c>
      <c r="H221" s="4">
        <f t="shared" si="293"/>
        <v>921429.53879999986</v>
      </c>
      <c r="I221" s="4">
        <f t="shared" si="294"/>
        <v>460714.76939999993</v>
      </c>
      <c r="J221" s="4">
        <f t="shared" si="295"/>
        <v>383928.97450000001</v>
      </c>
      <c r="K221" s="4">
        <f t="shared" si="296"/>
        <v>153571.58979999999</v>
      </c>
      <c r="L221" s="4">
        <f t="shared" si="297"/>
        <v>76785.794899999994</v>
      </c>
      <c r="M221" s="4">
        <f t="shared" si="298"/>
        <v>767857.94900000002</v>
      </c>
      <c r="N221" s="4">
        <f t="shared" si="299"/>
        <v>0</v>
      </c>
      <c r="O221">
        <v>174996.42</v>
      </c>
      <c r="P221">
        <v>311018.12</v>
      </c>
      <c r="Q221">
        <v>107.66</v>
      </c>
      <c r="R221">
        <v>455749.81000000006</v>
      </c>
    </row>
    <row r="222" spans="1:18" x14ac:dyDescent="0.3">
      <c r="A222" t="s">
        <v>51</v>
      </c>
      <c r="B222">
        <v>2024</v>
      </c>
      <c r="C222" s="4">
        <v>18317842.02</v>
      </c>
      <c r="D222" s="4">
        <v>0</v>
      </c>
      <c r="E222" s="4">
        <v>18317842.02</v>
      </c>
      <c r="F222" s="4">
        <f t="shared" si="267"/>
        <v>13738381.515000001</v>
      </c>
      <c r="G222" s="4">
        <f t="shared" si="292"/>
        <v>1282248.9414000001</v>
      </c>
      <c r="H222" s="4">
        <f t="shared" si="293"/>
        <v>1099070.5211999998</v>
      </c>
      <c r="I222" s="4">
        <f t="shared" si="294"/>
        <v>549535.26059999992</v>
      </c>
      <c r="J222" s="4">
        <f t="shared" si="295"/>
        <v>457946.05050000001</v>
      </c>
      <c r="K222" s="4">
        <f t="shared" si="296"/>
        <v>183178.42019999999</v>
      </c>
      <c r="L222" s="4">
        <f t="shared" si="297"/>
        <v>91589.210099999997</v>
      </c>
      <c r="M222" s="4">
        <f t="shared" si="298"/>
        <v>915892.10100000002</v>
      </c>
      <c r="N222" s="4">
        <f t="shared" si="299"/>
        <v>0</v>
      </c>
      <c r="O222">
        <v>227211.90999999995</v>
      </c>
      <c r="P222">
        <v>353028.93</v>
      </c>
      <c r="Q222">
        <v>22753.84</v>
      </c>
      <c r="R222">
        <v>9683.4000000000015</v>
      </c>
    </row>
    <row r="223" spans="1:18" x14ac:dyDescent="0.3">
      <c r="A223" t="s">
        <v>51</v>
      </c>
      <c r="B223">
        <v>2025</v>
      </c>
      <c r="C223" s="4">
        <v>22071236.25</v>
      </c>
      <c r="D223" s="4">
        <v>0</v>
      </c>
      <c r="E223" s="4">
        <v>22071236.25</v>
      </c>
      <c r="F223" s="4">
        <f t="shared" si="267"/>
        <v>16553427.1875</v>
      </c>
      <c r="G223" s="4">
        <f>C223*0.035</f>
        <v>772493.26875000005</v>
      </c>
      <c r="H223" s="4">
        <f>C223*0.06</f>
        <v>1324274.175</v>
      </c>
      <c r="I223" s="4">
        <f>C223*0.03</f>
        <v>662137.08750000002</v>
      </c>
      <c r="J223" s="4">
        <f>C223*0</f>
        <v>0</v>
      </c>
      <c r="K223" s="4">
        <f>C223*0</f>
        <v>0</v>
      </c>
      <c r="L223" s="4">
        <f>C223*0</f>
        <v>0</v>
      </c>
      <c r="M223" s="4">
        <f>C223*0</f>
        <v>0</v>
      </c>
      <c r="N223" s="4">
        <f>C223*0.1</f>
        <v>2207123.625</v>
      </c>
      <c r="O223">
        <v>270583.27</v>
      </c>
      <c r="P223">
        <v>397602.15999999992</v>
      </c>
      <c r="Q223">
        <v>21088.02</v>
      </c>
      <c r="R223">
        <v>152506.38</v>
      </c>
    </row>
    <row r="224" spans="1:18" x14ac:dyDescent="0.3">
      <c r="A224" t="s">
        <v>52</v>
      </c>
      <c r="B224">
        <v>2020</v>
      </c>
      <c r="C224" s="4">
        <v>12609472.929999998</v>
      </c>
      <c r="D224" s="4">
        <v>853464.25</v>
      </c>
      <c r="E224" s="4">
        <v>13462937.17</v>
      </c>
      <c r="F224" s="4">
        <f t="shared" si="267"/>
        <v>9457104.6974999979</v>
      </c>
      <c r="G224" s="4">
        <f t="shared" ref="G224:G228" si="300">C224*0.07</f>
        <v>882663.10509999993</v>
      </c>
      <c r="H224" s="4">
        <f t="shared" ref="H224:H228" si="301">C224*0.06</f>
        <v>756568.37579999981</v>
      </c>
      <c r="I224" s="4">
        <f t="shared" ref="I224:I228" si="302">C224*0.03</f>
        <v>378284.1878999999</v>
      </c>
      <c r="J224" s="4">
        <f t="shared" ref="J224:J228" si="303">C224*0.025</f>
        <v>315236.82324999996</v>
      </c>
      <c r="K224" s="4">
        <f t="shared" ref="K224:K228" si="304">C224*0.01</f>
        <v>126094.72929999998</v>
      </c>
      <c r="L224" s="4">
        <f t="shared" ref="L224:L228" si="305">C224*0.005</f>
        <v>63047.364649999989</v>
      </c>
      <c r="M224" s="4">
        <f t="shared" ref="M224:M228" si="306">C224*0.05</f>
        <v>630473.64649999992</v>
      </c>
      <c r="N224" s="4">
        <f t="shared" ref="N224:N228" si="307">C224*0</f>
        <v>0</v>
      </c>
      <c r="O224">
        <v>245356.73000000004</v>
      </c>
      <c r="P224">
        <v>335224.27</v>
      </c>
      <c r="Q224">
        <v>10137.549999999999</v>
      </c>
      <c r="R224">
        <v>0</v>
      </c>
    </row>
    <row r="225" spans="1:18" x14ac:dyDescent="0.3">
      <c r="A225" t="s">
        <v>52</v>
      </c>
      <c r="B225">
        <v>2021</v>
      </c>
      <c r="C225" s="4">
        <v>16798164.129999999</v>
      </c>
      <c r="D225" s="4">
        <v>1135720.96</v>
      </c>
      <c r="E225" s="4">
        <v>17933885.09</v>
      </c>
      <c r="F225" s="4">
        <f t="shared" si="267"/>
        <v>12598623.0975</v>
      </c>
      <c r="G225" s="4">
        <f t="shared" si="300"/>
        <v>1175871.4891000001</v>
      </c>
      <c r="H225" s="4">
        <f t="shared" si="301"/>
        <v>1007889.8477999999</v>
      </c>
      <c r="I225" s="4">
        <f t="shared" si="302"/>
        <v>503944.92389999994</v>
      </c>
      <c r="J225" s="4">
        <f t="shared" si="303"/>
        <v>419954.10324999999</v>
      </c>
      <c r="K225" s="4">
        <f t="shared" si="304"/>
        <v>167981.64129999999</v>
      </c>
      <c r="L225" s="4">
        <f t="shared" si="305"/>
        <v>83990.820649999994</v>
      </c>
      <c r="M225" s="4">
        <f t="shared" si="306"/>
        <v>839908.20649999997</v>
      </c>
      <c r="N225" s="4">
        <f t="shared" si="307"/>
        <v>0</v>
      </c>
      <c r="O225">
        <v>356043.43999999994</v>
      </c>
      <c r="P225">
        <v>505040.62</v>
      </c>
      <c r="Q225">
        <v>0</v>
      </c>
      <c r="R225">
        <v>0</v>
      </c>
    </row>
    <row r="226" spans="1:18" x14ac:dyDescent="0.3">
      <c r="A226" t="s">
        <v>52</v>
      </c>
      <c r="B226">
        <v>2022</v>
      </c>
      <c r="C226" s="4">
        <v>18372302.18</v>
      </c>
      <c r="D226" s="4">
        <v>1043753.5800000001</v>
      </c>
      <c r="E226" s="4">
        <v>19416055.760000002</v>
      </c>
      <c r="F226" s="4">
        <f t="shared" si="267"/>
        <v>13779226.635</v>
      </c>
      <c r="G226" s="4">
        <f t="shared" si="300"/>
        <v>1286061.1526000001</v>
      </c>
      <c r="H226" s="4">
        <f t="shared" si="301"/>
        <v>1102338.1307999999</v>
      </c>
      <c r="I226" s="4">
        <f t="shared" si="302"/>
        <v>551169.06539999996</v>
      </c>
      <c r="J226" s="4">
        <f t="shared" si="303"/>
        <v>459307.55450000003</v>
      </c>
      <c r="K226" s="4">
        <f t="shared" si="304"/>
        <v>183723.02179999999</v>
      </c>
      <c r="L226" s="4">
        <f t="shared" si="305"/>
        <v>91861.510899999994</v>
      </c>
      <c r="M226" s="4">
        <f t="shared" si="306"/>
        <v>918615.10900000005</v>
      </c>
      <c r="N226" s="4">
        <f t="shared" si="307"/>
        <v>0</v>
      </c>
      <c r="O226">
        <v>208775.52</v>
      </c>
      <c r="P226">
        <v>492559.45</v>
      </c>
      <c r="Q226">
        <v>33715.26</v>
      </c>
      <c r="R226">
        <v>0</v>
      </c>
    </row>
    <row r="227" spans="1:18" x14ac:dyDescent="0.3">
      <c r="A227" t="s">
        <v>52</v>
      </c>
      <c r="B227">
        <v>2023</v>
      </c>
      <c r="C227" s="4">
        <v>21886462.390000004</v>
      </c>
      <c r="D227" s="4">
        <v>0</v>
      </c>
      <c r="E227" s="4">
        <v>21886462.390000004</v>
      </c>
      <c r="F227" s="4">
        <f t="shared" si="267"/>
        <v>16414846.792500004</v>
      </c>
      <c r="G227" s="4">
        <f t="shared" si="300"/>
        <v>1532052.3673000005</v>
      </c>
      <c r="H227" s="4">
        <f t="shared" si="301"/>
        <v>1313187.7434000003</v>
      </c>
      <c r="I227" s="4">
        <f t="shared" si="302"/>
        <v>656593.87170000013</v>
      </c>
      <c r="J227" s="4">
        <f t="shared" si="303"/>
        <v>547161.55975000013</v>
      </c>
      <c r="K227" s="4">
        <f t="shared" si="304"/>
        <v>218864.62390000004</v>
      </c>
      <c r="L227" s="4">
        <f t="shared" si="305"/>
        <v>109432.31195000002</v>
      </c>
      <c r="M227" s="4">
        <f t="shared" si="306"/>
        <v>1094323.1195000003</v>
      </c>
      <c r="N227" s="4">
        <f t="shared" si="307"/>
        <v>0</v>
      </c>
      <c r="O227">
        <v>247096.75</v>
      </c>
      <c r="P227">
        <v>443290.22000000003</v>
      </c>
      <c r="Q227">
        <v>222.02</v>
      </c>
      <c r="R227">
        <v>649574.43999999994</v>
      </c>
    </row>
    <row r="228" spans="1:18" x14ac:dyDescent="0.3">
      <c r="A228" t="s">
        <v>52</v>
      </c>
      <c r="B228">
        <v>2024</v>
      </c>
      <c r="C228" s="4">
        <v>24338835.970000006</v>
      </c>
      <c r="D228" s="4">
        <v>0</v>
      </c>
      <c r="E228" s="4">
        <v>24338835.970000006</v>
      </c>
      <c r="F228" s="4">
        <f t="shared" si="267"/>
        <v>18254126.977500007</v>
      </c>
      <c r="G228" s="4">
        <f t="shared" si="300"/>
        <v>1703718.5179000006</v>
      </c>
      <c r="H228" s="4">
        <f t="shared" si="301"/>
        <v>1460330.1582000004</v>
      </c>
      <c r="I228" s="4">
        <f t="shared" si="302"/>
        <v>730165.07910000021</v>
      </c>
      <c r="J228" s="4">
        <f t="shared" si="303"/>
        <v>608470.89925000013</v>
      </c>
      <c r="K228" s="4">
        <f t="shared" si="304"/>
        <v>243388.35970000006</v>
      </c>
      <c r="L228" s="4">
        <f t="shared" si="305"/>
        <v>121694.17985000003</v>
      </c>
      <c r="M228" s="4">
        <f t="shared" si="306"/>
        <v>1216941.7985000003</v>
      </c>
      <c r="N228" s="4">
        <f t="shared" si="307"/>
        <v>0</v>
      </c>
      <c r="O228">
        <v>301876.40999999997</v>
      </c>
      <c r="P228">
        <v>469038.39</v>
      </c>
      <c r="Q228">
        <v>46591.09</v>
      </c>
      <c r="R228">
        <v>13801.61</v>
      </c>
    </row>
    <row r="229" spans="1:18" x14ac:dyDescent="0.3">
      <c r="A229" t="s">
        <v>52</v>
      </c>
      <c r="B229">
        <v>2025</v>
      </c>
      <c r="C229" s="4">
        <v>28155159.580000002</v>
      </c>
      <c r="D229" s="4">
        <v>0</v>
      </c>
      <c r="E229" s="4">
        <v>28155159.580000002</v>
      </c>
      <c r="F229" s="4">
        <f t="shared" si="267"/>
        <v>21116369.685000002</v>
      </c>
      <c r="G229" s="4">
        <f>C229*0.035</f>
        <v>985430.58530000015</v>
      </c>
      <c r="H229" s="4">
        <f>C229*0.06</f>
        <v>1689309.5748000001</v>
      </c>
      <c r="I229" s="4">
        <f>C229*0.03</f>
        <v>844654.78740000003</v>
      </c>
      <c r="J229" s="4">
        <f>C229*0</f>
        <v>0</v>
      </c>
      <c r="K229" s="4">
        <f>C229*0</f>
        <v>0</v>
      </c>
      <c r="L229" s="4">
        <f>C229*0</f>
        <v>0</v>
      </c>
      <c r="M229" s="4">
        <f>C229*0</f>
        <v>0</v>
      </c>
      <c r="N229" s="4">
        <f>C229*0.1</f>
        <v>2815515.9580000006</v>
      </c>
      <c r="O229">
        <v>345131.73</v>
      </c>
      <c r="P229">
        <v>507145.59</v>
      </c>
      <c r="Q229">
        <v>43390.5</v>
      </c>
      <c r="R229">
        <v>194523.44</v>
      </c>
    </row>
    <row r="230" spans="1:18" x14ac:dyDescent="0.3">
      <c r="A230" t="s">
        <v>53</v>
      </c>
      <c r="B230">
        <v>2020</v>
      </c>
      <c r="C230" s="4">
        <v>23492151.199999996</v>
      </c>
      <c r="D230" s="4">
        <v>1590366.27</v>
      </c>
      <c r="E230" s="4">
        <v>25082517.469999999</v>
      </c>
      <c r="F230" s="4">
        <f t="shared" si="267"/>
        <v>17619113.399999999</v>
      </c>
      <c r="G230" s="4">
        <f t="shared" ref="G230:G234" si="308">C230*0.07</f>
        <v>1644450.5839999998</v>
      </c>
      <c r="H230" s="4">
        <f t="shared" ref="H230:H234" si="309">C230*0.06</f>
        <v>1409529.0719999997</v>
      </c>
      <c r="I230" s="4">
        <f t="shared" ref="I230:I234" si="310">C230*0.03</f>
        <v>704764.53599999985</v>
      </c>
      <c r="J230" s="4">
        <f t="shared" ref="J230:J234" si="311">C230*0.025</f>
        <v>587303.77999999991</v>
      </c>
      <c r="K230" s="4">
        <f t="shared" ref="K230:K234" si="312">C230*0.01</f>
        <v>234921.51199999996</v>
      </c>
      <c r="L230" s="4">
        <f t="shared" ref="L230:L234" si="313">C230*0.005</f>
        <v>117460.75599999998</v>
      </c>
      <c r="M230" s="4">
        <f t="shared" ref="M230:M234" si="314">C230*0.05</f>
        <v>1174607.5599999998</v>
      </c>
      <c r="N230" s="4">
        <f t="shared" ref="N230:N234" si="315">C230*0</f>
        <v>0</v>
      </c>
      <c r="O230">
        <v>457206.57999999996</v>
      </c>
      <c r="P230">
        <v>624669.03999999992</v>
      </c>
      <c r="Q230">
        <v>10260.06</v>
      </c>
      <c r="R230">
        <v>0</v>
      </c>
    </row>
    <row r="231" spans="1:18" x14ac:dyDescent="0.3">
      <c r="A231" t="s">
        <v>53</v>
      </c>
      <c r="B231">
        <v>2021</v>
      </c>
      <c r="C231" s="4">
        <v>30785642.559999995</v>
      </c>
      <c r="D231" s="4">
        <v>2081354.2000000002</v>
      </c>
      <c r="E231" s="4">
        <v>32866996.759999998</v>
      </c>
      <c r="F231" s="4">
        <f t="shared" si="267"/>
        <v>23089231.919999994</v>
      </c>
      <c r="G231" s="4">
        <f t="shared" si="308"/>
        <v>2154994.9791999999</v>
      </c>
      <c r="H231" s="4">
        <f t="shared" si="309"/>
        <v>1847138.5535999995</v>
      </c>
      <c r="I231" s="4">
        <f t="shared" si="310"/>
        <v>923569.27679999976</v>
      </c>
      <c r="J231" s="4">
        <f t="shared" si="311"/>
        <v>769641.0639999999</v>
      </c>
      <c r="K231" s="4">
        <f t="shared" si="312"/>
        <v>307856.42559999996</v>
      </c>
      <c r="L231" s="4">
        <f t="shared" si="313"/>
        <v>153928.21279999998</v>
      </c>
      <c r="M231" s="4">
        <f t="shared" si="314"/>
        <v>1539282.1279999998</v>
      </c>
      <c r="N231" s="4">
        <f t="shared" si="315"/>
        <v>0</v>
      </c>
      <c r="O231">
        <v>652494.85</v>
      </c>
      <c r="P231">
        <v>925551.16999999993</v>
      </c>
      <c r="Q231">
        <v>0</v>
      </c>
      <c r="R231">
        <v>0</v>
      </c>
    </row>
    <row r="232" spans="1:18" x14ac:dyDescent="0.3">
      <c r="A232" t="s">
        <v>53</v>
      </c>
      <c r="B232">
        <v>2022</v>
      </c>
      <c r="C232" s="4">
        <v>33564512.409999996</v>
      </c>
      <c r="D232" s="4">
        <v>1906486.23</v>
      </c>
      <c r="E232" s="4">
        <v>35470998.640000001</v>
      </c>
      <c r="F232" s="4">
        <f t="shared" si="267"/>
        <v>25173384.307499997</v>
      </c>
      <c r="G232" s="4">
        <f t="shared" si="308"/>
        <v>2349515.8687</v>
      </c>
      <c r="H232" s="4">
        <f t="shared" si="309"/>
        <v>2013870.7445999996</v>
      </c>
      <c r="I232" s="4">
        <f t="shared" si="310"/>
        <v>1006935.3722999998</v>
      </c>
      <c r="J232" s="4">
        <f t="shared" si="311"/>
        <v>839112.81024999998</v>
      </c>
      <c r="K232" s="4">
        <f t="shared" si="312"/>
        <v>335645.12409999996</v>
      </c>
      <c r="L232" s="4">
        <f t="shared" si="313"/>
        <v>167822.56204999998</v>
      </c>
      <c r="M232" s="4">
        <f t="shared" si="314"/>
        <v>1678225.6205</v>
      </c>
      <c r="N232" s="4">
        <f t="shared" si="315"/>
        <v>0</v>
      </c>
      <c r="O232">
        <v>381490.74000000005</v>
      </c>
      <c r="P232">
        <v>899832.19000000006</v>
      </c>
      <c r="Q232">
        <v>37545.72</v>
      </c>
      <c r="R232">
        <v>0</v>
      </c>
    </row>
    <row r="233" spans="1:18" x14ac:dyDescent="0.3">
      <c r="A233" t="s">
        <v>53</v>
      </c>
      <c r="B233">
        <v>2023</v>
      </c>
      <c r="C233" s="4">
        <v>38434751.090000004</v>
      </c>
      <c r="D233" s="4">
        <v>0</v>
      </c>
      <c r="E233" s="4">
        <v>38434751.090000004</v>
      </c>
      <c r="F233" s="4">
        <f t="shared" si="267"/>
        <v>28826063.317500003</v>
      </c>
      <c r="G233" s="4">
        <f t="shared" si="308"/>
        <v>2690432.5763000003</v>
      </c>
      <c r="H233" s="4">
        <f t="shared" si="309"/>
        <v>2306085.0654000002</v>
      </c>
      <c r="I233" s="4">
        <f t="shared" si="310"/>
        <v>1153042.5327000001</v>
      </c>
      <c r="J233" s="4">
        <f t="shared" si="311"/>
        <v>960868.77725000016</v>
      </c>
      <c r="K233" s="4">
        <f t="shared" si="312"/>
        <v>384347.51090000005</v>
      </c>
      <c r="L233" s="4">
        <f t="shared" si="313"/>
        <v>192173.75545000003</v>
      </c>
      <c r="M233" s="4">
        <f t="shared" si="314"/>
        <v>1921737.5545000003</v>
      </c>
      <c r="N233" s="4">
        <f t="shared" si="315"/>
        <v>0</v>
      </c>
      <c r="O233">
        <v>435213.61</v>
      </c>
      <c r="P233">
        <v>778439.08</v>
      </c>
      <c r="Q233">
        <v>247.63</v>
      </c>
      <c r="R233">
        <v>1140684.1199999999</v>
      </c>
    </row>
    <row r="234" spans="1:18" x14ac:dyDescent="0.3">
      <c r="A234" t="s">
        <v>53</v>
      </c>
      <c r="B234">
        <v>2024</v>
      </c>
      <c r="C234" s="4">
        <v>55723347.489999995</v>
      </c>
      <c r="D234" s="4">
        <v>0</v>
      </c>
      <c r="E234" s="4">
        <v>55723347.489999995</v>
      </c>
      <c r="F234" s="4">
        <f t="shared" si="267"/>
        <v>41792510.617499992</v>
      </c>
      <c r="G234" s="4">
        <f t="shared" si="308"/>
        <v>3900634.3243</v>
      </c>
      <c r="H234" s="4">
        <f t="shared" si="309"/>
        <v>3343400.8493999997</v>
      </c>
      <c r="I234" s="4">
        <f t="shared" si="310"/>
        <v>1671700.4246999999</v>
      </c>
      <c r="J234" s="4">
        <f t="shared" si="311"/>
        <v>1393083.68725</v>
      </c>
      <c r="K234" s="4">
        <f t="shared" si="312"/>
        <v>557233.47489999991</v>
      </c>
      <c r="L234" s="4">
        <f t="shared" si="313"/>
        <v>278616.73744999996</v>
      </c>
      <c r="M234" s="4">
        <f t="shared" si="314"/>
        <v>2786167.3744999999</v>
      </c>
      <c r="N234" s="4">
        <f t="shared" si="315"/>
        <v>0</v>
      </c>
      <c r="O234">
        <v>691290.58000000007</v>
      </c>
      <c r="P234">
        <v>1074087.97</v>
      </c>
      <c r="Q234">
        <v>50616.709999999992</v>
      </c>
      <c r="R234">
        <v>24236.420000000002</v>
      </c>
    </row>
    <row r="235" spans="1:18" x14ac:dyDescent="0.3">
      <c r="A235" t="s">
        <v>53</v>
      </c>
      <c r="B235">
        <v>2025</v>
      </c>
      <c r="C235" s="4">
        <v>62453677.460000001</v>
      </c>
      <c r="D235" s="4">
        <v>0</v>
      </c>
      <c r="E235" s="4">
        <v>62453677.460000001</v>
      </c>
      <c r="F235" s="4">
        <f t="shared" si="267"/>
        <v>46840258.094999999</v>
      </c>
      <c r="G235" s="4">
        <f>C235*0.035</f>
        <v>2185878.7111000004</v>
      </c>
      <c r="H235" s="4">
        <f>C235*0.06</f>
        <v>3747220.6475999998</v>
      </c>
      <c r="I235" s="4">
        <f>C235*0.03</f>
        <v>1873610.3237999999</v>
      </c>
      <c r="J235" s="4">
        <f>C235*0</f>
        <v>0</v>
      </c>
      <c r="K235" s="4">
        <f>C235*0</f>
        <v>0</v>
      </c>
      <c r="L235" s="4">
        <f>C235*0</f>
        <v>0</v>
      </c>
      <c r="M235" s="4">
        <f>C235*0</f>
        <v>0</v>
      </c>
      <c r="N235" s="4">
        <f>C235*0.1</f>
        <v>6245367.7460000003</v>
      </c>
      <c r="O235">
        <v>765502.17</v>
      </c>
      <c r="P235">
        <v>1124848.9200000002</v>
      </c>
      <c r="Q235">
        <v>47324.46</v>
      </c>
      <c r="R235">
        <v>431453.02</v>
      </c>
    </row>
    <row r="236" spans="1:18" x14ac:dyDescent="0.3">
      <c r="A236" t="s">
        <v>54</v>
      </c>
      <c r="B236">
        <v>2020</v>
      </c>
      <c r="C236" s="4">
        <v>6247999.9899999993</v>
      </c>
      <c r="D236" s="4">
        <v>422969.9</v>
      </c>
      <c r="E236" s="4">
        <v>6670969.8899999997</v>
      </c>
      <c r="F236" s="4">
        <f t="shared" si="267"/>
        <v>4685999.9924999997</v>
      </c>
      <c r="G236" s="4">
        <f t="shared" ref="G236:G240" si="316">C236*0.07</f>
        <v>437359.99929999997</v>
      </c>
      <c r="H236" s="4">
        <f t="shared" ref="H236:H240" si="317">C236*0.06</f>
        <v>374879.99939999997</v>
      </c>
      <c r="I236" s="4">
        <f t="shared" ref="I236:I240" si="318">C236*0.03</f>
        <v>187439.99969999999</v>
      </c>
      <c r="J236" s="4">
        <f t="shared" ref="J236:J240" si="319">C236*0.025</f>
        <v>156199.99974999999</v>
      </c>
      <c r="K236" s="4">
        <f t="shared" ref="K236:K240" si="320">C236*0.01</f>
        <v>62479.999899999995</v>
      </c>
      <c r="L236" s="4">
        <f t="shared" ref="L236:L240" si="321">C236*0.005</f>
        <v>31239.999949999998</v>
      </c>
      <c r="M236" s="4">
        <f t="shared" ref="M236:M240" si="322">C236*0.05</f>
        <v>312399.99949999998</v>
      </c>
      <c r="N236" s="4">
        <f t="shared" ref="N236:N240" si="323">C236*0</f>
        <v>0</v>
      </c>
      <c r="O236">
        <v>121597.48000000001</v>
      </c>
      <c r="P236">
        <v>166135.37</v>
      </c>
      <c r="Q236">
        <v>5113.7700000000004</v>
      </c>
      <c r="R236">
        <v>0</v>
      </c>
    </row>
    <row r="237" spans="1:18" x14ac:dyDescent="0.3">
      <c r="A237" t="s">
        <v>54</v>
      </c>
      <c r="B237">
        <v>2021</v>
      </c>
      <c r="C237" s="4">
        <v>7617310.3500000006</v>
      </c>
      <c r="D237" s="4">
        <v>514925.88</v>
      </c>
      <c r="E237" s="4">
        <v>8132236.2300000004</v>
      </c>
      <c r="F237" s="4">
        <f t="shared" si="267"/>
        <v>5712982.7625000002</v>
      </c>
      <c r="G237" s="4">
        <f t="shared" si="316"/>
        <v>533211.72450000013</v>
      </c>
      <c r="H237" s="4">
        <f t="shared" si="317"/>
        <v>457038.62100000004</v>
      </c>
      <c r="I237" s="4">
        <f t="shared" si="318"/>
        <v>228519.31050000002</v>
      </c>
      <c r="J237" s="4">
        <f t="shared" si="319"/>
        <v>190432.75875000004</v>
      </c>
      <c r="K237" s="4">
        <f t="shared" si="320"/>
        <v>76173.103500000012</v>
      </c>
      <c r="L237" s="4">
        <f t="shared" si="321"/>
        <v>38086.551750000006</v>
      </c>
      <c r="M237" s="4">
        <f t="shared" si="322"/>
        <v>380865.51750000007</v>
      </c>
      <c r="N237" s="4">
        <f t="shared" si="323"/>
        <v>0</v>
      </c>
      <c r="O237">
        <v>161426.47</v>
      </c>
      <c r="P237">
        <v>228980.27000000002</v>
      </c>
      <c r="Q237">
        <v>0</v>
      </c>
      <c r="R237">
        <v>0</v>
      </c>
    </row>
    <row r="238" spans="1:18" x14ac:dyDescent="0.3">
      <c r="A238" t="s">
        <v>54</v>
      </c>
      <c r="B238">
        <v>2022</v>
      </c>
      <c r="C238" s="4">
        <v>8853749.6999999993</v>
      </c>
      <c r="D238" s="4">
        <v>504762.26000000007</v>
      </c>
      <c r="E238" s="4">
        <v>9358511.9600000009</v>
      </c>
      <c r="F238" s="4">
        <f t="shared" si="267"/>
        <v>6640312.2749999994</v>
      </c>
      <c r="G238" s="4">
        <f t="shared" si="316"/>
        <v>619762.47900000005</v>
      </c>
      <c r="H238" s="4">
        <f t="shared" si="317"/>
        <v>531224.98199999996</v>
      </c>
      <c r="I238" s="4">
        <f t="shared" si="318"/>
        <v>265612.49099999998</v>
      </c>
      <c r="J238" s="4">
        <f t="shared" si="319"/>
        <v>221343.74249999999</v>
      </c>
      <c r="K238" s="4">
        <f t="shared" si="320"/>
        <v>88537.496999999988</v>
      </c>
      <c r="L238" s="4">
        <f t="shared" si="321"/>
        <v>44268.748499999994</v>
      </c>
      <c r="M238" s="4">
        <f t="shared" si="322"/>
        <v>442687.48499999999</v>
      </c>
      <c r="N238" s="4">
        <f t="shared" si="323"/>
        <v>0</v>
      </c>
      <c r="O238">
        <v>100225.43</v>
      </c>
      <c r="P238">
        <v>237509.36</v>
      </c>
      <c r="Q238">
        <v>17216.03</v>
      </c>
      <c r="R238">
        <v>0</v>
      </c>
    </row>
    <row r="239" spans="1:18" x14ac:dyDescent="0.3">
      <c r="A239" t="s">
        <v>54</v>
      </c>
      <c r="B239">
        <v>2023</v>
      </c>
      <c r="C239" s="4">
        <v>9267361.6600000001</v>
      </c>
      <c r="D239" s="4">
        <v>0</v>
      </c>
      <c r="E239" s="4">
        <v>9267361.6600000001</v>
      </c>
      <c r="F239" s="4">
        <f t="shared" si="267"/>
        <v>6950521.2450000001</v>
      </c>
      <c r="G239" s="4">
        <f t="shared" si="316"/>
        <v>648715.31620000012</v>
      </c>
      <c r="H239" s="4">
        <f t="shared" si="317"/>
        <v>556041.69959999993</v>
      </c>
      <c r="I239" s="4">
        <f t="shared" si="318"/>
        <v>278020.84979999997</v>
      </c>
      <c r="J239" s="4">
        <f t="shared" si="319"/>
        <v>231684.04150000002</v>
      </c>
      <c r="K239" s="4">
        <f t="shared" si="320"/>
        <v>92673.616600000008</v>
      </c>
      <c r="L239" s="4">
        <f t="shared" si="321"/>
        <v>46336.808300000004</v>
      </c>
      <c r="M239" s="4">
        <f t="shared" si="322"/>
        <v>463368.08300000004</v>
      </c>
      <c r="N239" s="4">
        <f t="shared" si="323"/>
        <v>0</v>
      </c>
      <c r="O239">
        <v>105736.39</v>
      </c>
      <c r="P239">
        <v>187683.37999999998</v>
      </c>
      <c r="Q239">
        <v>113.4</v>
      </c>
      <c r="R239">
        <v>275021.44</v>
      </c>
    </row>
    <row r="240" spans="1:18" x14ac:dyDescent="0.3">
      <c r="A240" t="s">
        <v>54</v>
      </c>
      <c r="B240">
        <v>2024</v>
      </c>
      <c r="C240" s="4">
        <v>10430812.390000001</v>
      </c>
      <c r="D240" s="4">
        <v>0</v>
      </c>
      <c r="E240" s="4">
        <v>10430812.390000001</v>
      </c>
      <c r="F240" s="4">
        <f t="shared" si="267"/>
        <v>7823109.2925000004</v>
      </c>
      <c r="G240" s="4">
        <f t="shared" si="316"/>
        <v>730156.86730000016</v>
      </c>
      <c r="H240" s="4">
        <f t="shared" si="317"/>
        <v>625848.74340000004</v>
      </c>
      <c r="I240" s="4">
        <f t="shared" si="318"/>
        <v>312924.37170000002</v>
      </c>
      <c r="J240" s="4">
        <f t="shared" si="319"/>
        <v>260770.30975000001</v>
      </c>
      <c r="K240" s="4">
        <f t="shared" si="320"/>
        <v>104308.12390000001</v>
      </c>
      <c r="L240" s="4">
        <f t="shared" si="321"/>
        <v>52154.061950000003</v>
      </c>
      <c r="M240" s="4">
        <f t="shared" si="322"/>
        <v>521540.61950000003</v>
      </c>
      <c r="N240" s="4">
        <f t="shared" si="323"/>
        <v>0</v>
      </c>
      <c r="O240">
        <v>129375.60999999999</v>
      </c>
      <c r="P240">
        <v>201016.47000000003</v>
      </c>
      <c r="Q240">
        <v>23527.72</v>
      </c>
      <c r="R240">
        <v>5843.42</v>
      </c>
    </row>
    <row r="241" spans="1:18" x14ac:dyDescent="0.3">
      <c r="A241" t="s">
        <v>54</v>
      </c>
      <c r="B241">
        <v>2025</v>
      </c>
      <c r="C241" s="4">
        <v>12162765.360000001</v>
      </c>
      <c r="D241" s="4">
        <v>0</v>
      </c>
      <c r="E241" s="4">
        <v>12162765.360000001</v>
      </c>
      <c r="F241" s="4">
        <f t="shared" si="267"/>
        <v>9122074.0200000014</v>
      </c>
      <c r="G241" s="4">
        <f>C241*0.035</f>
        <v>425696.7876000001</v>
      </c>
      <c r="H241" s="4">
        <f>C241*0.06</f>
        <v>729765.9216</v>
      </c>
      <c r="I241" s="4">
        <f>C241*0.03</f>
        <v>364882.9608</v>
      </c>
      <c r="J241" s="4">
        <f>C241*0</f>
        <v>0</v>
      </c>
      <c r="K241" s="4">
        <f>C241*0</f>
        <v>0</v>
      </c>
      <c r="L241" s="4">
        <f>C241*0</f>
        <v>0</v>
      </c>
      <c r="M241" s="4">
        <f>C241*0</f>
        <v>0</v>
      </c>
      <c r="N241" s="4">
        <f>C241*0.1</f>
        <v>1216276.5360000001</v>
      </c>
      <c r="O241">
        <v>149096.91</v>
      </c>
      <c r="P241">
        <v>219086.88999999998</v>
      </c>
      <c r="Q241">
        <v>21720.58</v>
      </c>
      <c r="R241">
        <v>84034.15</v>
      </c>
    </row>
    <row r="242" spans="1:18" x14ac:dyDescent="0.3">
      <c r="A242" t="s">
        <v>55</v>
      </c>
      <c r="B242">
        <v>2020</v>
      </c>
      <c r="C242" s="4">
        <v>12077553.830000002</v>
      </c>
      <c r="D242" s="4">
        <v>817738.01</v>
      </c>
      <c r="E242" s="4">
        <v>12895291.84</v>
      </c>
      <c r="F242" s="4">
        <f t="shared" si="267"/>
        <v>9058165.3725000024</v>
      </c>
      <c r="G242" s="4">
        <f t="shared" ref="G242:G246" si="324">C242*0.07</f>
        <v>845428.76810000022</v>
      </c>
      <c r="H242" s="4">
        <f t="shared" ref="H242:H246" si="325">C242*0.06</f>
        <v>724653.22980000009</v>
      </c>
      <c r="I242" s="4">
        <f t="shared" ref="I242:I246" si="326">C242*0.03</f>
        <v>362326.61490000004</v>
      </c>
      <c r="J242" s="4">
        <f t="shared" ref="J242:J246" si="327">C242*0.025</f>
        <v>301938.84575000004</v>
      </c>
      <c r="K242" s="4">
        <f t="shared" ref="K242:K246" si="328">C242*0.01</f>
        <v>120775.53830000001</v>
      </c>
      <c r="L242" s="4">
        <f t="shared" ref="L242:L246" si="329">C242*0.005</f>
        <v>60387.769150000007</v>
      </c>
      <c r="M242" s="4">
        <f t="shared" ref="M242:M246" si="330">C242*0.05</f>
        <v>603877.69150000007</v>
      </c>
      <c r="N242" s="4">
        <f t="shared" ref="N242:N246" si="331">C242*0</f>
        <v>0</v>
      </c>
      <c r="O242">
        <v>235088.49</v>
      </c>
      <c r="P242">
        <v>321195.07</v>
      </c>
      <c r="Q242">
        <v>7530.27</v>
      </c>
      <c r="R242">
        <v>0</v>
      </c>
    </row>
    <row r="243" spans="1:18" x14ac:dyDescent="0.3">
      <c r="A243" t="s">
        <v>55</v>
      </c>
      <c r="B243">
        <v>2021</v>
      </c>
      <c r="C243" s="4">
        <v>15198156.969999999</v>
      </c>
      <c r="D243" s="4">
        <v>1027444.46</v>
      </c>
      <c r="E243" s="4">
        <v>16225601.43</v>
      </c>
      <c r="F243" s="4">
        <f t="shared" si="267"/>
        <v>11398617.727499999</v>
      </c>
      <c r="G243" s="4">
        <f t="shared" si="324"/>
        <v>1063870.9879000001</v>
      </c>
      <c r="H243" s="4">
        <f t="shared" si="325"/>
        <v>911889.41819999984</v>
      </c>
      <c r="I243" s="4">
        <f t="shared" si="326"/>
        <v>455944.70909999992</v>
      </c>
      <c r="J243" s="4">
        <f t="shared" si="327"/>
        <v>379953.92424999998</v>
      </c>
      <c r="K243" s="4">
        <f t="shared" si="328"/>
        <v>151981.56969999999</v>
      </c>
      <c r="L243" s="4">
        <f t="shared" si="329"/>
        <v>75990.784849999996</v>
      </c>
      <c r="M243" s="4">
        <f t="shared" si="330"/>
        <v>759907.84849999996</v>
      </c>
      <c r="N243" s="4">
        <f t="shared" si="331"/>
        <v>0</v>
      </c>
      <c r="O243">
        <v>322098.61999999994</v>
      </c>
      <c r="P243">
        <v>456890.58</v>
      </c>
      <c r="Q243">
        <v>0</v>
      </c>
      <c r="R243">
        <v>0</v>
      </c>
    </row>
    <row r="244" spans="1:18" x14ac:dyDescent="0.3">
      <c r="A244" t="s">
        <v>55</v>
      </c>
      <c r="B244">
        <v>2022</v>
      </c>
      <c r="C244" s="4">
        <v>16220760.84</v>
      </c>
      <c r="D244" s="4">
        <v>920168.67</v>
      </c>
      <c r="E244" s="4">
        <v>17140929.510000002</v>
      </c>
      <c r="F244" s="4">
        <f t="shared" si="267"/>
        <v>12165570.629999999</v>
      </c>
      <c r="G244" s="4">
        <f t="shared" si="324"/>
        <v>1135453.2588000002</v>
      </c>
      <c r="H244" s="4">
        <f t="shared" si="325"/>
        <v>973245.65039999993</v>
      </c>
      <c r="I244" s="4">
        <f t="shared" si="326"/>
        <v>486622.82519999996</v>
      </c>
      <c r="J244" s="4">
        <f t="shared" si="327"/>
        <v>405519.02100000001</v>
      </c>
      <c r="K244" s="4">
        <f t="shared" si="328"/>
        <v>162207.6084</v>
      </c>
      <c r="L244" s="4">
        <f t="shared" si="329"/>
        <v>81103.804199999999</v>
      </c>
      <c r="M244" s="4">
        <f t="shared" si="330"/>
        <v>811038.04200000002</v>
      </c>
      <c r="N244" s="4">
        <f t="shared" si="331"/>
        <v>0</v>
      </c>
      <c r="O244">
        <v>184619.74</v>
      </c>
      <c r="P244">
        <v>434767.98</v>
      </c>
      <c r="Q244">
        <v>25038.769999999997</v>
      </c>
      <c r="R244">
        <v>0</v>
      </c>
    </row>
    <row r="245" spans="1:18" x14ac:dyDescent="0.3">
      <c r="A245" t="s">
        <v>55</v>
      </c>
      <c r="B245">
        <v>2023</v>
      </c>
      <c r="C245" s="4">
        <v>15975875.240000002</v>
      </c>
      <c r="D245" s="4">
        <v>0</v>
      </c>
      <c r="E245" s="4">
        <v>15975875.240000002</v>
      </c>
      <c r="F245" s="4">
        <f t="shared" si="267"/>
        <v>11981906.430000002</v>
      </c>
      <c r="G245" s="4">
        <f t="shared" si="324"/>
        <v>1118311.2668000003</v>
      </c>
      <c r="H245" s="4">
        <f t="shared" si="325"/>
        <v>958552.5144000001</v>
      </c>
      <c r="I245" s="4">
        <f t="shared" si="326"/>
        <v>479276.25720000005</v>
      </c>
      <c r="J245" s="4">
        <f t="shared" si="327"/>
        <v>399396.88100000005</v>
      </c>
      <c r="K245" s="4">
        <f t="shared" si="328"/>
        <v>159758.75240000003</v>
      </c>
      <c r="L245" s="4">
        <f t="shared" si="329"/>
        <v>79879.376200000013</v>
      </c>
      <c r="M245" s="4">
        <f t="shared" si="330"/>
        <v>798793.7620000001</v>
      </c>
      <c r="N245" s="4">
        <f t="shared" si="331"/>
        <v>0</v>
      </c>
      <c r="O245">
        <v>183135.28999999998</v>
      </c>
      <c r="P245">
        <v>323530.36</v>
      </c>
      <c r="Q245">
        <v>164.88</v>
      </c>
      <c r="R245">
        <v>474084.55</v>
      </c>
    </row>
    <row r="246" spans="1:18" x14ac:dyDescent="0.3">
      <c r="A246" t="s">
        <v>55</v>
      </c>
      <c r="B246">
        <v>2024</v>
      </c>
      <c r="C246" s="4">
        <v>19873889.48</v>
      </c>
      <c r="D246" s="4">
        <v>0</v>
      </c>
      <c r="E246" s="4">
        <v>19873889.48</v>
      </c>
      <c r="F246" s="4">
        <f t="shared" si="267"/>
        <v>14905417.109999999</v>
      </c>
      <c r="G246" s="4">
        <f t="shared" si="324"/>
        <v>1391172.2636000002</v>
      </c>
      <c r="H246" s="4">
        <f t="shared" si="325"/>
        <v>1192433.3688000001</v>
      </c>
      <c r="I246" s="4">
        <f t="shared" si="326"/>
        <v>596216.68440000003</v>
      </c>
      <c r="J246" s="4">
        <f t="shared" si="327"/>
        <v>496847.23700000002</v>
      </c>
      <c r="K246" s="4">
        <f t="shared" si="328"/>
        <v>198738.89480000001</v>
      </c>
      <c r="L246" s="4">
        <f t="shared" si="329"/>
        <v>99369.447400000005</v>
      </c>
      <c r="M246" s="4">
        <f t="shared" si="330"/>
        <v>993694.47400000005</v>
      </c>
      <c r="N246" s="4">
        <f t="shared" si="331"/>
        <v>0</v>
      </c>
      <c r="O246">
        <v>246521.67</v>
      </c>
      <c r="P246">
        <v>383031.37000000005</v>
      </c>
      <c r="Q246">
        <v>32966.910000000003</v>
      </c>
      <c r="R246">
        <v>10072.969999999999</v>
      </c>
    </row>
    <row r="247" spans="1:18" x14ac:dyDescent="0.3">
      <c r="A247" t="s">
        <v>55</v>
      </c>
      <c r="B247">
        <v>2025</v>
      </c>
      <c r="C247" s="4">
        <v>21177648.629999999</v>
      </c>
      <c r="D247" s="4">
        <v>0</v>
      </c>
      <c r="E247" s="4">
        <v>21177648.629999999</v>
      </c>
      <c r="F247" s="4">
        <f t="shared" si="267"/>
        <v>15883236.4725</v>
      </c>
      <c r="G247" s="4">
        <f>C247*0.035</f>
        <v>741217.70205000008</v>
      </c>
      <c r="H247" s="4">
        <f>C247*0.06</f>
        <v>1270658.9177999999</v>
      </c>
      <c r="I247" s="4">
        <f>C247*0.03</f>
        <v>635329.45889999997</v>
      </c>
      <c r="J247" s="4">
        <f>C247*0</f>
        <v>0</v>
      </c>
      <c r="K247" s="4">
        <f>C247*0</f>
        <v>0</v>
      </c>
      <c r="L247" s="4">
        <f>C247*0</f>
        <v>0</v>
      </c>
      <c r="M247" s="4">
        <f>C247*0</f>
        <v>0</v>
      </c>
      <c r="N247" s="4">
        <f>C247*0.1</f>
        <v>2117764.8629999999</v>
      </c>
      <c r="O247">
        <v>259539.07</v>
      </c>
      <c r="P247">
        <v>381373.5</v>
      </c>
      <c r="Q247">
        <v>29723.239999999998</v>
      </c>
      <c r="R247">
        <v>146281.65</v>
      </c>
    </row>
    <row r="248" spans="1:18" x14ac:dyDescent="0.3">
      <c r="A248" t="s">
        <v>56</v>
      </c>
      <c r="B248">
        <v>2020</v>
      </c>
      <c r="C248" s="4">
        <v>10802251.760000002</v>
      </c>
      <c r="D248" s="4">
        <v>731268.35</v>
      </c>
      <c r="E248" s="4">
        <v>11533520.120000001</v>
      </c>
      <c r="F248" s="4">
        <f t="shared" si="267"/>
        <v>8101688.8200000012</v>
      </c>
      <c r="G248" s="4">
        <f t="shared" ref="G248:G252" si="332">C248*0.07</f>
        <v>756157.62320000015</v>
      </c>
      <c r="H248" s="4">
        <f t="shared" ref="H248:H252" si="333">C248*0.06</f>
        <v>648135.10560000013</v>
      </c>
      <c r="I248" s="4">
        <f t="shared" ref="I248:I252" si="334">C248*0.03</f>
        <v>324067.55280000006</v>
      </c>
      <c r="J248" s="4">
        <f t="shared" ref="J248:J252" si="335">C248*0.025</f>
        <v>270056.29400000005</v>
      </c>
      <c r="K248" s="4">
        <f t="shared" ref="K248:K252" si="336">C248*0.01</f>
        <v>108022.51760000002</v>
      </c>
      <c r="L248" s="4">
        <f t="shared" ref="L248:L252" si="337">C248*0.005</f>
        <v>54011.258800000011</v>
      </c>
      <c r="M248" s="4">
        <f t="shared" ref="M248:M252" si="338">C248*0.05</f>
        <v>540112.58800000011</v>
      </c>
      <c r="N248" s="4">
        <f t="shared" ref="N248:N252" si="339">C248*0</f>
        <v>0</v>
      </c>
      <c r="O248">
        <v>210228.55000000002</v>
      </c>
      <c r="P248">
        <v>287229.63</v>
      </c>
      <c r="Q248">
        <v>5004.07</v>
      </c>
      <c r="R248">
        <v>0</v>
      </c>
    </row>
    <row r="249" spans="1:18" x14ac:dyDescent="0.3">
      <c r="A249" t="s">
        <v>56</v>
      </c>
      <c r="B249">
        <v>2021</v>
      </c>
      <c r="C249" s="4">
        <v>13525409.009999998</v>
      </c>
      <c r="D249" s="4">
        <v>914353.58</v>
      </c>
      <c r="E249" s="4">
        <v>14439762.590000002</v>
      </c>
      <c r="F249" s="4">
        <f t="shared" si="267"/>
        <v>10144056.757499998</v>
      </c>
      <c r="G249" s="4">
        <f t="shared" si="332"/>
        <v>946778.63069999998</v>
      </c>
      <c r="H249" s="4">
        <f t="shared" si="333"/>
        <v>811524.54059999983</v>
      </c>
      <c r="I249" s="4">
        <f t="shared" si="334"/>
        <v>405762.27029999992</v>
      </c>
      <c r="J249" s="4">
        <f t="shared" si="335"/>
        <v>338135.22524999996</v>
      </c>
      <c r="K249" s="4">
        <f t="shared" si="336"/>
        <v>135254.09009999997</v>
      </c>
      <c r="L249" s="4">
        <f t="shared" si="337"/>
        <v>67627.045049999986</v>
      </c>
      <c r="M249" s="4">
        <f t="shared" si="338"/>
        <v>676270.45049999992</v>
      </c>
      <c r="N249" s="4">
        <f t="shared" si="339"/>
        <v>0</v>
      </c>
      <c r="O249">
        <v>286645.13999999996</v>
      </c>
      <c r="P249">
        <v>406600.51</v>
      </c>
      <c r="Q249">
        <v>0</v>
      </c>
      <c r="R249">
        <v>0</v>
      </c>
    </row>
    <row r="250" spans="1:18" x14ac:dyDescent="0.3">
      <c r="A250" t="s">
        <v>56</v>
      </c>
      <c r="B250">
        <v>2022</v>
      </c>
      <c r="C250" s="4">
        <v>15547866.779999999</v>
      </c>
      <c r="D250" s="4">
        <v>885849.58000000007</v>
      </c>
      <c r="E250" s="4">
        <v>16433716.359999999</v>
      </c>
      <c r="F250" s="4">
        <f t="shared" si="267"/>
        <v>11660900.084999999</v>
      </c>
      <c r="G250" s="4">
        <f t="shared" si="332"/>
        <v>1088350.6746</v>
      </c>
      <c r="H250" s="4">
        <f t="shared" si="333"/>
        <v>932872.00679999997</v>
      </c>
      <c r="I250" s="4">
        <f t="shared" si="334"/>
        <v>466436.00339999999</v>
      </c>
      <c r="J250" s="4">
        <f t="shared" si="335"/>
        <v>388696.66950000002</v>
      </c>
      <c r="K250" s="4">
        <f t="shared" si="336"/>
        <v>155478.6678</v>
      </c>
      <c r="L250" s="4">
        <f t="shared" si="337"/>
        <v>77739.333899999998</v>
      </c>
      <c r="M250" s="4">
        <f t="shared" si="338"/>
        <v>777393.33900000004</v>
      </c>
      <c r="N250" s="4">
        <f t="shared" si="339"/>
        <v>0</v>
      </c>
      <c r="O250">
        <v>176123.75</v>
      </c>
      <c r="P250">
        <v>417040.74999999994</v>
      </c>
      <c r="Q250">
        <v>16578.349999999999</v>
      </c>
      <c r="R250">
        <v>0</v>
      </c>
    </row>
    <row r="251" spans="1:18" x14ac:dyDescent="0.3">
      <c r="A251" t="s">
        <v>56</v>
      </c>
      <c r="B251">
        <v>2023</v>
      </c>
      <c r="C251" s="4">
        <v>16460442.59</v>
      </c>
      <c r="D251" s="4">
        <v>0</v>
      </c>
      <c r="E251" s="4">
        <v>16460442.59</v>
      </c>
      <c r="F251" s="4">
        <f t="shared" si="267"/>
        <v>12345331.942499999</v>
      </c>
      <c r="G251" s="4">
        <f t="shared" si="332"/>
        <v>1152230.9813000001</v>
      </c>
      <c r="H251" s="4">
        <f t="shared" si="333"/>
        <v>987626.55539999995</v>
      </c>
      <c r="I251" s="4">
        <f t="shared" si="334"/>
        <v>493813.27769999998</v>
      </c>
      <c r="J251" s="4">
        <f t="shared" si="335"/>
        <v>411511.06475000002</v>
      </c>
      <c r="K251" s="4">
        <f t="shared" si="336"/>
        <v>164604.4259</v>
      </c>
      <c r="L251" s="4">
        <f t="shared" si="337"/>
        <v>82302.212950000001</v>
      </c>
      <c r="M251" s="4">
        <f t="shared" si="338"/>
        <v>823022.12950000004</v>
      </c>
      <c r="N251" s="4">
        <f t="shared" si="339"/>
        <v>0</v>
      </c>
      <c r="O251">
        <v>187616.21</v>
      </c>
      <c r="P251">
        <v>333361.39</v>
      </c>
      <c r="Q251">
        <v>109.13</v>
      </c>
      <c r="R251">
        <v>488490.43</v>
      </c>
    </row>
    <row r="252" spans="1:18" x14ac:dyDescent="0.3">
      <c r="A252" t="s">
        <v>56</v>
      </c>
      <c r="B252">
        <v>2024</v>
      </c>
      <c r="C252" s="4">
        <v>19563308.829999998</v>
      </c>
      <c r="D252" s="4">
        <v>0</v>
      </c>
      <c r="E252" s="4">
        <v>19563308.829999998</v>
      </c>
      <c r="F252" s="4">
        <f t="shared" si="267"/>
        <v>14672481.622499999</v>
      </c>
      <c r="G252" s="4">
        <f t="shared" si="332"/>
        <v>1369431.6181000001</v>
      </c>
      <c r="H252" s="4">
        <f t="shared" si="333"/>
        <v>1173798.5297999999</v>
      </c>
      <c r="I252" s="4">
        <f t="shared" si="334"/>
        <v>586899.26489999995</v>
      </c>
      <c r="J252" s="4">
        <f t="shared" si="335"/>
        <v>489082.72074999998</v>
      </c>
      <c r="K252" s="4">
        <f t="shared" si="336"/>
        <v>195633.08829999997</v>
      </c>
      <c r="L252" s="4">
        <f t="shared" si="337"/>
        <v>97816.544149999987</v>
      </c>
      <c r="M252" s="4">
        <f t="shared" si="338"/>
        <v>978165.44149999996</v>
      </c>
      <c r="N252" s="4">
        <f t="shared" si="339"/>
        <v>0</v>
      </c>
      <c r="O252">
        <v>242659.73</v>
      </c>
      <c r="P252">
        <v>377030.86000000004</v>
      </c>
      <c r="Q252">
        <v>23079.629999999997</v>
      </c>
      <c r="R252">
        <v>10379.039999999999</v>
      </c>
    </row>
    <row r="253" spans="1:18" x14ac:dyDescent="0.3">
      <c r="A253" t="s">
        <v>56</v>
      </c>
      <c r="B253">
        <v>2025</v>
      </c>
      <c r="C253" s="4">
        <v>24096806.520000003</v>
      </c>
      <c r="D253" s="4">
        <v>0</v>
      </c>
      <c r="E253" s="4">
        <v>24096806.520000003</v>
      </c>
      <c r="F253" s="4">
        <f t="shared" si="267"/>
        <v>18072604.890000001</v>
      </c>
      <c r="G253" s="4">
        <f>C253*0.035</f>
        <v>843388.22820000025</v>
      </c>
      <c r="H253" s="4">
        <f>C253*0.06</f>
        <v>1445808.3912000002</v>
      </c>
      <c r="I253" s="4">
        <f>C253*0.03</f>
        <v>722904.19560000009</v>
      </c>
      <c r="J253" s="4">
        <f>C253*0</f>
        <v>0</v>
      </c>
      <c r="K253" s="4">
        <f>C253*0</f>
        <v>0</v>
      </c>
      <c r="L253" s="4">
        <f>C253*0</f>
        <v>0</v>
      </c>
      <c r="M253" s="4">
        <f>C253*0</f>
        <v>0</v>
      </c>
      <c r="N253" s="4">
        <f>C253*0.1</f>
        <v>2409680.6520000002</v>
      </c>
      <c r="O253">
        <v>295432.76</v>
      </c>
      <c r="P253">
        <v>434116.62999999995</v>
      </c>
      <c r="Q253">
        <v>21423.370000000003</v>
      </c>
      <c r="R253">
        <v>166512.07999999999</v>
      </c>
    </row>
    <row r="254" spans="1:18" x14ac:dyDescent="0.3">
      <c r="A254" t="s">
        <v>57</v>
      </c>
      <c r="B254">
        <v>2020</v>
      </c>
      <c r="C254" s="4">
        <v>171158177.87</v>
      </c>
      <c r="D254" s="4">
        <v>11585654.049999999</v>
      </c>
      <c r="E254" s="4">
        <v>182743831.92000002</v>
      </c>
      <c r="F254" s="4">
        <f t="shared" si="267"/>
        <v>128368633.4025</v>
      </c>
      <c r="G254" s="4">
        <f t="shared" ref="G254:G258" si="340">C254*0.07</f>
        <v>11981072.450900001</v>
      </c>
      <c r="H254" s="4">
        <f t="shared" ref="H254:H258" si="341">C254*0.06</f>
        <v>10269490.6722</v>
      </c>
      <c r="I254" s="4">
        <f t="shared" ref="I254:I258" si="342">C254*0.03</f>
        <v>5134745.3361</v>
      </c>
      <c r="J254" s="4">
        <f t="shared" ref="J254:J258" si="343">C254*0.025</f>
        <v>4278954.4467500001</v>
      </c>
      <c r="K254" s="4">
        <f t="shared" ref="K254:K258" si="344">C254*0.01</f>
        <v>1711581.7787000001</v>
      </c>
      <c r="L254" s="4">
        <f t="shared" ref="L254:L258" si="345">C254*0.005</f>
        <v>855790.88935000007</v>
      </c>
      <c r="M254" s="4">
        <f t="shared" ref="M254:M258" si="346">C254*0.05</f>
        <v>8557908.8935000002</v>
      </c>
      <c r="N254" s="4">
        <f t="shared" ref="N254:N258" si="347">C254*0</f>
        <v>0</v>
      </c>
      <c r="O254">
        <v>3330690.5200000005</v>
      </c>
      <c r="P254">
        <v>4550632.7699999996</v>
      </c>
      <c r="Q254">
        <v>45228.51</v>
      </c>
      <c r="R254">
        <v>0</v>
      </c>
    </row>
    <row r="255" spans="1:18" x14ac:dyDescent="0.3">
      <c r="A255" t="s">
        <v>57</v>
      </c>
      <c r="B255">
        <v>2021</v>
      </c>
      <c r="C255" s="4">
        <v>204784624.23999998</v>
      </c>
      <c r="D255" s="4">
        <v>13842854.35</v>
      </c>
      <c r="E255" s="4">
        <v>218627478.59000003</v>
      </c>
      <c r="F255" s="4">
        <f t="shared" si="267"/>
        <v>153588468.17999998</v>
      </c>
      <c r="G255" s="4">
        <f t="shared" si="340"/>
        <v>14334923.696799999</v>
      </c>
      <c r="H255" s="4">
        <f t="shared" si="341"/>
        <v>12287077.454399999</v>
      </c>
      <c r="I255" s="4">
        <f t="shared" si="342"/>
        <v>6143538.7271999996</v>
      </c>
      <c r="J255" s="4">
        <f t="shared" si="343"/>
        <v>5119615.6059999997</v>
      </c>
      <c r="K255" s="4">
        <f t="shared" si="344"/>
        <v>2047846.2423999999</v>
      </c>
      <c r="L255" s="4">
        <f t="shared" si="345"/>
        <v>1023923.1211999999</v>
      </c>
      <c r="M255" s="4">
        <f t="shared" si="346"/>
        <v>10239231.211999999</v>
      </c>
      <c r="N255" s="4">
        <f t="shared" si="347"/>
        <v>0</v>
      </c>
      <c r="O255">
        <v>4339656.5599999996</v>
      </c>
      <c r="P255">
        <v>6155717.7000000002</v>
      </c>
      <c r="Q255">
        <v>0</v>
      </c>
      <c r="R255">
        <v>0</v>
      </c>
    </row>
    <row r="256" spans="1:18" x14ac:dyDescent="0.3">
      <c r="A256" t="s">
        <v>57</v>
      </c>
      <c r="B256">
        <v>2022</v>
      </c>
      <c r="C256" s="4">
        <v>226330862.83999994</v>
      </c>
      <c r="D256" s="4">
        <v>12866210.219999999</v>
      </c>
      <c r="E256" s="4">
        <v>239197073.05999997</v>
      </c>
      <c r="F256" s="4">
        <f t="shared" si="267"/>
        <v>169748147.12999997</v>
      </c>
      <c r="G256" s="4">
        <f t="shared" si="340"/>
        <v>15843160.398799997</v>
      </c>
      <c r="H256" s="4">
        <f t="shared" si="341"/>
        <v>13579851.770399997</v>
      </c>
      <c r="I256" s="4">
        <f t="shared" si="342"/>
        <v>6789925.8851999985</v>
      </c>
      <c r="J256" s="4">
        <f t="shared" si="343"/>
        <v>5658271.5709999986</v>
      </c>
      <c r="K256" s="4">
        <f t="shared" si="344"/>
        <v>2263308.6283999993</v>
      </c>
      <c r="L256" s="4">
        <f t="shared" si="345"/>
        <v>1131654.3141999997</v>
      </c>
      <c r="M256" s="4">
        <f t="shared" si="346"/>
        <v>11316543.141999997</v>
      </c>
      <c r="N256" s="4">
        <f t="shared" si="347"/>
        <v>0</v>
      </c>
      <c r="O256">
        <v>2570164.62</v>
      </c>
      <c r="P256">
        <v>6068538.2000000002</v>
      </c>
      <c r="Q256">
        <v>153326.35</v>
      </c>
      <c r="R256">
        <v>0</v>
      </c>
    </row>
    <row r="257" spans="1:18" x14ac:dyDescent="0.3">
      <c r="A257" t="s">
        <v>57</v>
      </c>
      <c r="B257">
        <v>2023</v>
      </c>
      <c r="C257" s="4">
        <v>219737617.75000003</v>
      </c>
      <c r="D257" s="4">
        <v>0</v>
      </c>
      <c r="E257" s="4">
        <v>219737617.75000003</v>
      </c>
      <c r="F257" s="4">
        <f t="shared" si="267"/>
        <v>164803213.31250003</v>
      </c>
      <c r="G257" s="4">
        <f t="shared" si="340"/>
        <v>15381633.242500003</v>
      </c>
      <c r="H257" s="4">
        <f t="shared" si="341"/>
        <v>13184257.065000001</v>
      </c>
      <c r="I257" s="4">
        <f t="shared" si="342"/>
        <v>6592128.5325000007</v>
      </c>
      <c r="J257" s="4">
        <f t="shared" si="343"/>
        <v>5493440.4437500015</v>
      </c>
      <c r="K257" s="4">
        <f t="shared" si="344"/>
        <v>2197376.1775000002</v>
      </c>
      <c r="L257" s="4">
        <f t="shared" si="345"/>
        <v>1098688.0887500001</v>
      </c>
      <c r="M257" s="4">
        <f t="shared" si="346"/>
        <v>10986880.887500003</v>
      </c>
      <c r="N257" s="4">
        <f t="shared" si="347"/>
        <v>0</v>
      </c>
      <c r="O257">
        <v>2522698.7399999998</v>
      </c>
      <c r="P257">
        <v>4449883.03</v>
      </c>
      <c r="Q257">
        <v>1011.74</v>
      </c>
      <c r="R257">
        <v>6520627.1399999997</v>
      </c>
    </row>
    <row r="258" spans="1:18" x14ac:dyDescent="0.3">
      <c r="A258" t="s">
        <v>57</v>
      </c>
      <c r="B258">
        <v>2024</v>
      </c>
      <c r="C258" s="4">
        <v>241315346.21999997</v>
      </c>
      <c r="D258" s="4">
        <v>0</v>
      </c>
      <c r="E258" s="4">
        <v>241315346.21999997</v>
      </c>
      <c r="F258" s="4">
        <f t="shared" si="267"/>
        <v>180986509.66499996</v>
      </c>
      <c r="G258" s="4">
        <f t="shared" si="340"/>
        <v>16892074.235399999</v>
      </c>
      <c r="H258" s="4">
        <f t="shared" si="341"/>
        <v>14478920.773199998</v>
      </c>
      <c r="I258" s="4">
        <f t="shared" si="342"/>
        <v>7239460.3865999989</v>
      </c>
      <c r="J258" s="4">
        <f t="shared" si="343"/>
        <v>6032883.6554999994</v>
      </c>
      <c r="K258" s="4">
        <f t="shared" si="344"/>
        <v>2413153.4622</v>
      </c>
      <c r="L258" s="4">
        <f t="shared" si="345"/>
        <v>1206576.7311</v>
      </c>
      <c r="M258" s="4">
        <f t="shared" si="346"/>
        <v>12065767.310999999</v>
      </c>
      <c r="N258" s="4">
        <f t="shared" si="347"/>
        <v>0</v>
      </c>
      <c r="O258">
        <v>2993017.8600000003</v>
      </c>
      <c r="P258">
        <v>4650380.7499999991</v>
      </c>
      <c r="Q258">
        <v>209106.13999999998</v>
      </c>
      <c r="R258">
        <v>138544.68000000002</v>
      </c>
    </row>
    <row r="259" spans="1:18" x14ac:dyDescent="0.3">
      <c r="A259" t="s">
        <v>57</v>
      </c>
      <c r="B259">
        <v>2025</v>
      </c>
      <c r="C259" s="4">
        <v>249591953.11000001</v>
      </c>
      <c r="D259" s="4">
        <v>0</v>
      </c>
      <c r="E259" s="4">
        <v>249591953.11000001</v>
      </c>
      <c r="F259" s="4">
        <f t="shared" ref="F259:F322" si="348">C259*0.75</f>
        <v>187193964.83250001</v>
      </c>
      <c r="G259" s="4">
        <f>C259*0.035</f>
        <v>8735718.3588500004</v>
      </c>
      <c r="H259" s="4">
        <f>C259*0.06</f>
        <v>14975517.1866</v>
      </c>
      <c r="I259" s="4">
        <f>C259*0.03</f>
        <v>7487758.5932999998</v>
      </c>
      <c r="J259" s="4">
        <f>C259*0</f>
        <v>0</v>
      </c>
      <c r="K259" s="4">
        <f>C259*0</f>
        <v>0</v>
      </c>
      <c r="L259" s="4">
        <f>C259*0</f>
        <v>0</v>
      </c>
      <c r="M259" s="4">
        <f>C259*0</f>
        <v>0</v>
      </c>
      <c r="N259" s="4">
        <f>C259*0.1</f>
        <v>24959195.311000004</v>
      </c>
      <c r="O259">
        <v>3058557.4000000004</v>
      </c>
      <c r="P259">
        <v>4494324.21</v>
      </c>
      <c r="Q259">
        <v>196114.37</v>
      </c>
      <c r="R259">
        <v>1723866.85</v>
      </c>
    </row>
    <row r="260" spans="1:18" x14ac:dyDescent="0.3">
      <c r="A260" t="s">
        <v>58</v>
      </c>
      <c r="B260">
        <v>2020</v>
      </c>
      <c r="C260" s="4">
        <v>7109398.0699999994</v>
      </c>
      <c r="D260" s="4">
        <v>481246.92000000004</v>
      </c>
      <c r="E260" s="4">
        <v>7590644.9899999984</v>
      </c>
      <c r="F260" s="4">
        <f t="shared" si="348"/>
        <v>5332048.5524999993</v>
      </c>
      <c r="G260" s="4">
        <f t="shared" ref="G260:G264" si="349">C260*0.07</f>
        <v>497657.86489999999</v>
      </c>
      <c r="H260" s="4">
        <f t="shared" ref="H260:H264" si="350">C260*0.06</f>
        <v>426563.88419999997</v>
      </c>
      <c r="I260" s="4">
        <f t="shared" ref="I260:I264" si="351">C260*0.03</f>
        <v>213281.94209999999</v>
      </c>
      <c r="J260" s="4">
        <f t="shared" ref="J260:J264" si="352">C260*0.025</f>
        <v>177734.95175000001</v>
      </c>
      <c r="K260" s="4">
        <f t="shared" ref="K260:K264" si="353">C260*0.01</f>
        <v>71093.9807</v>
      </c>
      <c r="L260" s="4">
        <f t="shared" ref="L260:L264" si="354">C260*0.005</f>
        <v>35546.99035</v>
      </c>
      <c r="M260" s="4">
        <f t="shared" ref="M260:M264" si="355">C260*0.05</f>
        <v>355469.90350000001</v>
      </c>
      <c r="N260" s="4">
        <f t="shared" ref="N260:N264" si="356">C260*0</f>
        <v>0</v>
      </c>
      <c r="O260">
        <v>138350.94</v>
      </c>
      <c r="P260">
        <v>189025.14999999997</v>
      </c>
      <c r="Q260">
        <v>6464.24</v>
      </c>
      <c r="R260">
        <v>0</v>
      </c>
    </row>
    <row r="261" spans="1:18" x14ac:dyDescent="0.3">
      <c r="A261" t="s">
        <v>58</v>
      </c>
      <c r="B261">
        <v>2021</v>
      </c>
      <c r="C261" s="4">
        <v>9075947.4900000002</v>
      </c>
      <c r="D261" s="4">
        <v>613578.92999999993</v>
      </c>
      <c r="E261" s="4">
        <v>9689526.4199999981</v>
      </c>
      <c r="F261" s="4">
        <f t="shared" si="348"/>
        <v>6806960.6174999997</v>
      </c>
      <c r="G261" s="4">
        <f t="shared" si="349"/>
        <v>635316.32430000009</v>
      </c>
      <c r="H261" s="4">
        <f t="shared" si="350"/>
        <v>544556.84939999995</v>
      </c>
      <c r="I261" s="4">
        <f t="shared" si="351"/>
        <v>272278.42469999997</v>
      </c>
      <c r="J261" s="4">
        <f t="shared" si="352"/>
        <v>226898.68725000002</v>
      </c>
      <c r="K261" s="4">
        <f t="shared" si="353"/>
        <v>90759.474900000001</v>
      </c>
      <c r="L261" s="4">
        <f t="shared" si="354"/>
        <v>45379.737450000001</v>
      </c>
      <c r="M261" s="4">
        <f t="shared" si="355"/>
        <v>453797.37450000003</v>
      </c>
      <c r="N261" s="4">
        <f t="shared" si="356"/>
        <v>0</v>
      </c>
      <c r="O261">
        <v>192353.97</v>
      </c>
      <c r="P261">
        <v>272850.33</v>
      </c>
      <c r="Q261">
        <v>0</v>
      </c>
      <c r="R261">
        <v>0</v>
      </c>
    </row>
    <row r="262" spans="1:18" x14ac:dyDescent="0.3">
      <c r="A262" t="s">
        <v>58</v>
      </c>
      <c r="B262">
        <v>2022</v>
      </c>
      <c r="C262" s="4">
        <v>9119994.3599999994</v>
      </c>
      <c r="D262" s="4">
        <v>515394.58999999997</v>
      </c>
      <c r="E262" s="4">
        <v>9635388.9500000011</v>
      </c>
      <c r="F262" s="4">
        <f t="shared" si="348"/>
        <v>6839995.7699999996</v>
      </c>
      <c r="G262" s="4">
        <f t="shared" si="349"/>
        <v>638399.60519999999</v>
      </c>
      <c r="H262" s="4">
        <f t="shared" si="350"/>
        <v>547199.66159999999</v>
      </c>
      <c r="I262" s="4">
        <f t="shared" si="351"/>
        <v>273599.8308</v>
      </c>
      <c r="J262" s="4">
        <f t="shared" si="352"/>
        <v>227999.859</v>
      </c>
      <c r="K262" s="4">
        <f t="shared" si="353"/>
        <v>91199.943599999999</v>
      </c>
      <c r="L262" s="4">
        <f t="shared" si="354"/>
        <v>45599.971799999999</v>
      </c>
      <c r="M262" s="4">
        <f t="shared" si="355"/>
        <v>455999.71799999999</v>
      </c>
      <c r="N262" s="4">
        <f t="shared" si="356"/>
        <v>0</v>
      </c>
      <c r="O262">
        <v>104227.67000000001</v>
      </c>
      <c r="P262">
        <v>244287.74000000002</v>
      </c>
      <c r="Q262">
        <v>21618.39</v>
      </c>
      <c r="R262">
        <v>0</v>
      </c>
    </row>
    <row r="263" spans="1:18" x14ac:dyDescent="0.3">
      <c r="A263" t="s">
        <v>58</v>
      </c>
      <c r="B263">
        <v>2023</v>
      </c>
      <c r="C263" s="4">
        <v>12177801.030000001</v>
      </c>
      <c r="D263" s="4">
        <v>0</v>
      </c>
      <c r="E263" s="4">
        <v>12177801.030000001</v>
      </c>
      <c r="F263" s="4">
        <f t="shared" si="348"/>
        <v>9133350.7725000009</v>
      </c>
      <c r="G263" s="4">
        <f t="shared" si="349"/>
        <v>852446.07210000011</v>
      </c>
      <c r="H263" s="4">
        <f t="shared" si="350"/>
        <v>730668.06180000002</v>
      </c>
      <c r="I263" s="4">
        <f t="shared" si="351"/>
        <v>365334.03090000001</v>
      </c>
      <c r="J263" s="4">
        <f t="shared" si="352"/>
        <v>304445.02575000003</v>
      </c>
      <c r="K263" s="4">
        <f t="shared" si="353"/>
        <v>121778.01030000001</v>
      </c>
      <c r="L263" s="4">
        <f t="shared" si="354"/>
        <v>60889.005150000005</v>
      </c>
      <c r="M263" s="4">
        <f t="shared" si="355"/>
        <v>608890.05150000006</v>
      </c>
      <c r="N263" s="4">
        <f t="shared" si="356"/>
        <v>0</v>
      </c>
      <c r="O263">
        <v>136329.30000000002</v>
      </c>
      <c r="P263">
        <v>246669.55</v>
      </c>
      <c r="Q263">
        <v>142.44999999999999</v>
      </c>
      <c r="R263">
        <v>361456.73</v>
      </c>
    </row>
    <row r="264" spans="1:18" x14ac:dyDescent="0.3">
      <c r="A264" t="s">
        <v>58</v>
      </c>
      <c r="B264">
        <v>2024</v>
      </c>
      <c r="C264" s="4">
        <v>12974322.050000001</v>
      </c>
      <c r="D264" s="4">
        <v>0</v>
      </c>
      <c r="E264" s="4">
        <v>12974322.050000001</v>
      </c>
      <c r="F264" s="4">
        <f t="shared" si="348"/>
        <v>9730741.5375000015</v>
      </c>
      <c r="G264" s="4">
        <f t="shared" si="349"/>
        <v>908202.54350000015</v>
      </c>
      <c r="H264" s="4">
        <f t="shared" si="350"/>
        <v>778459.32299999997</v>
      </c>
      <c r="I264" s="4">
        <f t="shared" si="351"/>
        <v>389229.66149999999</v>
      </c>
      <c r="J264" s="4">
        <f t="shared" si="352"/>
        <v>324358.05125000002</v>
      </c>
      <c r="K264" s="4">
        <f t="shared" si="353"/>
        <v>129743.22050000001</v>
      </c>
      <c r="L264" s="4">
        <f t="shared" si="354"/>
        <v>64871.610250000005</v>
      </c>
      <c r="M264" s="4">
        <f t="shared" si="355"/>
        <v>648716.10250000004</v>
      </c>
      <c r="N264" s="4">
        <f t="shared" si="356"/>
        <v>0</v>
      </c>
      <c r="O264">
        <v>160914.95000000001</v>
      </c>
      <c r="P264">
        <v>250020.48000000001</v>
      </c>
      <c r="Q264">
        <v>28194.239999999998</v>
      </c>
      <c r="R264">
        <v>7679.92</v>
      </c>
    </row>
    <row r="265" spans="1:18" x14ac:dyDescent="0.3">
      <c r="A265" t="s">
        <v>58</v>
      </c>
      <c r="B265">
        <v>2025</v>
      </c>
      <c r="C265" s="4">
        <v>17674140.780000001</v>
      </c>
      <c r="D265" s="4">
        <v>0</v>
      </c>
      <c r="E265" s="4">
        <v>17674140.780000001</v>
      </c>
      <c r="F265" s="4">
        <f t="shared" si="348"/>
        <v>13255605.585000001</v>
      </c>
      <c r="G265" s="4">
        <f>C265*0.035</f>
        <v>618594.9273000001</v>
      </c>
      <c r="H265" s="4">
        <f>C265*0.06</f>
        <v>1060448.4468</v>
      </c>
      <c r="I265" s="4">
        <f>C265*0.03</f>
        <v>530224.22340000002</v>
      </c>
      <c r="J265" s="4">
        <f>C265*0</f>
        <v>0</v>
      </c>
      <c r="K265" s="4">
        <f>C265*0</f>
        <v>0</v>
      </c>
      <c r="L265" s="4">
        <f>C265*0</f>
        <v>0</v>
      </c>
      <c r="M265" s="4">
        <f>C265*0</f>
        <v>0</v>
      </c>
      <c r="N265" s="4">
        <f>C265*0.1</f>
        <v>1767414.0780000002</v>
      </c>
      <c r="O265">
        <v>216742.73</v>
      </c>
      <c r="P265">
        <v>318487.44</v>
      </c>
      <c r="Q265">
        <v>25342.41</v>
      </c>
      <c r="R265">
        <v>122160.72999999998</v>
      </c>
    </row>
    <row r="266" spans="1:18" x14ac:dyDescent="0.3">
      <c r="A266" t="s">
        <v>59</v>
      </c>
      <c r="B266">
        <v>2020</v>
      </c>
      <c r="C266" s="4">
        <v>17044589.84</v>
      </c>
      <c r="D266" s="4">
        <v>1154226.79</v>
      </c>
      <c r="E266" s="4">
        <v>18198816.630000003</v>
      </c>
      <c r="F266" s="4">
        <f t="shared" si="348"/>
        <v>12783442.379999999</v>
      </c>
      <c r="G266" s="4">
        <f t="shared" ref="G266:G270" si="357">C266*0.07</f>
        <v>1193121.2888000002</v>
      </c>
      <c r="H266" s="4">
        <f t="shared" ref="H266:H270" si="358">C266*0.06</f>
        <v>1022675.3903999999</v>
      </c>
      <c r="I266" s="4">
        <f t="shared" ref="I266:I270" si="359">C266*0.03</f>
        <v>511337.69519999996</v>
      </c>
      <c r="J266" s="4">
        <f t="shared" ref="J266:J270" si="360">C266*0.025</f>
        <v>426114.74600000004</v>
      </c>
      <c r="K266" s="4">
        <f t="shared" ref="K266:K270" si="361">C266*0.01</f>
        <v>170445.89840000001</v>
      </c>
      <c r="L266" s="4">
        <f t="shared" ref="L266:L270" si="362">C266*0.005</f>
        <v>85222.949200000003</v>
      </c>
      <c r="M266" s="4">
        <f t="shared" ref="M266:M270" si="363">C266*0.05</f>
        <v>852229.49200000009</v>
      </c>
      <c r="N266" s="4">
        <f t="shared" ref="N266:N270" si="364">C266*0</f>
        <v>0</v>
      </c>
      <c r="O266">
        <v>331826.05</v>
      </c>
      <c r="P266">
        <v>453364.99</v>
      </c>
      <c r="Q266">
        <v>13143.87</v>
      </c>
      <c r="R266">
        <v>0</v>
      </c>
    </row>
    <row r="267" spans="1:18" x14ac:dyDescent="0.3">
      <c r="A267" t="s">
        <v>59</v>
      </c>
      <c r="B267">
        <v>2021</v>
      </c>
      <c r="C267" s="4">
        <v>21959895.989999998</v>
      </c>
      <c r="D267" s="4">
        <v>1484620.0300000005</v>
      </c>
      <c r="E267" s="4">
        <v>23444516.020000003</v>
      </c>
      <c r="F267" s="4">
        <f t="shared" si="348"/>
        <v>16469921.9925</v>
      </c>
      <c r="G267" s="4">
        <f t="shared" si="357"/>
        <v>1537192.7193</v>
      </c>
      <c r="H267" s="4">
        <f t="shared" si="358"/>
        <v>1317593.7593999999</v>
      </c>
      <c r="I267" s="4">
        <f t="shared" si="359"/>
        <v>658796.87969999993</v>
      </c>
      <c r="J267" s="4">
        <f t="shared" si="360"/>
        <v>548997.39974999998</v>
      </c>
      <c r="K267" s="4">
        <f t="shared" si="361"/>
        <v>219598.95989999999</v>
      </c>
      <c r="L267" s="4">
        <f t="shared" si="362"/>
        <v>109799.47994999999</v>
      </c>
      <c r="M267" s="4">
        <f t="shared" si="363"/>
        <v>1097994.7995</v>
      </c>
      <c r="N267" s="4">
        <f t="shared" si="364"/>
        <v>0</v>
      </c>
      <c r="O267">
        <v>465421.19000000006</v>
      </c>
      <c r="P267">
        <v>660190.82999999996</v>
      </c>
      <c r="Q267">
        <v>0</v>
      </c>
      <c r="R267">
        <v>0</v>
      </c>
    </row>
    <row r="268" spans="1:18" x14ac:dyDescent="0.3">
      <c r="A268" t="s">
        <v>59</v>
      </c>
      <c r="B268">
        <v>2022</v>
      </c>
      <c r="C268" s="4">
        <v>25439665.170000002</v>
      </c>
      <c r="D268" s="4">
        <v>1450068.73</v>
      </c>
      <c r="E268" s="4">
        <v>26889733.899999999</v>
      </c>
      <c r="F268" s="4">
        <f t="shared" si="348"/>
        <v>19079748.877500001</v>
      </c>
      <c r="G268" s="4">
        <f t="shared" si="357"/>
        <v>1780776.5619000003</v>
      </c>
      <c r="H268" s="4">
        <f t="shared" si="358"/>
        <v>1526379.9102</v>
      </c>
      <c r="I268" s="4">
        <f t="shared" si="359"/>
        <v>763189.95510000002</v>
      </c>
      <c r="J268" s="4">
        <f t="shared" si="360"/>
        <v>635991.62925000011</v>
      </c>
      <c r="K268" s="4">
        <f t="shared" si="361"/>
        <v>254396.65170000002</v>
      </c>
      <c r="L268" s="4">
        <f t="shared" si="362"/>
        <v>127198.32585000001</v>
      </c>
      <c r="M268" s="4">
        <f t="shared" si="363"/>
        <v>1271983.2585000002</v>
      </c>
      <c r="N268" s="4">
        <f t="shared" si="364"/>
        <v>0</v>
      </c>
      <c r="O268">
        <v>288040.49</v>
      </c>
      <c r="P268">
        <v>682419.30999999994</v>
      </c>
      <c r="Q268">
        <v>43977.54</v>
      </c>
      <c r="R268">
        <v>0</v>
      </c>
    </row>
    <row r="269" spans="1:18" x14ac:dyDescent="0.3">
      <c r="A269" t="s">
        <v>59</v>
      </c>
      <c r="B269">
        <v>2023</v>
      </c>
      <c r="C269" s="4">
        <v>29035827.07</v>
      </c>
      <c r="D269" s="4">
        <v>0</v>
      </c>
      <c r="E269" s="4">
        <v>29035827.07</v>
      </c>
      <c r="F269" s="4">
        <f t="shared" si="348"/>
        <v>21776870.302500002</v>
      </c>
      <c r="G269" s="4">
        <f t="shared" si="357"/>
        <v>2032507.8949000002</v>
      </c>
      <c r="H269" s="4">
        <f t="shared" si="358"/>
        <v>1742149.6242</v>
      </c>
      <c r="I269" s="4">
        <f t="shared" si="359"/>
        <v>871074.81209999998</v>
      </c>
      <c r="J269" s="4">
        <f t="shared" si="360"/>
        <v>725895.6767500001</v>
      </c>
      <c r="K269" s="4">
        <f t="shared" si="361"/>
        <v>290358.27069999999</v>
      </c>
      <c r="L269" s="4">
        <f t="shared" si="362"/>
        <v>145179.13535</v>
      </c>
      <c r="M269" s="4">
        <f t="shared" si="363"/>
        <v>1451791.3535000002</v>
      </c>
      <c r="N269" s="4">
        <f t="shared" si="364"/>
        <v>0</v>
      </c>
      <c r="O269">
        <v>328979.01</v>
      </c>
      <c r="P269">
        <v>588074.53</v>
      </c>
      <c r="Q269">
        <v>289.79000000000002</v>
      </c>
      <c r="R269">
        <v>861733.8</v>
      </c>
    </row>
    <row r="270" spans="1:18" x14ac:dyDescent="0.3">
      <c r="A270" t="s">
        <v>59</v>
      </c>
      <c r="B270">
        <v>2024</v>
      </c>
      <c r="C270" s="4">
        <v>31967724.219999999</v>
      </c>
      <c r="D270" s="4">
        <v>0</v>
      </c>
      <c r="E270" s="4">
        <v>31967724.219999999</v>
      </c>
      <c r="F270" s="4">
        <f t="shared" si="348"/>
        <v>23975793.164999999</v>
      </c>
      <c r="G270" s="4">
        <f t="shared" si="357"/>
        <v>2237740.6954000001</v>
      </c>
      <c r="H270" s="4">
        <f t="shared" si="358"/>
        <v>1918063.4531999999</v>
      </c>
      <c r="I270" s="4">
        <f t="shared" si="359"/>
        <v>959031.72659999994</v>
      </c>
      <c r="J270" s="4">
        <f t="shared" si="360"/>
        <v>799193.10550000006</v>
      </c>
      <c r="K270" s="4">
        <f t="shared" si="361"/>
        <v>319677.24219999998</v>
      </c>
      <c r="L270" s="4">
        <f t="shared" si="362"/>
        <v>159838.62109999999</v>
      </c>
      <c r="M270" s="4">
        <f t="shared" si="363"/>
        <v>1598386.2110000001</v>
      </c>
      <c r="N270" s="4">
        <f t="shared" si="364"/>
        <v>0</v>
      </c>
      <c r="O270">
        <v>396494.42000000004</v>
      </c>
      <c r="P270">
        <v>616050.42999999993</v>
      </c>
      <c r="Q270">
        <v>62784.099999999991</v>
      </c>
      <c r="R270">
        <v>18309.379999999997</v>
      </c>
    </row>
    <row r="271" spans="1:18" x14ac:dyDescent="0.3">
      <c r="A271" t="s">
        <v>59</v>
      </c>
      <c r="B271">
        <v>2025</v>
      </c>
      <c r="C271" s="4">
        <v>32952563.32</v>
      </c>
      <c r="D271" s="4">
        <v>0</v>
      </c>
      <c r="E271" s="4">
        <v>32952563.32</v>
      </c>
      <c r="F271" s="4">
        <f t="shared" si="348"/>
        <v>24714422.490000002</v>
      </c>
      <c r="G271" s="4">
        <f>C271*0.035</f>
        <v>1153339.7162000001</v>
      </c>
      <c r="H271" s="4">
        <f>C271*0.06</f>
        <v>1977153.7992</v>
      </c>
      <c r="I271" s="4">
        <f>C271*0.03</f>
        <v>988576.8996</v>
      </c>
      <c r="J271" s="4">
        <f>C271*0</f>
        <v>0</v>
      </c>
      <c r="K271" s="4">
        <f>C271*0</f>
        <v>0</v>
      </c>
      <c r="L271" s="4">
        <f>C271*0</f>
        <v>0</v>
      </c>
      <c r="M271" s="4">
        <f>C271*0</f>
        <v>0</v>
      </c>
      <c r="N271" s="4">
        <f>C271*0.1</f>
        <v>3295256.3320000004</v>
      </c>
      <c r="O271">
        <v>403804.14</v>
      </c>
      <c r="P271">
        <v>593360.34000000008</v>
      </c>
      <c r="Q271">
        <v>62090.5</v>
      </c>
      <c r="R271">
        <v>227592.44</v>
      </c>
    </row>
    <row r="272" spans="1:18" x14ac:dyDescent="0.3">
      <c r="A272" t="s">
        <v>60</v>
      </c>
      <c r="B272">
        <v>2020</v>
      </c>
      <c r="C272" s="4">
        <v>19716472.030000001</v>
      </c>
      <c r="D272" s="4">
        <v>1334706.27</v>
      </c>
      <c r="E272" s="4">
        <v>21051178.299999997</v>
      </c>
      <c r="F272" s="4">
        <f t="shared" si="348"/>
        <v>14787354.022500001</v>
      </c>
      <c r="G272" s="4">
        <f t="shared" ref="G272:G276" si="365">C272*0.07</f>
        <v>1380153.0421000002</v>
      </c>
      <c r="H272" s="4">
        <f t="shared" ref="H272:H276" si="366">C272*0.06</f>
        <v>1182988.3218</v>
      </c>
      <c r="I272" s="4">
        <f t="shared" ref="I272:I276" si="367">C272*0.03</f>
        <v>591494.16090000002</v>
      </c>
      <c r="J272" s="4">
        <f t="shared" ref="J272:J276" si="368">C272*0.025</f>
        <v>492911.80075000005</v>
      </c>
      <c r="K272" s="4">
        <f t="shared" ref="K272:K276" si="369">C272*0.01</f>
        <v>197164.72030000002</v>
      </c>
      <c r="L272" s="4">
        <f t="shared" ref="L272:L276" si="370">C272*0.005</f>
        <v>98582.360150000008</v>
      </c>
      <c r="M272" s="4">
        <f t="shared" ref="M272:M276" si="371">C272*0.05</f>
        <v>985823.60150000011</v>
      </c>
      <c r="N272" s="4">
        <f t="shared" ref="N272:N276" si="372">C272*0</f>
        <v>0</v>
      </c>
      <c r="O272">
        <v>383707.64000000007</v>
      </c>
      <c r="P272">
        <v>524249.45000000007</v>
      </c>
      <c r="Q272">
        <v>6642.32</v>
      </c>
      <c r="R272">
        <v>0</v>
      </c>
    </row>
    <row r="273" spans="1:18" x14ac:dyDescent="0.3">
      <c r="A273" t="s">
        <v>60</v>
      </c>
      <c r="B273">
        <v>2021</v>
      </c>
      <c r="C273" s="4">
        <v>23387052.23</v>
      </c>
      <c r="D273" s="4">
        <v>1580872.4100000004</v>
      </c>
      <c r="E273" s="4">
        <v>24967924.640000001</v>
      </c>
      <c r="F273" s="4">
        <f t="shared" si="348"/>
        <v>17540289.172499999</v>
      </c>
      <c r="G273" s="4">
        <f t="shared" si="365"/>
        <v>1637093.6561000003</v>
      </c>
      <c r="H273" s="4">
        <f t="shared" si="366"/>
        <v>1403223.1338</v>
      </c>
      <c r="I273" s="4">
        <f t="shared" si="367"/>
        <v>701611.56689999998</v>
      </c>
      <c r="J273" s="4">
        <f t="shared" si="368"/>
        <v>584676.30575000006</v>
      </c>
      <c r="K273" s="4">
        <f t="shared" si="369"/>
        <v>233870.52230000001</v>
      </c>
      <c r="L273" s="4">
        <f t="shared" si="370"/>
        <v>116935.26115000001</v>
      </c>
      <c r="M273" s="4">
        <f t="shared" si="371"/>
        <v>1169352.6115000001</v>
      </c>
      <c r="N273" s="4">
        <f t="shared" si="372"/>
        <v>0</v>
      </c>
      <c r="O273">
        <v>495594.36</v>
      </c>
      <c r="P273">
        <v>702990.88</v>
      </c>
      <c r="Q273">
        <v>0</v>
      </c>
      <c r="R273">
        <v>0</v>
      </c>
    </row>
    <row r="274" spans="1:18" x14ac:dyDescent="0.3">
      <c r="A274" t="s">
        <v>60</v>
      </c>
      <c r="B274">
        <v>2022</v>
      </c>
      <c r="C274" s="4">
        <v>26953011.430000003</v>
      </c>
      <c r="D274" s="4">
        <v>1535892.74</v>
      </c>
      <c r="E274" s="4">
        <v>28488904.170000002</v>
      </c>
      <c r="F274" s="4">
        <f t="shared" si="348"/>
        <v>20214758.572500002</v>
      </c>
      <c r="G274" s="4">
        <f t="shared" si="365"/>
        <v>1886710.8001000003</v>
      </c>
      <c r="H274" s="4">
        <f t="shared" si="366"/>
        <v>1617180.6858000001</v>
      </c>
      <c r="I274" s="4">
        <f t="shared" si="367"/>
        <v>808590.34290000005</v>
      </c>
      <c r="J274" s="4">
        <f t="shared" si="368"/>
        <v>673825.28575000016</v>
      </c>
      <c r="K274" s="4">
        <f t="shared" si="369"/>
        <v>269530.11430000002</v>
      </c>
      <c r="L274" s="4">
        <f t="shared" si="370"/>
        <v>134765.05715000001</v>
      </c>
      <c r="M274" s="4">
        <f t="shared" si="371"/>
        <v>1347650.5715000003</v>
      </c>
      <c r="N274" s="4">
        <f t="shared" si="372"/>
        <v>0</v>
      </c>
      <c r="O274">
        <v>305268.99</v>
      </c>
      <c r="P274">
        <v>722978.57</v>
      </c>
      <c r="Q274">
        <v>24321.86</v>
      </c>
      <c r="R274">
        <v>0</v>
      </c>
    </row>
    <row r="275" spans="1:18" x14ac:dyDescent="0.3">
      <c r="A275" t="s">
        <v>60</v>
      </c>
      <c r="B275">
        <v>2023</v>
      </c>
      <c r="C275" s="4">
        <v>26964581.489999998</v>
      </c>
      <c r="D275" s="4">
        <v>0</v>
      </c>
      <c r="E275" s="4">
        <v>26964581.489999998</v>
      </c>
      <c r="F275" s="4">
        <f t="shared" si="348"/>
        <v>20223436.1175</v>
      </c>
      <c r="G275" s="4">
        <f t="shared" si="365"/>
        <v>1887520.7043000001</v>
      </c>
      <c r="H275" s="4">
        <f t="shared" si="366"/>
        <v>1617874.8893999998</v>
      </c>
      <c r="I275" s="4">
        <f t="shared" si="367"/>
        <v>808937.44469999988</v>
      </c>
      <c r="J275" s="4">
        <f t="shared" si="368"/>
        <v>674114.53725000005</v>
      </c>
      <c r="K275" s="4">
        <f t="shared" si="369"/>
        <v>269645.8149</v>
      </c>
      <c r="L275" s="4">
        <f t="shared" si="370"/>
        <v>134822.90745</v>
      </c>
      <c r="M275" s="4">
        <f t="shared" si="371"/>
        <v>1348229.0745000001</v>
      </c>
      <c r="N275" s="4">
        <f t="shared" si="372"/>
        <v>0</v>
      </c>
      <c r="O275">
        <v>308829.83</v>
      </c>
      <c r="P275">
        <v>546069.20000000007</v>
      </c>
      <c r="Q275">
        <v>165.99</v>
      </c>
      <c r="R275">
        <v>800181.40999999992</v>
      </c>
    </row>
    <row r="276" spans="1:18" x14ac:dyDescent="0.3">
      <c r="A276" t="s">
        <v>60</v>
      </c>
      <c r="B276">
        <v>2024</v>
      </c>
      <c r="C276" s="4">
        <v>29425080.499999996</v>
      </c>
      <c r="D276" s="4">
        <v>0</v>
      </c>
      <c r="E276" s="4">
        <v>29425080.499999996</v>
      </c>
      <c r="F276" s="4">
        <f t="shared" si="348"/>
        <v>22068810.374999996</v>
      </c>
      <c r="G276" s="4">
        <f t="shared" si="365"/>
        <v>2059755.635</v>
      </c>
      <c r="H276" s="4">
        <f t="shared" si="366"/>
        <v>1765504.8299999996</v>
      </c>
      <c r="I276" s="4">
        <f t="shared" si="367"/>
        <v>882752.4149999998</v>
      </c>
      <c r="J276" s="4">
        <f t="shared" si="368"/>
        <v>735627.01249999995</v>
      </c>
      <c r="K276" s="4">
        <f t="shared" si="369"/>
        <v>294250.80499999999</v>
      </c>
      <c r="L276" s="4">
        <f t="shared" si="370"/>
        <v>147125.4025</v>
      </c>
      <c r="M276" s="4">
        <f t="shared" si="371"/>
        <v>1471254.0249999999</v>
      </c>
      <c r="N276" s="4">
        <f t="shared" si="372"/>
        <v>0</v>
      </c>
      <c r="O276">
        <v>364955.06999999995</v>
      </c>
      <c r="P276">
        <v>567046.40999999992</v>
      </c>
      <c r="Q276">
        <v>35244.67</v>
      </c>
      <c r="R276">
        <v>17001.560000000001</v>
      </c>
    </row>
    <row r="277" spans="1:18" x14ac:dyDescent="0.3">
      <c r="A277" t="s">
        <v>60</v>
      </c>
      <c r="B277">
        <v>2025</v>
      </c>
      <c r="C277" s="4">
        <v>31259834.400000006</v>
      </c>
      <c r="D277" s="4">
        <v>0</v>
      </c>
      <c r="E277" s="4">
        <v>31259834.400000006</v>
      </c>
      <c r="F277" s="4">
        <f t="shared" si="348"/>
        <v>23444875.800000004</v>
      </c>
      <c r="G277" s="4">
        <f>C277*0.035</f>
        <v>1094094.2040000004</v>
      </c>
      <c r="H277" s="4">
        <f>C277*0.06</f>
        <v>1875590.0640000002</v>
      </c>
      <c r="I277" s="4">
        <f>C277*0.03</f>
        <v>937795.03200000012</v>
      </c>
      <c r="J277" s="4">
        <f>C277*0</f>
        <v>0</v>
      </c>
      <c r="K277" s="4">
        <f>C277*0</f>
        <v>0</v>
      </c>
      <c r="L277" s="4">
        <f>C277*0</f>
        <v>0</v>
      </c>
      <c r="M277" s="4">
        <f>C277*0</f>
        <v>0</v>
      </c>
      <c r="N277" s="4">
        <f>C277*0.1</f>
        <v>3125983.4400000009</v>
      </c>
      <c r="O277">
        <v>383096.22000000003</v>
      </c>
      <c r="P277">
        <v>562931.59</v>
      </c>
      <c r="Q277">
        <v>32898.58</v>
      </c>
      <c r="R277">
        <v>215921.03999999998</v>
      </c>
    </row>
    <row r="278" spans="1:18" x14ac:dyDescent="0.3">
      <c r="A278" t="s">
        <v>61</v>
      </c>
      <c r="B278">
        <v>2020</v>
      </c>
      <c r="C278" s="4">
        <v>11912286.529999999</v>
      </c>
      <c r="D278" s="4">
        <v>806461.48999999987</v>
      </c>
      <c r="E278" s="4">
        <v>12718748.019999998</v>
      </c>
      <c r="F278" s="4">
        <f t="shared" si="348"/>
        <v>8934214.897499999</v>
      </c>
      <c r="G278" s="4">
        <f t="shared" ref="G278:G282" si="373">C278*0.07</f>
        <v>833860.05709999998</v>
      </c>
      <c r="H278" s="4">
        <f t="shared" ref="H278:H282" si="374">C278*0.06</f>
        <v>714737.19179999991</v>
      </c>
      <c r="I278" s="4">
        <f t="shared" ref="I278:I282" si="375">C278*0.03</f>
        <v>357368.59589999996</v>
      </c>
      <c r="J278" s="4">
        <f t="shared" ref="J278:J282" si="376">C278*0.025</f>
        <v>297807.16324999998</v>
      </c>
      <c r="K278" s="4">
        <f t="shared" ref="K278:K282" si="377">C278*0.01</f>
        <v>119122.86529999999</v>
      </c>
      <c r="L278" s="4">
        <f t="shared" ref="L278:L282" si="378">C278*0.005</f>
        <v>59561.432649999995</v>
      </c>
      <c r="M278" s="4">
        <f t="shared" ref="M278:M282" si="379">C278*0.05</f>
        <v>595614.32649999997</v>
      </c>
      <c r="N278" s="4">
        <f t="shared" ref="N278:N282" si="380">C278*0</f>
        <v>0</v>
      </c>
      <c r="O278">
        <v>231845.88999999998</v>
      </c>
      <c r="P278">
        <v>316764.81000000006</v>
      </c>
      <c r="Q278">
        <v>5247.86</v>
      </c>
      <c r="R278">
        <v>0</v>
      </c>
    </row>
    <row r="279" spans="1:18" x14ac:dyDescent="0.3">
      <c r="A279" t="s">
        <v>61</v>
      </c>
      <c r="B279">
        <v>2021</v>
      </c>
      <c r="C279" s="4">
        <v>15588606.800000001</v>
      </c>
      <c r="D279" s="4">
        <v>1053911.25</v>
      </c>
      <c r="E279" s="4">
        <v>16642518.050000001</v>
      </c>
      <c r="F279" s="4">
        <f t="shared" si="348"/>
        <v>11691455.100000001</v>
      </c>
      <c r="G279" s="4">
        <f t="shared" si="373"/>
        <v>1091202.4760000003</v>
      </c>
      <c r="H279" s="4">
        <f t="shared" si="374"/>
        <v>935316.40800000005</v>
      </c>
      <c r="I279" s="4">
        <f t="shared" si="375"/>
        <v>467658.20400000003</v>
      </c>
      <c r="J279" s="4">
        <f t="shared" si="376"/>
        <v>389715.17000000004</v>
      </c>
      <c r="K279" s="4">
        <f t="shared" si="377"/>
        <v>155886.068</v>
      </c>
      <c r="L279" s="4">
        <f t="shared" si="378"/>
        <v>77943.034</v>
      </c>
      <c r="M279" s="4">
        <f t="shared" si="379"/>
        <v>779430.34000000008</v>
      </c>
      <c r="N279" s="4">
        <f t="shared" si="380"/>
        <v>0</v>
      </c>
      <c r="O279">
        <v>330396.24</v>
      </c>
      <c r="P279">
        <v>468660.61</v>
      </c>
      <c r="Q279">
        <v>0</v>
      </c>
      <c r="R279">
        <v>0</v>
      </c>
    </row>
    <row r="280" spans="1:18" x14ac:dyDescent="0.3">
      <c r="A280" t="s">
        <v>61</v>
      </c>
      <c r="B280">
        <v>2022</v>
      </c>
      <c r="C280" s="4">
        <v>18827810.5</v>
      </c>
      <c r="D280" s="4">
        <v>1075643.5299999998</v>
      </c>
      <c r="E280" s="4">
        <v>19903454.030000001</v>
      </c>
      <c r="F280" s="4">
        <f t="shared" si="348"/>
        <v>14120857.875</v>
      </c>
      <c r="G280" s="4">
        <f t="shared" si="373"/>
        <v>1317946.7350000001</v>
      </c>
      <c r="H280" s="4">
        <f t="shared" si="374"/>
        <v>1129668.6299999999</v>
      </c>
      <c r="I280" s="4">
        <f t="shared" si="375"/>
        <v>564834.31499999994</v>
      </c>
      <c r="J280" s="4">
        <f t="shared" si="376"/>
        <v>470695.26250000001</v>
      </c>
      <c r="K280" s="4">
        <f t="shared" si="377"/>
        <v>188278.10500000001</v>
      </c>
      <c r="L280" s="4">
        <f t="shared" si="378"/>
        <v>94139.052500000005</v>
      </c>
      <c r="M280" s="4">
        <f t="shared" si="379"/>
        <v>941390.52500000002</v>
      </c>
      <c r="N280" s="4">
        <f t="shared" si="380"/>
        <v>0</v>
      </c>
      <c r="O280">
        <v>212644.97999999998</v>
      </c>
      <c r="P280">
        <v>505252.79000000004</v>
      </c>
      <c r="Q280">
        <v>17554.170000000002</v>
      </c>
      <c r="R280">
        <v>0</v>
      </c>
    </row>
    <row r="281" spans="1:18" x14ac:dyDescent="0.3">
      <c r="A281" t="s">
        <v>61</v>
      </c>
      <c r="B281">
        <v>2023</v>
      </c>
      <c r="C281" s="4">
        <v>19241216.760000002</v>
      </c>
      <c r="D281" s="4">
        <v>0</v>
      </c>
      <c r="E281" s="4">
        <v>19241216.760000002</v>
      </c>
      <c r="F281" s="4">
        <f t="shared" si="348"/>
        <v>14430912.57</v>
      </c>
      <c r="G281" s="4">
        <f t="shared" si="373"/>
        <v>1346885.1732000003</v>
      </c>
      <c r="H281" s="4">
        <f t="shared" si="374"/>
        <v>1154473.0056</v>
      </c>
      <c r="I281" s="4">
        <f t="shared" si="375"/>
        <v>577236.50280000002</v>
      </c>
      <c r="J281" s="4">
        <f t="shared" si="376"/>
        <v>481030.41900000005</v>
      </c>
      <c r="K281" s="4">
        <f t="shared" si="377"/>
        <v>192412.16760000002</v>
      </c>
      <c r="L281" s="4">
        <f t="shared" si="378"/>
        <v>96206.083800000008</v>
      </c>
      <c r="M281" s="4">
        <f t="shared" si="379"/>
        <v>962060.83800000011</v>
      </c>
      <c r="N281" s="4">
        <f t="shared" si="380"/>
        <v>0</v>
      </c>
      <c r="O281">
        <v>220028.06</v>
      </c>
      <c r="P281">
        <v>389666.41</v>
      </c>
      <c r="Q281">
        <v>115.67</v>
      </c>
      <c r="R281">
        <v>570996.87</v>
      </c>
    </row>
    <row r="282" spans="1:18" x14ac:dyDescent="0.3">
      <c r="A282" t="s">
        <v>61</v>
      </c>
      <c r="B282">
        <v>2024</v>
      </c>
      <c r="C282" s="4">
        <v>23869479.02</v>
      </c>
      <c r="D282" s="4">
        <v>0</v>
      </c>
      <c r="E282" s="4">
        <v>23869479.02</v>
      </c>
      <c r="F282" s="4">
        <f t="shared" si="348"/>
        <v>17902109.265000001</v>
      </c>
      <c r="G282" s="4">
        <f t="shared" si="373"/>
        <v>1670863.5314000002</v>
      </c>
      <c r="H282" s="4">
        <f t="shared" si="374"/>
        <v>1432168.7411999998</v>
      </c>
      <c r="I282" s="4">
        <f t="shared" si="375"/>
        <v>716084.37059999991</v>
      </c>
      <c r="J282" s="4">
        <f t="shared" si="376"/>
        <v>596736.97550000006</v>
      </c>
      <c r="K282" s="4">
        <f t="shared" si="377"/>
        <v>238694.79019999999</v>
      </c>
      <c r="L282" s="4">
        <f t="shared" si="378"/>
        <v>119347.39509999999</v>
      </c>
      <c r="M282" s="4">
        <f t="shared" si="379"/>
        <v>1193473.9510000001</v>
      </c>
      <c r="N282" s="4">
        <f t="shared" si="380"/>
        <v>0</v>
      </c>
      <c r="O282">
        <v>296083.49</v>
      </c>
      <c r="P282">
        <v>460037.65000000008</v>
      </c>
      <c r="Q282">
        <v>24054.46</v>
      </c>
      <c r="R282">
        <v>12132.08</v>
      </c>
    </row>
    <row r="283" spans="1:18" x14ac:dyDescent="0.3">
      <c r="A283" t="s">
        <v>61</v>
      </c>
      <c r="B283">
        <v>2025</v>
      </c>
      <c r="C283" s="4">
        <v>28434467.169999998</v>
      </c>
      <c r="D283" s="4">
        <v>0</v>
      </c>
      <c r="E283" s="4">
        <v>28434467.169999998</v>
      </c>
      <c r="F283" s="4">
        <f t="shared" si="348"/>
        <v>21325850.377499998</v>
      </c>
      <c r="G283" s="4">
        <f>C283*0.035</f>
        <v>995206.35094999999</v>
      </c>
      <c r="H283" s="4">
        <f>C283*0.06</f>
        <v>1706068.0301999999</v>
      </c>
      <c r="I283" s="4">
        <f>C283*0.03</f>
        <v>853034.01509999996</v>
      </c>
      <c r="J283" s="4">
        <f>C283*0</f>
        <v>0</v>
      </c>
      <c r="K283" s="4">
        <f>C283*0</f>
        <v>0</v>
      </c>
      <c r="L283" s="4">
        <f>C283*0</f>
        <v>0</v>
      </c>
      <c r="M283" s="4">
        <f>C283*0</f>
        <v>0</v>
      </c>
      <c r="N283" s="4">
        <f>C283*0.1</f>
        <v>2843446.7170000002</v>
      </c>
      <c r="O283">
        <v>348583.06000000006</v>
      </c>
      <c r="P283">
        <v>512217.05</v>
      </c>
      <c r="Q283">
        <v>22257.190000000002</v>
      </c>
      <c r="R283">
        <v>196468.7</v>
      </c>
    </row>
    <row r="284" spans="1:18" x14ac:dyDescent="0.3">
      <c r="A284" t="s">
        <v>62</v>
      </c>
      <c r="B284">
        <v>2020</v>
      </c>
      <c r="C284" s="4">
        <v>14301717.800000001</v>
      </c>
      <c r="D284" s="4">
        <v>968132.63000000012</v>
      </c>
      <c r="E284" s="4">
        <v>15269850.43</v>
      </c>
      <c r="F284" s="4">
        <f t="shared" si="348"/>
        <v>10726288.350000001</v>
      </c>
      <c r="G284" s="4">
        <f t="shared" ref="G284:G288" si="381">C284*0.07</f>
        <v>1001120.2460000002</v>
      </c>
      <c r="H284" s="4">
        <f t="shared" ref="H284:H288" si="382">C284*0.06</f>
        <v>858103.06799999997</v>
      </c>
      <c r="I284" s="4">
        <f t="shared" ref="I284:I288" si="383">C284*0.03</f>
        <v>429051.53399999999</v>
      </c>
      <c r="J284" s="4">
        <f t="shared" ref="J284:J288" si="384">C284*0.025</f>
        <v>357542.94500000007</v>
      </c>
      <c r="K284" s="4">
        <f t="shared" ref="K284:K288" si="385">C284*0.01</f>
        <v>143017.17800000001</v>
      </c>
      <c r="L284" s="4">
        <f t="shared" ref="L284:L288" si="386">C284*0.005</f>
        <v>71508.589000000007</v>
      </c>
      <c r="M284" s="4">
        <f t="shared" ref="M284:M288" si="387">C284*0.05</f>
        <v>715085.89000000013</v>
      </c>
      <c r="N284" s="4">
        <f t="shared" ref="N284:N288" si="388">C284*0</f>
        <v>0</v>
      </c>
      <c r="O284">
        <v>278323.15999999992</v>
      </c>
      <c r="P284">
        <v>380265.44</v>
      </c>
      <c r="Q284">
        <v>9739.6200000000008</v>
      </c>
      <c r="R284">
        <v>0</v>
      </c>
    </row>
    <row r="285" spans="1:18" x14ac:dyDescent="0.3">
      <c r="A285" t="s">
        <v>62</v>
      </c>
      <c r="B285">
        <v>2021</v>
      </c>
      <c r="C285" s="4">
        <v>17796787.57</v>
      </c>
      <c r="D285" s="4">
        <v>1203097.1400000001</v>
      </c>
      <c r="E285" s="4">
        <v>18999884.710000001</v>
      </c>
      <c r="F285" s="4">
        <f t="shared" si="348"/>
        <v>13347590.6775</v>
      </c>
      <c r="G285" s="4">
        <f t="shared" si="381"/>
        <v>1245775.1299000001</v>
      </c>
      <c r="H285" s="4">
        <f t="shared" si="382"/>
        <v>1067807.2542000001</v>
      </c>
      <c r="I285" s="4">
        <f t="shared" si="383"/>
        <v>533903.62710000004</v>
      </c>
      <c r="J285" s="4">
        <f t="shared" si="384"/>
        <v>444919.68925000005</v>
      </c>
      <c r="K285" s="4">
        <f t="shared" si="385"/>
        <v>177967.8757</v>
      </c>
      <c r="L285" s="4">
        <f t="shared" si="386"/>
        <v>88983.937850000002</v>
      </c>
      <c r="M285" s="4">
        <f t="shared" si="387"/>
        <v>889839.37850000011</v>
      </c>
      <c r="N285" s="4">
        <f t="shared" si="388"/>
        <v>0</v>
      </c>
      <c r="O285">
        <v>377164.63999999996</v>
      </c>
      <c r="P285">
        <v>535000.65999999992</v>
      </c>
      <c r="Q285">
        <v>0</v>
      </c>
      <c r="R285">
        <v>0</v>
      </c>
    </row>
    <row r="286" spans="1:18" x14ac:dyDescent="0.3">
      <c r="A286" t="s">
        <v>62</v>
      </c>
      <c r="B286">
        <v>2022</v>
      </c>
      <c r="C286" s="4">
        <v>21415566.039999999</v>
      </c>
      <c r="D286" s="4">
        <v>1223245.1100000001</v>
      </c>
      <c r="E286" s="4">
        <v>22638811.149999999</v>
      </c>
      <c r="F286" s="4">
        <f t="shared" si="348"/>
        <v>16061674.529999999</v>
      </c>
      <c r="G286" s="4">
        <f t="shared" si="381"/>
        <v>1499089.6228</v>
      </c>
      <c r="H286" s="4">
        <f t="shared" si="382"/>
        <v>1284933.9623999998</v>
      </c>
      <c r="I286" s="4">
        <f t="shared" si="383"/>
        <v>642466.98119999992</v>
      </c>
      <c r="J286" s="4">
        <f t="shared" si="384"/>
        <v>535389.15099999995</v>
      </c>
      <c r="K286" s="4">
        <f t="shared" si="385"/>
        <v>214155.66039999999</v>
      </c>
      <c r="L286" s="4">
        <f t="shared" si="386"/>
        <v>107077.8302</v>
      </c>
      <c r="M286" s="4">
        <f t="shared" si="387"/>
        <v>1070778.3019999999</v>
      </c>
      <c r="N286" s="4">
        <f t="shared" si="388"/>
        <v>0</v>
      </c>
      <c r="O286">
        <v>241922.76</v>
      </c>
      <c r="P286">
        <v>574676.74</v>
      </c>
      <c r="Q286">
        <v>32207.989999999998</v>
      </c>
      <c r="R286">
        <v>0</v>
      </c>
    </row>
    <row r="287" spans="1:18" x14ac:dyDescent="0.3">
      <c r="A287" t="s">
        <v>62</v>
      </c>
      <c r="B287">
        <v>2023</v>
      </c>
      <c r="C287" s="4">
        <v>21844988.18</v>
      </c>
      <c r="D287" s="4">
        <v>0</v>
      </c>
      <c r="E287" s="4">
        <v>21844988.18</v>
      </c>
      <c r="F287" s="4">
        <f t="shared" si="348"/>
        <v>16383741.135</v>
      </c>
      <c r="G287" s="4">
        <f t="shared" si="381"/>
        <v>1529149.1726000002</v>
      </c>
      <c r="H287" s="4">
        <f t="shared" si="382"/>
        <v>1310699.2907999998</v>
      </c>
      <c r="I287" s="4">
        <f t="shared" si="383"/>
        <v>655349.64539999992</v>
      </c>
      <c r="J287" s="4">
        <f t="shared" si="384"/>
        <v>546124.70449999999</v>
      </c>
      <c r="K287" s="4">
        <f t="shared" si="385"/>
        <v>218449.8818</v>
      </c>
      <c r="L287" s="4">
        <f t="shared" si="386"/>
        <v>109224.9409</v>
      </c>
      <c r="M287" s="4">
        <f t="shared" si="387"/>
        <v>1092249.409</v>
      </c>
      <c r="N287" s="4">
        <f t="shared" si="388"/>
        <v>0</v>
      </c>
      <c r="O287">
        <v>249837.65999999995</v>
      </c>
      <c r="P287">
        <v>442396.48</v>
      </c>
      <c r="Q287">
        <v>211.97</v>
      </c>
      <c r="R287">
        <v>648264.81000000006</v>
      </c>
    </row>
    <row r="288" spans="1:18" x14ac:dyDescent="0.3">
      <c r="A288" t="s">
        <v>62</v>
      </c>
      <c r="B288">
        <v>2024</v>
      </c>
      <c r="C288" s="4">
        <v>24649872.329999998</v>
      </c>
      <c r="D288" s="4">
        <v>0</v>
      </c>
      <c r="E288" s="4">
        <v>24649872.329999998</v>
      </c>
      <c r="F288" s="4">
        <f t="shared" si="348"/>
        <v>18487404.247499999</v>
      </c>
      <c r="G288" s="4">
        <f t="shared" si="381"/>
        <v>1725491.0631000001</v>
      </c>
      <c r="H288" s="4">
        <f t="shared" si="382"/>
        <v>1478992.3397999997</v>
      </c>
      <c r="I288" s="4">
        <f t="shared" si="383"/>
        <v>739496.16989999986</v>
      </c>
      <c r="J288" s="4">
        <f t="shared" si="384"/>
        <v>616246.80825</v>
      </c>
      <c r="K288" s="4">
        <f t="shared" si="385"/>
        <v>246498.72329999998</v>
      </c>
      <c r="L288" s="4">
        <f t="shared" si="386"/>
        <v>123249.36164999999</v>
      </c>
      <c r="M288" s="4">
        <f t="shared" si="387"/>
        <v>1232493.6165</v>
      </c>
      <c r="N288" s="4">
        <f t="shared" si="388"/>
        <v>0</v>
      </c>
      <c r="O288">
        <v>305738.39</v>
      </c>
      <c r="P288">
        <v>475038.87999999995</v>
      </c>
      <c r="Q288">
        <v>43990.039999999994</v>
      </c>
      <c r="R288">
        <v>13773.78</v>
      </c>
    </row>
    <row r="289" spans="1:18" x14ac:dyDescent="0.3">
      <c r="A289" t="s">
        <v>62</v>
      </c>
      <c r="B289">
        <v>2025</v>
      </c>
      <c r="C289" s="4">
        <v>26415289.52</v>
      </c>
      <c r="D289" s="4">
        <v>0</v>
      </c>
      <c r="E289" s="4">
        <v>26415289.52</v>
      </c>
      <c r="F289" s="4">
        <f t="shared" si="348"/>
        <v>19811467.140000001</v>
      </c>
      <c r="G289" s="4">
        <f>C289*0.035</f>
        <v>924535.13320000004</v>
      </c>
      <c r="H289" s="4">
        <f>C289*0.06</f>
        <v>1584917.3711999999</v>
      </c>
      <c r="I289" s="4">
        <f>C289*0.03</f>
        <v>792458.68559999997</v>
      </c>
      <c r="J289" s="4">
        <f>C289*0</f>
        <v>0</v>
      </c>
      <c r="K289" s="4">
        <f>C289*0</f>
        <v>0</v>
      </c>
      <c r="L289" s="4">
        <f>C289*0</f>
        <v>0</v>
      </c>
      <c r="M289" s="4">
        <f>C289*0</f>
        <v>0</v>
      </c>
      <c r="N289" s="4">
        <f>C289*0.1</f>
        <v>2641528.952</v>
      </c>
      <c r="O289">
        <v>323733.58</v>
      </c>
      <c r="P289">
        <v>475702.57000000007</v>
      </c>
      <c r="Q289">
        <v>40439.440000000002</v>
      </c>
      <c r="R289">
        <v>182463</v>
      </c>
    </row>
    <row r="290" spans="1:18" x14ac:dyDescent="0.3">
      <c r="A290" t="s">
        <v>63</v>
      </c>
      <c r="B290">
        <v>2020</v>
      </c>
      <c r="C290" s="4">
        <v>14745789.250000002</v>
      </c>
      <c r="D290" s="4">
        <v>998210.07</v>
      </c>
      <c r="E290" s="4">
        <v>15743999.320000002</v>
      </c>
      <c r="F290" s="4">
        <f t="shared" si="348"/>
        <v>11059341.937500002</v>
      </c>
      <c r="G290" s="4">
        <f t="shared" ref="G290:G294" si="389">C290*0.07</f>
        <v>1032205.2475000002</v>
      </c>
      <c r="H290" s="4">
        <f t="shared" ref="H290:H294" si="390">C290*0.06</f>
        <v>884747.3550000001</v>
      </c>
      <c r="I290" s="4">
        <f t="shared" ref="I290:I294" si="391">C290*0.03</f>
        <v>442373.67750000005</v>
      </c>
      <c r="J290" s="4">
        <f t="shared" ref="J290:J294" si="392">C290*0.025</f>
        <v>368644.73125000007</v>
      </c>
      <c r="K290" s="4">
        <f t="shared" ref="K290:K294" si="393">C290*0.01</f>
        <v>147457.89250000002</v>
      </c>
      <c r="L290" s="4">
        <f t="shared" ref="L290:L294" si="394">C290*0.005</f>
        <v>73728.946250000008</v>
      </c>
      <c r="M290" s="4">
        <f t="shared" ref="M290:M294" si="395">C290*0.05</f>
        <v>737289.46250000014</v>
      </c>
      <c r="N290" s="4">
        <f t="shared" ref="N290:N294" si="396">C290*0</f>
        <v>0</v>
      </c>
      <c r="O290">
        <v>286970.08</v>
      </c>
      <c r="P290">
        <v>392079.50999999989</v>
      </c>
      <c r="Q290">
        <v>7832.42</v>
      </c>
      <c r="R290">
        <v>0</v>
      </c>
    </row>
    <row r="291" spans="1:18" x14ac:dyDescent="0.3">
      <c r="A291" t="s">
        <v>63</v>
      </c>
      <c r="B291">
        <v>2021</v>
      </c>
      <c r="C291" s="4">
        <v>18686019.539999999</v>
      </c>
      <c r="D291" s="4">
        <v>1263251.1399999999</v>
      </c>
      <c r="E291" s="4">
        <v>19949270.679999996</v>
      </c>
      <c r="F291" s="4">
        <f t="shared" si="348"/>
        <v>14014514.654999999</v>
      </c>
      <c r="G291" s="4">
        <f t="shared" si="389"/>
        <v>1308021.3678000001</v>
      </c>
      <c r="H291" s="4">
        <f t="shared" si="390"/>
        <v>1121161.1723999998</v>
      </c>
      <c r="I291" s="4">
        <f t="shared" si="391"/>
        <v>560580.5861999999</v>
      </c>
      <c r="J291" s="4">
        <f t="shared" si="392"/>
        <v>467150.48849999998</v>
      </c>
      <c r="K291" s="4">
        <f t="shared" si="393"/>
        <v>186860.1954</v>
      </c>
      <c r="L291" s="4">
        <f t="shared" si="394"/>
        <v>93430.097699999998</v>
      </c>
      <c r="M291" s="4">
        <f t="shared" si="395"/>
        <v>934300.97699999996</v>
      </c>
      <c r="N291" s="4">
        <f t="shared" si="396"/>
        <v>0</v>
      </c>
      <c r="O291">
        <v>396022.89999999997</v>
      </c>
      <c r="P291">
        <v>561750.71</v>
      </c>
      <c r="Q291">
        <v>0</v>
      </c>
      <c r="R291">
        <v>0</v>
      </c>
    </row>
    <row r="292" spans="1:18" x14ac:dyDescent="0.3">
      <c r="A292" t="s">
        <v>63</v>
      </c>
      <c r="B292">
        <v>2022</v>
      </c>
      <c r="C292" s="4">
        <v>22341835.650000002</v>
      </c>
      <c r="D292" s="4">
        <v>1275709.9100000001</v>
      </c>
      <c r="E292" s="4">
        <v>23617545.560000002</v>
      </c>
      <c r="F292" s="4">
        <f t="shared" si="348"/>
        <v>16756376.737500001</v>
      </c>
      <c r="G292" s="4">
        <f t="shared" si="389"/>
        <v>1563928.4955000002</v>
      </c>
      <c r="H292" s="4">
        <f t="shared" si="390"/>
        <v>1340510.1390000002</v>
      </c>
      <c r="I292" s="4">
        <f t="shared" si="391"/>
        <v>670255.0695000001</v>
      </c>
      <c r="J292" s="4">
        <f t="shared" si="392"/>
        <v>558545.8912500001</v>
      </c>
      <c r="K292" s="4">
        <f t="shared" si="393"/>
        <v>223418.35650000002</v>
      </c>
      <c r="L292" s="4">
        <f t="shared" si="394"/>
        <v>111709.17825000001</v>
      </c>
      <c r="M292" s="4">
        <f t="shared" si="395"/>
        <v>1117091.7825000002</v>
      </c>
      <c r="N292" s="4">
        <f t="shared" si="396"/>
        <v>0</v>
      </c>
      <c r="O292">
        <v>252483.03</v>
      </c>
      <c r="P292">
        <v>599497.46000000008</v>
      </c>
      <c r="Q292">
        <v>26036.63</v>
      </c>
      <c r="R292">
        <v>0</v>
      </c>
    </row>
    <row r="293" spans="1:18" x14ac:dyDescent="0.3">
      <c r="A293" t="s">
        <v>63</v>
      </c>
      <c r="B293">
        <v>2023</v>
      </c>
      <c r="C293" s="4">
        <v>22992229.299999997</v>
      </c>
      <c r="D293" s="4">
        <v>0</v>
      </c>
      <c r="E293" s="4">
        <v>22992229.299999997</v>
      </c>
      <c r="F293" s="4">
        <f t="shared" si="348"/>
        <v>17244171.974999998</v>
      </c>
      <c r="G293" s="4">
        <f t="shared" si="389"/>
        <v>1609456.051</v>
      </c>
      <c r="H293" s="4">
        <f t="shared" si="390"/>
        <v>1379533.7579999997</v>
      </c>
      <c r="I293" s="4">
        <f t="shared" si="391"/>
        <v>689766.87899999984</v>
      </c>
      <c r="J293" s="4">
        <f t="shared" si="392"/>
        <v>574805.73249999993</v>
      </c>
      <c r="K293" s="4">
        <f t="shared" si="393"/>
        <v>229922.29299999998</v>
      </c>
      <c r="L293" s="4">
        <f t="shared" si="394"/>
        <v>114961.14649999999</v>
      </c>
      <c r="M293" s="4">
        <f t="shared" si="395"/>
        <v>1149611.4649999999</v>
      </c>
      <c r="N293" s="4">
        <f t="shared" si="396"/>
        <v>0</v>
      </c>
      <c r="O293">
        <v>262749.91000000003</v>
      </c>
      <c r="P293">
        <v>465633.45999999996</v>
      </c>
      <c r="Q293">
        <v>171.45</v>
      </c>
      <c r="R293">
        <v>682315.07000000007</v>
      </c>
    </row>
    <row r="294" spans="1:18" x14ac:dyDescent="0.3">
      <c r="A294" t="s">
        <v>63</v>
      </c>
      <c r="B294">
        <v>2024</v>
      </c>
      <c r="C294" s="4">
        <v>27398946.969999999</v>
      </c>
      <c r="D294" s="4">
        <v>0</v>
      </c>
      <c r="E294" s="4">
        <v>27398946.969999999</v>
      </c>
      <c r="F294" s="4">
        <f t="shared" si="348"/>
        <v>20549210.227499999</v>
      </c>
      <c r="G294" s="4">
        <f t="shared" si="389"/>
        <v>1917926.2879000001</v>
      </c>
      <c r="H294" s="4">
        <f t="shared" si="390"/>
        <v>1643936.8181999999</v>
      </c>
      <c r="I294" s="4">
        <f t="shared" si="391"/>
        <v>821968.40909999993</v>
      </c>
      <c r="J294" s="4">
        <f t="shared" si="392"/>
        <v>684973.67425000004</v>
      </c>
      <c r="K294" s="4">
        <f t="shared" si="393"/>
        <v>273989.46970000002</v>
      </c>
      <c r="L294" s="4">
        <f t="shared" si="394"/>
        <v>136994.73485000001</v>
      </c>
      <c r="M294" s="4">
        <f t="shared" si="395"/>
        <v>1369947.3485000001</v>
      </c>
      <c r="N294" s="4">
        <f t="shared" si="396"/>
        <v>0</v>
      </c>
      <c r="O294">
        <v>339852.35</v>
      </c>
      <c r="P294">
        <v>528043.24</v>
      </c>
      <c r="Q294">
        <v>36151.54</v>
      </c>
      <c r="R294">
        <v>14497.269999999999</v>
      </c>
    </row>
    <row r="295" spans="1:18" x14ac:dyDescent="0.3">
      <c r="A295" t="s">
        <v>63</v>
      </c>
      <c r="B295">
        <v>2025</v>
      </c>
      <c r="C295" s="4">
        <v>29007179.109999999</v>
      </c>
      <c r="D295" s="4">
        <v>0</v>
      </c>
      <c r="E295" s="4">
        <v>29007179.109999999</v>
      </c>
      <c r="F295" s="4">
        <f t="shared" si="348"/>
        <v>21755384.3325</v>
      </c>
      <c r="G295" s="4">
        <f>C295*0.035</f>
        <v>1015251.2688500001</v>
      </c>
      <c r="H295" s="4">
        <f>C295*0.06</f>
        <v>1740430.7466</v>
      </c>
      <c r="I295" s="4">
        <f>C295*0.03</f>
        <v>870215.37329999998</v>
      </c>
      <c r="J295" s="4">
        <f>C295*0</f>
        <v>0</v>
      </c>
      <c r="K295" s="4">
        <f>C295*0</f>
        <v>0</v>
      </c>
      <c r="L295" s="4">
        <f>C295*0</f>
        <v>0</v>
      </c>
      <c r="M295" s="4">
        <f>C295*0</f>
        <v>0</v>
      </c>
      <c r="N295" s="4">
        <f>C295*0.1</f>
        <v>2900717.9110000003</v>
      </c>
      <c r="O295">
        <v>355485.67</v>
      </c>
      <c r="P295">
        <v>522359.93999999994</v>
      </c>
      <c r="Q295">
        <v>33536.68</v>
      </c>
      <c r="R295">
        <v>200359.14</v>
      </c>
    </row>
    <row r="296" spans="1:18" x14ac:dyDescent="0.3">
      <c r="A296" t="s">
        <v>64</v>
      </c>
      <c r="B296">
        <v>2020</v>
      </c>
      <c r="C296" s="4">
        <v>8192304.2200000007</v>
      </c>
      <c r="D296" s="4">
        <v>554561.5</v>
      </c>
      <c r="E296" s="4">
        <v>8746865.7199999988</v>
      </c>
      <c r="F296" s="4">
        <f t="shared" si="348"/>
        <v>6144228.165000001</v>
      </c>
      <c r="G296" s="4">
        <f t="shared" ref="G296:G300" si="397">C296*0.07</f>
        <v>573461.29540000006</v>
      </c>
      <c r="H296" s="4">
        <f t="shared" ref="H296:H300" si="398">C296*0.06</f>
        <v>491538.25320000004</v>
      </c>
      <c r="I296" s="4">
        <f t="shared" ref="I296:I300" si="399">C296*0.03</f>
        <v>245769.12660000002</v>
      </c>
      <c r="J296" s="4">
        <f t="shared" ref="J296:J300" si="400">C296*0.025</f>
        <v>204807.60550000003</v>
      </c>
      <c r="K296" s="4">
        <f t="shared" ref="K296:K300" si="401">C296*0.01</f>
        <v>81923.042200000011</v>
      </c>
      <c r="L296" s="4">
        <f t="shared" ref="L296:L300" si="402">C296*0.005</f>
        <v>40961.521100000005</v>
      </c>
      <c r="M296" s="4">
        <f t="shared" ref="M296:M300" si="403">C296*0.05</f>
        <v>409615.21100000007</v>
      </c>
      <c r="N296" s="4">
        <f t="shared" ref="N296:N300" si="404">C296*0</f>
        <v>0</v>
      </c>
      <c r="O296">
        <v>159427.82000000004</v>
      </c>
      <c r="P296">
        <v>217821.93999999994</v>
      </c>
      <c r="Q296">
        <v>3378.96</v>
      </c>
      <c r="R296">
        <v>0</v>
      </c>
    </row>
    <row r="297" spans="1:18" x14ac:dyDescent="0.3">
      <c r="A297" t="s">
        <v>64</v>
      </c>
      <c r="B297">
        <v>2021</v>
      </c>
      <c r="C297" s="4">
        <v>10286376.789999999</v>
      </c>
      <c r="D297" s="4">
        <v>695389.95</v>
      </c>
      <c r="E297" s="4">
        <v>10981766.74</v>
      </c>
      <c r="F297" s="4">
        <f t="shared" si="348"/>
        <v>7714782.5924999993</v>
      </c>
      <c r="G297" s="4">
        <f t="shared" si="397"/>
        <v>720046.37529999996</v>
      </c>
      <c r="H297" s="4">
        <f t="shared" si="398"/>
        <v>617182.60739999998</v>
      </c>
      <c r="I297" s="4">
        <f t="shared" si="399"/>
        <v>308591.30369999999</v>
      </c>
      <c r="J297" s="4">
        <f t="shared" si="400"/>
        <v>257159.41975</v>
      </c>
      <c r="K297" s="4">
        <f t="shared" si="401"/>
        <v>102863.76789999999</v>
      </c>
      <c r="L297" s="4">
        <f t="shared" si="402"/>
        <v>51431.883949999996</v>
      </c>
      <c r="M297" s="4">
        <f t="shared" si="403"/>
        <v>514318.8395</v>
      </c>
      <c r="N297" s="4">
        <f t="shared" si="404"/>
        <v>0</v>
      </c>
      <c r="O297">
        <v>218001.16999999998</v>
      </c>
      <c r="P297">
        <v>309230.39999999997</v>
      </c>
      <c r="Q297">
        <v>0</v>
      </c>
      <c r="R297">
        <v>0</v>
      </c>
    </row>
    <row r="298" spans="1:18" x14ac:dyDescent="0.3">
      <c r="A298" t="s">
        <v>64</v>
      </c>
      <c r="B298">
        <v>2022</v>
      </c>
      <c r="C298" s="4">
        <v>11632581.240000002</v>
      </c>
      <c r="D298" s="4">
        <v>662156.38</v>
      </c>
      <c r="E298" s="4">
        <v>12294737.620000001</v>
      </c>
      <c r="F298" s="4">
        <f t="shared" si="348"/>
        <v>8724435.9300000016</v>
      </c>
      <c r="G298" s="4">
        <f t="shared" si="397"/>
        <v>814280.68680000026</v>
      </c>
      <c r="H298" s="4">
        <f t="shared" si="398"/>
        <v>697954.87440000009</v>
      </c>
      <c r="I298" s="4">
        <f t="shared" si="399"/>
        <v>348977.43720000004</v>
      </c>
      <c r="J298" s="4">
        <f t="shared" si="400"/>
        <v>290814.53100000008</v>
      </c>
      <c r="K298" s="4">
        <f t="shared" si="401"/>
        <v>116325.81240000002</v>
      </c>
      <c r="L298" s="4">
        <f t="shared" si="402"/>
        <v>58162.906200000012</v>
      </c>
      <c r="M298" s="4">
        <f t="shared" si="403"/>
        <v>581629.06200000015</v>
      </c>
      <c r="N298" s="4">
        <f t="shared" si="404"/>
        <v>0</v>
      </c>
      <c r="O298">
        <v>131906.18000000002</v>
      </c>
      <c r="P298">
        <v>311971.53999999998</v>
      </c>
      <c r="Q298">
        <v>11189.19</v>
      </c>
      <c r="R298">
        <v>0</v>
      </c>
    </row>
    <row r="299" spans="1:18" x14ac:dyDescent="0.3">
      <c r="A299" t="s">
        <v>64</v>
      </c>
      <c r="B299">
        <v>2023</v>
      </c>
      <c r="C299" s="4">
        <v>12488607.779999999</v>
      </c>
      <c r="D299" s="4">
        <v>0</v>
      </c>
      <c r="E299" s="4">
        <v>12488607.779999999</v>
      </c>
      <c r="F299" s="4">
        <f t="shared" si="348"/>
        <v>9366455.834999999</v>
      </c>
      <c r="G299" s="4">
        <f t="shared" si="397"/>
        <v>874202.54460000002</v>
      </c>
      <c r="H299" s="4">
        <f t="shared" si="398"/>
        <v>749316.46679999994</v>
      </c>
      <c r="I299" s="4">
        <f t="shared" si="399"/>
        <v>374658.23339999997</v>
      </c>
      <c r="J299" s="4">
        <f t="shared" si="400"/>
        <v>312215.19449999998</v>
      </c>
      <c r="K299" s="4">
        <f t="shared" si="401"/>
        <v>124886.0778</v>
      </c>
      <c r="L299" s="4">
        <f t="shared" si="402"/>
        <v>62443.0389</v>
      </c>
      <c r="M299" s="4">
        <f t="shared" si="403"/>
        <v>624430.38899999997</v>
      </c>
      <c r="N299" s="4">
        <f t="shared" si="404"/>
        <v>0</v>
      </c>
      <c r="O299">
        <v>142168.21000000002</v>
      </c>
      <c r="P299">
        <v>252925.69999999995</v>
      </c>
      <c r="Q299">
        <v>73.650000000000006</v>
      </c>
      <c r="R299">
        <v>370624.12</v>
      </c>
    </row>
    <row r="300" spans="1:18" x14ac:dyDescent="0.3">
      <c r="A300" t="s">
        <v>64</v>
      </c>
      <c r="B300">
        <v>2024</v>
      </c>
      <c r="C300" s="4">
        <v>15204061.219999999</v>
      </c>
      <c r="D300" s="4">
        <v>0</v>
      </c>
      <c r="E300" s="4">
        <v>15204061.219999999</v>
      </c>
      <c r="F300" s="4">
        <f t="shared" si="348"/>
        <v>11403045.914999999</v>
      </c>
      <c r="G300" s="4">
        <f t="shared" si="397"/>
        <v>1064284.2853999999</v>
      </c>
      <c r="H300" s="4">
        <f t="shared" si="398"/>
        <v>912243.67319999984</v>
      </c>
      <c r="I300" s="4">
        <f t="shared" si="399"/>
        <v>456121.83659999992</v>
      </c>
      <c r="J300" s="4">
        <f t="shared" si="400"/>
        <v>380101.53049999999</v>
      </c>
      <c r="K300" s="4">
        <f t="shared" si="401"/>
        <v>152040.6122</v>
      </c>
      <c r="L300" s="4">
        <f t="shared" si="402"/>
        <v>76020.306100000002</v>
      </c>
      <c r="M300" s="4">
        <f t="shared" si="403"/>
        <v>760203.06099999999</v>
      </c>
      <c r="N300" s="4">
        <f t="shared" si="404"/>
        <v>0</v>
      </c>
      <c r="O300">
        <v>188592.33</v>
      </c>
      <c r="P300">
        <v>293023.99</v>
      </c>
      <c r="Q300">
        <v>15448.539999999999</v>
      </c>
      <c r="R300">
        <v>7874.72</v>
      </c>
    </row>
    <row r="301" spans="1:18" x14ac:dyDescent="0.3">
      <c r="A301" t="s">
        <v>64</v>
      </c>
      <c r="B301">
        <v>2025</v>
      </c>
      <c r="C301" s="4">
        <v>17231936.579999998</v>
      </c>
      <c r="D301" s="4">
        <v>0</v>
      </c>
      <c r="E301" s="4">
        <v>17231936.579999998</v>
      </c>
      <c r="F301" s="4">
        <f t="shared" si="348"/>
        <v>12923952.434999999</v>
      </c>
      <c r="G301" s="4">
        <f>C301*0.035</f>
        <v>603117.78029999998</v>
      </c>
      <c r="H301" s="4">
        <f>C301*0.06</f>
        <v>1033916.1947999998</v>
      </c>
      <c r="I301" s="4">
        <f>C301*0.03</f>
        <v>516958.09739999991</v>
      </c>
      <c r="J301" s="4">
        <f>C301*0</f>
        <v>0</v>
      </c>
      <c r="K301" s="4">
        <f>C301*0</f>
        <v>0</v>
      </c>
      <c r="L301" s="4">
        <f>C301*0</f>
        <v>0</v>
      </c>
      <c r="M301" s="4">
        <f>C301*0</f>
        <v>0</v>
      </c>
      <c r="N301" s="4">
        <f>C301*0.1</f>
        <v>1723193.6579999998</v>
      </c>
      <c r="O301">
        <v>211220.61000000002</v>
      </c>
      <c r="P301">
        <v>310373.10000000003</v>
      </c>
      <c r="Q301">
        <v>14299.01</v>
      </c>
      <c r="R301">
        <v>119048.34000000001</v>
      </c>
    </row>
    <row r="302" spans="1:18" x14ac:dyDescent="0.3">
      <c r="A302" t="s">
        <v>65</v>
      </c>
      <c r="B302">
        <v>2020</v>
      </c>
      <c r="C302" s="4">
        <v>14300918.1</v>
      </c>
      <c r="D302" s="4">
        <v>968131.01</v>
      </c>
      <c r="E302" s="4">
        <v>15269049.109999999</v>
      </c>
      <c r="F302" s="4">
        <f t="shared" si="348"/>
        <v>10725688.574999999</v>
      </c>
      <c r="G302" s="4">
        <f t="shared" ref="G302:G306" si="405">C302*0.07</f>
        <v>1001064.2670000001</v>
      </c>
      <c r="H302" s="4">
        <f t="shared" ref="H302:H306" si="406">C302*0.06</f>
        <v>858055.08599999989</v>
      </c>
      <c r="I302" s="4">
        <f t="shared" ref="I302:I306" si="407">C302*0.03</f>
        <v>429027.54299999995</v>
      </c>
      <c r="J302" s="4">
        <f t="shared" ref="J302:J306" si="408">C302*0.025</f>
        <v>357522.95250000001</v>
      </c>
      <c r="K302" s="4">
        <f t="shared" ref="K302:K306" si="409">C302*0.01</f>
        <v>143009.18100000001</v>
      </c>
      <c r="L302" s="4">
        <f t="shared" ref="L302:L306" si="410">C302*0.005</f>
        <v>71504.590500000006</v>
      </c>
      <c r="M302" s="4">
        <f t="shared" ref="M302:M306" si="411">C302*0.05</f>
        <v>715045.90500000003</v>
      </c>
      <c r="N302" s="4">
        <f t="shared" ref="N302:N306" si="412">C302*0</f>
        <v>0</v>
      </c>
      <c r="O302">
        <v>278323.15999999992</v>
      </c>
      <c r="P302">
        <v>380265.44</v>
      </c>
      <c r="Q302">
        <v>7670.26</v>
      </c>
      <c r="R302">
        <v>0</v>
      </c>
    </row>
    <row r="303" spans="1:18" x14ac:dyDescent="0.3">
      <c r="A303" t="s">
        <v>65</v>
      </c>
      <c r="B303">
        <v>2021</v>
      </c>
      <c r="C303" s="4">
        <v>18116552.220000003</v>
      </c>
      <c r="D303" s="4">
        <v>1224752.03</v>
      </c>
      <c r="E303" s="4">
        <v>19341304.25</v>
      </c>
      <c r="F303" s="4">
        <f t="shared" si="348"/>
        <v>13587414.165000003</v>
      </c>
      <c r="G303" s="4">
        <f t="shared" si="405"/>
        <v>1268158.6554000003</v>
      </c>
      <c r="H303" s="4">
        <f t="shared" si="406"/>
        <v>1086993.1332</v>
      </c>
      <c r="I303" s="4">
        <f t="shared" si="407"/>
        <v>543496.56660000002</v>
      </c>
      <c r="J303" s="4">
        <f t="shared" si="408"/>
        <v>452913.80550000007</v>
      </c>
      <c r="K303" s="4">
        <f t="shared" si="409"/>
        <v>181165.52220000004</v>
      </c>
      <c r="L303" s="4">
        <f t="shared" si="410"/>
        <v>90582.761100000018</v>
      </c>
      <c r="M303" s="4">
        <f t="shared" si="411"/>
        <v>905827.61100000015</v>
      </c>
      <c r="N303" s="4">
        <f t="shared" si="412"/>
        <v>0</v>
      </c>
      <c r="O303">
        <v>383953.62</v>
      </c>
      <c r="P303">
        <v>544630.68000000005</v>
      </c>
      <c r="Q303">
        <v>0</v>
      </c>
      <c r="R303">
        <v>0</v>
      </c>
    </row>
    <row r="304" spans="1:18" x14ac:dyDescent="0.3">
      <c r="A304" t="s">
        <v>65</v>
      </c>
      <c r="B304">
        <v>2022</v>
      </c>
      <c r="C304" s="4">
        <v>22845645.060000002</v>
      </c>
      <c r="D304" s="4">
        <v>1308139.51</v>
      </c>
      <c r="E304" s="4">
        <v>24153784.569999997</v>
      </c>
      <c r="F304" s="4">
        <f t="shared" si="348"/>
        <v>17134233.795000002</v>
      </c>
      <c r="G304" s="4">
        <f t="shared" si="405"/>
        <v>1599195.1542000002</v>
      </c>
      <c r="H304" s="4">
        <f t="shared" si="406"/>
        <v>1370738.7036000001</v>
      </c>
      <c r="I304" s="4">
        <f t="shared" si="407"/>
        <v>685369.35180000006</v>
      </c>
      <c r="J304" s="4">
        <f t="shared" si="408"/>
        <v>571141.12650000013</v>
      </c>
      <c r="K304" s="4">
        <f t="shared" si="409"/>
        <v>228456.45060000004</v>
      </c>
      <c r="L304" s="4">
        <f t="shared" si="410"/>
        <v>114228.22530000002</v>
      </c>
      <c r="M304" s="4">
        <f t="shared" si="411"/>
        <v>1142282.2530000003</v>
      </c>
      <c r="N304" s="4">
        <f t="shared" si="412"/>
        <v>0</v>
      </c>
      <c r="O304">
        <v>257380.59999999998</v>
      </c>
      <c r="P304">
        <v>613309.44999999984</v>
      </c>
      <c r="Q304">
        <v>25249.74</v>
      </c>
      <c r="R304">
        <v>0</v>
      </c>
    </row>
    <row r="305" spans="1:18" x14ac:dyDescent="0.3">
      <c r="A305" t="s">
        <v>65</v>
      </c>
      <c r="B305">
        <v>2023</v>
      </c>
      <c r="C305" s="4">
        <v>24095099.039999999</v>
      </c>
      <c r="D305" s="4">
        <v>0</v>
      </c>
      <c r="E305" s="4">
        <v>24095099.039999999</v>
      </c>
      <c r="F305" s="4">
        <f t="shared" si="348"/>
        <v>18071324.280000001</v>
      </c>
      <c r="G305" s="4">
        <f t="shared" si="405"/>
        <v>1686656.9328000001</v>
      </c>
      <c r="H305" s="4">
        <f t="shared" si="406"/>
        <v>1445705.9423999998</v>
      </c>
      <c r="I305" s="4">
        <f t="shared" si="407"/>
        <v>722852.97119999991</v>
      </c>
      <c r="J305" s="4">
        <f t="shared" si="408"/>
        <v>602377.47600000002</v>
      </c>
      <c r="K305" s="4">
        <f t="shared" si="409"/>
        <v>240950.99040000001</v>
      </c>
      <c r="L305" s="4">
        <f t="shared" si="410"/>
        <v>120475.4952</v>
      </c>
      <c r="M305" s="4">
        <f t="shared" si="411"/>
        <v>1204754.952</v>
      </c>
      <c r="N305" s="4">
        <f t="shared" si="412"/>
        <v>0</v>
      </c>
      <c r="O305">
        <v>274864.10000000003</v>
      </c>
      <c r="P305">
        <v>487976.72</v>
      </c>
      <c r="Q305">
        <v>166.09</v>
      </c>
      <c r="R305">
        <v>715055.71</v>
      </c>
    </row>
    <row r="306" spans="1:18" x14ac:dyDescent="0.3">
      <c r="A306" t="s">
        <v>65</v>
      </c>
      <c r="B306">
        <v>2024</v>
      </c>
      <c r="C306" s="4">
        <v>26881616.580000002</v>
      </c>
      <c r="D306" s="4">
        <v>0</v>
      </c>
      <c r="E306" s="4">
        <v>26881616.580000002</v>
      </c>
      <c r="F306" s="4">
        <f t="shared" si="348"/>
        <v>20161212.435000002</v>
      </c>
      <c r="G306" s="4">
        <f t="shared" si="405"/>
        <v>1881713.1606000003</v>
      </c>
      <c r="H306" s="4">
        <f t="shared" si="406"/>
        <v>1612896.9948</v>
      </c>
      <c r="I306" s="4">
        <f t="shared" si="407"/>
        <v>806448.49739999999</v>
      </c>
      <c r="J306" s="4">
        <f t="shared" si="408"/>
        <v>672040.41450000007</v>
      </c>
      <c r="K306" s="4">
        <f t="shared" si="409"/>
        <v>268816.16580000002</v>
      </c>
      <c r="L306" s="4">
        <f t="shared" si="410"/>
        <v>134408.08290000001</v>
      </c>
      <c r="M306" s="4">
        <f t="shared" si="411"/>
        <v>1344080.8290000001</v>
      </c>
      <c r="N306" s="4">
        <f t="shared" si="412"/>
        <v>0</v>
      </c>
      <c r="O306">
        <v>333415.76</v>
      </c>
      <c r="P306">
        <v>518042.39999999997</v>
      </c>
      <c r="Q306">
        <v>35514.949999999997</v>
      </c>
      <c r="R306">
        <v>15192.890000000001</v>
      </c>
    </row>
    <row r="307" spans="1:18" x14ac:dyDescent="0.3">
      <c r="A307" t="s">
        <v>65</v>
      </c>
      <c r="B307">
        <v>2025</v>
      </c>
      <c r="C307" s="4">
        <v>28443974.260000002</v>
      </c>
      <c r="D307" s="4">
        <v>0</v>
      </c>
      <c r="E307" s="4">
        <v>28443974.260000002</v>
      </c>
      <c r="F307" s="4">
        <f t="shared" si="348"/>
        <v>21332980.695</v>
      </c>
      <c r="G307" s="4">
        <f>C307*0.035</f>
        <v>995539.09910000011</v>
      </c>
      <c r="H307" s="4">
        <f>C307*0.06</f>
        <v>1706638.4556</v>
      </c>
      <c r="I307" s="4">
        <f>C307*0.03</f>
        <v>853319.22779999999</v>
      </c>
      <c r="J307" s="4">
        <f>C307*0</f>
        <v>0</v>
      </c>
      <c r="K307" s="4">
        <f>C307*0</f>
        <v>0</v>
      </c>
      <c r="L307" s="4">
        <f>C307*0</f>
        <v>0</v>
      </c>
      <c r="M307" s="4">
        <f>C307*0</f>
        <v>0</v>
      </c>
      <c r="N307" s="4">
        <f>C307*0.1</f>
        <v>2844397.4260000004</v>
      </c>
      <c r="O307">
        <v>348583.06000000006</v>
      </c>
      <c r="P307">
        <v>512217.05</v>
      </c>
      <c r="Q307">
        <v>33007.47</v>
      </c>
      <c r="R307">
        <v>196468.7</v>
      </c>
    </row>
    <row r="308" spans="1:18" x14ac:dyDescent="0.3">
      <c r="A308" t="s">
        <v>66</v>
      </c>
      <c r="B308">
        <v>2020</v>
      </c>
      <c r="C308" s="4">
        <v>8163704.0199999986</v>
      </c>
      <c r="D308" s="4">
        <v>552679.99</v>
      </c>
      <c r="E308" s="4">
        <v>8716384.0099999998</v>
      </c>
      <c r="F308" s="4">
        <f t="shared" si="348"/>
        <v>6122778.0149999987</v>
      </c>
      <c r="G308" s="4">
        <f t="shared" ref="G308:G312" si="413">C308*0.07</f>
        <v>571459.28139999998</v>
      </c>
      <c r="H308" s="4">
        <f t="shared" ref="H308:H312" si="414">C308*0.06</f>
        <v>489822.24119999987</v>
      </c>
      <c r="I308" s="4">
        <f t="shared" ref="I308:I312" si="415">C308*0.03</f>
        <v>244911.12059999994</v>
      </c>
      <c r="J308" s="4">
        <f t="shared" ref="J308:J312" si="416">C308*0.025</f>
        <v>204092.60049999997</v>
      </c>
      <c r="K308" s="4">
        <f t="shared" ref="K308:K312" si="417">C308*0.01</f>
        <v>81637.040199999989</v>
      </c>
      <c r="L308" s="4">
        <f t="shared" ref="L308:L312" si="418">C308*0.005</f>
        <v>40818.520099999994</v>
      </c>
      <c r="M308" s="4">
        <f t="shared" ref="M308:M312" si="419">C308*0.05</f>
        <v>408185.20099999994</v>
      </c>
      <c r="N308" s="4">
        <f t="shared" ref="N308:N312" si="420">C308*0</f>
        <v>0</v>
      </c>
      <c r="O308">
        <v>158887.38999999998</v>
      </c>
      <c r="P308">
        <v>217083.57000000004</v>
      </c>
      <c r="Q308">
        <v>6488.96</v>
      </c>
      <c r="R308">
        <v>0</v>
      </c>
    </row>
    <row r="309" spans="1:18" x14ac:dyDescent="0.3">
      <c r="A309" t="s">
        <v>66</v>
      </c>
      <c r="B309">
        <v>2021</v>
      </c>
      <c r="C309" s="4">
        <v>10392902.76</v>
      </c>
      <c r="D309" s="4">
        <v>702608.17999999993</v>
      </c>
      <c r="E309" s="4">
        <v>11095510.940000001</v>
      </c>
      <c r="F309" s="4">
        <f t="shared" si="348"/>
        <v>7794677.0700000003</v>
      </c>
      <c r="G309" s="4">
        <f t="shared" si="413"/>
        <v>727503.1932000001</v>
      </c>
      <c r="H309" s="4">
        <f t="shared" si="414"/>
        <v>623574.16559999995</v>
      </c>
      <c r="I309" s="4">
        <f t="shared" si="415"/>
        <v>311787.08279999997</v>
      </c>
      <c r="J309" s="4">
        <f t="shared" si="416"/>
        <v>259822.56900000002</v>
      </c>
      <c r="K309" s="4">
        <f t="shared" si="417"/>
        <v>103929.0276</v>
      </c>
      <c r="L309" s="4">
        <f t="shared" si="418"/>
        <v>51964.513800000001</v>
      </c>
      <c r="M309" s="4">
        <f t="shared" si="419"/>
        <v>519645.13800000004</v>
      </c>
      <c r="N309" s="4">
        <f t="shared" si="420"/>
        <v>0</v>
      </c>
      <c r="O309">
        <v>220264.17</v>
      </c>
      <c r="P309">
        <v>312440.37</v>
      </c>
      <c r="Q309">
        <v>0</v>
      </c>
      <c r="R309">
        <v>0</v>
      </c>
    </row>
    <row r="310" spans="1:18" x14ac:dyDescent="0.3">
      <c r="A310" t="s">
        <v>66</v>
      </c>
      <c r="B310">
        <v>2022</v>
      </c>
      <c r="C310" s="4">
        <v>12343595.439999999</v>
      </c>
      <c r="D310" s="4">
        <v>704558.71</v>
      </c>
      <c r="E310" s="4">
        <v>13048154.15</v>
      </c>
      <c r="F310" s="4">
        <f t="shared" si="348"/>
        <v>9257696.5800000001</v>
      </c>
      <c r="G310" s="4">
        <f t="shared" si="413"/>
        <v>864051.68080000009</v>
      </c>
      <c r="H310" s="4">
        <f t="shared" si="414"/>
        <v>740615.72639999993</v>
      </c>
      <c r="I310" s="4">
        <f t="shared" si="415"/>
        <v>370307.86319999996</v>
      </c>
      <c r="J310" s="4">
        <f t="shared" si="416"/>
        <v>308589.886</v>
      </c>
      <c r="K310" s="4">
        <f t="shared" si="417"/>
        <v>123435.9544</v>
      </c>
      <c r="L310" s="4">
        <f t="shared" si="418"/>
        <v>61717.977200000001</v>
      </c>
      <c r="M310" s="4">
        <f t="shared" si="419"/>
        <v>617179.772</v>
      </c>
      <c r="N310" s="4">
        <f t="shared" si="420"/>
        <v>0</v>
      </c>
      <c r="O310">
        <v>139549.41</v>
      </c>
      <c r="P310">
        <v>331194.70999999996</v>
      </c>
      <c r="Q310">
        <v>21605.18</v>
      </c>
      <c r="R310">
        <v>0</v>
      </c>
    </row>
    <row r="311" spans="1:18" x14ac:dyDescent="0.3">
      <c r="A311" t="s">
        <v>66</v>
      </c>
      <c r="B311">
        <v>2023</v>
      </c>
      <c r="C311" s="4">
        <v>12401037.67</v>
      </c>
      <c r="D311" s="4">
        <v>0</v>
      </c>
      <c r="E311" s="4">
        <v>12401037.67</v>
      </c>
      <c r="F311" s="4">
        <f t="shared" si="348"/>
        <v>9300778.2524999995</v>
      </c>
      <c r="G311" s="4">
        <f t="shared" si="413"/>
        <v>868072.63690000004</v>
      </c>
      <c r="H311" s="4">
        <f t="shared" si="414"/>
        <v>744062.26020000002</v>
      </c>
      <c r="I311" s="4">
        <f t="shared" si="415"/>
        <v>372031.13010000001</v>
      </c>
      <c r="J311" s="4">
        <f t="shared" si="416"/>
        <v>310025.94175</v>
      </c>
      <c r="K311" s="4">
        <f t="shared" si="417"/>
        <v>124010.37670000001</v>
      </c>
      <c r="L311" s="4">
        <f t="shared" si="418"/>
        <v>62005.188350000004</v>
      </c>
      <c r="M311" s="4">
        <f t="shared" si="419"/>
        <v>620051.8835</v>
      </c>
      <c r="N311" s="4">
        <f t="shared" si="420"/>
        <v>0</v>
      </c>
      <c r="O311">
        <v>142004.58000000002</v>
      </c>
      <c r="P311">
        <v>251138.22999999998</v>
      </c>
      <c r="Q311">
        <v>142.29</v>
      </c>
      <c r="R311">
        <v>368004.85</v>
      </c>
    </row>
    <row r="312" spans="1:18" x14ac:dyDescent="0.3">
      <c r="A312" t="s">
        <v>66</v>
      </c>
      <c r="B312">
        <v>2024</v>
      </c>
      <c r="C312" s="4">
        <v>13855948.550000001</v>
      </c>
      <c r="D312" s="4">
        <v>0</v>
      </c>
      <c r="E312" s="4">
        <v>13855948.550000001</v>
      </c>
      <c r="F312" s="4">
        <f t="shared" si="348"/>
        <v>10391961.412500001</v>
      </c>
      <c r="G312" s="4">
        <f t="shared" si="413"/>
        <v>969916.39850000013</v>
      </c>
      <c r="H312" s="4">
        <f t="shared" si="414"/>
        <v>831356.91300000006</v>
      </c>
      <c r="I312" s="4">
        <f t="shared" si="415"/>
        <v>415678.45650000003</v>
      </c>
      <c r="J312" s="4">
        <f t="shared" si="416"/>
        <v>346398.71375000005</v>
      </c>
      <c r="K312" s="4">
        <f t="shared" si="417"/>
        <v>138559.48550000001</v>
      </c>
      <c r="L312" s="4">
        <f t="shared" si="418"/>
        <v>69279.742750000005</v>
      </c>
      <c r="M312" s="4">
        <f t="shared" si="419"/>
        <v>692797.42750000011</v>
      </c>
      <c r="N312" s="4">
        <f t="shared" si="420"/>
        <v>0</v>
      </c>
      <c r="O312">
        <v>171857.16</v>
      </c>
      <c r="P312">
        <v>267021.87</v>
      </c>
      <c r="Q312">
        <v>29060.080000000002</v>
      </c>
      <c r="R312">
        <v>7819.0499999999993</v>
      </c>
    </row>
    <row r="313" spans="1:18" x14ac:dyDescent="0.3">
      <c r="A313" t="s">
        <v>66</v>
      </c>
      <c r="B313">
        <v>2025</v>
      </c>
      <c r="C313" s="4">
        <v>18013866.719999999</v>
      </c>
      <c r="D313" s="4">
        <v>0</v>
      </c>
      <c r="E313" s="4">
        <v>18013866.719999999</v>
      </c>
      <c r="F313" s="4">
        <f t="shared" si="348"/>
        <v>13510400.039999999</v>
      </c>
      <c r="G313" s="4">
        <f>C313*0.035</f>
        <v>630485.33519999997</v>
      </c>
      <c r="H313" s="4">
        <f>C313*0.06</f>
        <v>1080832.0031999999</v>
      </c>
      <c r="I313" s="4">
        <f>C313*0.03</f>
        <v>540416.00159999996</v>
      </c>
      <c r="J313" s="4">
        <f>C313*0</f>
        <v>0</v>
      </c>
      <c r="K313" s="4">
        <f>C313*0</f>
        <v>0</v>
      </c>
      <c r="L313" s="4">
        <f>C313*0</f>
        <v>0</v>
      </c>
      <c r="M313" s="4">
        <f>C313*0</f>
        <v>0</v>
      </c>
      <c r="N313" s="4">
        <f>C313*0.1</f>
        <v>1801386.672</v>
      </c>
      <c r="O313">
        <v>220884.30000000002</v>
      </c>
      <c r="P313">
        <v>324573.19</v>
      </c>
      <c r="Q313">
        <v>26649.41</v>
      </c>
      <c r="R313">
        <v>124495.01000000001</v>
      </c>
    </row>
    <row r="314" spans="1:18" x14ac:dyDescent="0.3">
      <c r="A314" t="s">
        <v>67</v>
      </c>
      <c r="B314">
        <v>2020</v>
      </c>
      <c r="C314" s="4">
        <v>33907339.800000004</v>
      </c>
      <c r="D314" s="4">
        <v>2295319.96</v>
      </c>
      <c r="E314" s="4">
        <v>36202659.759999998</v>
      </c>
      <c r="F314" s="4">
        <f t="shared" si="348"/>
        <v>25430504.850000001</v>
      </c>
      <c r="G314" s="4">
        <f t="shared" ref="G314:G318" si="421">C314*0.07</f>
        <v>2373513.7860000003</v>
      </c>
      <c r="H314" s="4">
        <f t="shared" ref="H314:H318" si="422">C314*0.06</f>
        <v>2034440.3880000003</v>
      </c>
      <c r="I314" s="4">
        <f t="shared" ref="I314:I318" si="423">C314*0.03</f>
        <v>1017220.1940000001</v>
      </c>
      <c r="J314" s="4">
        <f t="shared" ref="J314:J318" si="424">C314*0.025</f>
        <v>847683.49500000011</v>
      </c>
      <c r="K314" s="4">
        <f t="shared" ref="K314:K318" si="425">C314*0.01</f>
        <v>339073.39800000004</v>
      </c>
      <c r="L314" s="4">
        <f t="shared" ref="L314:L318" si="426">C314*0.005</f>
        <v>169536.69900000002</v>
      </c>
      <c r="M314" s="4">
        <f t="shared" ref="M314:M318" si="427">C314*0.05</f>
        <v>1695366.9900000002</v>
      </c>
      <c r="N314" s="4">
        <f t="shared" ref="N314:N318" si="428">C314*0</f>
        <v>0</v>
      </c>
      <c r="O314">
        <v>659869.06999999995</v>
      </c>
      <c r="P314">
        <v>901561.33999999985</v>
      </c>
      <c r="Q314">
        <v>16513.810000000001</v>
      </c>
      <c r="R314">
        <v>0</v>
      </c>
    </row>
    <row r="315" spans="1:18" x14ac:dyDescent="0.3">
      <c r="A315" t="s">
        <v>67</v>
      </c>
      <c r="B315">
        <v>2021</v>
      </c>
      <c r="C315" s="4">
        <v>43741708.810000002</v>
      </c>
      <c r="D315" s="4">
        <v>2957208.9299999997</v>
      </c>
      <c r="E315" s="4">
        <v>46698917.739999995</v>
      </c>
      <c r="F315" s="4">
        <f t="shared" si="348"/>
        <v>32806281.607500002</v>
      </c>
      <c r="G315" s="4">
        <f t="shared" si="421"/>
        <v>3061919.6167000006</v>
      </c>
      <c r="H315" s="4">
        <f t="shared" si="422"/>
        <v>2624502.5285999998</v>
      </c>
      <c r="I315" s="4">
        <f t="shared" si="423"/>
        <v>1312251.2642999999</v>
      </c>
      <c r="J315" s="4">
        <f t="shared" si="424"/>
        <v>1093542.72025</v>
      </c>
      <c r="K315" s="4">
        <f t="shared" si="425"/>
        <v>437417.08810000005</v>
      </c>
      <c r="L315" s="4">
        <f t="shared" si="426"/>
        <v>218708.54405000003</v>
      </c>
      <c r="M315" s="4">
        <f t="shared" si="427"/>
        <v>2187085.4405</v>
      </c>
      <c r="N315" s="4">
        <f t="shared" si="428"/>
        <v>0</v>
      </c>
      <c r="O315">
        <v>927070.73999999987</v>
      </c>
      <c r="P315">
        <v>1315031.6100000001</v>
      </c>
      <c r="Q315">
        <v>0</v>
      </c>
      <c r="R315">
        <v>0</v>
      </c>
    </row>
    <row r="316" spans="1:18" x14ac:dyDescent="0.3">
      <c r="A316" t="s">
        <v>67</v>
      </c>
      <c r="B316">
        <v>2022</v>
      </c>
      <c r="C316" s="4">
        <v>52818593.859999999</v>
      </c>
      <c r="D316" s="4">
        <v>3017521.41</v>
      </c>
      <c r="E316" s="4">
        <v>55836115.270000003</v>
      </c>
      <c r="F316" s="4">
        <f t="shared" si="348"/>
        <v>39613945.394999996</v>
      </c>
      <c r="G316" s="4">
        <f t="shared" si="421"/>
        <v>3697301.5702000004</v>
      </c>
      <c r="H316" s="4">
        <f t="shared" si="422"/>
        <v>3169115.6316</v>
      </c>
      <c r="I316" s="4">
        <f t="shared" si="423"/>
        <v>1584557.8158</v>
      </c>
      <c r="J316" s="4">
        <f t="shared" si="424"/>
        <v>1320464.8465</v>
      </c>
      <c r="K316" s="4">
        <f t="shared" si="425"/>
        <v>528185.93859999999</v>
      </c>
      <c r="L316" s="4">
        <f t="shared" si="426"/>
        <v>264092.9693</v>
      </c>
      <c r="M316" s="4">
        <f t="shared" si="427"/>
        <v>2640929.693</v>
      </c>
      <c r="N316" s="4">
        <f t="shared" si="428"/>
        <v>0</v>
      </c>
      <c r="O316">
        <v>596550.65</v>
      </c>
      <c r="P316">
        <v>1417407.6700000002</v>
      </c>
      <c r="Q316">
        <v>55038.200000000004</v>
      </c>
      <c r="R316">
        <v>0</v>
      </c>
    </row>
    <row r="317" spans="1:18" x14ac:dyDescent="0.3">
      <c r="A317" t="s">
        <v>67</v>
      </c>
      <c r="B317">
        <v>2023</v>
      </c>
      <c r="C317" s="4">
        <v>57852901.550000004</v>
      </c>
      <c r="D317" s="4">
        <v>0</v>
      </c>
      <c r="E317" s="4">
        <v>57852901.550000004</v>
      </c>
      <c r="F317" s="4">
        <f t="shared" si="348"/>
        <v>43389676.162500001</v>
      </c>
      <c r="G317" s="4">
        <f t="shared" si="421"/>
        <v>4049703.1085000006</v>
      </c>
      <c r="H317" s="4">
        <f t="shared" si="422"/>
        <v>3471174.0930000003</v>
      </c>
      <c r="I317" s="4">
        <f t="shared" si="423"/>
        <v>1735587.0465000002</v>
      </c>
      <c r="J317" s="4">
        <f t="shared" si="424"/>
        <v>1446322.5387500003</v>
      </c>
      <c r="K317" s="4">
        <f t="shared" si="425"/>
        <v>578529.0155000001</v>
      </c>
      <c r="L317" s="4">
        <f t="shared" si="426"/>
        <v>289264.50775000005</v>
      </c>
      <c r="M317" s="4">
        <f t="shared" si="427"/>
        <v>2892645.0775000006</v>
      </c>
      <c r="N317" s="4">
        <f t="shared" si="428"/>
        <v>0</v>
      </c>
      <c r="O317">
        <v>657759.65</v>
      </c>
      <c r="P317">
        <v>1171680.3899999999</v>
      </c>
      <c r="Q317">
        <v>362.52</v>
      </c>
      <c r="R317">
        <v>1716919.49</v>
      </c>
    </row>
    <row r="318" spans="1:18" x14ac:dyDescent="0.3">
      <c r="A318" t="s">
        <v>67</v>
      </c>
      <c r="B318">
        <v>2024</v>
      </c>
      <c r="C318" s="4">
        <v>67927438.159999996</v>
      </c>
      <c r="D318" s="4">
        <v>0</v>
      </c>
      <c r="E318" s="4">
        <v>67927438.159999996</v>
      </c>
      <c r="F318" s="4">
        <f t="shared" si="348"/>
        <v>50945578.619999997</v>
      </c>
      <c r="G318" s="4">
        <f t="shared" si="421"/>
        <v>4754920.6711999997</v>
      </c>
      <c r="H318" s="4">
        <f t="shared" si="422"/>
        <v>4075646.2895999998</v>
      </c>
      <c r="I318" s="4">
        <f t="shared" si="423"/>
        <v>2037823.1447999999</v>
      </c>
      <c r="J318" s="4">
        <f t="shared" si="424"/>
        <v>1698185.9539999999</v>
      </c>
      <c r="K318" s="4">
        <f t="shared" si="425"/>
        <v>679274.38159999996</v>
      </c>
      <c r="L318" s="4">
        <f t="shared" si="426"/>
        <v>339637.19079999998</v>
      </c>
      <c r="M318" s="4">
        <f t="shared" si="427"/>
        <v>3396371.9079999998</v>
      </c>
      <c r="N318" s="4">
        <f t="shared" si="428"/>
        <v>0</v>
      </c>
      <c r="O318">
        <v>842550.61</v>
      </c>
      <c r="P318">
        <v>1309107.1700000002</v>
      </c>
      <c r="Q318">
        <v>75550.899999999994</v>
      </c>
      <c r="R318">
        <v>36479.67</v>
      </c>
    </row>
    <row r="319" spans="1:18" x14ac:dyDescent="0.3">
      <c r="A319" t="s">
        <v>67</v>
      </c>
      <c r="B319">
        <v>2025</v>
      </c>
      <c r="C319" s="4">
        <v>69006359.329999998</v>
      </c>
      <c r="D319" s="4">
        <v>0</v>
      </c>
      <c r="E319" s="4">
        <v>69006359.329999998</v>
      </c>
      <c r="F319" s="4">
        <f t="shared" si="348"/>
        <v>51754769.497500002</v>
      </c>
      <c r="G319" s="4">
        <f>C319*0.035</f>
        <v>2415222.5765500003</v>
      </c>
      <c r="H319" s="4">
        <f>C319*0.06</f>
        <v>4140381.5597999999</v>
      </c>
      <c r="I319" s="4">
        <f>C319*0.03</f>
        <v>2070190.7799</v>
      </c>
      <c r="J319" s="4">
        <f>C319*0</f>
        <v>0</v>
      </c>
      <c r="K319" s="4">
        <f>C319*0</f>
        <v>0</v>
      </c>
      <c r="L319" s="4">
        <f>C319*0</f>
        <v>0</v>
      </c>
      <c r="M319" s="4">
        <f>C319*0</f>
        <v>0</v>
      </c>
      <c r="N319" s="4">
        <f>C319*0.1</f>
        <v>6900635.9330000002</v>
      </c>
      <c r="O319">
        <v>845572.75</v>
      </c>
      <c r="P319">
        <v>1242506.7000000002</v>
      </c>
      <c r="Q319">
        <v>70558.36</v>
      </c>
      <c r="R319">
        <v>476582.44</v>
      </c>
    </row>
    <row r="320" spans="1:18" x14ac:dyDescent="0.3">
      <c r="A320" t="s">
        <v>68</v>
      </c>
      <c r="B320">
        <v>2020</v>
      </c>
      <c r="C320" s="4">
        <v>12523992.33</v>
      </c>
      <c r="D320" s="4">
        <v>847820.12999999989</v>
      </c>
      <c r="E320" s="4">
        <v>13371812.460000001</v>
      </c>
      <c r="F320" s="4">
        <f t="shared" si="348"/>
        <v>9392994.2475000005</v>
      </c>
      <c r="G320" s="4">
        <f t="shared" ref="G320:G324" si="429">C320*0.07</f>
        <v>876679.46310000005</v>
      </c>
      <c r="H320" s="4">
        <f t="shared" ref="H320:H324" si="430">C320*0.06</f>
        <v>751439.53980000003</v>
      </c>
      <c r="I320" s="4">
        <f t="shared" ref="I320:I324" si="431">C320*0.03</f>
        <v>375719.76990000001</v>
      </c>
      <c r="J320" s="4">
        <f t="shared" ref="J320:J324" si="432">C320*0.025</f>
        <v>313099.80825</v>
      </c>
      <c r="K320" s="4">
        <f t="shared" ref="K320:K324" si="433">C320*0.01</f>
        <v>125239.92330000001</v>
      </c>
      <c r="L320" s="4">
        <f t="shared" ref="L320:L324" si="434">C320*0.005</f>
        <v>62619.961650000005</v>
      </c>
      <c r="M320" s="4">
        <f t="shared" ref="M320:M324" si="435">C320*0.05</f>
        <v>626199.6165</v>
      </c>
      <c r="N320" s="4">
        <f t="shared" ref="N320:N324" si="436">C320*0</f>
        <v>0</v>
      </c>
      <c r="O320">
        <v>243735.42</v>
      </c>
      <c r="P320">
        <v>333009.15000000002</v>
      </c>
      <c r="Q320">
        <v>8433.7000000000007</v>
      </c>
      <c r="R320">
        <v>0</v>
      </c>
    </row>
    <row r="321" spans="1:18" x14ac:dyDescent="0.3">
      <c r="A321" t="s">
        <v>68</v>
      </c>
      <c r="B321">
        <v>2021</v>
      </c>
      <c r="C321" s="4">
        <v>17011153.949999999</v>
      </c>
      <c r="D321" s="4">
        <v>1150157.3800000001</v>
      </c>
      <c r="E321" s="4">
        <v>18161311.330000002</v>
      </c>
      <c r="F321" s="4">
        <f t="shared" si="348"/>
        <v>12758365.462499999</v>
      </c>
      <c r="G321" s="4">
        <f t="shared" si="429"/>
        <v>1190780.7765000002</v>
      </c>
      <c r="H321" s="4">
        <f t="shared" si="430"/>
        <v>1020669.237</v>
      </c>
      <c r="I321" s="4">
        <f t="shared" si="431"/>
        <v>510334.61849999998</v>
      </c>
      <c r="J321" s="4">
        <f t="shared" si="432"/>
        <v>425278.84875</v>
      </c>
      <c r="K321" s="4">
        <f t="shared" si="433"/>
        <v>170111.53949999998</v>
      </c>
      <c r="L321" s="4">
        <f t="shared" si="434"/>
        <v>85055.769749999992</v>
      </c>
      <c r="M321" s="4">
        <f t="shared" si="435"/>
        <v>850557.69750000001</v>
      </c>
      <c r="N321" s="4">
        <f t="shared" si="436"/>
        <v>0</v>
      </c>
      <c r="O321">
        <v>360569.41000000003</v>
      </c>
      <c r="P321">
        <v>511460.63999999996</v>
      </c>
      <c r="Q321">
        <v>0</v>
      </c>
      <c r="R321">
        <v>0</v>
      </c>
    </row>
    <row r="322" spans="1:18" x14ac:dyDescent="0.3">
      <c r="A322" t="s">
        <v>68</v>
      </c>
      <c r="B322">
        <v>2022</v>
      </c>
      <c r="C322" s="4">
        <v>19677168.449999996</v>
      </c>
      <c r="D322" s="4">
        <v>1121506.07</v>
      </c>
      <c r="E322" s="4">
        <v>20798674.52</v>
      </c>
      <c r="F322" s="4">
        <f t="shared" si="348"/>
        <v>14757876.337499997</v>
      </c>
      <c r="G322" s="4">
        <f t="shared" si="429"/>
        <v>1377401.7914999998</v>
      </c>
      <c r="H322" s="4">
        <f t="shared" si="430"/>
        <v>1180630.1069999996</v>
      </c>
      <c r="I322" s="4">
        <f t="shared" si="431"/>
        <v>590315.05349999981</v>
      </c>
      <c r="J322" s="4">
        <f t="shared" si="432"/>
        <v>491929.21124999993</v>
      </c>
      <c r="K322" s="4">
        <f t="shared" si="433"/>
        <v>196771.68449999997</v>
      </c>
      <c r="L322" s="4">
        <f t="shared" si="434"/>
        <v>98385.842249999987</v>
      </c>
      <c r="M322" s="4">
        <f t="shared" si="435"/>
        <v>983858.42249999987</v>
      </c>
      <c r="N322" s="4">
        <f t="shared" si="436"/>
        <v>0</v>
      </c>
      <c r="O322">
        <v>222816.65999999997</v>
      </c>
      <c r="P322">
        <v>527832.97</v>
      </c>
      <c r="Q322">
        <v>28077.670000000002</v>
      </c>
      <c r="R322">
        <v>0</v>
      </c>
    </row>
    <row r="323" spans="1:18" x14ac:dyDescent="0.3">
      <c r="A323" t="s">
        <v>68</v>
      </c>
      <c r="B323">
        <v>2023</v>
      </c>
      <c r="C323" s="4">
        <v>19241872.070000004</v>
      </c>
      <c r="D323" s="4">
        <v>0</v>
      </c>
      <c r="E323" s="4">
        <v>19241872.070000004</v>
      </c>
      <c r="F323" s="4">
        <f t="shared" ref="F323:F386" si="437">C323*0.75</f>
        <v>14431404.052500002</v>
      </c>
      <c r="G323" s="4">
        <f t="shared" si="429"/>
        <v>1346931.0449000003</v>
      </c>
      <c r="H323" s="4">
        <f t="shared" si="430"/>
        <v>1154512.3242000001</v>
      </c>
      <c r="I323" s="4">
        <f t="shared" si="431"/>
        <v>577256.16210000007</v>
      </c>
      <c r="J323" s="4">
        <f t="shared" si="432"/>
        <v>481046.8017500001</v>
      </c>
      <c r="K323" s="4">
        <f t="shared" si="433"/>
        <v>192418.72070000003</v>
      </c>
      <c r="L323" s="4">
        <f t="shared" si="434"/>
        <v>96209.360350000017</v>
      </c>
      <c r="M323" s="4">
        <f t="shared" si="435"/>
        <v>962093.6035000002</v>
      </c>
      <c r="N323" s="4">
        <f t="shared" si="436"/>
        <v>0</v>
      </c>
      <c r="O323">
        <v>220828.53</v>
      </c>
      <c r="P323">
        <v>389666.41</v>
      </c>
      <c r="Q323">
        <v>184.92</v>
      </c>
      <c r="R323">
        <v>570996.87</v>
      </c>
    </row>
    <row r="324" spans="1:18" x14ac:dyDescent="0.3">
      <c r="A324" t="s">
        <v>68</v>
      </c>
      <c r="B324">
        <v>2024</v>
      </c>
      <c r="C324" s="4">
        <v>23558397.130000003</v>
      </c>
      <c r="D324" s="4">
        <v>0</v>
      </c>
      <c r="E324" s="4">
        <v>23558397.130000003</v>
      </c>
      <c r="F324" s="4">
        <f t="shared" si="437"/>
        <v>17668797.847500004</v>
      </c>
      <c r="G324" s="4">
        <f t="shared" si="429"/>
        <v>1649087.7991000004</v>
      </c>
      <c r="H324" s="4">
        <f t="shared" si="430"/>
        <v>1413503.8278000001</v>
      </c>
      <c r="I324" s="4">
        <f t="shared" si="431"/>
        <v>706751.91390000004</v>
      </c>
      <c r="J324" s="4">
        <f t="shared" si="432"/>
        <v>588959.92825000011</v>
      </c>
      <c r="K324" s="4">
        <f t="shared" si="433"/>
        <v>235583.97130000003</v>
      </c>
      <c r="L324" s="4">
        <f t="shared" si="434"/>
        <v>117791.98565000002</v>
      </c>
      <c r="M324" s="4">
        <f t="shared" si="435"/>
        <v>1177919.8565000002</v>
      </c>
      <c r="N324" s="4">
        <f t="shared" si="436"/>
        <v>0</v>
      </c>
      <c r="O324">
        <v>292221.53000000003</v>
      </c>
      <c r="P324">
        <v>454037.18</v>
      </c>
      <c r="Q324">
        <v>36775.379999999997</v>
      </c>
      <c r="R324">
        <v>12132.08</v>
      </c>
    </row>
    <row r="325" spans="1:18" x14ac:dyDescent="0.3">
      <c r="A325" t="s">
        <v>68</v>
      </c>
      <c r="B325">
        <v>2025</v>
      </c>
      <c r="C325" s="4">
        <v>24502523.98</v>
      </c>
      <c r="D325" s="4">
        <v>0</v>
      </c>
      <c r="E325" s="4">
        <v>24502523.98</v>
      </c>
      <c r="F325" s="4">
        <f t="shared" si="437"/>
        <v>18376892.984999999</v>
      </c>
      <c r="G325" s="4">
        <f>C325*0.035</f>
        <v>857588.33930000011</v>
      </c>
      <c r="H325" s="4">
        <f>C325*0.06</f>
        <v>1470151.4387999999</v>
      </c>
      <c r="I325" s="4">
        <f>C325*0.03</f>
        <v>735075.71939999994</v>
      </c>
      <c r="J325" s="4">
        <f>C325*0</f>
        <v>0</v>
      </c>
      <c r="K325" s="4">
        <f>C325*0</f>
        <v>0</v>
      </c>
      <c r="L325" s="4">
        <f>C325*0</f>
        <v>0</v>
      </c>
      <c r="M325" s="4">
        <f>C325*0</f>
        <v>0</v>
      </c>
      <c r="N325" s="4">
        <f>C325*0.1</f>
        <v>2450252.398</v>
      </c>
      <c r="O325">
        <v>300264.62</v>
      </c>
      <c r="P325">
        <v>441216.66</v>
      </c>
      <c r="Q325">
        <v>33323.56</v>
      </c>
      <c r="R325">
        <v>169235.39</v>
      </c>
    </row>
    <row r="326" spans="1:18" x14ac:dyDescent="0.3">
      <c r="A326" t="s">
        <v>69</v>
      </c>
      <c r="B326">
        <v>2020</v>
      </c>
      <c r="C326" s="4">
        <v>8719553.1400000006</v>
      </c>
      <c r="D326" s="4">
        <v>590278.28999999992</v>
      </c>
      <c r="E326" s="4">
        <v>9309831.4200000018</v>
      </c>
      <c r="F326" s="4">
        <f t="shared" si="437"/>
        <v>6539664.8550000004</v>
      </c>
      <c r="G326" s="4">
        <f t="shared" ref="G326:G330" si="438">C326*0.07</f>
        <v>610368.71980000008</v>
      </c>
      <c r="H326" s="4">
        <f t="shared" ref="H326:H330" si="439">C326*0.06</f>
        <v>523173.18840000004</v>
      </c>
      <c r="I326" s="4">
        <f t="shared" ref="I326:I330" si="440">C326*0.03</f>
        <v>261586.59420000002</v>
      </c>
      <c r="J326" s="4">
        <f t="shared" ref="J326:J330" si="441">C326*0.025</f>
        <v>217988.82850000003</v>
      </c>
      <c r="K326" s="4">
        <f t="shared" ref="K326:K330" si="442">C326*0.01</f>
        <v>87195.531400000007</v>
      </c>
      <c r="L326" s="4">
        <f t="shared" ref="L326:L330" si="443">C326*0.005</f>
        <v>43597.765700000004</v>
      </c>
      <c r="M326" s="4">
        <f t="shared" ref="M326:M330" si="444">C326*0.05</f>
        <v>435977.65700000006</v>
      </c>
      <c r="N326" s="4">
        <f t="shared" ref="N326:N330" si="445">C326*0</f>
        <v>0</v>
      </c>
      <c r="O326">
        <v>169696.06</v>
      </c>
      <c r="P326">
        <v>231851.16000000003</v>
      </c>
      <c r="Q326">
        <v>9710.33</v>
      </c>
      <c r="R326">
        <v>0</v>
      </c>
    </row>
    <row r="327" spans="1:18" x14ac:dyDescent="0.3">
      <c r="A327" t="s">
        <v>69</v>
      </c>
      <c r="B327">
        <v>2021</v>
      </c>
      <c r="C327" s="4">
        <v>11531089.969999999</v>
      </c>
      <c r="D327" s="4">
        <v>779605.29</v>
      </c>
      <c r="E327" s="4">
        <v>12310695.260000002</v>
      </c>
      <c r="F327" s="4">
        <f t="shared" si="437"/>
        <v>8648317.4774999991</v>
      </c>
      <c r="G327" s="4">
        <f t="shared" si="438"/>
        <v>807176.29790000001</v>
      </c>
      <c r="H327" s="4">
        <f t="shared" si="439"/>
        <v>691865.39819999994</v>
      </c>
      <c r="I327" s="4">
        <f t="shared" si="440"/>
        <v>345932.69909999997</v>
      </c>
      <c r="J327" s="4">
        <f t="shared" si="441"/>
        <v>288277.24924999999</v>
      </c>
      <c r="K327" s="4">
        <f t="shared" si="442"/>
        <v>115310.89969999999</v>
      </c>
      <c r="L327" s="4">
        <f t="shared" si="443"/>
        <v>57655.449849999997</v>
      </c>
      <c r="M327" s="4">
        <f t="shared" si="444"/>
        <v>576554.49849999999</v>
      </c>
      <c r="N327" s="4">
        <f t="shared" si="445"/>
        <v>0</v>
      </c>
      <c r="O327">
        <v>244402.69000000003</v>
      </c>
      <c r="P327">
        <v>346680.44999999995</v>
      </c>
      <c r="Q327">
        <v>0</v>
      </c>
      <c r="R327">
        <v>0</v>
      </c>
    </row>
    <row r="328" spans="1:18" x14ac:dyDescent="0.3">
      <c r="A328" t="s">
        <v>69</v>
      </c>
      <c r="B328">
        <v>2022</v>
      </c>
      <c r="C328" s="4">
        <v>13093380.83</v>
      </c>
      <c r="D328" s="4">
        <v>745479.95000000007</v>
      </c>
      <c r="E328" s="4">
        <v>13838860.779999999</v>
      </c>
      <c r="F328" s="4">
        <f t="shared" si="437"/>
        <v>9820035.6225000005</v>
      </c>
      <c r="G328" s="4">
        <f t="shared" si="438"/>
        <v>916536.65810000012</v>
      </c>
      <c r="H328" s="4">
        <f t="shared" si="439"/>
        <v>785602.84979999997</v>
      </c>
      <c r="I328" s="4">
        <f t="shared" si="440"/>
        <v>392801.42489999998</v>
      </c>
      <c r="J328" s="4">
        <f t="shared" si="441"/>
        <v>327334.52075000003</v>
      </c>
      <c r="K328" s="4">
        <f t="shared" si="442"/>
        <v>130933.8083</v>
      </c>
      <c r="L328" s="4">
        <f t="shared" si="443"/>
        <v>65466.904150000002</v>
      </c>
      <c r="M328" s="4">
        <f t="shared" si="444"/>
        <v>654669.04150000005</v>
      </c>
      <c r="N328" s="4">
        <f t="shared" si="445"/>
        <v>0</v>
      </c>
      <c r="O328">
        <v>148433.96</v>
      </c>
      <c r="P328">
        <v>351162.49000000005</v>
      </c>
      <c r="Q328">
        <v>32403.72</v>
      </c>
      <c r="R328">
        <v>0</v>
      </c>
    </row>
    <row r="329" spans="1:18" x14ac:dyDescent="0.3">
      <c r="A329" t="s">
        <v>69</v>
      </c>
      <c r="B329">
        <v>2023</v>
      </c>
      <c r="C329" s="4">
        <v>13548106.309999999</v>
      </c>
      <c r="D329" s="4">
        <v>0</v>
      </c>
      <c r="E329" s="4">
        <v>13548106.309999999</v>
      </c>
      <c r="F329" s="4">
        <f t="shared" si="437"/>
        <v>10161079.732499998</v>
      </c>
      <c r="G329" s="4">
        <f t="shared" si="438"/>
        <v>948367.44169999997</v>
      </c>
      <c r="H329" s="4">
        <f t="shared" si="439"/>
        <v>812886.37859999994</v>
      </c>
      <c r="I329" s="4">
        <f t="shared" si="440"/>
        <v>406443.18929999997</v>
      </c>
      <c r="J329" s="4">
        <f t="shared" si="441"/>
        <v>338702.65775000001</v>
      </c>
      <c r="K329" s="4">
        <f t="shared" si="442"/>
        <v>135481.0631</v>
      </c>
      <c r="L329" s="4">
        <f t="shared" si="443"/>
        <v>67740.53155</v>
      </c>
      <c r="M329" s="4">
        <f t="shared" si="444"/>
        <v>677405.31550000003</v>
      </c>
      <c r="N329" s="4">
        <f t="shared" si="445"/>
        <v>0</v>
      </c>
      <c r="O329">
        <v>154706.15</v>
      </c>
      <c r="P329">
        <v>274375.21000000002</v>
      </c>
      <c r="Q329">
        <v>213.46</v>
      </c>
      <c r="R329">
        <v>402055.13</v>
      </c>
    </row>
    <row r="330" spans="1:18" x14ac:dyDescent="0.3">
      <c r="A330" t="s">
        <v>69</v>
      </c>
      <c r="B330">
        <v>2024</v>
      </c>
      <c r="C330" s="4">
        <v>16397635.439999998</v>
      </c>
      <c r="D330" s="4">
        <v>0</v>
      </c>
      <c r="E330" s="4">
        <v>16397635.439999998</v>
      </c>
      <c r="F330" s="4">
        <f t="shared" si="437"/>
        <v>12298226.579999998</v>
      </c>
      <c r="G330" s="4">
        <f t="shared" si="438"/>
        <v>1147834.4808</v>
      </c>
      <c r="H330" s="4">
        <f t="shared" si="439"/>
        <v>983858.12639999983</v>
      </c>
      <c r="I330" s="4">
        <f t="shared" si="440"/>
        <v>491929.06319999992</v>
      </c>
      <c r="J330" s="4">
        <f t="shared" si="441"/>
        <v>409940.88599999994</v>
      </c>
      <c r="K330" s="4">
        <f t="shared" si="442"/>
        <v>163976.35439999998</v>
      </c>
      <c r="L330" s="4">
        <f t="shared" si="443"/>
        <v>81988.177199999991</v>
      </c>
      <c r="M330" s="4">
        <f t="shared" si="444"/>
        <v>819881.77199999988</v>
      </c>
      <c r="N330" s="4">
        <f t="shared" si="445"/>
        <v>0</v>
      </c>
      <c r="O330">
        <v>203396.47999999998</v>
      </c>
      <c r="P330">
        <v>316025.87</v>
      </c>
      <c r="Q330">
        <v>42136.420000000006</v>
      </c>
      <c r="R330">
        <v>8542.5400000000009</v>
      </c>
    </row>
    <row r="331" spans="1:18" x14ac:dyDescent="0.3">
      <c r="A331" t="s">
        <v>69</v>
      </c>
      <c r="B331">
        <v>2025</v>
      </c>
      <c r="C331" s="4">
        <v>18808090.550000001</v>
      </c>
      <c r="D331" s="4">
        <v>0</v>
      </c>
      <c r="E331" s="4">
        <v>18808090.550000001</v>
      </c>
      <c r="F331" s="4">
        <f t="shared" si="437"/>
        <v>14106067.912500001</v>
      </c>
      <c r="G331" s="4">
        <f>C331*0.035</f>
        <v>658283.16925000004</v>
      </c>
      <c r="H331" s="4">
        <f>C331*0.06</f>
        <v>1128485.433</v>
      </c>
      <c r="I331" s="4">
        <f>C331*0.03</f>
        <v>564242.71649999998</v>
      </c>
      <c r="J331" s="4">
        <f>C331*0</f>
        <v>0</v>
      </c>
      <c r="K331" s="4">
        <f>C331*0</f>
        <v>0</v>
      </c>
      <c r="L331" s="4">
        <f>C331*0</f>
        <v>0</v>
      </c>
      <c r="M331" s="4">
        <f>C331*0</f>
        <v>0</v>
      </c>
      <c r="N331" s="4">
        <f>C331*0.1</f>
        <v>1880809.0550000002</v>
      </c>
      <c r="O331">
        <v>230547.98000000004</v>
      </c>
      <c r="P331">
        <v>338773.29000000004</v>
      </c>
      <c r="Q331">
        <v>37882.97</v>
      </c>
      <c r="R331">
        <v>129941.68000000001</v>
      </c>
    </row>
    <row r="332" spans="1:18" x14ac:dyDescent="0.3">
      <c r="A332" t="s">
        <v>70</v>
      </c>
      <c r="B332">
        <v>2020</v>
      </c>
      <c r="C332" s="4">
        <v>18189142.609999999</v>
      </c>
      <c r="D332" s="4">
        <v>1231313.5999999999</v>
      </c>
      <c r="E332" s="4">
        <v>19420456.210000001</v>
      </c>
      <c r="F332" s="4">
        <f t="shared" si="437"/>
        <v>13641856.9575</v>
      </c>
      <c r="G332" s="4">
        <f t="shared" ref="G332:G336" si="446">C332*0.07</f>
        <v>1273239.9827000001</v>
      </c>
      <c r="H332" s="4">
        <f t="shared" ref="H332:H336" si="447">C332*0.06</f>
        <v>1091348.5566</v>
      </c>
      <c r="I332" s="4">
        <f t="shared" ref="I332:I336" si="448">C332*0.03</f>
        <v>545674.27830000001</v>
      </c>
      <c r="J332" s="4">
        <f t="shared" ref="J332:J336" si="449">C332*0.025</f>
        <v>454728.56524999999</v>
      </c>
      <c r="K332" s="4">
        <f t="shared" ref="K332:K336" si="450">C332*0.01</f>
        <v>181891.42610000001</v>
      </c>
      <c r="L332" s="4">
        <f t="shared" ref="L332:L336" si="451">C332*0.005</f>
        <v>90945.713050000006</v>
      </c>
      <c r="M332" s="4">
        <f t="shared" ref="M332:M336" si="452">C332*0.05</f>
        <v>909457.13049999997</v>
      </c>
      <c r="N332" s="4">
        <f t="shared" ref="N332:N336" si="453">C332*0</f>
        <v>0</v>
      </c>
      <c r="O332">
        <v>353983.82999999996</v>
      </c>
      <c r="P332">
        <v>483638.55999999994</v>
      </c>
      <c r="Q332">
        <v>9819.81</v>
      </c>
      <c r="R332">
        <v>0</v>
      </c>
    </row>
    <row r="333" spans="1:18" x14ac:dyDescent="0.3">
      <c r="A333" t="s">
        <v>70</v>
      </c>
      <c r="B333">
        <v>2021</v>
      </c>
      <c r="C333" s="4">
        <v>23667861.889999997</v>
      </c>
      <c r="D333" s="4">
        <v>1600116.6700000002</v>
      </c>
      <c r="E333" s="4">
        <v>25267978.559999999</v>
      </c>
      <c r="F333" s="4">
        <f t="shared" si="437"/>
        <v>17750896.417499997</v>
      </c>
      <c r="G333" s="4">
        <f t="shared" si="446"/>
        <v>1656750.3322999999</v>
      </c>
      <c r="H333" s="4">
        <f t="shared" si="447"/>
        <v>1420071.7133999998</v>
      </c>
      <c r="I333" s="4">
        <f t="shared" si="448"/>
        <v>710035.85669999989</v>
      </c>
      <c r="J333" s="4">
        <f t="shared" si="449"/>
        <v>591696.54724999995</v>
      </c>
      <c r="K333" s="4">
        <f t="shared" si="450"/>
        <v>236678.61889999997</v>
      </c>
      <c r="L333" s="4">
        <f t="shared" si="451"/>
        <v>118339.30944999999</v>
      </c>
      <c r="M333" s="4">
        <f t="shared" si="452"/>
        <v>1183393.0944999999</v>
      </c>
      <c r="N333" s="4">
        <f t="shared" si="453"/>
        <v>0</v>
      </c>
      <c r="O333">
        <v>501629.01</v>
      </c>
      <c r="P333">
        <v>711550.89999999991</v>
      </c>
      <c r="Q333">
        <v>0</v>
      </c>
      <c r="R333">
        <v>0</v>
      </c>
    </row>
    <row r="334" spans="1:18" x14ac:dyDescent="0.3">
      <c r="A334" t="s">
        <v>70</v>
      </c>
      <c r="B334">
        <v>2022</v>
      </c>
      <c r="C334" s="4">
        <v>30137767.939999998</v>
      </c>
      <c r="D334" s="4">
        <v>1726537.87</v>
      </c>
      <c r="E334" s="4">
        <v>31864305.809999999</v>
      </c>
      <c r="F334" s="4">
        <f t="shared" si="437"/>
        <v>22603325.954999998</v>
      </c>
      <c r="G334" s="4">
        <f t="shared" si="446"/>
        <v>2109643.7557999999</v>
      </c>
      <c r="H334" s="4">
        <f t="shared" si="447"/>
        <v>1808266.0763999999</v>
      </c>
      <c r="I334" s="4">
        <f t="shared" si="448"/>
        <v>904133.03819999995</v>
      </c>
      <c r="J334" s="4">
        <f t="shared" si="449"/>
        <v>753444.19849999994</v>
      </c>
      <c r="K334" s="4">
        <f t="shared" si="450"/>
        <v>301377.67939999996</v>
      </c>
      <c r="L334" s="4">
        <f t="shared" si="451"/>
        <v>150688.83969999998</v>
      </c>
      <c r="M334" s="4">
        <f t="shared" si="452"/>
        <v>1506888.3969999999</v>
      </c>
      <c r="N334" s="4">
        <f t="shared" si="453"/>
        <v>0</v>
      </c>
      <c r="O334">
        <v>339349.43999999994</v>
      </c>
      <c r="P334">
        <v>809140.89999999991</v>
      </c>
      <c r="Q334">
        <v>32862.9</v>
      </c>
      <c r="R334">
        <v>0</v>
      </c>
    </row>
    <row r="335" spans="1:18" x14ac:dyDescent="0.3">
      <c r="A335" t="s">
        <v>70</v>
      </c>
      <c r="B335">
        <v>2023</v>
      </c>
      <c r="C335" s="4">
        <v>32302927.659999996</v>
      </c>
      <c r="D335" s="4">
        <v>0</v>
      </c>
      <c r="E335" s="4">
        <v>32302927.659999996</v>
      </c>
      <c r="F335" s="4">
        <f t="shared" si="437"/>
        <v>24227195.744999997</v>
      </c>
      <c r="G335" s="4">
        <f t="shared" si="446"/>
        <v>2261204.9361999999</v>
      </c>
      <c r="H335" s="4">
        <f t="shared" si="447"/>
        <v>1938175.6595999997</v>
      </c>
      <c r="I335" s="4">
        <f t="shared" si="448"/>
        <v>969087.82979999983</v>
      </c>
      <c r="J335" s="4">
        <f t="shared" si="449"/>
        <v>807573.19149999996</v>
      </c>
      <c r="K335" s="4">
        <f t="shared" si="450"/>
        <v>323029.27659999998</v>
      </c>
      <c r="L335" s="4">
        <f t="shared" si="451"/>
        <v>161514.63829999999</v>
      </c>
      <c r="M335" s="4">
        <f t="shared" si="452"/>
        <v>1615146.3829999999</v>
      </c>
      <c r="N335" s="4">
        <f t="shared" si="453"/>
        <v>0</v>
      </c>
      <c r="O335">
        <v>368020.39999999997</v>
      </c>
      <c r="P335">
        <v>654210.55999999994</v>
      </c>
      <c r="Q335">
        <v>216.55</v>
      </c>
      <c r="R335">
        <v>958646.13</v>
      </c>
    </row>
    <row r="336" spans="1:18" x14ac:dyDescent="0.3">
      <c r="A336" t="s">
        <v>70</v>
      </c>
      <c r="B336">
        <v>2024</v>
      </c>
      <c r="C336" s="4">
        <v>39540755.450000003</v>
      </c>
      <c r="D336" s="4">
        <v>0</v>
      </c>
      <c r="E336" s="4">
        <v>39540755.450000003</v>
      </c>
      <c r="F336" s="4">
        <f t="shared" si="437"/>
        <v>29655566.587500002</v>
      </c>
      <c r="G336" s="4">
        <f t="shared" si="446"/>
        <v>2767852.8815000006</v>
      </c>
      <c r="H336" s="4">
        <f t="shared" si="447"/>
        <v>2372445.327</v>
      </c>
      <c r="I336" s="4">
        <f t="shared" si="448"/>
        <v>1186222.6635</v>
      </c>
      <c r="J336" s="4">
        <f t="shared" si="449"/>
        <v>988518.8862500001</v>
      </c>
      <c r="K336" s="4">
        <f t="shared" si="450"/>
        <v>395407.55450000003</v>
      </c>
      <c r="L336" s="4">
        <f t="shared" si="451"/>
        <v>197703.77725000001</v>
      </c>
      <c r="M336" s="4">
        <f t="shared" si="452"/>
        <v>1977037.7725000002</v>
      </c>
      <c r="N336" s="4">
        <f t="shared" si="453"/>
        <v>0</v>
      </c>
      <c r="O336">
        <v>490468.74000000005</v>
      </c>
      <c r="P336">
        <v>762062.39999999991</v>
      </c>
      <c r="Q336">
        <v>43913.34</v>
      </c>
      <c r="R336">
        <v>20368.53</v>
      </c>
    </row>
    <row r="337" spans="1:18" x14ac:dyDescent="0.3">
      <c r="A337" t="s">
        <v>70</v>
      </c>
      <c r="B337">
        <v>2025</v>
      </c>
      <c r="C337" s="4">
        <v>42523111.369999997</v>
      </c>
      <c r="D337" s="4">
        <v>0</v>
      </c>
      <c r="E337" s="4">
        <v>42523111.369999997</v>
      </c>
      <c r="F337" s="4">
        <f t="shared" si="437"/>
        <v>31892333.527499996</v>
      </c>
      <c r="G337" s="4">
        <f>C337*0.035</f>
        <v>1488308.8979500001</v>
      </c>
      <c r="H337" s="4">
        <f>C337*0.06</f>
        <v>2551386.6821999997</v>
      </c>
      <c r="I337" s="4">
        <f>C337*0.03</f>
        <v>1275693.3410999998</v>
      </c>
      <c r="J337" s="4">
        <f>C337*0</f>
        <v>0</v>
      </c>
      <c r="K337" s="4">
        <f>C337*0</f>
        <v>0</v>
      </c>
      <c r="L337" s="4">
        <f>C337*0</f>
        <v>0</v>
      </c>
      <c r="M337" s="4">
        <f>C337*0</f>
        <v>0</v>
      </c>
      <c r="N337" s="4">
        <f>C337*0.1</f>
        <v>4252311.1370000001</v>
      </c>
      <c r="O337">
        <v>521148.90999999992</v>
      </c>
      <c r="P337">
        <v>765789.83</v>
      </c>
      <c r="Q337">
        <v>40197.360000000001</v>
      </c>
      <c r="R337">
        <v>293730.43</v>
      </c>
    </row>
    <row r="338" spans="1:18" x14ac:dyDescent="0.3">
      <c r="A338" t="s">
        <v>71</v>
      </c>
      <c r="B338">
        <v>2020</v>
      </c>
      <c r="C338" s="4">
        <v>8202092.6799999997</v>
      </c>
      <c r="D338" s="4">
        <v>554581.4</v>
      </c>
      <c r="E338" s="4">
        <v>8756674.0799999982</v>
      </c>
      <c r="F338" s="4">
        <f t="shared" si="437"/>
        <v>6151569.5099999998</v>
      </c>
      <c r="G338" s="4">
        <f t="shared" ref="G338:G342" si="454">C338*0.07</f>
        <v>574146.48759999999</v>
      </c>
      <c r="H338" s="4">
        <f t="shared" ref="H338:H342" si="455">C338*0.06</f>
        <v>492125.56079999998</v>
      </c>
      <c r="I338" s="4">
        <f t="shared" ref="I338:I342" si="456">C338*0.03</f>
        <v>246062.78039999999</v>
      </c>
      <c r="J338" s="4">
        <f t="shared" ref="J338:J342" si="457">C338*0.025</f>
        <v>205052.31700000001</v>
      </c>
      <c r="K338" s="4">
        <f t="shared" ref="K338:K342" si="458">C338*0.01</f>
        <v>82020.926800000001</v>
      </c>
      <c r="L338" s="4">
        <f t="shared" ref="L338:L342" si="459">C338*0.005</f>
        <v>41010.463400000001</v>
      </c>
      <c r="M338" s="4">
        <f t="shared" ref="M338:M342" si="460">C338*0.05</f>
        <v>410104.63400000002</v>
      </c>
      <c r="N338" s="4">
        <f t="shared" ref="N338:N342" si="461">C338*0</f>
        <v>0</v>
      </c>
      <c r="O338">
        <v>159427.82000000004</v>
      </c>
      <c r="P338">
        <v>217821.93999999994</v>
      </c>
      <c r="Q338">
        <v>8195.93</v>
      </c>
      <c r="R338">
        <v>0</v>
      </c>
    </row>
    <row r="339" spans="1:18" x14ac:dyDescent="0.3">
      <c r="A339" t="s">
        <v>71</v>
      </c>
      <c r="B339">
        <v>2021</v>
      </c>
      <c r="C339" s="4">
        <v>5454375.7999999989</v>
      </c>
      <c r="D339" s="4">
        <v>368159.00999999995</v>
      </c>
      <c r="E339" s="4">
        <v>5822534.8100000005</v>
      </c>
      <c r="F339" s="4">
        <f t="shared" si="437"/>
        <v>4090781.8499999992</v>
      </c>
      <c r="G339" s="4">
        <f t="shared" si="454"/>
        <v>381806.30599999998</v>
      </c>
      <c r="H339" s="4">
        <f t="shared" si="455"/>
        <v>327262.54799999989</v>
      </c>
      <c r="I339" s="4">
        <f t="shared" si="456"/>
        <v>163631.27399999995</v>
      </c>
      <c r="J339" s="4">
        <f t="shared" si="457"/>
        <v>136359.39499999999</v>
      </c>
      <c r="K339" s="4">
        <f t="shared" si="458"/>
        <v>54543.757999999987</v>
      </c>
      <c r="L339" s="4">
        <f t="shared" si="459"/>
        <v>27271.878999999994</v>
      </c>
      <c r="M339" s="4">
        <f t="shared" si="460"/>
        <v>272718.78999999998</v>
      </c>
      <c r="N339" s="4">
        <f t="shared" si="461"/>
        <v>0</v>
      </c>
      <c r="O339">
        <v>115412.38999999998</v>
      </c>
      <c r="P339">
        <v>163710.21000000002</v>
      </c>
      <c r="Q339">
        <v>0</v>
      </c>
      <c r="R339">
        <v>0</v>
      </c>
    </row>
    <row r="340" spans="1:18" x14ac:dyDescent="0.3">
      <c r="A340" t="s">
        <v>71</v>
      </c>
      <c r="B340">
        <v>2022</v>
      </c>
      <c r="C340" s="4">
        <v>6112621.1499999994</v>
      </c>
      <c r="D340" s="4">
        <v>347787.94999999995</v>
      </c>
      <c r="E340" s="4">
        <v>6460409.0999999987</v>
      </c>
      <c r="F340" s="4">
        <f t="shared" si="437"/>
        <v>4584465.8624999998</v>
      </c>
      <c r="G340" s="4">
        <f t="shared" si="454"/>
        <v>427883.48050000001</v>
      </c>
      <c r="H340" s="4">
        <f t="shared" si="455"/>
        <v>366757.26899999997</v>
      </c>
      <c r="I340" s="4">
        <f t="shared" si="456"/>
        <v>183378.63449999999</v>
      </c>
      <c r="J340" s="4">
        <f t="shared" si="457"/>
        <v>152815.52875</v>
      </c>
      <c r="K340" s="4">
        <f t="shared" si="458"/>
        <v>61126.211499999998</v>
      </c>
      <c r="L340" s="4">
        <f t="shared" si="459"/>
        <v>30563.105749999999</v>
      </c>
      <c r="M340" s="4">
        <f t="shared" si="460"/>
        <v>305631.0575</v>
      </c>
      <c r="N340" s="4">
        <f t="shared" si="461"/>
        <v>0</v>
      </c>
      <c r="O340">
        <v>69344.34</v>
      </c>
      <c r="P340">
        <v>163917.19</v>
      </c>
      <c r="Q340">
        <v>27572.49</v>
      </c>
      <c r="R340">
        <v>0</v>
      </c>
    </row>
    <row r="341" spans="1:18" x14ac:dyDescent="0.3">
      <c r="A341" t="s">
        <v>71</v>
      </c>
      <c r="B341">
        <v>2023</v>
      </c>
      <c r="C341" s="4">
        <v>6266593.0600000005</v>
      </c>
      <c r="D341" s="4">
        <v>0</v>
      </c>
      <c r="E341" s="4">
        <v>6266593.0600000005</v>
      </c>
      <c r="F341" s="4">
        <f t="shared" si="437"/>
        <v>4699944.7949999999</v>
      </c>
      <c r="G341" s="4">
        <f t="shared" si="454"/>
        <v>438661.51420000009</v>
      </c>
      <c r="H341" s="4">
        <f t="shared" si="455"/>
        <v>375995.58360000001</v>
      </c>
      <c r="I341" s="4">
        <f t="shared" si="456"/>
        <v>187997.79180000001</v>
      </c>
      <c r="J341" s="4">
        <f t="shared" si="457"/>
        <v>156664.82650000002</v>
      </c>
      <c r="K341" s="4">
        <f t="shared" si="458"/>
        <v>62665.930600000007</v>
      </c>
      <c r="L341" s="4">
        <f t="shared" si="459"/>
        <v>31332.965300000003</v>
      </c>
      <c r="M341" s="4">
        <f t="shared" si="460"/>
        <v>313329.65300000005</v>
      </c>
      <c r="N341" s="4">
        <f t="shared" si="461"/>
        <v>0</v>
      </c>
      <c r="O341">
        <v>71609.500000000015</v>
      </c>
      <c r="P341">
        <v>126909.69</v>
      </c>
      <c r="Q341">
        <v>181.79</v>
      </c>
      <c r="R341">
        <v>185966.88</v>
      </c>
    </row>
    <row r="342" spans="1:18" x14ac:dyDescent="0.3">
      <c r="A342" t="s">
        <v>71</v>
      </c>
      <c r="B342">
        <v>2024</v>
      </c>
      <c r="C342" s="4">
        <v>13486685.65</v>
      </c>
      <c r="D342" s="4">
        <v>0</v>
      </c>
      <c r="E342" s="4">
        <v>13486685.65</v>
      </c>
      <c r="F342" s="4">
        <f t="shared" si="437"/>
        <v>10115014.237500001</v>
      </c>
      <c r="G342" s="4">
        <f t="shared" si="454"/>
        <v>944067.99550000008</v>
      </c>
      <c r="H342" s="4">
        <f t="shared" si="455"/>
        <v>809201.13899999997</v>
      </c>
      <c r="I342" s="4">
        <f t="shared" si="456"/>
        <v>404600.56949999998</v>
      </c>
      <c r="J342" s="4">
        <f t="shared" si="457"/>
        <v>337167.14125000004</v>
      </c>
      <c r="K342" s="4">
        <f t="shared" si="458"/>
        <v>134866.85649999999</v>
      </c>
      <c r="L342" s="4">
        <f t="shared" si="459"/>
        <v>67433.428249999997</v>
      </c>
      <c r="M342" s="4">
        <f t="shared" si="460"/>
        <v>674334.28250000009</v>
      </c>
      <c r="N342" s="4">
        <f t="shared" si="461"/>
        <v>0</v>
      </c>
      <c r="O342">
        <v>167351.54</v>
      </c>
      <c r="P342">
        <v>260021.30000000005</v>
      </c>
      <c r="Q342">
        <v>38395.47</v>
      </c>
      <c r="R342">
        <v>3951.34</v>
      </c>
    </row>
    <row r="343" spans="1:18" x14ac:dyDescent="0.3">
      <c r="A343" t="s">
        <v>71</v>
      </c>
      <c r="B343">
        <v>2025</v>
      </c>
      <c r="C343" s="4">
        <v>20539764.800000001</v>
      </c>
      <c r="D343" s="4">
        <v>0</v>
      </c>
      <c r="E343" s="4">
        <v>20539764.800000001</v>
      </c>
      <c r="F343" s="4">
        <f t="shared" si="437"/>
        <v>15404823.600000001</v>
      </c>
      <c r="G343" s="4">
        <f>C343*0.035</f>
        <v>718891.76800000004</v>
      </c>
      <c r="H343" s="4">
        <f>C343*0.06</f>
        <v>1232385.888</v>
      </c>
      <c r="I343" s="4">
        <f>C343*0.03</f>
        <v>616192.94400000002</v>
      </c>
      <c r="J343" s="4">
        <f>C343*0</f>
        <v>0</v>
      </c>
      <c r="K343" s="4">
        <f>C343*0</f>
        <v>0</v>
      </c>
      <c r="L343" s="4">
        <f>C343*0</f>
        <v>0</v>
      </c>
      <c r="M343" s="4">
        <f>C343*0</f>
        <v>0</v>
      </c>
      <c r="N343" s="4">
        <f>C343*0.1</f>
        <v>2053976.4800000002</v>
      </c>
      <c r="O343">
        <v>251946.16</v>
      </c>
      <c r="P343">
        <v>370216.28</v>
      </c>
      <c r="Q343">
        <v>35790.120000000003</v>
      </c>
      <c r="R343">
        <v>142002.13</v>
      </c>
    </row>
    <row r="344" spans="1:18" x14ac:dyDescent="0.3">
      <c r="A344" t="s">
        <v>72</v>
      </c>
      <c r="B344">
        <v>2020</v>
      </c>
      <c r="C344" s="4">
        <v>6219975.6399999987</v>
      </c>
      <c r="D344" s="4">
        <v>421089.48000000004</v>
      </c>
      <c r="E344" s="4">
        <v>6641065.120000001</v>
      </c>
      <c r="F344" s="4">
        <f t="shared" si="437"/>
        <v>4664981.7299999986</v>
      </c>
      <c r="G344" s="4">
        <f t="shared" ref="G344:G348" si="462">C344*0.07</f>
        <v>435398.29479999997</v>
      </c>
      <c r="H344" s="4">
        <f t="shared" ref="H344:H348" si="463">C344*0.06</f>
        <v>373198.5383999999</v>
      </c>
      <c r="I344" s="4">
        <f t="shared" ref="I344:I348" si="464">C344*0.03</f>
        <v>186599.26919999995</v>
      </c>
      <c r="J344" s="4">
        <f t="shared" ref="J344:J348" si="465">C344*0.025</f>
        <v>155499.39099999997</v>
      </c>
      <c r="K344" s="4">
        <f t="shared" ref="K344:K348" si="466">C344*0.01</f>
        <v>62199.756399999991</v>
      </c>
      <c r="L344" s="4">
        <f t="shared" ref="L344:L348" si="467">C344*0.005</f>
        <v>31099.878199999996</v>
      </c>
      <c r="M344" s="4">
        <f t="shared" ref="M344:M348" si="468">C344*0.05</f>
        <v>310998.78199999995</v>
      </c>
      <c r="N344" s="4">
        <f t="shared" ref="N344:N348" si="469">C344*0</f>
        <v>0</v>
      </c>
      <c r="O344">
        <v>121057.06</v>
      </c>
      <c r="P344">
        <v>165396.99999999997</v>
      </c>
      <c r="Q344">
        <v>3691.8</v>
      </c>
      <c r="R344">
        <v>0</v>
      </c>
    </row>
    <row r="345" spans="1:18" x14ac:dyDescent="0.3">
      <c r="A345" t="s">
        <v>72</v>
      </c>
      <c r="B345">
        <v>2021</v>
      </c>
      <c r="C345" s="4">
        <v>8185718.7799999993</v>
      </c>
      <c r="D345" s="4">
        <v>553423.55000000005</v>
      </c>
      <c r="E345" s="4">
        <v>8739142.3300000001</v>
      </c>
      <c r="F345" s="4">
        <f t="shared" si="437"/>
        <v>6139289.084999999</v>
      </c>
      <c r="G345" s="4">
        <f t="shared" si="462"/>
        <v>573000.31460000004</v>
      </c>
      <c r="H345" s="4">
        <f t="shared" si="463"/>
        <v>491143.12679999997</v>
      </c>
      <c r="I345" s="4">
        <f t="shared" si="464"/>
        <v>245571.56339999998</v>
      </c>
      <c r="J345" s="4">
        <f t="shared" si="465"/>
        <v>204642.96950000001</v>
      </c>
      <c r="K345" s="4">
        <f t="shared" si="466"/>
        <v>81857.1878</v>
      </c>
      <c r="L345" s="4">
        <f t="shared" si="467"/>
        <v>40928.5939</v>
      </c>
      <c r="M345" s="4">
        <f t="shared" si="468"/>
        <v>409285.93900000001</v>
      </c>
      <c r="N345" s="4">
        <f t="shared" si="469"/>
        <v>0</v>
      </c>
      <c r="O345">
        <v>173495.75</v>
      </c>
      <c r="P345">
        <v>246100.29999999996</v>
      </c>
      <c r="Q345">
        <v>0</v>
      </c>
      <c r="R345">
        <v>0</v>
      </c>
    </row>
    <row r="346" spans="1:18" x14ac:dyDescent="0.3">
      <c r="A346" t="s">
        <v>72</v>
      </c>
      <c r="B346">
        <v>2022</v>
      </c>
      <c r="C346" s="4">
        <v>9248158.0800000001</v>
      </c>
      <c r="D346" s="4">
        <v>526398.26</v>
      </c>
      <c r="E346" s="4">
        <v>9774556.3400000017</v>
      </c>
      <c r="F346" s="4">
        <f t="shared" si="437"/>
        <v>6936118.5600000005</v>
      </c>
      <c r="G346" s="4">
        <f t="shared" si="462"/>
        <v>647371.06560000009</v>
      </c>
      <c r="H346" s="4">
        <f t="shared" si="463"/>
        <v>554889.48479999998</v>
      </c>
      <c r="I346" s="4">
        <f t="shared" si="464"/>
        <v>277444.74239999999</v>
      </c>
      <c r="J346" s="4">
        <f t="shared" si="465"/>
        <v>231203.95200000002</v>
      </c>
      <c r="K346" s="4">
        <f t="shared" si="466"/>
        <v>92481.580799999996</v>
      </c>
      <c r="L346" s="4">
        <f t="shared" si="467"/>
        <v>46240.790399999998</v>
      </c>
      <c r="M346" s="4">
        <f t="shared" si="468"/>
        <v>462407.90400000004</v>
      </c>
      <c r="N346" s="4">
        <f t="shared" si="469"/>
        <v>0</v>
      </c>
      <c r="O346">
        <v>104875.27000000002</v>
      </c>
      <c r="P346">
        <v>248022.05</v>
      </c>
      <c r="Q346">
        <v>12342.52</v>
      </c>
      <c r="R346">
        <v>0</v>
      </c>
    </row>
    <row r="347" spans="1:18" x14ac:dyDescent="0.3">
      <c r="A347" t="s">
        <v>72</v>
      </c>
      <c r="B347">
        <v>2023</v>
      </c>
      <c r="C347" s="4">
        <v>9223576.7400000002</v>
      </c>
      <c r="D347" s="4">
        <v>0</v>
      </c>
      <c r="E347" s="4">
        <v>9223576.7400000002</v>
      </c>
      <c r="F347" s="4">
        <f t="shared" si="437"/>
        <v>6917682.5549999997</v>
      </c>
      <c r="G347" s="4">
        <f t="shared" si="462"/>
        <v>645650.37180000008</v>
      </c>
      <c r="H347" s="4">
        <f t="shared" si="463"/>
        <v>553414.60439999995</v>
      </c>
      <c r="I347" s="4">
        <f t="shared" si="464"/>
        <v>276707.30219999998</v>
      </c>
      <c r="J347" s="4">
        <f t="shared" si="465"/>
        <v>230589.41850000003</v>
      </c>
      <c r="K347" s="4">
        <f t="shared" si="466"/>
        <v>92235.767399999997</v>
      </c>
      <c r="L347" s="4">
        <f t="shared" si="467"/>
        <v>46117.883699999998</v>
      </c>
      <c r="M347" s="4">
        <f t="shared" si="468"/>
        <v>461178.83700000006</v>
      </c>
      <c r="N347" s="4">
        <f t="shared" si="469"/>
        <v>0</v>
      </c>
      <c r="O347">
        <v>105654.60999999999</v>
      </c>
      <c r="P347">
        <v>186789.65000000002</v>
      </c>
      <c r="Q347">
        <v>81.319999999999993</v>
      </c>
      <c r="R347">
        <v>273711.79000000004</v>
      </c>
    </row>
    <row r="348" spans="1:18" x14ac:dyDescent="0.3">
      <c r="A348" t="s">
        <v>72</v>
      </c>
      <c r="B348">
        <v>2024</v>
      </c>
      <c r="C348" s="4">
        <v>11104777.760000002</v>
      </c>
      <c r="D348" s="4">
        <v>0</v>
      </c>
      <c r="E348" s="4">
        <v>11104777.760000002</v>
      </c>
      <c r="F348" s="4">
        <f t="shared" si="437"/>
        <v>8328583.3200000012</v>
      </c>
      <c r="G348" s="4">
        <f t="shared" si="462"/>
        <v>777334.44320000021</v>
      </c>
      <c r="H348" s="4">
        <f t="shared" si="463"/>
        <v>666286.66560000007</v>
      </c>
      <c r="I348" s="4">
        <f t="shared" si="464"/>
        <v>333143.33280000003</v>
      </c>
      <c r="J348" s="4">
        <f t="shared" si="465"/>
        <v>277619.44400000008</v>
      </c>
      <c r="K348" s="4">
        <f t="shared" si="466"/>
        <v>111047.77760000002</v>
      </c>
      <c r="L348" s="4">
        <f t="shared" si="467"/>
        <v>55523.888800000008</v>
      </c>
      <c r="M348" s="4">
        <f t="shared" si="468"/>
        <v>555238.88800000015</v>
      </c>
      <c r="N348" s="4">
        <f t="shared" si="469"/>
        <v>0</v>
      </c>
      <c r="O348">
        <v>137743.18</v>
      </c>
      <c r="P348">
        <v>214017.51</v>
      </c>
      <c r="Q348">
        <v>16340.349999999999</v>
      </c>
      <c r="R348">
        <v>5815.5999999999995</v>
      </c>
    </row>
    <row r="349" spans="1:18" x14ac:dyDescent="0.3">
      <c r="A349" t="s">
        <v>72</v>
      </c>
      <c r="B349">
        <v>2025</v>
      </c>
      <c r="C349" s="4">
        <v>15197350.870000001</v>
      </c>
      <c r="D349" s="4">
        <v>0</v>
      </c>
      <c r="E349" s="4">
        <v>15197350.870000001</v>
      </c>
      <c r="F349" s="4">
        <f t="shared" si="437"/>
        <v>11398013.1525</v>
      </c>
      <c r="G349" s="4">
        <f>C349*0.035</f>
        <v>531907.28045000008</v>
      </c>
      <c r="H349" s="4">
        <f>C349*0.06</f>
        <v>911841.05220000003</v>
      </c>
      <c r="I349" s="4">
        <f>C349*0.03</f>
        <v>455920.52610000002</v>
      </c>
      <c r="J349" s="4">
        <f>C349*0</f>
        <v>0</v>
      </c>
      <c r="K349" s="4">
        <f>C349*0</f>
        <v>0</v>
      </c>
      <c r="L349" s="4">
        <f>C349*0</f>
        <v>0</v>
      </c>
      <c r="M349" s="4">
        <f>C349*0</f>
        <v>0</v>
      </c>
      <c r="N349" s="4">
        <f>C349*0.1</f>
        <v>1519735.0870000003</v>
      </c>
      <c r="O349">
        <v>186371.12</v>
      </c>
      <c r="P349">
        <v>273858.59999999998</v>
      </c>
      <c r="Q349">
        <v>14913.83</v>
      </c>
      <c r="R349">
        <v>105042.66</v>
      </c>
    </row>
    <row r="350" spans="1:18" x14ac:dyDescent="0.3">
      <c r="A350" t="s">
        <v>73</v>
      </c>
      <c r="B350">
        <v>2020</v>
      </c>
      <c r="C350" s="4">
        <v>9274218.5499999989</v>
      </c>
      <c r="D350" s="4">
        <v>627874.20000000007</v>
      </c>
      <c r="E350" s="4">
        <v>9902092.7400000002</v>
      </c>
      <c r="F350" s="4">
        <f t="shared" si="437"/>
        <v>6955663.9124999996</v>
      </c>
      <c r="G350" s="4">
        <f t="shared" ref="G350:G354" si="470">C350*0.07</f>
        <v>649195.29850000003</v>
      </c>
      <c r="H350" s="4">
        <f t="shared" ref="H350:H354" si="471">C350*0.06</f>
        <v>556453.1129999999</v>
      </c>
      <c r="I350" s="4">
        <f t="shared" ref="I350:I354" si="472">C350*0.03</f>
        <v>278226.55649999995</v>
      </c>
      <c r="J350" s="4">
        <f t="shared" ref="J350:J354" si="473">C350*0.025</f>
        <v>231855.46375</v>
      </c>
      <c r="K350" s="4">
        <f t="shared" ref="K350:K354" si="474">C350*0.01</f>
        <v>92742.185499999992</v>
      </c>
      <c r="L350" s="4">
        <f t="shared" ref="L350:L354" si="475">C350*0.005</f>
        <v>46371.092749999996</v>
      </c>
      <c r="M350" s="4">
        <f t="shared" ref="M350:M354" si="476">C350*0.05</f>
        <v>463710.92749999999</v>
      </c>
      <c r="N350" s="4">
        <f t="shared" ref="N350:N354" si="477">C350*0</f>
        <v>0</v>
      </c>
      <c r="O350">
        <v>180504.72999999998</v>
      </c>
      <c r="P350">
        <v>246618.75</v>
      </c>
      <c r="Q350">
        <v>5077.91</v>
      </c>
      <c r="R350">
        <v>0</v>
      </c>
    </row>
    <row r="351" spans="1:18" x14ac:dyDescent="0.3">
      <c r="A351" t="s">
        <v>73</v>
      </c>
      <c r="B351">
        <v>2021</v>
      </c>
      <c r="C351" s="4">
        <v>11887629.869999999</v>
      </c>
      <c r="D351" s="4">
        <v>803668.1</v>
      </c>
      <c r="E351" s="4">
        <v>12691297.970000001</v>
      </c>
      <c r="F351" s="4">
        <f t="shared" si="437"/>
        <v>8915722.4024999999</v>
      </c>
      <c r="G351" s="4">
        <f t="shared" si="470"/>
        <v>832134.09090000007</v>
      </c>
      <c r="H351" s="4">
        <f t="shared" si="471"/>
        <v>713257.79219999991</v>
      </c>
      <c r="I351" s="4">
        <f t="shared" si="472"/>
        <v>356628.89609999995</v>
      </c>
      <c r="J351" s="4">
        <f t="shared" si="473"/>
        <v>297190.74674999999</v>
      </c>
      <c r="K351" s="4">
        <f t="shared" si="474"/>
        <v>118876.2987</v>
      </c>
      <c r="L351" s="4">
        <f t="shared" si="475"/>
        <v>59438.14935</v>
      </c>
      <c r="M351" s="4">
        <f t="shared" si="476"/>
        <v>594381.49349999998</v>
      </c>
      <c r="N351" s="4">
        <f t="shared" si="477"/>
        <v>0</v>
      </c>
      <c r="O351">
        <v>251946.00000000003</v>
      </c>
      <c r="P351">
        <v>357380.45</v>
      </c>
      <c r="Q351">
        <v>0</v>
      </c>
      <c r="R351">
        <v>0</v>
      </c>
    </row>
    <row r="352" spans="1:18" x14ac:dyDescent="0.3">
      <c r="A352" t="s">
        <v>73</v>
      </c>
      <c r="B352">
        <v>2022</v>
      </c>
      <c r="C352" s="4">
        <v>14096572.379999999</v>
      </c>
      <c r="D352" s="4">
        <v>804546.90999999992</v>
      </c>
      <c r="E352" s="4">
        <v>14901119.289999999</v>
      </c>
      <c r="F352" s="4">
        <f t="shared" si="437"/>
        <v>10572429.285</v>
      </c>
      <c r="G352" s="4">
        <f t="shared" si="470"/>
        <v>986760.06660000002</v>
      </c>
      <c r="H352" s="4">
        <f t="shared" si="471"/>
        <v>845794.34279999987</v>
      </c>
      <c r="I352" s="4">
        <f t="shared" si="472"/>
        <v>422897.17139999993</v>
      </c>
      <c r="J352" s="4">
        <f t="shared" si="473"/>
        <v>352414.30949999997</v>
      </c>
      <c r="K352" s="4">
        <f t="shared" si="474"/>
        <v>140965.72380000001</v>
      </c>
      <c r="L352" s="4">
        <f t="shared" si="475"/>
        <v>70482.861900000004</v>
      </c>
      <c r="M352" s="4">
        <f t="shared" si="476"/>
        <v>704828.61899999995</v>
      </c>
      <c r="N352" s="4">
        <f t="shared" si="477"/>
        <v>0</v>
      </c>
      <c r="O352">
        <v>159382.79</v>
      </c>
      <c r="P352">
        <v>378223.82000000007</v>
      </c>
      <c r="Q352">
        <v>16941.73</v>
      </c>
      <c r="R352">
        <v>0</v>
      </c>
    </row>
    <row r="353" spans="1:18" x14ac:dyDescent="0.3">
      <c r="A353" t="s">
        <v>73</v>
      </c>
      <c r="B353">
        <v>2023</v>
      </c>
      <c r="C353" s="4">
        <v>14122209.719999999</v>
      </c>
      <c r="D353" s="4">
        <v>0</v>
      </c>
      <c r="E353" s="4">
        <v>14122209.719999999</v>
      </c>
      <c r="F353" s="4">
        <f t="shared" si="437"/>
        <v>10591657.289999999</v>
      </c>
      <c r="G353" s="4">
        <f t="shared" si="470"/>
        <v>988554.68039999995</v>
      </c>
      <c r="H353" s="4">
        <f t="shared" si="471"/>
        <v>847332.58319999988</v>
      </c>
      <c r="I353" s="4">
        <f t="shared" si="472"/>
        <v>423666.29159999994</v>
      </c>
      <c r="J353" s="4">
        <f t="shared" si="473"/>
        <v>353055.24300000002</v>
      </c>
      <c r="K353" s="4">
        <f t="shared" si="474"/>
        <v>141222.09719999999</v>
      </c>
      <c r="L353" s="4">
        <f t="shared" si="475"/>
        <v>70611.048599999995</v>
      </c>
      <c r="M353" s="4">
        <f t="shared" si="476"/>
        <v>706110.48600000003</v>
      </c>
      <c r="N353" s="4">
        <f t="shared" si="477"/>
        <v>0</v>
      </c>
      <c r="O353">
        <v>161752.09</v>
      </c>
      <c r="P353">
        <v>285993.67</v>
      </c>
      <c r="Q353">
        <v>111.6</v>
      </c>
      <c r="R353">
        <v>419080.27</v>
      </c>
    </row>
    <row r="354" spans="1:18" x14ac:dyDescent="0.3">
      <c r="A354" t="s">
        <v>73</v>
      </c>
      <c r="B354">
        <v>2024</v>
      </c>
      <c r="C354" s="4">
        <v>20286751.360000003</v>
      </c>
      <c r="D354" s="4">
        <v>0</v>
      </c>
      <c r="E354" s="4">
        <v>20286751.360000003</v>
      </c>
      <c r="F354" s="4">
        <f t="shared" si="437"/>
        <v>15215063.520000003</v>
      </c>
      <c r="G354" s="4">
        <f t="shared" si="470"/>
        <v>1420072.5952000003</v>
      </c>
      <c r="H354" s="4">
        <f t="shared" si="471"/>
        <v>1217205.0816000002</v>
      </c>
      <c r="I354" s="4">
        <f t="shared" si="472"/>
        <v>608602.54080000008</v>
      </c>
      <c r="J354" s="4">
        <f t="shared" si="473"/>
        <v>507168.7840000001</v>
      </c>
      <c r="K354" s="4">
        <f t="shared" si="474"/>
        <v>202867.51360000003</v>
      </c>
      <c r="L354" s="4">
        <f t="shared" si="475"/>
        <v>101433.75680000002</v>
      </c>
      <c r="M354" s="4">
        <f t="shared" si="476"/>
        <v>1014337.5680000002</v>
      </c>
      <c r="N354" s="4">
        <f t="shared" si="477"/>
        <v>0</v>
      </c>
      <c r="O354">
        <v>251670.95999999996</v>
      </c>
      <c r="P354">
        <v>391032.01999999996</v>
      </c>
      <c r="Q354">
        <v>27605.17</v>
      </c>
      <c r="R354">
        <v>8904.31</v>
      </c>
    </row>
    <row r="355" spans="1:18" x14ac:dyDescent="0.3">
      <c r="A355" t="s">
        <v>73</v>
      </c>
      <c r="B355">
        <v>2025</v>
      </c>
      <c r="C355" s="4">
        <v>22021308.48</v>
      </c>
      <c r="D355" s="4">
        <v>0</v>
      </c>
      <c r="E355" s="4">
        <v>22021308.48</v>
      </c>
      <c r="F355" s="4">
        <f t="shared" si="437"/>
        <v>16515981.359999999</v>
      </c>
      <c r="G355" s="4">
        <f>C355*0.035</f>
        <v>770745.79680000013</v>
      </c>
      <c r="H355" s="4">
        <f>C355*0.06</f>
        <v>1321278.5088</v>
      </c>
      <c r="I355" s="4">
        <f>C355*0.03</f>
        <v>660639.25439999998</v>
      </c>
      <c r="J355" s="4">
        <f>C355*0</f>
        <v>0</v>
      </c>
      <c r="K355" s="4">
        <f>C355*0</f>
        <v>0</v>
      </c>
      <c r="L355" s="4">
        <f>C355*0</f>
        <v>0</v>
      </c>
      <c r="M355" s="4">
        <f>C355*0</f>
        <v>0</v>
      </c>
      <c r="N355" s="4">
        <f>C355*0.1</f>
        <v>2202130.8480000002</v>
      </c>
      <c r="O355">
        <v>269893.01</v>
      </c>
      <c r="P355">
        <v>396587.85999999987</v>
      </c>
      <c r="Q355">
        <v>26832.81</v>
      </c>
      <c r="R355">
        <v>152117.33000000002</v>
      </c>
    </row>
    <row r="356" spans="1:18" x14ac:dyDescent="0.3">
      <c r="A356" t="s">
        <v>74</v>
      </c>
      <c r="B356">
        <v>2020</v>
      </c>
      <c r="C356" s="4">
        <v>22632064.550000001</v>
      </c>
      <c r="D356" s="4">
        <v>1532091.9000000001</v>
      </c>
      <c r="E356" s="4">
        <v>24164156.449999999</v>
      </c>
      <c r="F356" s="4">
        <f t="shared" si="437"/>
        <v>16974048.412500001</v>
      </c>
      <c r="G356" s="4">
        <f t="shared" ref="G356:G360" si="478">C356*0.07</f>
        <v>1584244.5185000002</v>
      </c>
      <c r="H356" s="4">
        <f t="shared" ref="H356:H360" si="479">C356*0.06</f>
        <v>1357923.8729999999</v>
      </c>
      <c r="I356" s="4">
        <f t="shared" ref="I356:I360" si="480">C356*0.03</f>
        <v>678961.93649999995</v>
      </c>
      <c r="J356" s="4">
        <f t="shared" ref="J356:J360" si="481">C356*0.025</f>
        <v>565801.61375000002</v>
      </c>
      <c r="K356" s="4">
        <f t="shared" ref="K356:K360" si="482">C356*0.01</f>
        <v>226320.64550000001</v>
      </c>
      <c r="L356" s="4">
        <f t="shared" ref="L356:L360" si="483">C356*0.005</f>
        <v>113160.32275000001</v>
      </c>
      <c r="M356" s="4">
        <f t="shared" ref="M356:M360" si="484">C356*0.05</f>
        <v>1131603.2275</v>
      </c>
      <c r="N356" s="4">
        <f t="shared" ref="N356:N360" si="485">C356*0</f>
        <v>0</v>
      </c>
      <c r="O356">
        <v>440453.16000000003</v>
      </c>
      <c r="P356">
        <v>601779.28</v>
      </c>
      <c r="Q356">
        <v>7865.94</v>
      </c>
      <c r="R356">
        <v>0</v>
      </c>
    </row>
    <row r="357" spans="1:18" x14ac:dyDescent="0.3">
      <c r="A357" t="s">
        <v>74</v>
      </c>
      <c r="B357">
        <v>2021</v>
      </c>
      <c r="C357" s="4">
        <v>27372887.250000004</v>
      </c>
      <c r="D357" s="4">
        <v>1850365.1300000001</v>
      </c>
      <c r="E357" s="4">
        <v>29223252.379999999</v>
      </c>
      <c r="F357" s="4">
        <f t="shared" si="437"/>
        <v>20529665.437500004</v>
      </c>
      <c r="G357" s="4">
        <f t="shared" si="478"/>
        <v>1916102.1075000004</v>
      </c>
      <c r="H357" s="4">
        <f t="shared" si="479"/>
        <v>1642373.2350000001</v>
      </c>
      <c r="I357" s="4">
        <f t="shared" si="480"/>
        <v>821186.61750000005</v>
      </c>
      <c r="J357" s="4">
        <f t="shared" si="481"/>
        <v>684322.18125000014</v>
      </c>
      <c r="K357" s="4">
        <f t="shared" si="482"/>
        <v>273728.87250000006</v>
      </c>
      <c r="L357" s="4">
        <f t="shared" si="483"/>
        <v>136864.43625000003</v>
      </c>
      <c r="M357" s="4">
        <f t="shared" si="484"/>
        <v>1368644.3625000003</v>
      </c>
      <c r="N357" s="4">
        <f t="shared" si="485"/>
        <v>0</v>
      </c>
      <c r="O357">
        <v>580079.25</v>
      </c>
      <c r="P357">
        <v>822831.0199999999</v>
      </c>
      <c r="Q357">
        <v>0</v>
      </c>
      <c r="R357">
        <v>0</v>
      </c>
    </row>
    <row r="358" spans="1:18" x14ac:dyDescent="0.3">
      <c r="A358" t="s">
        <v>74</v>
      </c>
      <c r="B358">
        <v>2022</v>
      </c>
      <c r="C358" s="4">
        <v>33189763.099999994</v>
      </c>
      <c r="D358" s="4">
        <v>1896555.1799999997</v>
      </c>
      <c r="E358" s="4">
        <v>35086318.280000001</v>
      </c>
      <c r="F358" s="4">
        <f t="shared" si="437"/>
        <v>24892322.324999996</v>
      </c>
      <c r="G358" s="4">
        <f t="shared" si="478"/>
        <v>2323283.4169999999</v>
      </c>
      <c r="H358" s="4">
        <f t="shared" si="479"/>
        <v>1991385.7859999996</v>
      </c>
      <c r="I358" s="4">
        <f t="shared" si="480"/>
        <v>995692.89299999981</v>
      </c>
      <c r="J358" s="4">
        <f t="shared" si="481"/>
        <v>829744.0774999999</v>
      </c>
      <c r="K358" s="4">
        <f t="shared" si="482"/>
        <v>331897.63099999994</v>
      </c>
      <c r="L358" s="4">
        <f t="shared" si="483"/>
        <v>165948.81549999997</v>
      </c>
      <c r="M358" s="4">
        <f t="shared" si="484"/>
        <v>1659488.1549999998</v>
      </c>
      <c r="N358" s="4">
        <f t="shared" si="485"/>
        <v>0</v>
      </c>
      <c r="O358">
        <v>374762.11</v>
      </c>
      <c r="P358">
        <v>890693.34</v>
      </c>
      <c r="Q358">
        <v>26230.89</v>
      </c>
      <c r="R358">
        <v>0</v>
      </c>
    </row>
    <row r="359" spans="1:18" x14ac:dyDescent="0.3">
      <c r="A359" t="s">
        <v>74</v>
      </c>
      <c r="B359">
        <v>2023</v>
      </c>
      <c r="C359" s="4">
        <v>37685024.479999997</v>
      </c>
      <c r="D359" s="4">
        <v>0</v>
      </c>
      <c r="E359" s="4">
        <v>37685024.479999997</v>
      </c>
      <c r="F359" s="4">
        <f t="shared" si="437"/>
        <v>28263768.359999999</v>
      </c>
      <c r="G359" s="4">
        <f t="shared" si="478"/>
        <v>2637951.7135999999</v>
      </c>
      <c r="H359" s="4">
        <f t="shared" si="479"/>
        <v>2261101.4687999999</v>
      </c>
      <c r="I359" s="4">
        <f t="shared" si="480"/>
        <v>1130550.7344</v>
      </c>
      <c r="J359" s="4">
        <f t="shared" si="481"/>
        <v>942125.61199999996</v>
      </c>
      <c r="K359" s="4">
        <f t="shared" si="482"/>
        <v>376850.24479999999</v>
      </c>
      <c r="L359" s="4">
        <f t="shared" si="483"/>
        <v>188425.12239999999</v>
      </c>
      <c r="M359" s="4">
        <f t="shared" si="484"/>
        <v>1884251.2239999999</v>
      </c>
      <c r="N359" s="4">
        <f t="shared" si="485"/>
        <v>0</v>
      </c>
      <c r="O359">
        <v>427250.64</v>
      </c>
      <c r="P359">
        <v>763245.65</v>
      </c>
      <c r="Q359">
        <v>172.79</v>
      </c>
      <c r="R359">
        <v>1118420.48</v>
      </c>
    </row>
    <row r="360" spans="1:18" x14ac:dyDescent="0.3">
      <c r="A360" t="s">
        <v>74</v>
      </c>
      <c r="B360">
        <v>2024</v>
      </c>
      <c r="C360" s="4">
        <v>46856739.149999991</v>
      </c>
      <c r="D360" s="4">
        <v>0</v>
      </c>
      <c r="E360" s="4">
        <v>46856739.149999991</v>
      </c>
      <c r="F360" s="4">
        <f t="shared" si="437"/>
        <v>35142554.362499997</v>
      </c>
      <c r="G360" s="4">
        <f t="shared" si="478"/>
        <v>3279971.7404999998</v>
      </c>
      <c r="H360" s="4">
        <f t="shared" si="479"/>
        <v>2811404.3489999995</v>
      </c>
      <c r="I360" s="4">
        <f t="shared" si="480"/>
        <v>1405702.1744999997</v>
      </c>
      <c r="J360" s="4">
        <f t="shared" si="481"/>
        <v>1171418.4787499998</v>
      </c>
      <c r="K360" s="4">
        <f t="shared" si="482"/>
        <v>468567.39149999991</v>
      </c>
      <c r="L360" s="4">
        <f t="shared" si="483"/>
        <v>234283.69574999996</v>
      </c>
      <c r="M360" s="4">
        <f t="shared" si="484"/>
        <v>2342836.9574999996</v>
      </c>
      <c r="N360" s="4">
        <f t="shared" si="485"/>
        <v>0</v>
      </c>
      <c r="O360">
        <v>581224.76</v>
      </c>
      <c r="P360">
        <v>903073.94</v>
      </c>
      <c r="Q360">
        <v>36407.67</v>
      </c>
      <c r="R360">
        <v>23763.289999999997</v>
      </c>
    </row>
    <row r="361" spans="1:18" x14ac:dyDescent="0.3">
      <c r="A361" t="s">
        <v>74</v>
      </c>
      <c r="B361">
        <v>2025</v>
      </c>
      <c r="C361" s="4">
        <v>49678107.270000003</v>
      </c>
      <c r="D361" s="4">
        <v>0</v>
      </c>
      <c r="E361" s="4">
        <v>49678107.270000003</v>
      </c>
      <c r="F361" s="4">
        <f t="shared" si="437"/>
        <v>37258580.452500001</v>
      </c>
      <c r="G361" s="4">
        <f>C361*0.035</f>
        <v>1738733.7544500004</v>
      </c>
      <c r="H361" s="4">
        <f>C361*0.06</f>
        <v>2980686.4361999999</v>
      </c>
      <c r="I361" s="4">
        <f>C361*0.03</f>
        <v>1490343.2180999999</v>
      </c>
      <c r="J361" s="4">
        <f>C361*0</f>
        <v>0</v>
      </c>
      <c r="K361" s="4">
        <f>C361*0</f>
        <v>0</v>
      </c>
      <c r="L361" s="4">
        <f>C361*0</f>
        <v>0</v>
      </c>
      <c r="M361" s="4">
        <f>C361*0</f>
        <v>0</v>
      </c>
      <c r="N361" s="4">
        <f>C361*0.1</f>
        <v>4967810.7270000009</v>
      </c>
      <c r="O361">
        <v>608812.37</v>
      </c>
      <c r="P361">
        <v>894604.78999999992</v>
      </c>
      <c r="Q361">
        <v>33804.229999999996</v>
      </c>
      <c r="R361">
        <v>343139.36</v>
      </c>
    </row>
    <row r="362" spans="1:18" x14ac:dyDescent="0.3">
      <c r="A362" t="s">
        <v>75</v>
      </c>
      <c r="B362">
        <v>2020</v>
      </c>
      <c r="C362" s="4">
        <v>7303553.4199999999</v>
      </c>
      <c r="D362" s="4">
        <v>494405.54</v>
      </c>
      <c r="E362" s="4">
        <v>7797958.96</v>
      </c>
      <c r="F362" s="4">
        <f t="shared" si="437"/>
        <v>5477665.0649999995</v>
      </c>
      <c r="G362" s="4">
        <f t="shared" ref="G362:G366" si="486">C362*0.07</f>
        <v>511248.73940000002</v>
      </c>
      <c r="H362" s="4">
        <f t="shared" ref="H362:H366" si="487">C362*0.06</f>
        <v>438213.20519999997</v>
      </c>
      <c r="I362" s="4">
        <f t="shared" ref="I362:I366" si="488">C362*0.03</f>
        <v>219106.60259999998</v>
      </c>
      <c r="J362" s="4">
        <f t="shared" ref="J362:J366" si="489">C362*0.025</f>
        <v>182588.83550000002</v>
      </c>
      <c r="K362" s="4">
        <f t="shared" ref="K362:K366" si="490">C362*0.01</f>
        <v>73035.534199999995</v>
      </c>
      <c r="L362" s="4">
        <f t="shared" ref="L362:L366" si="491">C362*0.005</f>
        <v>36517.767099999997</v>
      </c>
      <c r="M362" s="4">
        <f t="shared" ref="M362:M366" si="492">C362*0.05</f>
        <v>365177.67100000003</v>
      </c>
      <c r="N362" s="4">
        <f t="shared" ref="N362:N366" si="493">C362*0</f>
        <v>0</v>
      </c>
      <c r="O362">
        <v>142133.97</v>
      </c>
      <c r="P362">
        <v>194193.80000000002</v>
      </c>
      <c r="Q362">
        <v>5096.17</v>
      </c>
      <c r="R362">
        <v>0</v>
      </c>
    </row>
    <row r="363" spans="1:18" x14ac:dyDescent="0.3">
      <c r="A363" t="s">
        <v>75</v>
      </c>
      <c r="B363">
        <v>2021</v>
      </c>
      <c r="C363" s="4">
        <v>9431677.6799999997</v>
      </c>
      <c r="D363" s="4">
        <v>637640.67000000004</v>
      </c>
      <c r="E363" s="4">
        <v>10069318.349999998</v>
      </c>
      <c r="F363" s="4">
        <f t="shared" si="437"/>
        <v>7073758.2599999998</v>
      </c>
      <c r="G363" s="4">
        <f t="shared" si="486"/>
        <v>660217.43760000006</v>
      </c>
      <c r="H363" s="4">
        <f t="shared" si="487"/>
        <v>565900.66079999995</v>
      </c>
      <c r="I363" s="4">
        <f t="shared" si="488"/>
        <v>282950.33039999998</v>
      </c>
      <c r="J363" s="4">
        <f t="shared" si="489"/>
        <v>235791.94200000001</v>
      </c>
      <c r="K363" s="4">
        <f t="shared" si="490"/>
        <v>94316.776799999992</v>
      </c>
      <c r="L363" s="4">
        <f t="shared" si="491"/>
        <v>47158.388399999996</v>
      </c>
      <c r="M363" s="4">
        <f t="shared" si="492"/>
        <v>471583.88400000002</v>
      </c>
      <c r="N363" s="4">
        <f t="shared" si="493"/>
        <v>0</v>
      </c>
      <c r="O363">
        <v>199897.28</v>
      </c>
      <c r="P363">
        <v>283550.36</v>
      </c>
      <c r="Q363">
        <v>0</v>
      </c>
      <c r="R363">
        <v>0</v>
      </c>
    </row>
    <row r="364" spans="1:18" x14ac:dyDescent="0.3">
      <c r="A364" t="s">
        <v>75</v>
      </c>
      <c r="B364">
        <v>2022</v>
      </c>
      <c r="C364" s="4">
        <v>11450998.350000001</v>
      </c>
      <c r="D364" s="4">
        <v>654384.61</v>
      </c>
      <c r="E364" s="4">
        <v>12105382.959999997</v>
      </c>
      <c r="F364" s="4">
        <f t="shared" si="437"/>
        <v>8588248.7625000011</v>
      </c>
      <c r="G364" s="4">
        <f t="shared" si="486"/>
        <v>801569.88450000016</v>
      </c>
      <c r="H364" s="4">
        <f t="shared" si="487"/>
        <v>687059.90100000007</v>
      </c>
      <c r="I364" s="4">
        <f t="shared" si="488"/>
        <v>343529.95050000004</v>
      </c>
      <c r="J364" s="4">
        <f t="shared" si="489"/>
        <v>286274.95875000005</v>
      </c>
      <c r="K364" s="4">
        <f t="shared" si="490"/>
        <v>114509.98350000002</v>
      </c>
      <c r="L364" s="4">
        <f t="shared" si="491"/>
        <v>57254.991750000008</v>
      </c>
      <c r="M364" s="4">
        <f t="shared" si="492"/>
        <v>572549.9175000001</v>
      </c>
      <c r="N364" s="4">
        <f t="shared" si="493"/>
        <v>0</v>
      </c>
      <c r="O364">
        <v>129290.04999999999</v>
      </c>
      <c r="P364">
        <v>307307.25999999995</v>
      </c>
      <c r="Q364">
        <v>16901.71</v>
      </c>
      <c r="R364">
        <v>0</v>
      </c>
    </row>
    <row r="365" spans="1:18" x14ac:dyDescent="0.3">
      <c r="A365" t="s">
        <v>75</v>
      </c>
      <c r="B365">
        <v>2023</v>
      </c>
      <c r="C365" s="4">
        <v>11033353.629999999</v>
      </c>
      <c r="D365" s="4">
        <v>0</v>
      </c>
      <c r="E365" s="4">
        <v>11033353.629999999</v>
      </c>
      <c r="F365" s="4">
        <f t="shared" si="437"/>
        <v>8275015.2224999992</v>
      </c>
      <c r="G365" s="4">
        <f t="shared" si="486"/>
        <v>772334.75410000002</v>
      </c>
      <c r="H365" s="4">
        <f t="shared" si="487"/>
        <v>662001.21779999987</v>
      </c>
      <c r="I365" s="4">
        <f t="shared" si="488"/>
        <v>331000.60889999993</v>
      </c>
      <c r="J365" s="4">
        <f t="shared" si="489"/>
        <v>275833.84074999997</v>
      </c>
      <c r="K365" s="4">
        <f t="shared" si="490"/>
        <v>110333.53629999999</v>
      </c>
      <c r="L365" s="4">
        <f t="shared" si="491"/>
        <v>55166.768149999996</v>
      </c>
      <c r="M365" s="4">
        <f t="shared" si="492"/>
        <v>551667.68149999995</v>
      </c>
      <c r="N365" s="4">
        <f t="shared" si="493"/>
        <v>0</v>
      </c>
      <c r="O365">
        <v>126829.61000000002</v>
      </c>
      <c r="P365">
        <v>223432.56999999998</v>
      </c>
      <c r="Q365">
        <v>111.27</v>
      </c>
      <c r="R365">
        <v>327406.45</v>
      </c>
    </row>
    <row r="366" spans="1:18" x14ac:dyDescent="0.3">
      <c r="A366" t="s">
        <v>75</v>
      </c>
      <c r="B366">
        <v>2024</v>
      </c>
      <c r="C366" s="4">
        <v>13439760.09</v>
      </c>
      <c r="D366" s="4">
        <v>0</v>
      </c>
      <c r="E366" s="4">
        <v>13439760.09</v>
      </c>
      <c r="F366" s="4">
        <f t="shared" si="437"/>
        <v>10079820.067499999</v>
      </c>
      <c r="G366" s="4">
        <f t="shared" si="486"/>
        <v>940783.20630000008</v>
      </c>
      <c r="H366" s="4">
        <f t="shared" si="487"/>
        <v>806385.6054</v>
      </c>
      <c r="I366" s="4">
        <f t="shared" si="488"/>
        <v>403192.8027</v>
      </c>
      <c r="J366" s="4">
        <f t="shared" si="489"/>
        <v>335994.00225000002</v>
      </c>
      <c r="K366" s="4">
        <f t="shared" si="490"/>
        <v>134397.60089999999</v>
      </c>
      <c r="L366" s="4">
        <f t="shared" si="491"/>
        <v>67198.800449999995</v>
      </c>
      <c r="M366" s="4">
        <f t="shared" si="492"/>
        <v>671988.00450000004</v>
      </c>
      <c r="N366" s="4">
        <f t="shared" si="493"/>
        <v>0</v>
      </c>
      <c r="O366">
        <v>166707.85999999999</v>
      </c>
      <c r="P366">
        <v>259021.23</v>
      </c>
      <c r="Q366">
        <v>23166.43</v>
      </c>
      <c r="R366">
        <v>6956.4699999999993</v>
      </c>
    </row>
    <row r="367" spans="1:18" x14ac:dyDescent="0.3">
      <c r="A367" t="s">
        <v>75</v>
      </c>
      <c r="B367">
        <v>2025</v>
      </c>
      <c r="C367" s="4">
        <v>17563302.920000002</v>
      </c>
      <c r="D367" s="4">
        <v>0</v>
      </c>
      <c r="E367" s="4">
        <v>17563302.920000002</v>
      </c>
      <c r="F367" s="4">
        <f t="shared" si="437"/>
        <v>13172477.190000001</v>
      </c>
      <c r="G367" s="4">
        <f>C367*0.035</f>
        <v>614715.60220000008</v>
      </c>
      <c r="H367" s="4">
        <f>C367*0.06</f>
        <v>1053798.1752000002</v>
      </c>
      <c r="I367" s="4">
        <f>C367*0.03</f>
        <v>526899.08760000009</v>
      </c>
      <c r="J367" s="4">
        <f>C367*0</f>
        <v>0</v>
      </c>
      <c r="K367" s="4">
        <f>C367*0</f>
        <v>0</v>
      </c>
      <c r="L367" s="4">
        <f>C367*0</f>
        <v>0</v>
      </c>
      <c r="M367" s="4">
        <f>C367*0</f>
        <v>0</v>
      </c>
      <c r="N367" s="4">
        <f>C367*0.1</f>
        <v>1756330.2920000004</v>
      </c>
      <c r="O367">
        <v>215362.21999999997</v>
      </c>
      <c r="P367">
        <v>316458.81</v>
      </c>
      <c r="Q367">
        <v>21378.579999999998</v>
      </c>
      <c r="R367">
        <v>121382.63</v>
      </c>
    </row>
    <row r="368" spans="1:18" x14ac:dyDescent="0.3">
      <c r="A368" t="s">
        <v>76</v>
      </c>
      <c r="B368">
        <v>2020</v>
      </c>
      <c r="C368" s="4">
        <v>13745356.77</v>
      </c>
      <c r="D368" s="4">
        <v>930533.33000000007</v>
      </c>
      <c r="E368" s="4">
        <v>14675890.1</v>
      </c>
      <c r="F368" s="4">
        <f t="shared" si="437"/>
        <v>10309017.577500001</v>
      </c>
      <c r="G368" s="4">
        <f t="shared" ref="G368:G372" si="494">C368*0.07</f>
        <v>962174.9739000001</v>
      </c>
      <c r="H368" s="4">
        <f t="shared" ref="H368:H372" si="495">C368*0.06</f>
        <v>824721.40619999997</v>
      </c>
      <c r="I368" s="4">
        <f t="shared" ref="I368:I372" si="496">C368*0.03</f>
        <v>412360.70309999998</v>
      </c>
      <c r="J368" s="4">
        <f t="shared" ref="J368:J372" si="497">C368*0.025</f>
        <v>343633.91925000004</v>
      </c>
      <c r="K368" s="4">
        <f t="shared" ref="K368:K372" si="498">C368*0.01</f>
        <v>137453.56769999999</v>
      </c>
      <c r="L368" s="4">
        <f t="shared" ref="L368:L372" si="499">C368*0.005</f>
        <v>68726.783849999993</v>
      </c>
      <c r="M368" s="4">
        <f t="shared" ref="M368:M372" si="500">C368*0.05</f>
        <v>687267.83850000007</v>
      </c>
      <c r="N368" s="4">
        <f t="shared" ref="N368:N372" si="501">C368*0</f>
        <v>0</v>
      </c>
      <c r="O368">
        <v>267514.5</v>
      </c>
      <c r="P368">
        <v>365497.83999999997</v>
      </c>
      <c r="Q368">
        <v>5191.7299999999996</v>
      </c>
      <c r="R368">
        <v>0</v>
      </c>
    </row>
    <row r="369" spans="1:18" x14ac:dyDescent="0.3">
      <c r="A369" t="s">
        <v>76</v>
      </c>
      <c r="B369">
        <v>2021</v>
      </c>
      <c r="C369" s="4">
        <v>17653424.020000003</v>
      </c>
      <c r="D369" s="4">
        <v>1193471.03</v>
      </c>
      <c r="E369" s="4">
        <v>18846895.050000001</v>
      </c>
      <c r="F369" s="4">
        <f t="shared" si="437"/>
        <v>13240068.015000002</v>
      </c>
      <c r="G369" s="4">
        <f t="shared" si="494"/>
        <v>1235739.6814000004</v>
      </c>
      <c r="H369" s="4">
        <f t="shared" si="495"/>
        <v>1059205.4412000002</v>
      </c>
      <c r="I369" s="4">
        <f t="shared" si="496"/>
        <v>529602.72060000012</v>
      </c>
      <c r="J369" s="4">
        <f t="shared" si="497"/>
        <v>441335.60050000012</v>
      </c>
      <c r="K369" s="4">
        <f t="shared" si="498"/>
        <v>176534.24020000003</v>
      </c>
      <c r="L369" s="4">
        <f t="shared" si="499"/>
        <v>88267.120100000015</v>
      </c>
      <c r="M369" s="4">
        <f t="shared" si="500"/>
        <v>882671.20100000023</v>
      </c>
      <c r="N369" s="4">
        <f t="shared" si="501"/>
        <v>0</v>
      </c>
      <c r="O369">
        <v>374147.33</v>
      </c>
      <c r="P369">
        <v>530720.66999999993</v>
      </c>
      <c r="Q369">
        <v>0</v>
      </c>
      <c r="R369">
        <v>0</v>
      </c>
    </row>
    <row r="370" spans="1:18" x14ac:dyDescent="0.3">
      <c r="A370" t="s">
        <v>76</v>
      </c>
      <c r="B370">
        <v>2022</v>
      </c>
      <c r="C370" s="4">
        <v>22342102.850000001</v>
      </c>
      <c r="D370" s="4">
        <v>1279541.57</v>
      </c>
      <c r="E370" s="4">
        <v>23621644.420000002</v>
      </c>
      <c r="F370" s="4">
        <f t="shared" si="437"/>
        <v>16756577.137500001</v>
      </c>
      <c r="G370" s="4">
        <f t="shared" si="494"/>
        <v>1563947.1995000003</v>
      </c>
      <c r="H370" s="4">
        <f t="shared" si="495"/>
        <v>1340526.1710000001</v>
      </c>
      <c r="I370" s="4">
        <f t="shared" si="496"/>
        <v>670263.08550000004</v>
      </c>
      <c r="J370" s="4">
        <f t="shared" si="497"/>
        <v>558552.57125000004</v>
      </c>
      <c r="K370" s="4">
        <f t="shared" si="498"/>
        <v>223421.02850000001</v>
      </c>
      <c r="L370" s="4">
        <f t="shared" si="499"/>
        <v>111710.51425000001</v>
      </c>
      <c r="M370" s="4">
        <f t="shared" si="500"/>
        <v>1117105.1425000001</v>
      </c>
      <c r="N370" s="4">
        <f t="shared" si="501"/>
        <v>0</v>
      </c>
      <c r="O370">
        <v>251656.82</v>
      </c>
      <c r="P370">
        <v>599810.42999999993</v>
      </c>
      <c r="Q370">
        <v>17153.730000000003</v>
      </c>
      <c r="R370">
        <v>0</v>
      </c>
    </row>
    <row r="371" spans="1:18" x14ac:dyDescent="0.3">
      <c r="A371" t="s">
        <v>76</v>
      </c>
      <c r="B371">
        <v>2023</v>
      </c>
      <c r="C371" s="4">
        <v>24050589.719999999</v>
      </c>
      <c r="D371" s="4">
        <v>0</v>
      </c>
      <c r="E371" s="4">
        <v>24050589.719999999</v>
      </c>
      <c r="F371" s="4">
        <f t="shared" si="437"/>
        <v>18037942.289999999</v>
      </c>
      <c r="G371" s="4">
        <f t="shared" si="494"/>
        <v>1683541.2804</v>
      </c>
      <c r="H371" s="4">
        <f t="shared" si="495"/>
        <v>1443035.3831999998</v>
      </c>
      <c r="I371" s="4">
        <f t="shared" si="496"/>
        <v>721517.6915999999</v>
      </c>
      <c r="J371" s="4">
        <f t="shared" si="497"/>
        <v>601264.74300000002</v>
      </c>
      <c r="K371" s="4">
        <f t="shared" si="498"/>
        <v>240505.89720000001</v>
      </c>
      <c r="L371" s="4">
        <f t="shared" si="499"/>
        <v>120252.9486</v>
      </c>
      <c r="M371" s="4">
        <f t="shared" si="500"/>
        <v>1202529.486</v>
      </c>
      <c r="N371" s="4">
        <f t="shared" si="501"/>
        <v>0</v>
      </c>
      <c r="O371">
        <v>273897.57999999996</v>
      </c>
      <c r="P371">
        <v>487082.99</v>
      </c>
      <c r="Q371">
        <v>112.9</v>
      </c>
      <c r="R371">
        <v>713746.11</v>
      </c>
    </row>
    <row r="372" spans="1:18" x14ac:dyDescent="0.3">
      <c r="A372" t="s">
        <v>76</v>
      </c>
      <c r="B372">
        <v>2024</v>
      </c>
      <c r="C372" s="4">
        <v>27244499.819999997</v>
      </c>
      <c r="D372" s="4">
        <v>0</v>
      </c>
      <c r="E372" s="4">
        <v>27244499.819999997</v>
      </c>
      <c r="F372" s="4">
        <f t="shared" si="437"/>
        <v>20433374.864999998</v>
      </c>
      <c r="G372" s="4">
        <f t="shared" si="494"/>
        <v>1907114.9874</v>
      </c>
      <c r="H372" s="4">
        <f t="shared" si="495"/>
        <v>1634669.9891999997</v>
      </c>
      <c r="I372" s="4">
        <f t="shared" si="496"/>
        <v>817334.99459999986</v>
      </c>
      <c r="J372" s="4">
        <f t="shared" si="497"/>
        <v>681112.49549999996</v>
      </c>
      <c r="K372" s="4">
        <f t="shared" si="498"/>
        <v>272444.99819999997</v>
      </c>
      <c r="L372" s="4">
        <f t="shared" si="499"/>
        <v>136222.49909999999</v>
      </c>
      <c r="M372" s="4">
        <f t="shared" si="500"/>
        <v>1362224.9909999999</v>
      </c>
      <c r="N372" s="4">
        <f t="shared" si="501"/>
        <v>0</v>
      </c>
      <c r="O372">
        <v>337921.37</v>
      </c>
      <c r="P372">
        <v>525042.98</v>
      </c>
      <c r="Q372">
        <v>24298.01</v>
      </c>
      <c r="R372">
        <v>15165.07</v>
      </c>
    </row>
    <row r="373" spans="1:18" x14ac:dyDescent="0.3">
      <c r="A373" t="s">
        <v>76</v>
      </c>
      <c r="B373">
        <v>2025</v>
      </c>
      <c r="C373" s="4">
        <v>29175157.030000001</v>
      </c>
      <c r="D373" s="4">
        <v>0</v>
      </c>
      <c r="E373" s="4">
        <v>29175157.030000001</v>
      </c>
      <c r="F373" s="4">
        <f t="shared" si="437"/>
        <v>21881367.772500001</v>
      </c>
      <c r="G373" s="4">
        <f>C373*0.035</f>
        <v>1021130.4960500002</v>
      </c>
      <c r="H373" s="4">
        <f>C373*0.06</f>
        <v>1750509.4217999999</v>
      </c>
      <c r="I373" s="4">
        <f>C373*0.03</f>
        <v>875254.71089999995</v>
      </c>
      <c r="J373" s="4">
        <f>C373*0</f>
        <v>0</v>
      </c>
      <c r="K373" s="4">
        <f>C373*0</f>
        <v>0</v>
      </c>
      <c r="L373" s="4">
        <f>C373*0</f>
        <v>0</v>
      </c>
      <c r="M373" s="4">
        <f>C373*0</f>
        <v>0</v>
      </c>
      <c r="N373" s="4">
        <f>C373*0.1</f>
        <v>2917515.7030000002</v>
      </c>
      <c r="O373">
        <v>357556.48000000004</v>
      </c>
      <c r="P373">
        <v>525402.81000000006</v>
      </c>
      <c r="Q373">
        <v>25434.76</v>
      </c>
      <c r="R373">
        <v>201526.3</v>
      </c>
    </row>
    <row r="374" spans="1:18" x14ac:dyDescent="0.3">
      <c r="A374" t="s">
        <v>77</v>
      </c>
      <c r="B374">
        <v>2020</v>
      </c>
      <c r="C374" s="4">
        <v>63731756.00999999</v>
      </c>
      <c r="D374" s="4">
        <v>4314297.79</v>
      </c>
      <c r="E374" s="4">
        <v>68046053.799999997</v>
      </c>
      <c r="F374" s="4">
        <f t="shared" si="437"/>
        <v>47798817.007499993</v>
      </c>
      <c r="G374" s="4">
        <f t="shared" ref="G374:G378" si="502">C374*0.07</f>
        <v>4461222.9206999997</v>
      </c>
      <c r="H374" s="4">
        <f t="shared" ref="H374:H378" si="503">C374*0.06</f>
        <v>3823905.3605999993</v>
      </c>
      <c r="I374" s="4">
        <f t="shared" ref="I374:I378" si="504">C374*0.03</f>
        <v>1911952.6802999997</v>
      </c>
      <c r="J374" s="4">
        <f t="shared" ref="J374:J378" si="505">C374*0.025</f>
        <v>1593293.9002499999</v>
      </c>
      <c r="K374" s="4">
        <f t="shared" ref="K374:K378" si="506">C374*0.01</f>
        <v>637317.56009999989</v>
      </c>
      <c r="L374" s="4">
        <f t="shared" ref="L374:L378" si="507">C374*0.005</f>
        <v>318658.78004999994</v>
      </c>
      <c r="M374" s="4">
        <f t="shared" ref="M374:M378" si="508">C374*0.05</f>
        <v>3186587.8004999999</v>
      </c>
      <c r="N374" s="4">
        <f t="shared" ref="N374:N378" si="509">C374*0</f>
        <v>0</v>
      </c>
      <c r="O374">
        <v>1240294.45</v>
      </c>
      <c r="P374">
        <v>1694580.9100000001</v>
      </c>
      <c r="Q374">
        <v>13387.99</v>
      </c>
      <c r="R374">
        <v>0</v>
      </c>
    </row>
    <row r="375" spans="1:18" x14ac:dyDescent="0.3">
      <c r="A375" t="s">
        <v>77</v>
      </c>
      <c r="B375">
        <v>2021</v>
      </c>
      <c r="C375" s="4">
        <v>79942024.579999998</v>
      </c>
      <c r="D375" s="4">
        <v>5404310.5899999999</v>
      </c>
      <c r="E375" s="4">
        <v>85346335.170000002</v>
      </c>
      <c r="F375" s="4">
        <f t="shared" si="437"/>
        <v>59956518.435000002</v>
      </c>
      <c r="G375" s="4">
        <f t="shared" si="502"/>
        <v>5595941.7206000006</v>
      </c>
      <c r="H375" s="4">
        <f t="shared" si="503"/>
        <v>4796521.4748</v>
      </c>
      <c r="I375" s="4">
        <f t="shared" si="504"/>
        <v>2398260.7374</v>
      </c>
      <c r="J375" s="4">
        <f t="shared" si="505"/>
        <v>1998550.6145000001</v>
      </c>
      <c r="K375" s="4">
        <f t="shared" si="506"/>
        <v>799420.24580000003</v>
      </c>
      <c r="L375" s="4">
        <f t="shared" si="507"/>
        <v>399710.12290000002</v>
      </c>
      <c r="M375" s="4">
        <f t="shared" si="508"/>
        <v>3997101.2290000003</v>
      </c>
      <c r="N375" s="4">
        <f t="shared" si="509"/>
        <v>0</v>
      </c>
      <c r="O375">
        <v>1694223.63</v>
      </c>
      <c r="P375">
        <v>2403223.02</v>
      </c>
      <c r="Q375">
        <v>0</v>
      </c>
      <c r="R375">
        <v>0</v>
      </c>
    </row>
    <row r="376" spans="1:18" x14ac:dyDescent="0.3">
      <c r="A376" t="s">
        <v>77</v>
      </c>
      <c r="B376">
        <v>2022</v>
      </c>
      <c r="C376" s="4">
        <v>88665714.049999997</v>
      </c>
      <c r="D376" s="4">
        <v>5041398.6700000009</v>
      </c>
      <c r="E376" s="4">
        <v>93707112.719999999</v>
      </c>
      <c r="F376" s="4">
        <f t="shared" si="437"/>
        <v>66499285.537499994</v>
      </c>
      <c r="G376" s="4">
        <f t="shared" si="502"/>
        <v>6206599.9835000001</v>
      </c>
      <c r="H376" s="4">
        <f t="shared" si="503"/>
        <v>5319942.8429999994</v>
      </c>
      <c r="I376" s="4">
        <f t="shared" si="504"/>
        <v>2659971.4214999997</v>
      </c>
      <c r="J376" s="4">
        <f t="shared" si="505"/>
        <v>2216642.8512499998</v>
      </c>
      <c r="K376" s="4">
        <f t="shared" si="506"/>
        <v>886657.14049999998</v>
      </c>
      <c r="L376" s="4">
        <f t="shared" si="507"/>
        <v>443328.57024999999</v>
      </c>
      <c r="M376" s="4">
        <f t="shared" si="508"/>
        <v>4433285.7024999997</v>
      </c>
      <c r="N376" s="4">
        <f t="shared" si="509"/>
        <v>0</v>
      </c>
      <c r="O376">
        <v>1006648.34</v>
      </c>
      <c r="P376">
        <v>2377450.65</v>
      </c>
      <c r="Q376">
        <v>45017.770000000004</v>
      </c>
      <c r="R376">
        <v>0</v>
      </c>
    </row>
    <row r="377" spans="1:18" x14ac:dyDescent="0.3">
      <c r="A377" t="s">
        <v>77</v>
      </c>
      <c r="B377">
        <v>2023</v>
      </c>
      <c r="C377" s="4">
        <v>98626368.149999991</v>
      </c>
      <c r="D377" s="4">
        <v>0</v>
      </c>
      <c r="E377" s="4">
        <v>98626368.149999991</v>
      </c>
      <c r="F377" s="4">
        <f t="shared" si="437"/>
        <v>73969776.112499997</v>
      </c>
      <c r="G377" s="4">
        <f t="shared" si="502"/>
        <v>6903845.7704999996</v>
      </c>
      <c r="H377" s="4">
        <f t="shared" si="503"/>
        <v>5917582.0889999997</v>
      </c>
      <c r="I377" s="4">
        <f t="shared" si="504"/>
        <v>2958791.0444999998</v>
      </c>
      <c r="J377" s="4">
        <f t="shared" si="505"/>
        <v>2465659.2037499999</v>
      </c>
      <c r="K377" s="4">
        <f t="shared" si="506"/>
        <v>986263.68149999995</v>
      </c>
      <c r="L377" s="4">
        <f t="shared" si="507"/>
        <v>493131.84074999997</v>
      </c>
      <c r="M377" s="4">
        <f t="shared" si="508"/>
        <v>4931318.4074999997</v>
      </c>
      <c r="N377" s="4">
        <f t="shared" si="509"/>
        <v>0</v>
      </c>
      <c r="O377">
        <v>1119427.23</v>
      </c>
      <c r="P377">
        <v>1997487.17</v>
      </c>
      <c r="Q377">
        <v>296.8</v>
      </c>
      <c r="R377">
        <v>2927013.79</v>
      </c>
    </row>
    <row r="378" spans="1:18" x14ac:dyDescent="0.3">
      <c r="A378" t="s">
        <v>77</v>
      </c>
      <c r="B378">
        <v>2024</v>
      </c>
      <c r="C378" s="4">
        <v>121423780.55000001</v>
      </c>
      <c r="D378" s="4">
        <v>0</v>
      </c>
      <c r="E378" s="4">
        <v>121423780.55000001</v>
      </c>
      <c r="F378" s="4">
        <f t="shared" si="437"/>
        <v>91067835.412500009</v>
      </c>
      <c r="G378" s="4">
        <f t="shared" si="502"/>
        <v>8499664.6385000013</v>
      </c>
      <c r="H378" s="4">
        <f t="shared" si="503"/>
        <v>7285426.8330000006</v>
      </c>
      <c r="I378" s="4">
        <f t="shared" si="504"/>
        <v>3642713.4165000003</v>
      </c>
      <c r="J378" s="4">
        <f t="shared" si="505"/>
        <v>3035594.5137500004</v>
      </c>
      <c r="K378" s="4">
        <f t="shared" si="506"/>
        <v>1214237.8055000002</v>
      </c>
      <c r="L378" s="4">
        <f t="shared" si="507"/>
        <v>607118.90275000012</v>
      </c>
      <c r="M378" s="4">
        <f t="shared" si="508"/>
        <v>6071189.0275000008</v>
      </c>
      <c r="N378" s="4">
        <f t="shared" si="509"/>
        <v>0</v>
      </c>
      <c r="O378">
        <v>1506163.82</v>
      </c>
      <c r="P378">
        <v>2340191.6100000003</v>
      </c>
      <c r="Q378">
        <v>62959</v>
      </c>
      <c r="R378">
        <v>62190.82</v>
      </c>
    </row>
    <row r="379" spans="1:18" x14ac:dyDescent="0.3">
      <c r="A379" t="s">
        <v>77</v>
      </c>
      <c r="B379">
        <v>2025</v>
      </c>
      <c r="C379" s="4">
        <v>123422599.38</v>
      </c>
      <c r="D379" s="4">
        <v>0</v>
      </c>
      <c r="E379" s="4">
        <v>123422599.38</v>
      </c>
      <c r="F379" s="4">
        <f t="shared" si="437"/>
        <v>92566949.534999996</v>
      </c>
      <c r="G379" s="4">
        <f>C379*0.035</f>
        <v>4319790.9783000005</v>
      </c>
      <c r="H379" s="4">
        <f>C379*0.06</f>
        <v>7405355.9627999999</v>
      </c>
      <c r="I379" s="4">
        <f>C379*0.03</f>
        <v>3702677.9813999999</v>
      </c>
      <c r="J379" s="4">
        <f>C379*0</f>
        <v>0</v>
      </c>
      <c r="K379" s="4">
        <f>C379*0</f>
        <v>0</v>
      </c>
      <c r="L379" s="4">
        <f>C379*0</f>
        <v>0</v>
      </c>
      <c r="M379" s="4">
        <f>C379*0</f>
        <v>0</v>
      </c>
      <c r="N379" s="4">
        <f>C379*0.1</f>
        <v>12342259.938000001</v>
      </c>
      <c r="O379">
        <v>1512367.23</v>
      </c>
      <c r="P379">
        <v>2222311.98</v>
      </c>
      <c r="Q379">
        <v>61888.67</v>
      </c>
      <c r="R379">
        <v>852401.78</v>
      </c>
    </row>
    <row r="380" spans="1:18" x14ac:dyDescent="0.3">
      <c r="A380" t="s">
        <v>78</v>
      </c>
      <c r="B380">
        <v>2020</v>
      </c>
      <c r="C380" s="4">
        <v>19215776.030000001</v>
      </c>
      <c r="D380" s="4">
        <v>1300866.9000000004</v>
      </c>
      <c r="E380" s="4">
        <v>20516642.93</v>
      </c>
      <c r="F380" s="4">
        <f t="shared" si="437"/>
        <v>14411832.022500001</v>
      </c>
      <c r="G380" s="4">
        <f t="shared" ref="G380:G384" si="510">C380*0.07</f>
        <v>1345104.3221000002</v>
      </c>
      <c r="H380" s="4">
        <f t="shared" ref="H380:H384" si="511">C380*0.06</f>
        <v>1152946.5618</v>
      </c>
      <c r="I380" s="4">
        <f t="shared" ref="I380:I384" si="512">C380*0.03</f>
        <v>576473.28090000001</v>
      </c>
      <c r="J380" s="4">
        <f t="shared" ref="J380:J384" si="513">C380*0.025</f>
        <v>480394.40075000003</v>
      </c>
      <c r="K380" s="4">
        <f t="shared" ref="K380:K384" si="514">C380*0.01</f>
        <v>192157.76030000002</v>
      </c>
      <c r="L380" s="4">
        <f t="shared" ref="L380:L384" si="515">C380*0.005</f>
        <v>96078.880150000012</v>
      </c>
      <c r="M380" s="4">
        <f t="shared" ref="M380:M384" si="516">C380*0.05</f>
        <v>960788.80150000006</v>
      </c>
      <c r="N380" s="4">
        <f t="shared" ref="N380:N384" si="517">C380*0</f>
        <v>0</v>
      </c>
      <c r="O380">
        <v>373979.86</v>
      </c>
      <c r="P380">
        <v>510958.6</v>
      </c>
      <c r="Q380">
        <v>9347.27</v>
      </c>
      <c r="R380">
        <v>0</v>
      </c>
    </row>
    <row r="381" spans="1:18" x14ac:dyDescent="0.3">
      <c r="A381" t="s">
        <v>78</v>
      </c>
      <c r="B381">
        <v>2021</v>
      </c>
      <c r="C381" s="4">
        <v>24593931.350000001</v>
      </c>
      <c r="D381" s="4">
        <v>1662678.51</v>
      </c>
      <c r="E381" s="4">
        <v>26256609.860000003</v>
      </c>
      <c r="F381" s="4">
        <f t="shared" si="437"/>
        <v>18445448.512500003</v>
      </c>
      <c r="G381" s="4">
        <f t="shared" si="510"/>
        <v>1721575.1945000002</v>
      </c>
      <c r="H381" s="4">
        <f t="shared" si="511"/>
        <v>1475635.8810000001</v>
      </c>
      <c r="I381" s="4">
        <f t="shared" si="512"/>
        <v>737817.94050000003</v>
      </c>
      <c r="J381" s="4">
        <f t="shared" si="513"/>
        <v>614848.28375000006</v>
      </c>
      <c r="K381" s="4">
        <f t="shared" si="514"/>
        <v>245939.31350000002</v>
      </c>
      <c r="L381" s="4">
        <f t="shared" si="515"/>
        <v>122969.65675000001</v>
      </c>
      <c r="M381" s="4">
        <f t="shared" si="516"/>
        <v>1229696.5675000001</v>
      </c>
      <c r="N381" s="4">
        <f t="shared" si="517"/>
        <v>0</v>
      </c>
      <c r="O381">
        <v>521241.56000000006</v>
      </c>
      <c r="P381">
        <v>739370.91999999993</v>
      </c>
      <c r="Q381">
        <v>0</v>
      </c>
      <c r="R381">
        <v>0</v>
      </c>
    </row>
    <row r="382" spans="1:18" x14ac:dyDescent="0.3">
      <c r="A382" t="s">
        <v>78</v>
      </c>
      <c r="B382">
        <v>2022</v>
      </c>
      <c r="C382" s="4">
        <v>28723520.059999999</v>
      </c>
      <c r="D382" s="4">
        <v>1637991.7100000002</v>
      </c>
      <c r="E382" s="4">
        <v>30361511.77</v>
      </c>
      <c r="F382" s="4">
        <f t="shared" si="437"/>
        <v>21542640.044999998</v>
      </c>
      <c r="G382" s="4">
        <f t="shared" si="510"/>
        <v>2010646.4042</v>
      </c>
      <c r="H382" s="4">
        <f t="shared" si="511"/>
        <v>1723411.2035999999</v>
      </c>
      <c r="I382" s="4">
        <f t="shared" si="512"/>
        <v>861705.60179999995</v>
      </c>
      <c r="J382" s="4">
        <f t="shared" si="513"/>
        <v>718088.00150000001</v>
      </c>
      <c r="K382" s="4">
        <f t="shared" si="514"/>
        <v>287235.20059999998</v>
      </c>
      <c r="L382" s="4">
        <f t="shared" si="515"/>
        <v>143617.60029999999</v>
      </c>
      <c r="M382" s="4">
        <f t="shared" si="516"/>
        <v>1436176.003</v>
      </c>
      <c r="N382" s="4">
        <f t="shared" si="517"/>
        <v>0</v>
      </c>
      <c r="O382">
        <v>325060.49</v>
      </c>
      <c r="P382">
        <v>770568.12</v>
      </c>
      <c r="Q382">
        <v>31165.3</v>
      </c>
      <c r="R382">
        <v>0</v>
      </c>
    </row>
    <row r="383" spans="1:18" x14ac:dyDescent="0.3">
      <c r="A383" t="s">
        <v>78</v>
      </c>
      <c r="B383">
        <v>2023</v>
      </c>
      <c r="C383" s="4">
        <v>28729883.659999996</v>
      </c>
      <c r="D383" s="4">
        <v>0</v>
      </c>
      <c r="E383" s="4">
        <v>28729883.659999996</v>
      </c>
      <c r="F383" s="4">
        <f t="shared" si="437"/>
        <v>21547412.744999997</v>
      </c>
      <c r="G383" s="4">
        <f t="shared" si="510"/>
        <v>2011091.8562</v>
      </c>
      <c r="H383" s="4">
        <f t="shared" si="511"/>
        <v>1723793.0195999998</v>
      </c>
      <c r="I383" s="4">
        <f t="shared" si="512"/>
        <v>861896.50979999988</v>
      </c>
      <c r="J383" s="4">
        <f t="shared" si="513"/>
        <v>718247.09149999998</v>
      </c>
      <c r="K383" s="4">
        <f t="shared" si="514"/>
        <v>287298.83659999998</v>
      </c>
      <c r="L383" s="4">
        <f t="shared" si="515"/>
        <v>143649.41829999999</v>
      </c>
      <c r="M383" s="4">
        <f t="shared" si="516"/>
        <v>1436494.183</v>
      </c>
      <c r="N383" s="4">
        <f t="shared" si="517"/>
        <v>0</v>
      </c>
      <c r="O383">
        <v>329080.44999999995</v>
      </c>
      <c r="P383">
        <v>581818.41</v>
      </c>
      <c r="Q383">
        <v>205.26</v>
      </c>
      <c r="R383">
        <v>852566.42999999993</v>
      </c>
    </row>
    <row r="384" spans="1:18" x14ac:dyDescent="0.3">
      <c r="A384" t="s">
        <v>78</v>
      </c>
      <c r="B384">
        <v>2024</v>
      </c>
      <c r="C384" s="4">
        <v>32641416.010000005</v>
      </c>
      <c r="D384" s="4">
        <v>0</v>
      </c>
      <c r="E384" s="4">
        <v>32641416.010000005</v>
      </c>
      <c r="F384" s="4">
        <f t="shared" si="437"/>
        <v>24481062.007500004</v>
      </c>
      <c r="G384" s="4">
        <f t="shared" si="510"/>
        <v>2284899.1207000008</v>
      </c>
      <c r="H384" s="4">
        <f t="shared" si="511"/>
        <v>1958484.9606000003</v>
      </c>
      <c r="I384" s="4">
        <f t="shared" si="512"/>
        <v>979242.48030000017</v>
      </c>
      <c r="J384" s="4">
        <f t="shared" si="513"/>
        <v>816035.40025000018</v>
      </c>
      <c r="K384" s="4">
        <f t="shared" si="514"/>
        <v>326414.16010000004</v>
      </c>
      <c r="L384" s="4">
        <f t="shared" si="515"/>
        <v>163207.08005000002</v>
      </c>
      <c r="M384" s="4">
        <f t="shared" si="516"/>
        <v>1632070.8005000004</v>
      </c>
      <c r="N384" s="4">
        <f t="shared" si="517"/>
        <v>0</v>
      </c>
      <c r="O384">
        <v>404861.99000000005</v>
      </c>
      <c r="P384">
        <v>629051.51</v>
      </c>
      <c r="Q384">
        <v>42421.01</v>
      </c>
      <c r="R384">
        <v>18114.61</v>
      </c>
    </row>
    <row r="385" spans="1:18" x14ac:dyDescent="0.3">
      <c r="A385" t="s">
        <v>78</v>
      </c>
      <c r="B385">
        <v>2025</v>
      </c>
      <c r="C385" s="4">
        <v>37166436.700000003</v>
      </c>
      <c r="D385" s="4">
        <v>0</v>
      </c>
      <c r="E385" s="4">
        <v>37166436.700000003</v>
      </c>
      <c r="F385" s="4">
        <f t="shared" si="437"/>
        <v>27874827.525000002</v>
      </c>
      <c r="G385" s="4">
        <f>C385*0.035</f>
        <v>1300825.2845000003</v>
      </c>
      <c r="H385" s="4">
        <f>C385*0.06</f>
        <v>2229986.202</v>
      </c>
      <c r="I385" s="4">
        <f>C385*0.03</f>
        <v>1114993.101</v>
      </c>
      <c r="J385" s="4">
        <f>C385*0</f>
        <v>0</v>
      </c>
      <c r="K385" s="4">
        <f>C385*0</f>
        <v>0</v>
      </c>
      <c r="L385" s="4">
        <f>C385*0</f>
        <v>0</v>
      </c>
      <c r="M385" s="4">
        <f>C385*0</f>
        <v>0</v>
      </c>
      <c r="N385" s="4">
        <f>C385*0.1</f>
        <v>3716643.6700000004</v>
      </c>
      <c r="O385">
        <v>455573.86999999994</v>
      </c>
      <c r="P385">
        <v>669432.16999999993</v>
      </c>
      <c r="Q385">
        <v>39457</v>
      </c>
      <c r="R385">
        <v>256770.94</v>
      </c>
    </row>
    <row r="386" spans="1:18" x14ac:dyDescent="0.3">
      <c r="A386" t="s">
        <v>79</v>
      </c>
      <c r="B386">
        <v>2020</v>
      </c>
      <c r="C386" s="4">
        <v>13495152.890000002</v>
      </c>
      <c r="D386" s="4">
        <v>913613.97</v>
      </c>
      <c r="E386" s="4">
        <v>14408766.859999999</v>
      </c>
      <c r="F386" s="4">
        <f t="shared" si="437"/>
        <v>10121364.667500002</v>
      </c>
      <c r="G386" s="4">
        <f t="shared" ref="G386:G390" si="518">C386*0.07</f>
        <v>944660.70230000024</v>
      </c>
      <c r="H386" s="4">
        <f t="shared" ref="H386:H390" si="519">C386*0.06</f>
        <v>809709.17340000009</v>
      </c>
      <c r="I386" s="4">
        <f t="shared" ref="I386:I390" si="520">C386*0.03</f>
        <v>404854.58670000004</v>
      </c>
      <c r="J386" s="4">
        <f t="shared" ref="J386:J390" si="521">C386*0.025</f>
        <v>337378.82225000008</v>
      </c>
      <c r="K386" s="4">
        <f t="shared" ref="K386:K390" si="522">C386*0.01</f>
        <v>134951.52890000003</v>
      </c>
      <c r="L386" s="4">
        <f t="shared" ref="L386:L390" si="523">C386*0.005</f>
        <v>67475.764450000017</v>
      </c>
      <c r="M386" s="4">
        <f t="shared" ref="M386:M390" si="524">C386*0.05</f>
        <v>674757.64450000017</v>
      </c>
      <c r="N386" s="4">
        <f t="shared" ref="N386:N390" si="525">C386*0</f>
        <v>0</v>
      </c>
      <c r="O386">
        <v>262650.58</v>
      </c>
      <c r="P386">
        <v>358852.43999999994</v>
      </c>
      <c r="Q386">
        <v>3804.62</v>
      </c>
      <c r="R386">
        <v>0</v>
      </c>
    </row>
    <row r="387" spans="1:18" x14ac:dyDescent="0.3">
      <c r="A387" t="s">
        <v>79</v>
      </c>
      <c r="B387">
        <v>2021</v>
      </c>
      <c r="C387" s="4">
        <v>16125098.540000001</v>
      </c>
      <c r="D387" s="4">
        <v>1090007.54</v>
      </c>
      <c r="E387" s="4">
        <v>17215106.080000002</v>
      </c>
      <c r="F387" s="4">
        <f t="shared" ref="F387:F450" si="526">C387*0.75</f>
        <v>12093823.905000001</v>
      </c>
      <c r="G387" s="4">
        <f t="shared" si="518"/>
        <v>1128756.8978000002</v>
      </c>
      <c r="H387" s="4">
        <f t="shared" si="519"/>
        <v>967505.91240000003</v>
      </c>
      <c r="I387" s="4">
        <f t="shared" si="520"/>
        <v>483752.95620000002</v>
      </c>
      <c r="J387" s="4">
        <f t="shared" si="521"/>
        <v>403127.46350000007</v>
      </c>
      <c r="K387" s="4">
        <f t="shared" si="522"/>
        <v>161250.98540000001</v>
      </c>
      <c r="L387" s="4">
        <f t="shared" si="523"/>
        <v>80625.492700000003</v>
      </c>
      <c r="M387" s="4">
        <f t="shared" si="524"/>
        <v>806254.92700000014</v>
      </c>
      <c r="N387" s="4">
        <f t="shared" si="525"/>
        <v>0</v>
      </c>
      <c r="O387">
        <v>341711.18000000005</v>
      </c>
      <c r="P387">
        <v>484710.62</v>
      </c>
      <c r="Q387">
        <v>0</v>
      </c>
      <c r="R387">
        <v>0</v>
      </c>
    </row>
    <row r="388" spans="1:18" x14ac:dyDescent="0.3">
      <c r="A388" t="s">
        <v>79</v>
      </c>
      <c r="B388">
        <v>2022</v>
      </c>
      <c r="C388" s="4">
        <v>17774608.23</v>
      </c>
      <c r="D388" s="4">
        <v>1010274.2299999999</v>
      </c>
      <c r="E388" s="4">
        <v>18784882.459999997</v>
      </c>
      <c r="F388" s="4">
        <f t="shared" si="526"/>
        <v>13330956.172499999</v>
      </c>
      <c r="G388" s="4">
        <f t="shared" si="518"/>
        <v>1244222.5761000002</v>
      </c>
      <c r="H388" s="4">
        <f t="shared" si="519"/>
        <v>1066476.4938000001</v>
      </c>
      <c r="I388" s="4">
        <f t="shared" si="520"/>
        <v>533238.24690000003</v>
      </c>
      <c r="J388" s="4">
        <f t="shared" si="521"/>
        <v>444365.20575000002</v>
      </c>
      <c r="K388" s="4">
        <f t="shared" si="522"/>
        <v>177746.08230000001</v>
      </c>
      <c r="L388" s="4">
        <f t="shared" si="523"/>
        <v>88873.041150000005</v>
      </c>
      <c r="M388" s="4">
        <f t="shared" si="524"/>
        <v>888730.41150000005</v>
      </c>
      <c r="N388" s="4">
        <f t="shared" si="525"/>
        <v>0</v>
      </c>
      <c r="O388">
        <v>201878.78000000003</v>
      </c>
      <c r="P388">
        <v>476572.36000000004</v>
      </c>
      <c r="Q388">
        <v>12675.840000000002</v>
      </c>
      <c r="R388">
        <v>0</v>
      </c>
    </row>
    <row r="389" spans="1:18" x14ac:dyDescent="0.3">
      <c r="A389" t="s">
        <v>79</v>
      </c>
      <c r="B389">
        <v>2023</v>
      </c>
      <c r="C389" s="4">
        <v>18667009.830000002</v>
      </c>
      <c r="D389" s="4">
        <v>0</v>
      </c>
      <c r="E389" s="4">
        <v>18667009.830000002</v>
      </c>
      <c r="F389" s="4">
        <f t="shared" si="526"/>
        <v>14000257.372500002</v>
      </c>
      <c r="G389" s="4">
        <f t="shared" si="518"/>
        <v>1306690.6881000001</v>
      </c>
      <c r="H389" s="4">
        <f t="shared" si="519"/>
        <v>1120020.5898000002</v>
      </c>
      <c r="I389" s="4">
        <f t="shared" si="520"/>
        <v>560010.2949000001</v>
      </c>
      <c r="J389" s="4">
        <f t="shared" si="521"/>
        <v>466675.24575000006</v>
      </c>
      <c r="K389" s="4">
        <f t="shared" si="522"/>
        <v>186670.09830000001</v>
      </c>
      <c r="L389" s="4">
        <f t="shared" si="523"/>
        <v>93335.049150000006</v>
      </c>
      <c r="M389" s="4">
        <f t="shared" si="524"/>
        <v>933350.49150000012</v>
      </c>
      <c r="N389" s="4">
        <f t="shared" si="525"/>
        <v>0</v>
      </c>
      <c r="O389">
        <v>212855.74</v>
      </c>
      <c r="P389">
        <v>378047.9</v>
      </c>
      <c r="Q389">
        <v>83.49</v>
      </c>
      <c r="R389">
        <v>553971.74</v>
      </c>
    </row>
    <row r="390" spans="1:18" x14ac:dyDescent="0.3">
      <c r="A390" t="s">
        <v>79</v>
      </c>
      <c r="B390">
        <v>2024</v>
      </c>
      <c r="C390" s="4">
        <v>20965455.669999998</v>
      </c>
      <c r="D390" s="4">
        <v>0</v>
      </c>
      <c r="E390" s="4">
        <v>20965455.669999998</v>
      </c>
      <c r="F390" s="4">
        <f t="shared" si="526"/>
        <v>15724091.752499998</v>
      </c>
      <c r="G390" s="4">
        <f t="shared" si="518"/>
        <v>1467581.8969000001</v>
      </c>
      <c r="H390" s="4">
        <f t="shared" si="519"/>
        <v>1257927.3401999997</v>
      </c>
      <c r="I390" s="4">
        <f t="shared" si="520"/>
        <v>628963.67009999987</v>
      </c>
      <c r="J390" s="4">
        <f t="shared" si="521"/>
        <v>524136.39174999995</v>
      </c>
      <c r="K390" s="4">
        <f t="shared" si="522"/>
        <v>209654.55669999999</v>
      </c>
      <c r="L390" s="4">
        <f t="shared" si="523"/>
        <v>104827.27834999999</v>
      </c>
      <c r="M390" s="4">
        <f t="shared" si="524"/>
        <v>1048272.7834999999</v>
      </c>
      <c r="N390" s="4">
        <f t="shared" si="525"/>
        <v>0</v>
      </c>
      <c r="O390">
        <v>260038.55</v>
      </c>
      <c r="P390">
        <v>404033.10000000003</v>
      </c>
      <c r="Q390">
        <v>17525.43</v>
      </c>
      <c r="R390">
        <v>11770.32</v>
      </c>
    </row>
    <row r="391" spans="1:18" x14ac:dyDescent="0.3">
      <c r="A391" t="s">
        <v>79</v>
      </c>
      <c r="B391">
        <v>2025</v>
      </c>
      <c r="C391" s="4">
        <v>23708136.400000002</v>
      </c>
      <c r="D391" s="4">
        <v>0</v>
      </c>
      <c r="E391" s="4">
        <v>23708136.400000002</v>
      </c>
      <c r="F391" s="4">
        <f t="shared" si="526"/>
        <v>17781102.300000001</v>
      </c>
      <c r="G391" s="4">
        <f>C391*0.035</f>
        <v>829784.77400000021</v>
      </c>
      <c r="H391" s="4">
        <f>C391*0.06</f>
        <v>1422488.1840000001</v>
      </c>
      <c r="I391" s="4">
        <f>C391*0.03</f>
        <v>711244.09200000006</v>
      </c>
      <c r="J391" s="4">
        <f>C391*0</f>
        <v>0</v>
      </c>
      <c r="K391" s="4">
        <f>C391*0</f>
        <v>0</v>
      </c>
      <c r="L391" s="4">
        <f>C391*0</f>
        <v>0</v>
      </c>
      <c r="M391" s="4">
        <f>C391*0</f>
        <v>0</v>
      </c>
      <c r="N391" s="4">
        <f>C391*0.1</f>
        <v>2370813.64</v>
      </c>
      <c r="O391">
        <v>290600.90000000002</v>
      </c>
      <c r="P391">
        <v>427016.58999999997</v>
      </c>
      <c r="Q391">
        <v>16253.64</v>
      </c>
      <c r="R391">
        <v>163788.73000000001</v>
      </c>
    </row>
    <row r="392" spans="1:18" x14ac:dyDescent="0.3">
      <c r="A392" t="s">
        <v>80</v>
      </c>
      <c r="B392">
        <v>2020</v>
      </c>
      <c r="C392" s="4">
        <v>19519565.610000003</v>
      </c>
      <c r="D392" s="4">
        <v>1321542.0099999998</v>
      </c>
      <c r="E392" s="4">
        <v>20841107.619999997</v>
      </c>
      <c r="F392" s="4">
        <f t="shared" si="526"/>
        <v>14639674.207500003</v>
      </c>
      <c r="G392" s="4">
        <f t="shared" ref="G392:G396" si="527">C392*0.07</f>
        <v>1366369.5927000004</v>
      </c>
      <c r="H392" s="4">
        <f t="shared" ref="H392:H396" si="528">C392*0.06</f>
        <v>1171173.9366000001</v>
      </c>
      <c r="I392" s="4">
        <f t="shared" ref="I392:I396" si="529">C392*0.03</f>
        <v>585586.96830000007</v>
      </c>
      <c r="J392" s="4">
        <f t="shared" ref="J392:J396" si="530">C392*0.025</f>
        <v>487989.14025000011</v>
      </c>
      <c r="K392" s="4">
        <f t="shared" ref="K392:K396" si="531">C392*0.01</f>
        <v>195195.65610000002</v>
      </c>
      <c r="L392" s="4">
        <f t="shared" ref="L392:L396" si="532">C392*0.005</f>
        <v>97597.828050000011</v>
      </c>
      <c r="M392" s="4">
        <f t="shared" ref="M392:M396" si="533">C392*0.05</f>
        <v>975978.28050000023</v>
      </c>
      <c r="N392" s="4">
        <f t="shared" ref="N392:N396" si="534">C392*0</f>
        <v>0</v>
      </c>
      <c r="O392">
        <v>379924.61000000004</v>
      </c>
      <c r="P392">
        <v>519080.78</v>
      </c>
      <c r="Q392">
        <v>13039.18</v>
      </c>
      <c r="R392">
        <v>0</v>
      </c>
    </row>
    <row r="393" spans="1:18" x14ac:dyDescent="0.3">
      <c r="A393" t="s">
        <v>80</v>
      </c>
      <c r="B393">
        <v>2021</v>
      </c>
      <c r="C393" s="4">
        <v>25944734.489999995</v>
      </c>
      <c r="D393" s="4">
        <v>1754111.6199999999</v>
      </c>
      <c r="E393" s="4">
        <v>27698846.109999999</v>
      </c>
      <c r="F393" s="4">
        <f t="shared" si="526"/>
        <v>19458550.867499996</v>
      </c>
      <c r="G393" s="4">
        <f t="shared" si="527"/>
        <v>1816131.4142999998</v>
      </c>
      <c r="H393" s="4">
        <f t="shared" si="528"/>
        <v>1556684.0693999997</v>
      </c>
      <c r="I393" s="4">
        <f t="shared" si="529"/>
        <v>778342.03469999984</v>
      </c>
      <c r="J393" s="4">
        <f t="shared" si="530"/>
        <v>648618.36224999989</v>
      </c>
      <c r="K393" s="4">
        <f t="shared" si="531"/>
        <v>259447.34489999994</v>
      </c>
      <c r="L393" s="4">
        <f t="shared" si="532"/>
        <v>129723.67244999997</v>
      </c>
      <c r="M393" s="4">
        <f t="shared" si="533"/>
        <v>1297236.7244999998</v>
      </c>
      <c r="N393" s="4">
        <f t="shared" si="534"/>
        <v>0</v>
      </c>
      <c r="O393">
        <v>549906.06999999995</v>
      </c>
      <c r="P393">
        <v>780030.96000000008</v>
      </c>
      <c r="Q393">
        <v>0</v>
      </c>
      <c r="R393">
        <v>0</v>
      </c>
    </row>
    <row r="394" spans="1:18" x14ac:dyDescent="0.3">
      <c r="A394" t="s">
        <v>80</v>
      </c>
      <c r="B394">
        <v>2022</v>
      </c>
      <c r="C394" s="4">
        <v>33785300.410000004</v>
      </c>
      <c r="D394" s="4">
        <v>1937667.9000000001</v>
      </c>
      <c r="E394" s="4">
        <v>35722968.309999995</v>
      </c>
      <c r="F394" s="4">
        <f t="shared" si="526"/>
        <v>25338975.307500005</v>
      </c>
      <c r="G394" s="4">
        <f t="shared" si="527"/>
        <v>2364971.0287000006</v>
      </c>
      <c r="H394" s="4">
        <f t="shared" si="528"/>
        <v>2027118.0246000001</v>
      </c>
      <c r="I394" s="4">
        <f t="shared" si="529"/>
        <v>1013559.0123000001</v>
      </c>
      <c r="J394" s="4">
        <f t="shared" si="530"/>
        <v>844632.51025000017</v>
      </c>
      <c r="K394" s="4">
        <f t="shared" si="531"/>
        <v>337853.00410000002</v>
      </c>
      <c r="L394" s="4">
        <f t="shared" si="532"/>
        <v>168926.50205000001</v>
      </c>
      <c r="M394" s="4">
        <f t="shared" si="533"/>
        <v>1689265.0205000003</v>
      </c>
      <c r="N394" s="4">
        <f t="shared" si="534"/>
        <v>0</v>
      </c>
      <c r="O394">
        <v>379949.28999999992</v>
      </c>
      <c r="P394">
        <v>907244.18000000017</v>
      </c>
      <c r="Q394">
        <v>43872.14</v>
      </c>
      <c r="R394">
        <v>0</v>
      </c>
    </row>
    <row r="395" spans="1:18" x14ac:dyDescent="0.3">
      <c r="A395" t="s">
        <v>80</v>
      </c>
      <c r="B395">
        <v>2023</v>
      </c>
      <c r="C395" s="4">
        <v>37597454.370000005</v>
      </c>
      <c r="D395" s="4">
        <v>0</v>
      </c>
      <c r="E395" s="4">
        <v>37597454.370000005</v>
      </c>
      <c r="F395" s="4">
        <f t="shared" si="526"/>
        <v>28198090.777500004</v>
      </c>
      <c r="G395" s="4">
        <f t="shared" si="527"/>
        <v>2631821.8059000005</v>
      </c>
      <c r="H395" s="4">
        <f t="shared" si="528"/>
        <v>2255847.2622000002</v>
      </c>
      <c r="I395" s="4">
        <f t="shared" si="529"/>
        <v>1127923.6311000001</v>
      </c>
      <c r="J395" s="4">
        <f t="shared" si="530"/>
        <v>939936.35925000021</v>
      </c>
      <c r="K395" s="4">
        <f t="shared" si="531"/>
        <v>375974.54370000004</v>
      </c>
      <c r="L395" s="4">
        <f t="shared" si="532"/>
        <v>187987.27185000002</v>
      </c>
      <c r="M395" s="4">
        <f t="shared" si="533"/>
        <v>1879872.7185000004</v>
      </c>
      <c r="N395" s="4">
        <f t="shared" si="534"/>
        <v>0</v>
      </c>
      <c r="O395">
        <v>427087.03</v>
      </c>
      <c r="P395">
        <v>761458.19000000006</v>
      </c>
      <c r="Q395">
        <v>289.26</v>
      </c>
      <c r="R395">
        <v>1115801.24</v>
      </c>
    </row>
    <row r="396" spans="1:18" x14ac:dyDescent="0.3">
      <c r="A396" t="s">
        <v>80</v>
      </c>
      <c r="B396">
        <v>2024</v>
      </c>
      <c r="C396" s="4">
        <v>41620102.970000006</v>
      </c>
      <c r="D396" s="4">
        <v>0</v>
      </c>
      <c r="E396" s="4">
        <v>41620102.970000006</v>
      </c>
      <c r="F396" s="4">
        <f t="shared" si="526"/>
        <v>31215077.227500007</v>
      </c>
      <c r="G396" s="4">
        <f t="shared" si="527"/>
        <v>2913407.2079000007</v>
      </c>
      <c r="H396" s="4">
        <f t="shared" si="528"/>
        <v>2497206.1782000004</v>
      </c>
      <c r="I396" s="4">
        <f t="shared" si="529"/>
        <v>1248603.0891000002</v>
      </c>
      <c r="J396" s="4">
        <f t="shared" si="530"/>
        <v>1040502.5742500002</v>
      </c>
      <c r="K396" s="4">
        <f t="shared" si="531"/>
        <v>416201.02970000007</v>
      </c>
      <c r="L396" s="4">
        <f t="shared" si="532"/>
        <v>208100.51485000004</v>
      </c>
      <c r="M396" s="4">
        <f t="shared" si="533"/>
        <v>2081005.1485000004</v>
      </c>
      <c r="N396" s="4">
        <f t="shared" si="534"/>
        <v>0</v>
      </c>
      <c r="O396">
        <v>516215.11000000004</v>
      </c>
      <c r="P396">
        <v>802065.67999999993</v>
      </c>
      <c r="Q396">
        <v>57326.540000000008</v>
      </c>
      <c r="R396">
        <v>23707.59</v>
      </c>
    </row>
    <row r="397" spans="1:18" x14ac:dyDescent="0.3">
      <c r="A397" t="s">
        <v>80</v>
      </c>
      <c r="B397">
        <v>2025</v>
      </c>
      <c r="C397" s="4">
        <v>40732657.789999992</v>
      </c>
      <c r="D397" s="4">
        <v>0</v>
      </c>
      <c r="E397" s="4">
        <v>40732657.789999992</v>
      </c>
      <c r="F397" s="4">
        <f t="shared" si="526"/>
        <v>30549493.342499994</v>
      </c>
      <c r="G397" s="4">
        <f>C397*0.035</f>
        <v>1425643.0226499999</v>
      </c>
      <c r="H397" s="4">
        <f>C397*0.06</f>
        <v>2443959.4673999995</v>
      </c>
      <c r="I397" s="4">
        <f>C397*0.03</f>
        <v>1221979.7336999997</v>
      </c>
      <c r="J397" s="4">
        <f>C397*0</f>
        <v>0</v>
      </c>
      <c r="K397" s="4">
        <f>C397*0</f>
        <v>0</v>
      </c>
      <c r="L397" s="4">
        <f>C397*0</f>
        <v>0</v>
      </c>
      <c r="M397" s="4">
        <f>C397*0</f>
        <v>0</v>
      </c>
      <c r="N397" s="4">
        <f>C397*0.1</f>
        <v>4073265.7789999992</v>
      </c>
      <c r="O397">
        <v>499060.48000000004</v>
      </c>
      <c r="P397">
        <v>733332.52000000014</v>
      </c>
      <c r="Q397">
        <v>52174.740000000005</v>
      </c>
      <c r="R397">
        <v>281280.93</v>
      </c>
    </row>
    <row r="398" spans="1:18" x14ac:dyDescent="0.3">
      <c r="A398" t="s">
        <v>81</v>
      </c>
      <c r="B398">
        <v>2020</v>
      </c>
      <c r="C398" s="4">
        <v>7248016.5300000003</v>
      </c>
      <c r="D398" s="4">
        <v>490645.69999999995</v>
      </c>
      <c r="E398" s="4">
        <v>7738662.2300000004</v>
      </c>
      <c r="F398" s="4">
        <f t="shared" si="526"/>
        <v>5436012.3975</v>
      </c>
      <c r="G398" s="4">
        <f t="shared" ref="G398:G402" si="535">C398*0.07</f>
        <v>507361.15710000007</v>
      </c>
      <c r="H398" s="4">
        <f t="shared" ref="H398:H402" si="536">C398*0.06</f>
        <v>434880.99180000002</v>
      </c>
      <c r="I398" s="4">
        <f t="shared" ref="I398:I402" si="537">C398*0.03</f>
        <v>217440.49590000001</v>
      </c>
      <c r="J398" s="4">
        <f t="shared" ref="J398:J402" si="538">C398*0.025</f>
        <v>181200.41325000001</v>
      </c>
      <c r="K398" s="4">
        <f t="shared" ref="K398:K402" si="539">C398*0.01</f>
        <v>72480.165300000008</v>
      </c>
      <c r="L398" s="4">
        <f t="shared" ref="L398:L402" si="540">C398*0.005</f>
        <v>36240.082650000004</v>
      </c>
      <c r="M398" s="4">
        <f t="shared" ref="M398:M402" si="541">C398*0.05</f>
        <v>362400.82650000002</v>
      </c>
      <c r="N398" s="4">
        <f t="shared" ref="N398:N402" si="542">C398*0</f>
        <v>0</v>
      </c>
      <c r="O398">
        <v>141053.09</v>
      </c>
      <c r="P398">
        <v>192717.05</v>
      </c>
      <c r="Q398">
        <v>4948.72</v>
      </c>
      <c r="R398">
        <v>0</v>
      </c>
    </row>
    <row r="399" spans="1:18" x14ac:dyDescent="0.3">
      <c r="A399" t="s">
        <v>81</v>
      </c>
      <c r="B399">
        <v>2021</v>
      </c>
      <c r="C399" s="4">
        <v>7868258.5499999998</v>
      </c>
      <c r="D399" s="4">
        <v>531771.67999999993</v>
      </c>
      <c r="E399" s="4">
        <v>8400030.2299999986</v>
      </c>
      <c r="F399" s="4">
        <f t="shared" si="526"/>
        <v>5901193.9124999996</v>
      </c>
      <c r="G399" s="4">
        <f t="shared" si="535"/>
        <v>550778.09850000008</v>
      </c>
      <c r="H399" s="4">
        <f t="shared" si="536"/>
        <v>472095.51299999998</v>
      </c>
      <c r="I399" s="4">
        <f t="shared" si="537"/>
        <v>236047.75649999999</v>
      </c>
      <c r="J399" s="4">
        <f t="shared" si="538"/>
        <v>196706.46375</v>
      </c>
      <c r="K399" s="4">
        <f t="shared" si="539"/>
        <v>78682.585500000001</v>
      </c>
      <c r="L399" s="4">
        <f t="shared" si="540"/>
        <v>39341.292750000001</v>
      </c>
      <c r="M399" s="4">
        <f t="shared" si="541"/>
        <v>393412.92749999999</v>
      </c>
      <c r="N399" s="4">
        <f t="shared" si="542"/>
        <v>0</v>
      </c>
      <c r="O399">
        <v>166706.79</v>
      </c>
      <c r="P399">
        <v>236470.3</v>
      </c>
      <c r="Q399">
        <v>0</v>
      </c>
      <c r="R399">
        <v>0</v>
      </c>
    </row>
    <row r="400" spans="1:18" x14ac:dyDescent="0.3">
      <c r="A400" t="s">
        <v>81</v>
      </c>
      <c r="B400">
        <v>2022</v>
      </c>
      <c r="C400" s="4">
        <v>9575533.1099999994</v>
      </c>
      <c r="D400" s="4">
        <v>547284.47999999998</v>
      </c>
      <c r="E400" s="4">
        <v>10122817.59</v>
      </c>
      <c r="F400" s="4">
        <f t="shared" si="526"/>
        <v>7181649.8324999996</v>
      </c>
      <c r="G400" s="4">
        <f t="shared" si="535"/>
        <v>670287.31770000001</v>
      </c>
      <c r="H400" s="4">
        <f t="shared" si="536"/>
        <v>574531.98659999995</v>
      </c>
      <c r="I400" s="4">
        <f t="shared" si="537"/>
        <v>287265.99329999997</v>
      </c>
      <c r="J400" s="4">
        <f t="shared" si="538"/>
        <v>239388.32775</v>
      </c>
      <c r="K400" s="4">
        <f t="shared" si="539"/>
        <v>95755.331099999996</v>
      </c>
      <c r="L400" s="4">
        <f t="shared" si="540"/>
        <v>47877.665549999998</v>
      </c>
      <c r="M400" s="4">
        <f t="shared" si="541"/>
        <v>478776.65549999999</v>
      </c>
      <c r="N400" s="4">
        <f t="shared" si="542"/>
        <v>0</v>
      </c>
      <c r="O400">
        <v>108097.13</v>
      </c>
      <c r="P400">
        <v>256981.08000000002</v>
      </c>
      <c r="Q400">
        <v>16402.3</v>
      </c>
      <c r="R400">
        <v>0</v>
      </c>
    </row>
    <row r="401" spans="1:18" x14ac:dyDescent="0.3">
      <c r="A401" t="s">
        <v>81</v>
      </c>
      <c r="B401">
        <v>2023</v>
      </c>
      <c r="C401" s="4">
        <v>9973510.1199999992</v>
      </c>
      <c r="D401" s="4">
        <v>0</v>
      </c>
      <c r="E401" s="4">
        <v>9973510.1199999992</v>
      </c>
      <c r="F401" s="4">
        <f t="shared" si="526"/>
        <v>7480132.5899999999</v>
      </c>
      <c r="G401" s="4">
        <f t="shared" si="535"/>
        <v>698145.7084</v>
      </c>
      <c r="H401" s="4">
        <f t="shared" si="536"/>
        <v>598410.60719999997</v>
      </c>
      <c r="I401" s="4">
        <f t="shared" si="537"/>
        <v>299205.30359999998</v>
      </c>
      <c r="J401" s="4">
        <f t="shared" si="538"/>
        <v>249337.753</v>
      </c>
      <c r="K401" s="4">
        <f t="shared" si="539"/>
        <v>99735.10119999999</v>
      </c>
      <c r="L401" s="4">
        <f t="shared" si="540"/>
        <v>49867.550599999995</v>
      </c>
      <c r="M401" s="4">
        <f t="shared" si="541"/>
        <v>498675.50599999999</v>
      </c>
      <c r="N401" s="4">
        <f t="shared" si="542"/>
        <v>0</v>
      </c>
      <c r="O401">
        <v>113870.34999999999</v>
      </c>
      <c r="P401">
        <v>201983.02000000002</v>
      </c>
      <c r="Q401">
        <v>107.97</v>
      </c>
      <c r="R401">
        <v>295975.44</v>
      </c>
    </row>
    <row r="402" spans="1:18" x14ac:dyDescent="0.3">
      <c r="A402" t="s">
        <v>81</v>
      </c>
      <c r="B402">
        <v>2024</v>
      </c>
      <c r="C402" s="4">
        <v>12142491.969999999</v>
      </c>
      <c r="D402" s="4">
        <v>0</v>
      </c>
      <c r="E402" s="4">
        <v>12142491.969999999</v>
      </c>
      <c r="F402" s="4">
        <f t="shared" si="526"/>
        <v>9106868.9774999991</v>
      </c>
      <c r="G402" s="4">
        <f t="shared" si="535"/>
        <v>849974.43790000002</v>
      </c>
      <c r="H402" s="4">
        <f t="shared" si="536"/>
        <v>728549.51819999993</v>
      </c>
      <c r="I402" s="4">
        <f t="shared" si="537"/>
        <v>364274.75909999997</v>
      </c>
      <c r="J402" s="4">
        <f t="shared" si="538"/>
        <v>303562.29924999998</v>
      </c>
      <c r="K402" s="4">
        <f t="shared" si="539"/>
        <v>121424.91969999998</v>
      </c>
      <c r="L402" s="4">
        <f t="shared" si="540"/>
        <v>60712.459849999992</v>
      </c>
      <c r="M402" s="4">
        <f t="shared" si="541"/>
        <v>607124.59849999996</v>
      </c>
      <c r="N402" s="4">
        <f t="shared" si="542"/>
        <v>0</v>
      </c>
      <c r="O402">
        <v>150616.36999999997</v>
      </c>
      <c r="P402">
        <v>234019.16999999998</v>
      </c>
      <c r="Q402">
        <v>22913.9</v>
      </c>
      <c r="R402">
        <v>6288.64</v>
      </c>
    </row>
    <row r="403" spans="1:18" x14ac:dyDescent="0.3">
      <c r="A403" t="s">
        <v>81</v>
      </c>
      <c r="B403">
        <v>2025</v>
      </c>
      <c r="C403" s="4">
        <v>16099134.26</v>
      </c>
      <c r="D403" s="4">
        <v>0</v>
      </c>
      <c r="E403" s="4">
        <v>16099134.26</v>
      </c>
      <c r="F403" s="4">
        <f t="shared" si="526"/>
        <v>12074350.695</v>
      </c>
      <c r="G403" s="4">
        <f>C403*0.035</f>
        <v>563469.69910000009</v>
      </c>
      <c r="H403" s="4">
        <f>C403*0.06</f>
        <v>965948.05559999996</v>
      </c>
      <c r="I403" s="4">
        <f>C403*0.03</f>
        <v>482974.02779999998</v>
      </c>
      <c r="J403" s="4">
        <f>C403*0</f>
        <v>0</v>
      </c>
      <c r="K403" s="4">
        <f>C403*0</f>
        <v>0</v>
      </c>
      <c r="L403" s="4">
        <f>C403*0</f>
        <v>0</v>
      </c>
      <c r="M403" s="4">
        <f>C403*0</f>
        <v>0</v>
      </c>
      <c r="N403" s="4">
        <f>C403*0.1</f>
        <v>1609913.426</v>
      </c>
      <c r="O403">
        <v>197415.37</v>
      </c>
      <c r="P403">
        <v>290087.27999999997</v>
      </c>
      <c r="Q403">
        <v>21302.47</v>
      </c>
      <c r="R403">
        <v>111267.42</v>
      </c>
    </row>
    <row r="404" spans="1:18" x14ac:dyDescent="0.3">
      <c r="A404" t="s">
        <v>82</v>
      </c>
      <c r="B404">
        <v>2020</v>
      </c>
      <c r="C404" s="4">
        <v>53900888.610000007</v>
      </c>
      <c r="D404" s="4">
        <v>3648823.65</v>
      </c>
      <c r="E404" s="4">
        <v>57549712.25999999</v>
      </c>
      <c r="F404" s="4">
        <f t="shared" si="526"/>
        <v>40425666.457500003</v>
      </c>
      <c r="G404" s="4">
        <f t="shared" ref="G404:G408" si="543">C404*0.07</f>
        <v>3773062.2027000007</v>
      </c>
      <c r="H404" s="4">
        <f t="shared" ref="H404:H408" si="544">C404*0.06</f>
        <v>3234053.3166000005</v>
      </c>
      <c r="I404" s="4">
        <f t="shared" ref="I404:I408" si="545">C404*0.03</f>
        <v>1617026.6583000002</v>
      </c>
      <c r="J404" s="4">
        <f t="shared" ref="J404:J408" si="546">C404*0.025</f>
        <v>1347522.2152500004</v>
      </c>
      <c r="K404" s="4">
        <f t="shared" ref="K404:K408" si="547">C404*0.01</f>
        <v>539008.88610000012</v>
      </c>
      <c r="L404" s="4">
        <f t="shared" ref="L404:L408" si="548">C404*0.005</f>
        <v>269504.44305000006</v>
      </c>
      <c r="M404" s="4">
        <f t="shared" ref="M404:M408" si="549">C404*0.05</f>
        <v>2695044.4305000007</v>
      </c>
      <c r="N404" s="4">
        <f t="shared" ref="N404:N408" si="550">C404*0</f>
        <v>0</v>
      </c>
      <c r="O404">
        <v>1048981.06</v>
      </c>
      <c r="P404">
        <v>1433194.58</v>
      </c>
      <c r="Q404">
        <v>32755.98</v>
      </c>
      <c r="R404">
        <v>0</v>
      </c>
    </row>
    <row r="405" spans="1:18" x14ac:dyDescent="0.3">
      <c r="A405" t="s">
        <v>82</v>
      </c>
      <c r="B405">
        <v>2021</v>
      </c>
      <c r="C405" s="4">
        <v>64109383.25</v>
      </c>
      <c r="D405" s="4">
        <v>4333562.8000000007</v>
      </c>
      <c r="E405" s="4">
        <v>68442946.049999997</v>
      </c>
      <c r="F405" s="4">
        <f t="shared" si="526"/>
        <v>48082037.4375</v>
      </c>
      <c r="G405" s="4">
        <f t="shared" si="543"/>
        <v>4487656.8275000006</v>
      </c>
      <c r="H405" s="4">
        <f t="shared" si="544"/>
        <v>3846562.9949999996</v>
      </c>
      <c r="I405" s="4">
        <f t="shared" si="545"/>
        <v>1923281.4974999998</v>
      </c>
      <c r="J405" s="4">
        <f t="shared" si="546"/>
        <v>1602734.58125</v>
      </c>
      <c r="K405" s="4">
        <f t="shared" si="547"/>
        <v>641093.83250000002</v>
      </c>
      <c r="L405" s="4">
        <f t="shared" si="548"/>
        <v>320546.91625000001</v>
      </c>
      <c r="M405" s="4">
        <f t="shared" si="549"/>
        <v>3205469.1625000001</v>
      </c>
      <c r="N405" s="4">
        <f t="shared" si="550"/>
        <v>0</v>
      </c>
      <c r="O405">
        <v>1358547.0899999999</v>
      </c>
      <c r="P405">
        <v>1927072.42</v>
      </c>
      <c r="Q405">
        <v>0</v>
      </c>
      <c r="R405">
        <v>0</v>
      </c>
    </row>
    <row r="406" spans="1:18" x14ac:dyDescent="0.3">
      <c r="A406" t="s">
        <v>82</v>
      </c>
      <c r="B406">
        <v>2022</v>
      </c>
      <c r="C406" s="4">
        <v>78411013.099999994</v>
      </c>
      <c r="D406" s="4">
        <v>4482695.3100000005</v>
      </c>
      <c r="E406" s="4">
        <v>82893708.409999996</v>
      </c>
      <c r="F406" s="4">
        <f t="shared" si="526"/>
        <v>58808259.824999996</v>
      </c>
      <c r="G406" s="4">
        <f t="shared" si="543"/>
        <v>5488770.9170000004</v>
      </c>
      <c r="H406" s="4">
        <f t="shared" si="544"/>
        <v>4704660.7859999994</v>
      </c>
      <c r="I406" s="4">
        <f t="shared" si="545"/>
        <v>2352330.3929999997</v>
      </c>
      <c r="J406" s="4">
        <f t="shared" si="546"/>
        <v>1960275.3274999999</v>
      </c>
      <c r="K406" s="4">
        <f t="shared" si="547"/>
        <v>784110.13099999994</v>
      </c>
      <c r="L406" s="4">
        <f t="shared" si="548"/>
        <v>392055.06549999997</v>
      </c>
      <c r="M406" s="4">
        <f t="shared" si="549"/>
        <v>3920550.6549999998</v>
      </c>
      <c r="N406" s="4">
        <f t="shared" si="550"/>
        <v>0</v>
      </c>
      <c r="O406">
        <v>884926.61</v>
      </c>
      <c r="P406">
        <v>2104433.56</v>
      </c>
      <c r="Q406">
        <v>113498.04</v>
      </c>
      <c r="R406">
        <v>0</v>
      </c>
    </row>
    <row r="407" spans="1:18" x14ac:dyDescent="0.3">
      <c r="A407" t="s">
        <v>82</v>
      </c>
      <c r="B407">
        <v>2023</v>
      </c>
      <c r="C407" s="4">
        <v>83890477.76000002</v>
      </c>
      <c r="D407" s="4">
        <v>0</v>
      </c>
      <c r="E407" s="4">
        <v>83890477.76000002</v>
      </c>
      <c r="F407" s="4">
        <f t="shared" si="526"/>
        <v>62917858.320000015</v>
      </c>
      <c r="G407" s="4">
        <f t="shared" si="543"/>
        <v>5872333.4432000024</v>
      </c>
      <c r="H407" s="4">
        <f t="shared" si="544"/>
        <v>5033428.6656000009</v>
      </c>
      <c r="I407" s="4">
        <f t="shared" si="545"/>
        <v>2516714.3328000004</v>
      </c>
      <c r="J407" s="4">
        <f t="shared" si="546"/>
        <v>2097261.9440000006</v>
      </c>
      <c r="K407" s="4">
        <f t="shared" si="547"/>
        <v>838904.77760000026</v>
      </c>
      <c r="L407" s="4">
        <f t="shared" si="548"/>
        <v>419452.38880000013</v>
      </c>
      <c r="M407" s="4">
        <f t="shared" si="549"/>
        <v>4194523.8880000012</v>
      </c>
      <c r="N407" s="4">
        <f t="shared" si="550"/>
        <v>0</v>
      </c>
      <c r="O407">
        <v>955687.24</v>
      </c>
      <c r="P407">
        <v>1698981.23</v>
      </c>
      <c r="Q407">
        <v>748.59</v>
      </c>
      <c r="R407">
        <v>2489598.75</v>
      </c>
    </row>
    <row r="408" spans="1:18" x14ac:dyDescent="0.3">
      <c r="A408" t="s">
        <v>82</v>
      </c>
      <c r="B408">
        <v>2024</v>
      </c>
      <c r="C408" s="4">
        <v>101291932.18000001</v>
      </c>
      <c r="D408" s="4">
        <v>0</v>
      </c>
      <c r="E408" s="4">
        <v>101291932.18000001</v>
      </c>
      <c r="F408" s="4">
        <f t="shared" si="526"/>
        <v>75968949.135000005</v>
      </c>
      <c r="G408" s="4">
        <f t="shared" si="543"/>
        <v>7090435.2526000012</v>
      </c>
      <c r="H408" s="4">
        <f t="shared" si="544"/>
        <v>6077515.9308000002</v>
      </c>
      <c r="I408" s="4">
        <f t="shared" si="545"/>
        <v>3038757.9654000001</v>
      </c>
      <c r="J408" s="4">
        <f t="shared" si="546"/>
        <v>2532298.3045000006</v>
      </c>
      <c r="K408" s="4">
        <f t="shared" si="547"/>
        <v>1012919.3218000002</v>
      </c>
      <c r="L408" s="4">
        <f t="shared" si="548"/>
        <v>506459.66090000008</v>
      </c>
      <c r="M408" s="4">
        <f t="shared" si="549"/>
        <v>5064596.6090000011</v>
      </c>
      <c r="N408" s="4">
        <f t="shared" si="550"/>
        <v>0</v>
      </c>
      <c r="O408">
        <v>1256423.8499999999</v>
      </c>
      <c r="P408">
        <v>1952159.83</v>
      </c>
      <c r="Q408">
        <v>153585.84999999998</v>
      </c>
      <c r="R408">
        <v>52896.959999999999</v>
      </c>
    </row>
    <row r="409" spans="1:18" x14ac:dyDescent="0.3">
      <c r="A409" t="s">
        <v>82</v>
      </c>
      <c r="B409">
        <v>2025</v>
      </c>
      <c r="C409" s="4">
        <v>112520782.84999999</v>
      </c>
      <c r="D409" s="4">
        <v>0</v>
      </c>
      <c r="E409" s="4">
        <v>112520782.84999999</v>
      </c>
      <c r="F409" s="4">
        <f t="shared" si="526"/>
        <v>84390587.137499988</v>
      </c>
      <c r="G409" s="4">
        <f>C409*0.035</f>
        <v>3938227.3997500003</v>
      </c>
      <c r="H409" s="4">
        <f>C409*0.06</f>
        <v>6751246.970999999</v>
      </c>
      <c r="I409" s="4">
        <f>C409*0.03</f>
        <v>3375623.4854999995</v>
      </c>
      <c r="J409" s="4">
        <f>C409*0</f>
        <v>0</v>
      </c>
      <c r="K409" s="4">
        <f>C409*0</f>
        <v>0</v>
      </c>
      <c r="L409" s="4">
        <f>C409*0</f>
        <v>0</v>
      </c>
      <c r="M409" s="4">
        <f>C409*0</f>
        <v>0</v>
      </c>
      <c r="N409" s="4">
        <f>C409*0.1</f>
        <v>11252078.285</v>
      </c>
      <c r="O409">
        <v>1379146.4</v>
      </c>
      <c r="P409">
        <v>2026553.76</v>
      </c>
      <c r="Q409">
        <v>143395.85999999999</v>
      </c>
      <c r="R409">
        <v>777315.73</v>
      </c>
    </row>
    <row r="410" spans="1:18" x14ac:dyDescent="0.3">
      <c r="A410" t="s">
        <v>83</v>
      </c>
      <c r="B410">
        <v>2020</v>
      </c>
      <c r="C410" s="4">
        <v>9108375.4900000002</v>
      </c>
      <c r="D410" s="4">
        <v>616596.51</v>
      </c>
      <c r="E410" s="4">
        <v>9724972</v>
      </c>
      <c r="F410" s="4">
        <f t="shared" si="526"/>
        <v>6831281.6174999997</v>
      </c>
      <c r="G410" s="4">
        <f t="shared" ref="G410:G414" si="551">C410*0.07</f>
        <v>637586.28430000006</v>
      </c>
      <c r="H410" s="4">
        <f t="shared" ref="H410:H414" si="552">C410*0.06</f>
        <v>546502.5294</v>
      </c>
      <c r="I410" s="4">
        <f t="shared" ref="I410:I414" si="553">C410*0.03</f>
        <v>273251.2647</v>
      </c>
      <c r="J410" s="4">
        <f t="shared" ref="J410:J414" si="554">C410*0.025</f>
        <v>227709.38725000003</v>
      </c>
      <c r="K410" s="4">
        <f t="shared" ref="K410:K414" si="555">C410*0.01</f>
        <v>91083.7549</v>
      </c>
      <c r="L410" s="4">
        <f t="shared" ref="L410:L414" si="556">C410*0.005</f>
        <v>45541.87745</v>
      </c>
      <c r="M410" s="4">
        <f t="shared" ref="M410:M414" si="557">C410*0.05</f>
        <v>455418.77450000006</v>
      </c>
      <c r="N410" s="4">
        <f t="shared" ref="N410:N414" si="558">C410*0</f>
        <v>0</v>
      </c>
      <c r="O410">
        <v>177262.14</v>
      </c>
      <c r="P410">
        <v>242188.47</v>
      </c>
      <c r="Q410">
        <v>5194.29</v>
      </c>
      <c r="R410">
        <v>0</v>
      </c>
    </row>
    <row r="411" spans="1:18" x14ac:dyDescent="0.3">
      <c r="A411" t="s">
        <v>83</v>
      </c>
      <c r="B411">
        <v>2021</v>
      </c>
      <c r="C411" s="4">
        <v>11674079.639999997</v>
      </c>
      <c r="D411" s="4">
        <v>789230.8899999999</v>
      </c>
      <c r="E411" s="4">
        <v>12463310.529999999</v>
      </c>
      <c r="F411" s="4">
        <f t="shared" si="526"/>
        <v>8755559.7299999967</v>
      </c>
      <c r="G411" s="4">
        <f t="shared" si="551"/>
        <v>817185.57479999983</v>
      </c>
      <c r="H411" s="4">
        <f t="shared" si="552"/>
        <v>700444.77839999984</v>
      </c>
      <c r="I411" s="4">
        <f t="shared" si="553"/>
        <v>350222.38919999992</v>
      </c>
      <c r="J411" s="4">
        <f t="shared" si="554"/>
        <v>291851.99099999992</v>
      </c>
      <c r="K411" s="4">
        <f t="shared" si="555"/>
        <v>116740.79639999998</v>
      </c>
      <c r="L411" s="4">
        <f t="shared" si="556"/>
        <v>58370.398199999989</v>
      </c>
      <c r="M411" s="4">
        <f t="shared" si="557"/>
        <v>583703.98199999984</v>
      </c>
      <c r="N411" s="4">
        <f t="shared" si="558"/>
        <v>0</v>
      </c>
      <c r="O411">
        <v>247420.02</v>
      </c>
      <c r="P411">
        <v>350960.44</v>
      </c>
      <c r="Q411">
        <v>0</v>
      </c>
      <c r="R411">
        <v>0</v>
      </c>
    </row>
    <row r="412" spans="1:18" x14ac:dyDescent="0.3">
      <c r="A412" t="s">
        <v>83</v>
      </c>
      <c r="B412">
        <v>2022</v>
      </c>
      <c r="C412" s="4">
        <v>13611824.73</v>
      </c>
      <c r="D412" s="4">
        <v>776158.83999999985</v>
      </c>
      <c r="E412" s="4">
        <v>14387983.57</v>
      </c>
      <c r="F412" s="4">
        <f t="shared" si="526"/>
        <v>10208868.547499999</v>
      </c>
      <c r="G412" s="4">
        <f t="shared" si="551"/>
        <v>952827.73110000009</v>
      </c>
      <c r="H412" s="4">
        <f t="shared" si="552"/>
        <v>816709.48380000005</v>
      </c>
      <c r="I412" s="4">
        <f t="shared" si="553"/>
        <v>408354.74190000002</v>
      </c>
      <c r="J412" s="4">
        <f t="shared" si="554"/>
        <v>340295.61825000006</v>
      </c>
      <c r="K412" s="4">
        <f t="shared" si="555"/>
        <v>136118.24730000002</v>
      </c>
      <c r="L412" s="4">
        <f t="shared" si="556"/>
        <v>68059.123650000009</v>
      </c>
      <c r="M412" s="4">
        <f t="shared" si="557"/>
        <v>680591.23650000012</v>
      </c>
      <c r="N412" s="4">
        <f t="shared" si="558"/>
        <v>0</v>
      </c>
      <c r="O412">
        <v>154058.80000000002</v>
      </c>
      <c r="P412">
        <v>365159.79000000004</v>
      </c>
      <c r="Q412">
        <v>17335.030000000002</v>
      </c>
      <c r="R412">
        <v>0</v>
      </c>
    </row>
    <row r="413" spans="1:18" x14ac:dyDescent="0.3">
      <c r="A413" t="s">
        <v>83</v>
      </c>
      <c r="B413">
        <v>2023</v>
      </c>
      <c r="C413" s="4">
        <v>13769031.970000003</v>
      </c>
      <c r="D413" s="4">
        <v>0</v>
      </c>
      <c r="E413" s="4">
        <v>13769031.970000003</v>
      </c>
      <c r="F413" s="4">
        <f t="shared" si="526"/>
        <v>10326773.977500003</v>
      </c>
      <c r="G413" s="4">
        <f t="shared" si="551"/>
        <v>963832.2379000003</v>
      </c>
      <c r="H413" s="4">
        <f t="shared" si="552"/>
        <v>826141.91820000007</v>
      </c>
      <c r="I413" s="4">
        <f t="shared" si="553"/>
        <v>413070.95910000004</v>
      </c>
      <c r="J413" s="4">
        <f t="shared" si="554"/>
        <v>344225.7992500001</v>
      </c>
      <c r="K413" s="4">
        <f t="shared" si="555"/>
        <v>137690.31970000002</v>
      </c>
      <c r="L413" s="4">
        <f t="shared" si="556"/>
        <v>68845.159850000011</v>
      </c>
      <c r="M413" s="4">
        <f t="shared" si="557"/>
        <v>688451.5985000002</v>
      </c>
      <c r="N413" s="4">
        <f t="shared" si="558"/>
        <v>0</v>
      </c>
      <c r="O413">
        <v>157558.72</v>
      </c>
      <c r="P413">
        <v>278843.86000000004</v>
      </c>
      <c r="Q413">
        <v>114.2</v>
      </c>
      <c r="R413">
        <v>408603.26999999996</v>
      </c>
    </row>
    <row r="414" spans="1:18" x14ac:dyDescent="0.3">
      <c r="A414" t="s">
        <v>83</v>
      </c>
      <c r="B414">
        <v>2024</v>
      </c>
      <c r="C414" s="4">
        <v>15412770.66</v>
      </c>
      <c r="D414" s="4">
        <v>0</v>
      </c>
      <c r="E414" s="4">
        <v>15412770.66</v>
      </c>
      <c r="F414" s="4">
        <f t="shared" si="526"/>
        <v>11559577.995000001</v>
      </c>
      <c r="G414" s="4">
        <f t="shared" si="551"/>
        <v>1078893.9462000001</v>
      </c>
      <c r="H414" s="4">
        <f t="shared" si="552"/>
        <v>924766.23959999997</v>
      </c>
      <c r="I414" s="4">
        <f t="shared" si="553"/>
        <v>462383.11979999999</v>
      </c>
      <c r="J414" s="4">
        <f t="shared" si="554"/>
        <v>385319.26650000003</v>
      </c>
      <c r="K414" s="4">
        <f t="shared" si="555"/>
        <v>154127.7066</v>
      </c>
      <c r="L414" s="4">
        <f t="shared" si="556"/>
        <v>77063.853300000002</v>
      </c>
      <c r="M414" s="4">
        <f t="shared" si="557"/>
        <v>770638.53300000005</v>
      </c>
      <c r="N414" s="4">
        <f t="shared" si="558"/>
        <v>0</v>
      </c>
      <c r="O414">
        <v>191166.94</v>
      </c>
      <c r="P414">
        <v>297024.33999999997</v>
      </c>
      <c r="Q414">
        <v>23207.96</v>
      </c>
      <c r="R414">
        <v>8681.66</v>
      </c>
    </row>
    <row r="415" spans="1:18" x14ac:dyDescent="0.3">
      <c r="A415" t="s">
        <v>83</v>
      </c>
      <c r="B415">
        <v>2025</v>
      </c>
      <c r="C415" s="4">
        <v>16895652.920000002</v>
      </c>
      <c r="D415" s="4">
        <v>0</v>
      </c>
      <c r="E415" s="4">
        <v>16895652.920000002</v>
      </c>
      <c r="F415" s="4">
        <f t="shared" si="526"/>
        <v>12671739.690000001</v>
      </c>
      <c r="G415" s="4">
        <f>C415*0.035</f>
        <v>591347.85220000008</v>
      </c>
      <c r="H415" s="4">
        <f>C415*0.06</f>
        <v>1013739.1752000001</v>
      </c>
      <c r="I415" s="4">
        <f>C415*0.03</f>
        <v>506869.58760000003</v>
      </c>
      <c r="J415" s="4">
        <f>C415*0</f>
        <v>0</v>
      </c>
      <c r="K415" s="4">
        <f>C415*0</f>
        <v>0</v>
      </c>
      <c r="L415" s="4">
        <f>C415*0</f>
        <v>0</v>
      </c>
      <c r="M415" s="4">
        <f>C415*0</f>
        <v>0</v>
      </c>
      <c r="N415" s="4">
        <f>C415*0.1</f>
        <v>1689565.2920000004</v>
      </c>
      <c r="O415">
        <v>207079.03</v>
      </c>
      <c r="P415">
        <v>304287.34000000003</v>
      </c>
      <c r="Q415">
        <v>21258.85</v>
      </c>
      <c r="R415">
        <v>116714.06</v>
      </c>
    </row>
    <row r="416" spans="1:18" x14ac:dyDescent="0.3">
      <c r="A416" t="s">
        <v>84</v>
      </c>
      <c r="B416">
        <v>2020</v>
      </c>
      <c r="C416" s="4">
        <v>392381136.41999996</v>
      </c>
      <c r="D416" s="4">
        <v>26562525.539999999</v>
      </c>
      <c r="E416" s="4">
        <v>418943661.96000004</v>
      </c>
      <c r="F416" s="4">
        <f t="shared" si="526"/>
        <v>294285852.31499994</v>
      </c>
      <c r="G416" s="4">
        <f t="shared" ref="G416:G420" si="559">C416*0.07</f>
        <v>27466679.549399998</v>
      </c>
      <c r="H416" s="4">
        <f t="shared" ref="H416:H420" si="560">C416*0.06</f>
        <v>23542868.185199998</v>
      </c>
      <c r="I416" s="4">
        <f t="shared" ref="I416:I420" si="561">C416*0.03</f>
        <v>11771434.092599999</v>
      </c>
      <c r="J416" s="4">
        <f t="shared" ref="J416:J420" si="562">C416*0.025</f>
        <v>9809528.4104999993</v>
      </c>
      <c r="K416" s="4">
        <f t="shared" ref="K416:K420" si="563">C416*0.01</f>
        <v>3923811.3641999997</v>
      </c>
      <c r="L416" s="4">
        <f t="shared" ref="L416:L420" si="564">C416*0.005</f>
        <v>1961905.6820999999</v>
      </c>
      <c r="M416" s="4">
        <f t="shared" ref="M416:M420" si="565">C416*0.05</f>
        <v>19619056.820999999</v>
      </c>
      <c r="N416" s="4">
        <f t="shared" ref="N416:N420" si="566">C416*0</f>
        <v>0</v>
      </c>
      <c r="O416">
        <v>7636322.7199999988</v>
      </c>
      <c r="P416">
        <v>10433302.08</v>
      </c>
      <c r="Q416">
        <v>92501.99</v>
      </c>
      <c r="R416">
        <v>0</v>
      </c>
    </row>
    <row r="417" spans="1:18" x14ac:dyDescent="0.3">
      <c r="A417" t="s">
        <v>84</v>
      </c>
      <c r="B417">
        <v>2021</v>
      </c>
      <c r="C417" s="4">
        <v>465143037.83000004</v>
      </c>
      <c r="D417" s="4">
        <v>31441793.999999996</v>
      </c>
      <c r="E417" s="4">
        <v>496584831.83000004</v>
      </c>
      <c r="F417" s="4">
        <f t="shared" si="526"/>
        <v>348857278.37250006</v>
      </c>
      <c r="G417" s="4">
        <f t="shared" si="559"/>
        <v>32560012.648100007</v>
      </c>
      <c r="H417" s="4">
        <f t="shared" si="560"/>
        <v>27908582.2698</v>
      </c>
      <c r="I417" s="4">
        <f t="shared" si="561"/>
        <v>13954291.1349</v>
      </c>
      <c r="J417" s="4">
        <f t="shared" si="562"/>
        <v>11628575.945750002</v>
      </c>
      <c r="K417" s="4">
        <f t="shared" si="563"/>
        <v>4651430.3783000009</v>
      </c>
      <c r="L417" s="4">
        <f t="shared" si="564"/>
        <v>2325715.1891500005</v>
      </c>
      <c r="M417" s="4">
        <f t="shared" si="565"/>
        <v>23257151.891500004</v>
      </c>
      <c r="N417" s="4">
        <f t="shared" si="566"/>
        <v>0</v>
      </c>
      <c r="O417">
        <v>9856821.2299999967</v>
      </c>
      <c r="P417">
        <v>13981707.470000001</v>
      </c>
      <c r="Q417">
        <v>0</v>
      </c>
      <c r="R417">
        <v>0</v>
      </c>
    </row>
    <row r="418" spans="1:18" x14ac:dyDescent="0.3">
      <c r="A418" t="s">
        <v>84</v>
      </c>
      <c r="B418">
        <v>2022</v>
      </c>
      <c r="C418" s="4">
        <v>588696823.80999994</v>
      </c>
      <c r="D418" s="4">
        <v>33715136.220000006</v>
      </c>
      <c r="E418" s="4">
        <v>622411960.03000009</v>
      </c>
      <c r="F418" s="4">
        <f t="shared" si="526"/>
        <v>441522617.85749996</v>
      </c>
      <c r="G418" s="4">
        <f t="shared" si="559"/>
        <v>41208777.666699998</v>
      </c>
      <c r="H418" s="4">
        <f t="shared" si="560"/>
        <v>35321809.428599998</v>
      </c>
      <c r="I418" s="4">
        <f t="shared" si="561"/>
        <v>17660904.714299999</v>
      </c>
      <c r="J418" s="4">
        <f t="shared" si="562"/>
        <v>14717420.595249999</v>
      </c>
      <c r="K418" s="4">
        <f t="shared" si="563"/>
        <v>5886968.2380999997</v>
      </c>
      <c r="L418" s="4">
        <f t="shared" si="564"/>
        <v>2943484.1190499999</v>
      </c>
      <c r="M418" s="4">
        <f t="shared" si="565"/>
        <v>29434841.190499999</v>
      </c>
      <c r="N418" s="4">
        <f t="shared" si="566"/>
        <v>0</v>
      </c>
      <c r="O418">
        <v>6630883.9800000004</v>
      </c>
      <c r="P418">
        <v>15804525.530000001</v>
      </c>
      <c r="Q418">
        <v>316037.18</v>
      </c>
      <c r="R418">
        <v>0</v>
      </c>
    </row>
    <row r="419" spans="1:18" x14ac:dyDescent="0.3">
      <c r="A419" t="s">
        <v>84</v>
      </c>
      <c r="B419">
        <v>2023</v>
      </c>
      <c r="C419" s="4">
        <v>689480732.23000002</v>
      </c>
      <c r="D419" s="4">
        <v>0</v>
      </c>
      <c r="E419" s="4">
        <v>689480732.23000002</v>
      </c>
      <c r="F419" s="4">
        <f t="shared" si="526"/>
        <v>517110549.17250001</v>
      </c>
      <c r="G419" s="4">
        <f t="shared" si="559"/>
        <v>48263651.256100006</v>
      </c>
      <c r="H419" s="4">
        <f t="shared" si="560"/>
        <v>41368843.933799997</v>
      </c>
      <c r="I419" s="4">
        <f t="shared" si="561"/>
        <v>20684421.966899998</v>
      </c>
      <c r="J419" s="4">
        <f t="shared" si="562"/>
        <v>17237018.305750001</v>
      </c>
      <c r="K419" s="4">
        <f t="shared" si="563"/>
        <v>6894807.3223000001</v>
      </c>
      <c r="L419" s="4">
        <f t="shared" si="564"/>
        <v>3447403.6611500001</v>
      </c>
      <c r="M419" s="4">
        <f t="shared" si="565"/>
        <v>34474036.611500002</v>
      </c>
      <c r="N419" s="4">
        <f t="shared" si="566"/>
        <v>0</v>
      </c>
      <c r="O419">
        <v>7799976.3799999999</v>
      </c>
      <c r="P419">
        <v>13964535.579999998</v>
      </c>
      <c r="Q419">
        <v>2087.1</v>
      </c>
      <c r="R419">
        <v>20462903.969999999</v>
      </c>
    </row>
    <row r="420" spans="1:18" x14ac:dyDescent="0.3">
      <c r="A420" t="s">
        <v>84</v>
      </c>
      <c r="B420">
        <v>2024</v>
      </c>
      <c r="C420" s="4">
        <v>762292308.57000005</v>
      </c>
      <c r="D420" s="4">
        <v>0</v>
      </c>
      <c r="E420" s="4">
        <v>762292308.57000005</v>
      </c>
      <c r="F420" s="4">
        <f t="shared" si="526"/>
        <v>571719231.42750001</v>
      </c>
      <c r="G420" s="4">
        <f t="shared" si="559"/>
        <v>53360461.599900007</v>
      </c>
      <c r="H420" s="4">
        <f t="shared" si="560"/>
        <v>45737538.514200002</v>
      </c>
      <c r="I420" s="4">
        <f t="shared" si="561"/>
        <v>22868769.257100001</v>
      </c>
      <c r="J420" s="4">
        <f t="shared" si="562"/>
        <v>19057307.714250002</v>
      </c>
      <c r="K420" s="4">
        <f t="shared" si="563"/>
        <v>7622923.0857000006</v>
      </c>
      <c r="L420" s="4">
        <f t="shared" si="564"/>
        <v>3811461.5428500003</v>
      </c>
      <c r="M420" s="4">
        <f t="shared" si="565"/>
        <v>38114615.428500004</v>
      </c>
      <c r="N420" s="4">
        <f t="shared" si="566"/>
        <v>0</v>
      </c>
      <c r="O420">
        <v>9454718.120000001</v>
      </c>
      <c r="P420">
        <v>14690202.709999997</v>
      </c>
      <c r="Q420">
        <v>442594.29000000004</v>
      </c>
      <c r="R420">
        <v>434778.24000000005</v>
      </c>
    </row>
    <row r="421" spans="1:18" x14ac:dyDescent="0.3">
      <c r="A421" t="s">
        <v>84</v>
      </c>
      <c r="B421">
        <v>2025</v>
      </c>
      <c r="C421" s="4">
        <v>819541953.51000011</v>
      </c>
      <c r="D421" s="4">
        <v>0</v>
      </c>
      <c r="E421" s="4">
        <v>819541953.51000011</v>
      </c>
      <c r="F421" s="4">
        <f t="shared" si="526"/>
        <v>614656465.13250005</v>
      </c>
      <c r="G421" s="4">
        <f>C421*0.035</f>
        <v>28683968.372850008</v>
      </c>
      <c r="H421" s="4">
        <f>C421*0.06</f>
        <v>49172517.210600004</v>
      </c>
      <c r="I421" s="4">
        <f>C421*0.03</f>
        <v>24586258.605300002</v>
      </c>
      <c r="J421" s="4">
        <f>C421*0</f>
        <v>0</v>
      </c>
      <c r="K421" s="4">
        <f>C421*0</f>
        <v>0</v>
      </c>
      <c r="L421" s="4">
        <f>C421*0</f>
        <v>0</v>
      </c>
      <c r="M421" s="4">
        <f>C421*0</f>
        <v>0</v>
      </c>
      <c r="N421" s="4">
        <f>C421*0.1</f>
        <v>81954195.351000011</v>
      </c>
      <c r="O421">
        <v>10044023.609999999</v>
      </c>
      <c r="P421">
        <v>14758950.889999999</v>
      </c>
      <c r="Q421">
        <v>422434.87</v>
      </c>
      <c r="R421">
        <v>5661021.540000001</v>
      </c>
    </row>
    <row r="422" spans="1:18" x14ac:dyDescent="0.3">
      <c r="A422" t="s">
        <v>85</v>
      </c>
      <c r="B422">
        <v>2020</v>
      </c>
      <c r="C422" s="4">
        <v>19770537.439999998</v>
      </c>
      <c r="D422" s="4">
        <v>1338462.95</v>
      </c>
      <c r="E422" s="4">
        <v>21109000.390000001</v>
      </c>
      <c r="F422" s="4">
        <f t="shared" si="526"/>
        <v>14827903.079999998</v>
      </c>
      <c r="G422" s="4">
        <f t="shared" ref="G422:G426" si="567">C422*0.07</f>
        <v>1383937.6207999999</v>
      </c>
      <c r="H422" s="4">
        <f t="shared" ref="H422:H426" si="568">C422*0.06</f>
        <v>1186232.2463999998</v>
      </c>
      <c r="I422" s="4">
        <f t="shared" ref="I422:I426" si="569">C422*0.03</f>
        <v>593116.12319999991</v>
      </c>
      <c r="J422" s="4">
        <f t="shared" ref="J422:J426" si="570">C422*0.025</f>
        <v>494263.43599999999</v>
      </c>
      <c r="K422" s="4">
        <f t="shared" ref="K422:K426" si="571">C422*0.01</f>
        <v>197705.37439999997</v>
      </c>
      <c r="L422" s="4">
        <f t="shared" ref="L422:L426" si="572">C422*0.005</f>
        <v>98852.687199999986</v>
      </c>
      <c r="M422" s="4">
        <f t="shared" ref="M422:M426" si="573">C422*0.05</f>
        <v>988526.87199999997</v>
      </c>
      <c r="N422" s="4">
        <f t="shared" ref="N422:N426" si="574">C422*0</f>
        <v>0</v>
      </c>
      <c r="O422">
        <v>384788.52</v>
      </c>
      <c r="P422">
        <v>525726.21</v>
      </c>
      <c r="Q422">
        <v>10196.35</v>
      </c>
      <c r="R422">
        <v>0</v>
      </c>
    </row>
    <row r="423" spans="1:18" x14ac:dyDescent="0.3">
      <c r="A423" t="s">
        <v>85</v>
      </c>
      <c r="B423">
        <v>2021</v>
      </c>
      <c r="C423" s="4">
        <v>25092588.920000006</v>
      </c>
      <c r="D423" s="4">
        <v>1696365.76</v>
      </c>
      <c r="E423" s="4">
        <v>26788954.68</v>
      </c>
      <c r="F423" s="4">
        <f t="shared" si="526"/>
        <v>18819441.690000005</v>
      </c>
      <c r="G423" s="4">
        <f t="shared" si="567"/>
        <v>1756481.2244000006</v>
      </c>
      <c r="H423" s="4">
        <f t="shared" si="568"/>
        <v>1505555.3352000003</v>
      </c>
      <c r="I423" s="4">
        <f t="shared" si="569"/>
        <v>752777.66760000016</v>
      </c>
      <c r="J423" s="4">
        <f t="shared" si="570"/>
        <v>627314.72300000011</v>
      </c>
      <c r="K423" s="4">
        <f t="shared" si="571"/>
        <v>250925.88920000006</v>
      </c>
      <c r="L423" s="4">
        <f t="shared" si="572"/>
        <v>125462.94460000003</v>
      </c>
      <c r="M423" s="4">
        <f t="shared" si="573"/>
        <v>1254629.4460000002</v>
      </c>
      <c r="N423" s="4">
        <f t="shared" si="574"/>
        <v>0</v>
      </c>
      <c r="O423">
        <v>531802.17000000004</v>
      </c>
      <c r="P423">
        <v>754350.95000000007</v>
      </c>
      <c r="Q423">
        <v>0</v>
      </c>
      <c r="R423">
        <v>0</v>
      </c>
    </row>
    <row r="424" spans="1:18" x14ac:dyDescent="0.3">
      <c r="A424" t="s">
        <v>85</v>
      </c>
      <c r="B424">
        <v>2022</v>
      </c>
      <c r="C424" s="4">
        <v>30088926.409999996</v>
      </c>
      <c r="D424" s="4">
        <v>1718334.68</v>
      </c>
      <c r="E424" s="4">
        <v>31807261.089999996</v>
      </c>
      <c r="F424" s="4">
        <f t="shared" si="526"/>
        <v>22566694.807499997</v>
      </c>
      <c r="G424" s="4">
        <f t="shared" si="567"/>
        <v>2106224.8487</v>
      </c>
      <c r="H424" s="4">
        <f t="shared" si="568"/>
        <v>1805335.5845999997</v>
      </c>
      <c r="I424" s="4">
        <f t="shared" si="569"/>
        <v>902667.79229999986</v>
      </c>
      <c r="J424" s="4">
        <f t="shared" si="570"/>
        <v>752223.16024999996</v>
      </c>
      <c r="K424" s="4">
        <f t="shared" si="571"/>
        <v>300889.26409999997</v>
      </c>
      <c r="L424" s="4">
        <f t="shared" si="572"/>
        <v>150444.63204999999</v>
      </c>
      <c r="M424" s="4">
        <f t="shared" si="573"/>
        <v>1504446.3204999999</v>
      </c>
      <c r="N424" s="4">
        <f t="shared" si="574"/>
        <v>0</v>
      </c>
      <c r="O424">
        <v>339973.72</v>
      </c>
      <c r="P424">
        <v>807396.41</v>
      </c>
      <c r="Q424">
        <v>37396.619999999995</v>
      </c>
      <c r="R424">
        <v>0</v>
      </c>
    </row>
    <row r="425" spans="1:18" x14ac:dyDescent="0.3">
      <c r="A425" t="s">
        <v>85</v>
      </c>
      <c r="B425">
        <v>2023</v>
      </c>
      <c r="C425" s="4">
        <v>31861834.950000003</v>
      </c>
      <c r="D425" s="4">
        <v>0</v>
      </c>
      <c r="E425" s="4">
        <v>31861834.950000003</v>
      </c>
      <c r="F425" s="4">
        <f t="shared" si="526"/>
        <v>23896376.212500002</v>
      </c>
      <c r="G425" s="4">
        <f t="shared" si="567"/>
        <v>2230328.4465000005</v>
      </c>
      <c r="H425" s="4">
        <f t="shared" si="568"/>
        <v>1911710.0970000001</v>
      </c>
      <c r="I425" s="4">
        <f t="shared" si="569"/>
        <v>955855.04850000003</v>
      </c>
      <c r="J425" s="4">
        <f t="shared" si="570"/>
        <v>796545.87375000014</v>
      </c>
      <c r="K425" s="4">
        <f t="shared" si="571"/>
        <v>318618.34950000001</v>
      </c>
      <c r="L425" s="4">
        <f t="shared" si="572"/>
        <v>159309.17475000001</v>
      </c>
      <c r="M425" s="4">
        <f t="shared" si="573"/>
        <v>1593091.7475000003</v>
      </c>
      <c r="N425" s="4">
        <f t="shared" si="574"/>
        <v>0</v>
      </c>
      <c r="O425">
        <v>363242.13</v>
      </c>
      <c r="P425">
        <v>645273.26</v>
      </c>
      <c r="Q425">
        <v>246.69</v>
      </c>
      <c r="R425">
        <v>945549.86</v>
      </c>
    </row>
    <row r="426" spans="1:18" x14ac:dyDescent="0.3">
      <c r="A426" t="s">
        <v>85</v>
      </c>
      <c r="B426">
        <v>2024</v>
      </c>
      <c r="C426" s="4">
        <v>37777502.480000004</v>
      </c>
      <c r="D426" s="4">
        <v>0</v>
      </c>
      <c r="E426" s="4">
        <v>37777502.480000004</v>
      </c>
      <c r="F426" s="4">
        <f t="shared" si="526"/>
        <v>28333126.860000003</v>
      </c>
      <c r="G426" s="4">
        <f t="shared" si="567"/>
        <v>2644425.1736000003</v>
      </c>
      <c r="H426" s="4">
        <f t="shared" si="568"/>
        <v>2266650.1488000001</v>
      </c>
      <c r="I426" s="4">
        <f t="shared" si="569"/>
        <v>1133325.0744</v>
      </c>
      <c r="J426" s="4">
        <f t="shared" si="570"/>
        <v>944437.56200000015</v>
      </c>
      <c r="K426" s="4">
        <f t="shared" si="571"/>
        <v>377775.02480000007</v>
      </c>
      <c r="L426" s="4">
        <f t="shared" si="572"/>
        <v>188887.51240000004</v>
      </c>
      <c r="M426" s="4">
        <f t="shared" si="573"/>
        <v>1888875.1240000003</v>
      </c>
      <c r="N426" s="4">
        <f t="shared" si="574"/>
        <v>0</v>
      </c>
      <c r="O426">
        <v>468584.28</v>
      </c>
      <c r="P426">
        <v>728059.62</v>
      </c>
      <c r="Q426">
        <v>49314.180000000008</v>
      </c>
      <c r="R426">
        <v>20090.259999999998</v>
      </c>
    </row>
    <row r="427" spans="1:18" x14ac:dyDescent="0.3">
      <c r="A427" t="s">
        <v>85</v>
      </c>
      <c r="B427">
        <v>2025</v>
      </c>
      <c r="C427" s="4">
        <v>44033765.469999999</v>
      </c>
      <c r="D427" s="4">
        <v>0</v>
      </c>
      <c r="E427" s="4">
        <v>44033765.469999999</v>
      </c>
      <c r="F427" s="4">
        <f t="shared" si="526"/>
        <v>33025324.102499999</v>
      </c>
      <c r="G427" s="4">
        <f>C427*0.035</f>
        <v>1541181.7914500001</v>
      </c>
      <c r="H427" s="4">
        <f>C427*0.06</f>
        <v>2642025.9282</v>
      </c>
      <c r="I427" s="4">
        <f>C427*0.03</f>
        <v>1321012.9641</v>
      </c>
      <c r="J427" s="4">
        <f>C427*0</f>
        <v>0</v>
      </c>
      <c r="K427" s="4">
        <f>C427*0</f>
        <v>0</v>
      </c>
      <c r="L427" s="4">
        <f>C427*0</f>
        <v>0</v>
      </c>
      <c r="M427" s="4">
        <f>C427*0</f>
        <v>0</v>
      </c>
      <c r="N427" s="4">
        <f>C427*0.1</f>
        <v>4403376.5470000003</v>
      </c>
      <c r="O427">
        <v>539786.01</v>
      </c>
      <c r="P427">
        <v>793175.7</v>
      </c>
      <c r="Q427">
        <v>45112.04</v>
      </c>
      <c r="R427">
        <v>304234.68</v>
      </c>
    </row>
    <row r="428" spans="1:18" x14ac:dyDescent="0.3">
      <c r="A428" t="s">
        <v>86</v>
      </c>
      <c r="B428">
        <v>2020</v>
      </c>
      <c r="C428" s="4">
        <v>13773860.990000002</v>
      </c>
      <c r="D428" s="4">
        <v>932414.80999999982</v>
      </c>
      <c r="E428" s="4">
        <v>14706275.799999999</v>
      </c>
      <c r="F428" s="4">
        <f t="shared" si="526"/>
        <v>10330395.742500002</v>
      </c>
      <c r="G428" s="4">
        <f t="shared" ref="G428:G432" si="575">C428*0.07</f>
        <v>964170.26930000028</v>
      </c>
      <c r="H428" s="4">
        <f t="shared" ref="H428:H432" si="576">C428*0.06</f>
        <v>826431.65940000012</v>
      </c>
      <c r="I428" s="4">
        <f t="shared" ref="I428:I432" si="577">C428*0.03</f>
        <v>413215.82970000006</v>
      </c>
      <c r="J428" s="4">
        <f t="shared" ref="J428:J432" si="578">C428*0.025</f>
        <v>344346.5247500001</v>
      </c>
      <c r="K428" s="4">
        <f t="shared" ref="K428:K432" si="579">C428*0.01</f>
        <v>137738.60990000001</v>
      </c>
      <c r="L428" s="4">
        <f t="shared" ref="L428:L432" si="580">C428*0.005</f>
        <v>68869.304950000005</v>
      </c>
      <c r="M428" s="4">
        <f t="shared" ref="M428:M432" si="581">C428*0.05</f>
        <v>688693.0495000002</v>
      </c>
      <c r="N428" s="4">
        <f t="shared" ref="N428:N432" si="582">C428*0</f>
        <v>0</v>
      </c>
      <c r="O428">
        <v>268054.93</v>
      </c>
      <c r="P428">
        <v>366236.23</v>
      </c>
      <c r="Q428">
        <v>8174.1</v>
      </c>
      <c r="R428">
        <v>0</v>
      </c>
    </row>
    <row r="429" spans="1:18" x14ac:dyDescent="0.3">
      <c r="A429" t="s">
        <v>86</v>
      </c>
      <c r="B429">
        <v>2021</v>
      </c>
      <c r="C429" s="4">
        <v>16942897.91</v>
      </c>
      <c r="D429" s="4">
        <v>1145348.8999999999</v>
      </c>
      <c r="E429" s="4">
        <v>18088246.809999999</v>
      </c>
      <c r="F429" s="4">
        <f t="shared" si="526"/>
        <v>12707173.432500001</v>
      </c>
      <c r="G429" s="4">
        <f t="shared" si="575"/>
        <v>1186002.8537000001</v>
      </c>
      <c r="H429" s="4">
        <f t="shared" si="576"/>
        <v>1016573.8746</v>
      </c>
      <c r="I429" s="4">
        <f t="shared" si="577"/>
        <v>508286.93729999999</v>
      </c>
      <c r="J429" s="4">
        <f t="shared" si="578"/>
        <v>423572.44775000005</v>
      </c>
      <c r="K429" s="4">
        <f t="shared" si="579"/>
        <v>169428.9791</v>
      </c>
      <c r="L429" s="4">
        <f t="shared" si="580"/>
        <v>84714.489549999998</v>
      </c>
      <c r="M429" s="4">
        <f t="shared" si="581"/>
        <v>847144.8955000001</v>
      </c>
      <c r="N429" s="4">
        <f t="shared" si="582"/>
        <v>0</v>
      </c>
      <c r="O429">
        <v>359060.76999999996</v>
      </c>
      <c r="P429">
        <v>509320.64</v>
      </c>
      <c r="Q429">
        <v>0</v>
      </c>
      <c r="R429">
        <v>0</v>
      </c>
    </row>
    <row r="430" spans="1:18" x14ac:dyDescent="0.3">
      <c r="A430" t="s">
        <v>86</v>
      </c>
      <c r="B430">
        <v>2022</v>
      </c>
      <c r="C430" s="4">
        <v>20726298.289999999</v>
      </c>
      <c r="D430" s="4">
        <v>1184914.5099999998</v>
      </c>
      <c r="E430" s="4">
        <v>21911212.800000004</v>
      </c>
      <c r="F430" s="4">
        <f t="shared" si="526"/>
        <v>15544723.717499999</v>
      </c>
      <c r="G430" s="4">
        <f t="shared" si="575"/>
        <v>1450840.8803000001</v>
      </c>
      <c r="H430" s="4">
        <f t="shared" si="576"/>
        <v>1243577.8973999999</v>
      </c>
      <c r="I430" s="4">
        <f t="shared" si="577"/>
        <v>621788.94869999995</v>
      </c>
      <c r="J430" s="4">
        <f t="shared" si="578"/>
        <v>518157.45724999998</v>
      </c>
      <c r="K430" s="4">
        <f t="shared" si="579"/>
        <v>207262.9829</v>
      </c>
      <c r="L430" s="4">
        <f t="shared" si="580"/>
        <v>103631.49145</v>
      </c>
      <c r="M430" s="4">
        <f t="shared" si="581"/>
        <v>1036314.9145</v>
      </c>
      <c r="N430" s="4">
        <f t="shared" si="582"/>
        <v>0</v>
      </c>
      <c r="O430">
        <v>233910.27999999997</v>
      </c>
      <c r="P430">
        <v>556263.71000000008</v>
      </c>
      <c r="Q430">
        <v>27313.289999999997</v>
      </c>
      <c r="R430">
        <v>0</v>
      </c>
    </row>
    <row r="431" spans="1:18" x14ac:dyDescent="0.3">
      <c r="A431" t="s">
        <v>86</v>
      </c>
      <c r="B431">
        <v>2023</v>
      </c>
      <c r="C431" s="4">
        <v>21668054.370000001</v>
      </c>
      <c r="D431" s="4">
        <v>0</v>
      </c>
      <c r="E431" s="4">
        <v>21668054.370000001</v>
      </c>
      <c r="F431" s="4">
        <f t="shared" si="526"/>
        <v>16251040.7775</v>
      </c>
      <c r="G431" s="4">
        <f t="shared" si="575"/>
        <v>1516763.8059000003</v>
      </c>
      <c r="H431" s="4">
        <f t="shared" si="576"/>
        <v>1300083.2622</v>
      </c>
      <c r="I431" s="4">
        <f t="shared" si="577"/>
        <v>650041.6311</v>
      </c>
      <c r="J431" s="4">
        <f t="shared" si="578"/>
        <v>541701.3592500001</v>
      </c>
      <c r="K431" s="4">
        <f t="shared" si="579"/>
        <v>216680.54370000001</v>
      </c>
      <c r="L431" s="4">
        <f t="shared" si="580"/>
        <v>108340.27185</v>
      </c>
      <c r="M431" s="4">
        <f t="shared" si="581"/>
        <v>1083402.7185000002</v>
      </c>
      <c r="N431" s="4">
        <f t="shared" si="582"/>
        <v>0</v>
      </c>
      <c r="O431">
        <v>247319.66999999998</v>
      </c>
      <c r="P431">
        <v>438821.55000000005</v>
      </c>
      <c r="Q431">
        <v>179.95</v>
      </c>
      <c r="R431">
        <v>643026.30000000005</v>
      </c>
    </row>
    <row r="432" spans="1:18" x14ac:dyDescent="0.3">
      <c r="A432" t="s">
        <v>86</v>
      </c>
      <c r="B432">
        <v>2024</v>
      </c>
      <c r="C432" s="4">
        <v>25220006.860000003</v>
      </c>
      <c r="D432" s="4">
        <v>0</v>
      </c>
      <c r="E432" s="4">
        <v>25220006.860000003</v>
      </c>
      <c r="F432" s="4">
        <f t="shared" si="526"/>
        <v>18915005.145000003</v>
      </c>
      <c r="G432" s="4">
        <f t="shared" si="575"/>
        <v>1765400.4802000003</v>
      </c>
      <c r="H432" s="4">
        <f t="shared" si="576"/>
        <v>1513200.4116000002</v>
      </c>
      <c r="I432" s="4">
        <f t="shared" si="577"/>
        <v>756600.20580000011</v>
      </c>
      <c r="J432" s="4">
        <f t="shared" si="578"/>
        <v>630500.17150000017</v>
      </c>
      <c r="K432" s="4">
        <f t="shared" si="579"/>
        <v>252200.06860000003</v>
      </c>
      <c r="L432" s="4">
        <f t="shared" si="580"/>
        <v>126100.03430000001</v>
      </c>
      <c r="M432" s="4">
        <f t="shared" si="581"/>
        <v>1261000.3430000003</v>
      </c>
      <c r="N432" s="4">
        <f t="shared" si="582"/>
        <v>0</v>
      </c>
      <c r="O432">
        <v>312818.63</v>
      </c>
      <c r="P432">
        <v>486039.79000000004</v>
      </c>
      <c r="Q432">
        <v>36891.370000000003</v>
      </c>
      <c r="R432">
        <v>13662.49</v>
      </c>
    </row>
    <row r="433" spans="1:18" x14ac:dyDescent="0.3">
      <c r="A433" t="s">
        <v>86</v>
      </c>
      <c r="B433">
        <v>2025</v>
      </c>
      <c r="C433" s="4">
        <v>25743213.750000004</v>
      </c>
      <c r="D433" s="4">
        <v>0</v>
      </c>
      <c r="E433" s="4">
        <v>25743213.750000004</v>
      </c>
      <c r="F433" s="4">
        <f t="shared" si="526"/>
        <v>19307410.312500004</v>
      </c>
      <c r="G433" s="4">
        <f>C433*0.035</f>
        <v>901012.48125000019</v>
      </c>
      <c r="H433" s="4">
        <f>C433*0.06</f>
        <v>1544592.8250000002</v>
      </c>
      <c r="I433" s="4">
        <f>C433*0.03</f>
        <v>772296.41250000009</v>
      </c>
      <c r="J433" s="4">
        <f>C433*0</f>
        <v>0</v>
      </c>
      <c r="K433" s="4">
        <f>C433*0</f>
        <v>0</v>
      </c>
      <c r="L433" s="4">
        <f>C433*0</f>
        <v>0</v>
      </c>
      <c r="M433" s="4">
        <f>C433*0</f>
        <v>0</v>
      </c>
      <c r="N433" s="4">
        <f>C433*0.1</f>
        <v>2574321.3750000005</v>
      </c>
      <c r="O433">
        <v>315450.40000000002</v>
      </c>
      <c r="P433">
        <v>463531.06</v>
      </c>
      <c r="Q433">
        <v>33903.339999999997</v>
      </c>
      <c r="R433">
        <v>177794.44</v>
      </c>
    </row>
    <row r="434" spans="1:18" x14ac:dyDescent="0.3">
      <c r="A434" t="s">
        <v>87</v>
      </c>
      <c r="B434">
        <v>2020</v>
      </c>
      <c r="C434" s="4">
        <v>20244648.520000003</v>
      </c>
      <c r="D434" s="4">
        <v>1370424.9300000002</v>
      </c>
      <c r="E434" s="4">
        <v>21615073.450000003</v>
      </c>
      <c r="F434" s="4">
        <f t="shared" si="526"/>
        <v>15183486.390000002</v>
      </c>
      <c r="G434" s="4">
        <f t="shared" ref="G434:G438" si="583">C434*0.07</f>
        <v>1417125.3964000004</v>
      </c>
      <c r="H434" s="4">
        <f t="shared" ref="H434:H438" si="584">C434*0.06</f>
        <v>1214678.9112000002</v>
      </c>
      <c r="I434" s="4">
        <f t="shared" ref="I434:I438" si="585">C434*0.03</f>
        <v>607339.4556000001</v>
      </c>
      <c r="J434" s="4">
        <f t="shared" ref="J434:J438" si="586">C434*0.025</f>
        <v>506116.21300000011</v>
      </c>
      <c r="K434" s="4">
        <f t="shared" ref="K434:K438" si="587">C434*0.01</f>
        <v>202446.48520000002</v>
      </c>
      <c r="L434" s="4">
        <f t="shared" ref="L434:L438" si="588">C434*0.005</f>
        <v>101223.24260000001</v>
      </c>
      <c r="M434" s="4">
        <f t="shared" ref="M434:M438" si="589">C434*0.05</f>
        <v>1012232.4260000002</v>
      </c>
      <c r="N434" s="4">
        <f t="shared" ref="N434:N438" si="590">C434*0</f>
        <v>0</v>
      </c>
      <c r="O434">
        <v>393975.88</v>
      </c>
      <c r="P434">
        <v>538278.64999999991</v>
      </c>
      <c r="Q434">
        <v>9544.6200000000008</v>
      </c>
      <c r="R434">
        <v>0</v>
      </c>
    </row>
    <row r="435" spans="1:18" x14ac:dyDescent="0.3">
      <c r="A435" t="s">
        <v>87</v>
      </c>
      <c r="B435">
        <v>2021</v>
      </c>
      <c r="C435" s="4">
        <v>25662118.549999997</v>
      </c>
      <c r="D435" s="4">
        <v>1734864.91</v>
      </c>
      <c r="E435" s="4">
        <v>27396983.459999997</v>
      </c>
      <c r="F435" s="4">
        <f t="shared" si="526"/>
        <v>19246588.912499998</v>
      </c>
      <c r="G435" s="4">
        <f t="shared" si="583"/>
        <v>1796348.2985</v>
      </c>
      <c r="H435" s="4">
        <f t="shared" si="584"/>
        <v>1539727.1129999997</v>
      </c>
      <c r="I435" s="4">
        <f t="shared" si="585"/>
        <v>769863.55649999983</v>
      </c>
      <c r="J435" s="4">
        <f t="shared" si="586"/>
        <v>641552.96375</v>
      </c>
      <c r="K435" s="4">
        <f t="shared" si="587"/>
        <v>256621.18549999996</v>
      </c>
      <c r="L435" s="4">
        <f t="shared" si="588"/>
        <v>128310.59274999998</v>
      </c>
      <c r="M435" s="4">
        <f t="shared" si="589"/>
        <v>1283105.9275</v>
      </c>
      <c r="N435" s="4">
        <f t="shared" si="590"/>
        <v>0</v>
      </c>
      <c r="O435">
        <v>543871.43999999994</v>
      </c>
      <c r="P435">
        <v>771470.97000000009</v>
      </c>
      <c r="Q435">
        <v>0</v>
      </c>
      <c r="R435">
        <v>0</v>
      </c>
    </row>
    <row r="436" spans="1:18" x14ac:dyDescent="0.3">
      <c r="A436" t="s">
        <v>87</v>
      </c>
      <c r="B436">
        <v>2022</v>
      </c>
      <c r="C436" s="4">
        <v>31537802.959999993</v>
      </c>
      <c r="D436" s="4">
        <v>1803439.1600000001</v>
      </c>
      <c r="E436" s="4">
        <v>33341242.119999997</v>
      </c>
      <c r="F436" s="4">
        <f t="shared" si="526"/>
        <v>23653352.219999995</v>
      </c>
      <c r="G436" s="4">
        <f t="shared" si="583"/>
        <v>2207646.2071999996</v>
      </c>
      <c r="H436" s="4">
        <f t="shared" si="584"/>
        <v>1892268.1775999996</v>
      </c>
      <c r="I436" s="4">
        <f t="shared" si="585"/>
        <v>946134.08879999979</v>
      </c>
      <c r="J436" s="4">
        <f t="shared" si="586"/>
        <v>788445.07399999991</v>
      </c>
      <c r="K436" s="4">
        <f t="shared" si="587"/>
        <v>315378.02959999995</v>
      </c>
      <c r="L436" s="4">
        <f t="shared" si="588"/>
        <v>157689.01479999998</v>
      </c>
      <c r="M436" s="4">
        <f t="shared" si="589"/>
        <v>1576890.1479999998</v>
      </c>
      <c r="N436" s="4">
        <f t="shared" si="590"/>
        <v>0</v>
      </c>
      <c r="O436">
        <v>355831.40000000014</v>
      </c>
      <c r="P436">
        <v>846464.11999999988</v>
      </c>
      <c r="Q436">
        <v>32197.350000000002</v>
      </c>
      <c r="R436">
        <v>0</v>
      </c>
    </row>
    <row r="437" spans="1:18" x14ac:dyDescent="0.3">
      <c r="A437" t="s">
        <v>87</v>
      </c>
      <c r="B437">
        <v>2023</v>
      </c>
      <c r="C437" s="4">
        <v>30319734.960000001</v>
      </c>
      <c r="D437" s="4">
        <v>0</v>
      </c>
      <c r="E437" s="4">
        <v>30319734.960000001</v>
      </c>
      <c r="F437" s="4">
        <f t="shared" si="526"/>
        <v>22739801.219999999</v>
      </c>
      <c r="G437" s="4">
        <f t="shared" si="583"/>
        <v>2122381.4472000003</v>
      </c>
      <c r="H437" s="4">
        <f t="shared" si="584"/>
        <v>1819184.0976</v>
      </c>
      <c r="I437" s="4">
        <f t="shared" si="585"/>
        <v>909592.04879999999</v>
      </c>
      <c r="J437" s="4">
        <f t="shared" si="586"/>
        <v>757993.37400000007</v>
      </c>
      <c r="K437" s="4">
        <f t="shared" si="587"/>
        <v>303197.34960000002</v>
      </c>
      <c r="L437" s="4">
        <f t="shared" si="588"/>
        <v>151598.67480000001</v>
      </c>
      <c r="M437" s="4">
        <f t="shared" si="589"/>
        <v>1515986.7480000001</v>
      </c>
      <c r="N437" s="4">
        <f t="shared" si="590"/>
        <v>0</v>
      </c>
      <c r="O437">
        <v>348624.67999999993</v>
      </c>
      <c r="P437">
        <v>613992.72</v>
      </c>
      <c r="Q437">
        <v>212.35</v>
      </c>
      <c r="R437">
        <v>899712.97</v>
      </c>
    </row>
    <row r="438" spans="1:18" x14ac:dyDescent="0.3">
      <c r="A438" t="s">
        <v>87</v>
      </c>
      <c r="B438">
        <v>2024</v>
      </c>
      <c r="C438" s="4">
        <v>32124586.609999999</v>
      </c>
      <c r="D438" s="4">
        <v>0</v>
      </c>
      <c r="E438" s="4">
        <v>32124586.609999999</v>
      </c>
      <c r="F438" s="4">
        <f t="shared" si="526"/>
        <v>24093439.9575</v>
      </c>
      <c r="G438" s="4">
        <f t="shared" si="583"/>
        <v>2248721.0627000001</v>
      </c>
      <c r="H438" s="4">
        <f t="shared" si="584"/>
        <v>1927475.1965999999</v>
      </c>
      <c r="I438" s="4">
        <f t="shared" si="585"/>
        <v>963737.59829999995</v>
      </c>
      <c r="J438" s="4">
        <f t="shared" si="586"/>
        <v>803114.66525000008</v>
      </c>
      <c r="K438" s="4">
        <f t="shared" si="587"/>
        <v>321245.86609999998</v>
      </c>
      <c r="L438" s="4">
        <f t="shared" si="588"/>
        <v>160622.93304999999</v>
      </c>
      <c r="M438" s="4">
        <f t="shared" si="589"/>
        <v>1606229.3305000002</v>
      </c>
      <c r="N438" s="4">
        <f t="shared" si="590"/>
        <v>0</v>
      </c>
      <c r="O438">
        <v>398425.38999999996</v>
      </c>
      <c r="P438">
        <v>619050.69000000006</v>
      </c>
      <c r="Q438">
        <v>43673.84</v>
      </c>
      <c r="R438">
        <v>19116.309999999998</v>
      </c>
    </row>
    <row r="439" spans="1:18" x14ac:dyDescent="0.3">
      <c r="A439" t="s">
        <v>87</v>
      </c>
      <c r="B439">
        <v>2025</v>
      </c>
      <c r="C439" s="4">
        <v>37726363.25</v>
      </c>
      <c r="D439" s="4">
        <v>0</v>
      </c>
      <c r="E439" s="4">
        <v>37726363.25</v>
      </c>
      <c r="F439" s="4">
        <f t="shared" si="526"/>
        <v>28294772.4375</v>
      </c>
      <c r="G439" s="4">
        <f>C439*0.035</f>
        <v>1320422.7137500001</v>
      </c>
      <c r="H439" s="4">
        <f>C439*0.06</f>
        <v>2263581.7949999999</v>
      </c>
      <c r="I439" s="4">
        <f>C439*0.03</f>
        <v>1131790.8975</v>
      </c>
      <c r="J439" s="4">
        <f>C439*0</f>
        <v>0</v>
      </c>
      <c r="K439" s="4">
        <f>C439*0</f>
        <v>0</v>
      </c>
      <c r="L439" s="4">
        <f>C439*0</f>
        <v>0</v>
      </c>
      <c r="M439" s="4">
        <f>C439*0</f>
        <v>0</v>
      </c>
      <c r="N439" s="4">
        <f>C439*0.1</f>
        <v>3772636.3250000002</v>
      </c>
      <c r="O439">
        <v>462476.50999999995</v>
      </c>
      <c r="P439">
        <v>679575.09000000008</v>
      </c>
      <c r="Q439">
        <v>40335.29</v>
      </c>
      <c r="R439">
        <v>260661.43</v>
      </c>
    </row>
    <row r="440" spans="1:18" x14ac:dyDescent="0.3">
      <c r="A440" t="s">
        <v>88</v>
      </c>
      <c r="B440">
        <v>2020</v>
      </c>
      <c r="C440" s="4">
        <v>55754402.11999999</v>
      </c>
      <c r="D440" s="4">
        <v>3774760.4400000004</v>
      </c>
      <c r="E440" s="4">
        <v>59529162.560000002</v>
      </c>
      <c r="F440" s="4">
        <f t="shared" si="526"/>
        <v>41815801.589999989</v>
      </c>
      <c r="G440" s="4">
        <f t="shared" ref="G440:G444" si="591">C440*0.07</f>
        <v>3902808.1483999998</v>
      </c>
      <c r="H440" s="4">
        <f t="shared" ref="H440:H444" si="592">C440*0.06</f>
        <v>3345264.1271999991</v>
      </c>
      <c r="I440" s="4">
        <f t="shared" ref="I440:I444" si="593">C440*0.03</f>
        <v>1672632.0635999995</v>
      </c>
      <c r="J440" s="4">
        <f t="shared" ref="J440:J444" si="594">C440*0.025</f>
        <v>1393860.0529999998</v>
      </c>
      <c r="K440" s="4">
        <f t="shared" ref="K440:K444" si="595">C440*0.01</f>
        <v>557544.02119999996</v>
      </c>
      <c r="L440" s="4">
        <f t="shared" ref="L440:L444" si="596">C440*0.005</f>
        <v>278772.01059999998</v>
      </c>
      <c r="M440" s="4">
        <f t="shared" ref="M440:M444" si="597">C440*0.05</f>
        <v>2787720.1059999997</v>
      </c>
      <c r="N440" s="4">
        <f t="shared" ref="N440:N444" si="598">C440*0</f>
        <v>0</v>
      </c>
      <c r="O440">
        <v>1085190.0900000001</v>
      </c>
      <c r="P440">
        <v>1482665.99</v>
      </c>
      <c r="Q440">
        <v>22056.79</v>
      </c>
      <c r="R440">
        <v>0</v>
      </c>
    </row>
    <row r="441" spans="1:18" x14ac:dyDescent="0.3">
      <c r="A441" t="s">
        <v>88</v>
      </c>
      <c r="B441">
        <v>2021</v>
      </c>
      <c r="C441" s="4">
        <v>80172854.049999997</v>
      </c>
      <c r="D441" s="4">
        <v>5421129.7300000004</v>
      </c>
      <c r="E441" s="4">
        <v>85593983.780000001</v>
      </c>
      <c r="F441" s="4">
        <f t="shared" si="526"/>
        <v>60129640.537499994</v>
      </c>
      <c r="G441" s="4">
        <f t="shared" si="591"/>
        <v>5612099.7834999999</v>
      </c>
      <c r="H441" s="4">
        <f t="shared" si="592"/>
        <v>4810371.2429999998</v>
      </c>
      <c r="I441" s="4">
        <f t="shared" si="593"/>
        <v>2405185.6214999999</v>
      </c>
      <c r="J441" s="4">
        <f t="shared" si="594"/>
        <v>2004321.3512500001</v>
      </c>
      <c r="K441" s="4">
        <f t="shared" si="595"/>
        <v>801728.5405</v>
      </c>
      <c r="L441" s="4">
        <f t="shared" si="596"/>
        <v>400864.27025</v>
      </c>
      <c r="M441" s="4">
        <f t="shared" si="597"/>
        <v>4008642.7025000001</v>
      </c>
      <c r="N441" s="4">
        <f t="shared" si="598"/>
        <v>0</v>
      </c>
      <c r="O441">
        <v>1699503.97</v>
      </c>
      <c r="P441">
        <v>2410712.9900000002</v>
      </c>
      <c r="Q441">
        <v>0</v>
      </c>
      <c r="R441">
        <v>0</v>
      </c>
    </row>
    <row r="442" spans="1:18" x14ac:dyDescent="0.3">
      <c r="A442" t="s">
        <v>88</v>
      </c>
      <c r="B442">
        <v>2022</v>
      </c>
      <c r="C442" s="4">
        <v>122934294.79999998</v>
      </c>
      <c r="D442" s="4">
        <v>7103156.8600000003</v>
      </c>
      <c r="E442" s="4">
        <v>130037451.65999998</v>
      </c>
      <c r="F442" s="4">
        <f t="shared" si="526"/>
        <v>92200721.099999994</v>
      </c>
      <c r="G442" s="4">
        <f t="shared" si="591"/>
        <v>8605400.6359999999</v>
      </c>
      <c r="H442" s="4">
        <f t="shared" si="592"/>
        <v>7376057.6879999982</v>
      </c>
      <c r="I442" s="4">
        <f t="shared" si="593"/>
        <v>3688028.8439999991</v>
      </c>
      <c r="J442" s="4">
        <f t="shared" si="594"/>
        <v>3073357.3699999996</v>
      </c>
      <c r="K442" s="4">
        <f t="shared" si="595"/>
        <v>1229342.9479999999</v>
      </c>
      <c r="L442" s="4">
        <f t="shared" si="596"/>
        <v>614671.47399999993</v>
      </c>
      <c r="M442" s="4">
        <f t="shared" si="597"/>
        <v>6146714.7399999993</v>
      </c>
      <c r="N442" s="4">
        <f t="shared" si="598"/>
        <v>0</v>
      </c>
      <c r="O442">
        <v>1371095.09</v>
      </c>
      <c r="P442">
        <v>3305395.87</v>
      </c>
      <c r="Q442">
        <v>74438.61</v>
      </c>
      <c r="R442">
        <v>0</v>
      </c>
    </row>
    <row r="443" spans="1:18" x14ac:dyDescent="0.3">
      <c r="A443" t="s">
        <v>88</v>
      </c>
      <c r="B443">
        <v>2023</v>
      </c>
      <c r="C443" s="4">
        <v>131816413.35000002</v>
      </c>
      <c r="D443" s="4">
        <v>0</v>
      </c>
      <c r="E443" s="4">
        <v>131816413.35000002</v>
      </c>
      <c r="F443" s="4">
        <f t="shared" si="526"/>
        <v>98862310.012500018</v>
      </c>
      <c r="G443" s="4">
        <f t="shared" si="591"/>
        <v>9227148.9345000032</v>
      </c>
      <c r="H443" s="4">
        <f t="shared" si="592"/>
        <v>7908984.8010000009</v>
      </c>
      <c r="I443" s="4">
        <f t="shared" si="593"/>
        <v>3954492.4005000005</v>
      </c>
      <c r="J443" s="4">
        <f t="shared" si="594"/>
        <v>3295410.3337500007</v>
      </c>
      <c r="K443" s="4">
        <f t="shared" si="595"/>
        <v>1318164.1335000002</v>
      </c>
      <c r="L443" s="4">
        <f t="shared" si="596"/>
        <v>659082.06675000011</v>
      </c>
      <c r="M443" s="4">
        <f t="shared" si="597"/>
        <v>6590820.6675000014</v>
      </c>
      <c r="N443" s="4">
        <f t="shared" si="598"/>
        <v>0</v>
      </c>
      <c r="O443">
        <v>1503028.75</v>
      </c>
      <c r="P443">
        <v>2669572.3199999998</v>
      </c>
      <c r="Q443">
        <v>490.96</v>
      </c>
      <c r="R443">
        <v>3911852.43</v>
      </c>
    </row>
    <row r="444" spans="1:18" x14ac:dyDescent="0.3">
      <c r="A444" t="s">
        <v>88</v>
      </c>
      <c r="B444">
        <v>2024</v>
      </c>
      <c r="C444" s="4">
        <v>146500139.88999999</v>
      </c>
      <c r="D444" s="4">
        <v>0</v>
      </c>
      <c r="E444" s="4">
        <v>146500139.88999999</v>
      </c>
      <c r="F444" s="4">
        <f t="shared" si="526"/>
        <v>109875104.91749999</v>
      </c>
      <c r="G444" s="4">
        <f t="shared" si="591"/>
        <v>10255009.792300001</v>
      </c>
      <c r="H444" s="4">
        <f t="shared" si="592"/>
        <v>8790008.3933999985</v>
      </c>
      <c r="I444" s="4">
        <f t="shared" si="593"/>
        <v>4395004.1966999993</v>
      </c>
      <c r="J444" s="4">
        <f t="shared" si="594"/>
        <v>3662503.49725</v>
      </c>
      <c r="K444" s="4">
        <f t="shared" si="595"/>
        <v>1465001.3988999999</v>
      </c>
      <c r="L444" s="4">
        <f t="shared" si="596"/>
        <v>732500.69944999996</v>
      </c>
      <c r="M444" s="4">
        <f t="shared" si="597"/>
        <v>7325006.9945</v>
      </c>
      <c r="N444" s="4">
        <f t="shared" si="598"/>
        <v>0</v>
      </c>
      <c r="O444">
        <v>1817051.4900000002</v>
      </c>
      <c r="P444">
        <v>2823231.15</v>
      </c>
      <c r="Q444">
        <v>100723.73</v>
      </c>
      <c r="R444">
        <v>83115.69</v>
      </c>
    </row>
    <row r="445" spans="1:18" x14ac:dyDescent="0.3">
      <c r="A445" t="s">
        <v>88</v>
      </c>
      <c r="B445">
        <v>2025</v>
      </c>
      <c r="C445" s="4">
        <v>189934988.69999999</v>
      </c>
      <c r="D445" s="4">
        <v>0</v>
      </c>
      <c r="E445" s="4">
        <v>189934988.69999999</v>
      </c>
      <c r="F445" s="4">
        <f t="shared" si="526"/>
        <v>142451241.52499998</v>
      </c>
      <c r="G445" s="4">
        <f>C445*0.035</f>
        <v>6647724.6045000004</v>
      </c>
      <c r="H445" s="4">
        <f>C445*0.06</f>
        <v>11396099.321999999</v>
      </c>
      <c r="I445" s="4">
        <f>C445*0.03</f>
        <v>5698049.6609999994</v>
      </c>
      <c r="J445" s="4">
        <f>C445*0</f>
        <v>0</v>
      </c>
      <c r="K445" s="4">
        <f>C445*0</f>
        <v>0</v>
      </c>
      <c r="L445" s="4">
        <f>C445*0</f>
        <v>0</v>
      </c>
      <c r="M445" s="4">
        <f>C445*0</f>
        <v>0</v>
      </c>
      <c r="N445" s="4">
        <f>C445*0.1</f>
        <v>18993498.870000001</v>
      </c>
      <c r="O445">
        <v>2328948.92</v>
      </c>
      <c r="P445">
        <v>3422218.4399999995</v>
      </c>
      <c r="Q445">
        <v>93353.919999999998</v>
      </c>
      <c r="R445">
        <v>1312644.27</v>
      </c>
    </row>
    <row r="446" spans="1:18" x14ac:dyDescent="0.3">
      <c r="A446" t="s">
        <v>89</v>
      </c>
      <c r="B446">
        <v>2020</v>
      </c>
      <c r="C446" s="4">
        <v>9135792.1400000006</v>
      </c>
      <c r="D446" s="4">
        <v>618475.64</v>
      </c>
      <c r="E446" s="4">
        <v>9754267.7799999993</v>
      </c>
      <c r="F446" s="4">
        <f t="shared" si="526"/>
        <v>6851844.1050000004</v>
      </c>
      <c r="G446" s="4">
        <f t="shared" ref="G446:G450" si="599">C446*0.07</f>
        <v>639505.44980000006</v>
      </c>
      <c r="H446" s="4">
        <f t="shared" ref="H446:H450" si="600">C446*0.06</f>
        <v>548147.52840000007</v>
      </c>
      <c r="I446" s="4">
        <f t="shared" ref="I446:I450" si="601">C446*0.03</f>
        <v>274073.76420000003</v>
      </c>
      <c r="J446" s="4">
        <f t="shared" ref="J446:J450" si="602">C446*0.025</f>
        <v>228394.80350000004</v>
      </c>
      <c r="K446" s="4">
        <f t="shared" ref="K446:K450" si="603">C446*0.01</f>
        <v>91357.921400000007</v>
      </c>
      <c r="L446" s="4">
        <f t="shared" ref="L446:L450" si="604">C446*0.005</f>
        <v>45678.960700000003</v>
      </c>
      <c r="M446" s="4">
        <f t="shared" ref="M446:M450" si="605">C446*0.05</f>
        <v>456789.60700000008</v>
      </c>
      <c r="N446" s="4">
        <f t="shared" ref="N446:N450" si="606">C446*0</f>
        <v>0</v>
      </c>
      <c r="O446">
        <v>177802.55000000002</v>
      </c>
      <c r="P446">
        <v>242926.86</v>
      </c>
      <c r="Q446">
        <v>3886.25</v>
      </c>
      <c r="R446">
        <v>0</v>
      </c>
    </row>
    <row r="447" spans="1:18" x14ac:dyDescent="0.3">
      <c r="A447" t="s">
        <v>89</v>
      </c>
      <c r="B447">
        <v>2021</v>
      </c>
      <c r="C447" s="4">
        <v>11638612.529999999</v>
      </c>
      <c r="D447" s="4">
        <v>786824.85</v>
      </c>
      <c r="E447" s="4">
        <v>12425437.380000001</v>
      </c>
      <c r="F447" s="4">
        <f t="shared" si="526"/>
        <v>8728959.397499999</v>
      </c>
      <c r="G447" s="4">
        <f t="shared" si="599"/>
        <v>814702.87710000004</v>
      </c>
      <c r="H447" s="4">
        <f t="shared" si="600"/>
        <v>698316.75179999997</v>
      </c>
      <c r="I447" s="4">
        <f t="shared" si="601"/>
        <v>349158.37589999998</v>
      </c>
      <c r="J447" s="4">
        <f t="shared" si="602"/>
        <v>290965.31325000001</v>
      </c>
      <c r="K447" s="4">
        <f t="shared" si="603"/>
        <v>116386.1253</v>
      </c>
      <c r="L447" s="4">
        <f t="shared" si="604"/>
        <v>58193.06265</v>
      </c>
      <c r="M447" s="4">
        <f t="shared" si="605"/>
        <v>581930.62650000001</v>
      </c>
      <c r="N447" s="4">
        <f t="shared" si="606"/>
        <v>0</v>
      </c>
      <c r="O447">
        <v>246665.69</v>
      </c>
      <c r="P447">
        <v>349890.43</v>
      </c>
      <c r="Q447">
        <v>0</v>
      </c>
      <c r="R447">
        <v>0</v>
      </c>
    </row>
    <row r="448" spans="1:18" x14ac:dyDescent="0.3">
      <c r="A448" t="s">
        <v>89</v>
      </c>
      <c r="B448">
        <v>2022</v>
      </c>
      <c r="C448" s="4">
        <v>13687250.130000001</v>
      </c>
      <c r="D448" s="4">
        <v>780830.08</v>
      </c>
      <c r="E448" s="4">
        <v>14468080.209999999</v>
      </c>
      <c r="F448" s="4">
        <f t="shared" si="526"/>
        <v>10265437.5975</v>
      </c>
      <c r="G448" s="4">
        <f t="shared" si="599"/>
        <v>958107.50910000014</v>
      </c>
      <c r="H448" s="4">
        <f t="shared" si="600"/>
        <v>821235.00780000002</v>
      </c>
      <c r="I448" s="4">
        <f t="shared" si="601"/>
        <v>410617.50390000001</v>
      </c>
      <c r="J448" s="4">
        <f t="shared" si="602"/>
        <v>342181.25325000007</v>
      </c>
      <c r="K448" s="4">
        <f t="shared" si="603"/>
        <v>136872.5013</v>
      </c>
      <c r="L448" s="4">
        <f t="shared" si="604"/>
        <v>68436.250650000002</v>
      </c>
      <c r="M448" s="4">
        <f t="shared" si="605"/>
        <v>684362.50650000013</v>
      </c>
      <c r="N448" s="4">
        <f t="shared" si="606"/>
        <v>0</v>
      </c>
      <c r="O448">
        <v>154831.89000000001</v>
      </c>
      <c r="P448">
        <v>367212.85000000003</v>
      </c>
      <c r="Q448">
        <v>12927.22</v>
      </c>
      <c r="R448">
        <v>0</v>
      </c>
    </row>
    <row r="449" spans="1:18" x14ac:dyDescent="0.3">
      <c r="A449" t="s">
        <v>89</v>
      </c>
      <c r="B449">
        <v>2023</v>
      </c>
      <c r="C449" s="4">
        <v>14077769.300000001</v>
      </c>
      <c r="D449" s="4">
        <v>0</v>
      </c>
      <c r="E449" s="4">
        <v>14077769.300000001</v>
      </c>
      <c r="F449" s="4">
        <f t="shared" si="526"/>
        <v>10558326.975000001</v>
      </c>
      <c r="G449" s="4">
        <f t="shared" si="599"/>
        <v>985443.85100000014</v>
      </c>
      <c r="H449" s="4">
        <f t="shared" si="600"/>
        <v>844666.15800000005</v>
      </c>
      <c r="I449" s="4">
        <f t="shared" si="601"/>
        <v>422333.07900000003</v>
      </c>
      <c r="J449" s="4">
        <f t="shared" si="602"/>
        <v>351944.23250000004</v>
      </c>
      <c r="K449" s="4">
        <f t="shared" si="603"/>
        <v>140777.693</v>
      </c>
      <c r="L449" s="4">
        <f t="shared" si="604"/>
        <v>70388.8465</v>
      </c>
      <c r="M449" s="4">
        <f t="shared" si="605"/>
        <v>703888.46500000008</v>
      </c>
      <c r="N449" s="4">
        <f t="shared" si="606"/>
        <v>0</v>
      </c>
      <c r="O449">
        <v>160869.81</v>
      </c>
      <c r="P449">
        <v>285099.96999999997</v>
      </c>
      <c r="Q449">
        <v>85.13</v>
      </c>
      <c r="R449">
        <v>417770.66</v>
      </c>
    </row>
    <row r="450" spans="1:18" x14ac:dyDescent="0.3">
      <c r="A450" t="s">
        <v>89</v>
      </c>
      <c r="B450">
        <v>2024</v>
      </c>
      <c r="C450" s="4">
        <v>16242641.319999998</v>
      </c>
      <c r="D450" s="4">
        <v>0</v>
      </c>
      <c r="E450" s="4">
        <v>16242641.319999998</v>
      </c>
      <c r="F450" s="4">
        <f t="shared" si="526"/>
        <v>12181980.989999998</v>
      </c>
      <c r="G450" s="4">
        <f t="shared" si="599"/>
        <v>1136984.8924</v>
      </c>
      <c r="H450" s="4">
        <f t="shared" si="600"/>
        <v>974558.47919999983</v>
      </c>
      <c r="I450" s="4">
        <f t="shared" si="601"/>
        <v>487279.23959999991</v>
      </c>
      <c r="J450" s="4">
        <f t="shared" si="602"/>
        <v>406066.033</v>
      </c>
      <c r="K450" s="4">
        <f t="shared" si="603"/>
        <v>162426.41319999998</v>
      </c>
      <c r="L450" s="4">
        <f t="shared" si="604"/>
        <v>81213.20659999999</v>
      </c>
      <c r="M450" s="4">
        <f t="shared" si="605"/>
        <v>812132.06599999999</v>
      </c>
      <c r="N450" s="4">
        <f t="shared" si="606"/>
        <v>0</v>
      </c>
      <c r="O450">
        <v>201465.49</v>
      </c>
      <c r="P450">
        <v>313025.64999999997</v>
      </c>
      <c r="Q450">
        <v>17768.78</v>
      </c>
      <c r="R450">
        <v>8876.44</v>
      </c>
    </row>
    <row r="451" spans="1:18" x14ac:dyDescent="0.3">
      <c r="A451" t="s">
        <v>89</v>
      </c>
      <c r="B451">
        <v>2025</v>
      </c>
      <c r="C451" s="4">
        <v>20716922.030000001</v>
      </c>
      <c r="D451" s="4">
        <v>0</v>
      </c>
      <c r="E451" s="4">
        <v>20716922.030000001</v>
      </c>
      <c r="F451" s="4">
        <f t="shared" ref="F451:F469" si="607">C451*0.75</f>
        <v>15537691.522500001</v>
      </c>
      <c r="G451" s="4">
        <f>C451*0.035</f>
        <v>725092.2710500001</v>
      </c>
      <c r="H451" s="4">
        <f>C451*0.06</f>
        <v>1243015.3218</v>
      </c>
      <c r="I451" s="4">
        <f>C451*0.03</f>
        <v>621507.66090000002</v>
      </c>
      <c r="J451" s="4">
        <f>C451*0</f>
        <v>0</v>
      </c>
      <c r="K451" s="4">
        <f>C451*0</f>
        <v>0</v>
      </c>
      <c r="L451" s="4">
        <f>C451*0</f>
        <v>0</v>
      </c>
      <c r="M451" s="4">
        <f>C451*0</f>
        <v>0</v>
      </c>
      <c r="N451" s="4">
        <f>C451*0.1</f>
        <v>2071692.2030000002</v>
      </c>
      <c r="O451">
        <v>254016.94999999998</v>
      </c>
      <c r="P451">
        <v>373259.15</v>
      </c>
      <c r="Q451">
        <v>16430.91</v>
      </c>
      <c r="R451">
        <v>143169.25999999998</v>
      </c>
    </row>
    <row r="452" spans="1:18" x14ac:dyDescent="0.3">
      <c r="A452" t="s">
        <v>90</v>
      </c>
      <c r="B452">
        <v>2020</v>
      </c>
      <c r="C452" s="4">
        <v>16354408.75</v>
      </c>
      <c r="D452" s="4">
        <v>1107238.3399999999</v>
      </c>
      <c r="E452" s="4">
        <v>17461647.09</v>
      </c>
      <c r="F452" s="4">
        <f t="shared" si="607"/>
        <v>12265806.5625</v>
      </c>
      <c r="G452" s="4">
        <f t="shared" ref="G452:G456" si="608">C452*0.07</f>
        <v>1144808.6125</v>
      </c>
      <c r="H452" s="4">
        <f t="shared" ref="H452:H456" si="609">C452*0.06</f>
        <v>981264.52499999991</v>
      </c>
      <c r="I452" s="4">
        <f t="shared" ref="I452:I456" si="610">C452*0.03</f>
        <v>490632.26249999995</v>
      </c>
      <c r="J452" s="4">
        <f t="shared" ref="J452:J456" si="611">C452*0.025</f>
        <v>408860.21875</v>
      </c>
      <c r="K452" s="4">
        <f t="shared" ref="K452:K456" si="612">C452*0.01</f>
        <v>163544.08749999999</v>
      </c>
      <c r="L452" s="4">
        <f t="shared" ref="L452:L456" si="613">C452*0.005</f>
        <v>81772.043749999997</v>
      </c>
      <c r="M452" s="4">
        <f t="shared" ref="M452:M456" si="614">C452*0.05</f>
        <v>817720.4375</v>
      </c>
      <c r="N452" s="4">
        <f t="shared" ref="N452:N456" si="615">C452*0</f>
        <v>0</v>
      </c>
      <c r="O452">
        <v>318315.22000000003</v>
      </c>
      <c r="P452">
        <v>434905.52</v>
      </c>
      <c r="Q452">
        <v>6309.1</v>
      </c>
      <c r="R452">
        <v>0</v>
      </c>
    </row>
    <row r="453" spans="1:18" x14ac:dyDescent="0.3">
      <c r="A453" t="s">
        <v>90</v>
      </c>
      <c r="B453">
        <v>2021</v>
      </c>
      <c r="C453" s="4">
        <v>21922809.370000005</v>
      </c>
      <c r="D453" s="4">
        <v>1482211.9599999997</v>
      </c>
      <c r="E453" s="4">
        <v>23405021.329999998</v>
      </c>
      <c r="F453" s="4">
        <f t="shared" si="607"/>
        <v>16442107.027500004</v>
      </c>
      <c r="G453" s="4">
        <f t="shared" si="608"/>
        <v>1534596.6559000006</v>
      </c>
      <c r="H453" s="4">
        <f t="shared" si="609"/>
        <v>1315368.5622000003</v>
      </c>
      <c r="I453" s="4">
        <f t="shared" si="610"/>
        <v>657684.28110000014</v>
      </c>
      <c r="J453" s="4">
        <f t="shared" si="611"/>
        <v>548070.2342500001</v>
      </c>
      <c r="K453" s="4">
        <f t="shared" si="612"/>
        <v>219228.09370000006</v>
      </c>
      <c r="L453" s="4">
        <f t="shared" si="613"/>
        <v>109614.04685000003</v>
      </c>
      <c r="M453" s="4">
        <f t="shared" si="614"/>
        <v>1096140.4685000002</v>
      </c>
      <c r="N453" s="4">
        <f t="shared" si="615"/>
        <v>0</v>
      </c>
      <c r="O453">
        <v>464666.85999999993</v>
      </c>
      <c r="P453">
        <v>659120.82000000007</v>
      </c>
      <c r="Q453">
        <v>0</v>
      </c>
      <c r="R453">
        <v>0</v>
      </c>
    </row>
    <row r="454" spans="1:18" x14ac:dyDescent="0.3">
      <c r="A454" t="s">
        <v>90</v>
      </c>
      <c r="B454">
        <v>2022</v>
      </c>
      <c r="C454" s="4">
        <v>25983708.669999998</v>
      </c>
      <c r="D454" s="4">
        <v>1482948.29</v>
      </c>
      <c r="E454" s="4">
        <v>27466656.960000001</v>
      </c>
      <c r="F454" s="4">
        <f t="shared" si="607"/>
        <v>19487781.502499998</v>
      </c>
      <c r="G454" s="4">
        <f t="shared" si="608"/>
        <v>1818859.6069</v>
      </c>
      <c r="H454" s="4">
        <f t="shared" si="609"/>
        <v>1559022.5201999999</v>
      </c>
      <c r="I454" s="4">
        <f t="shared" si="610"/>
        <v>779511.26009999996</v>
      </c>
      <c r="J454" s="4">
        <f t="shared" si="611"/>
        <v>649592.71675000002</v>
      </c>
      <c r="K454" s="4">
        <f t="shared" si="612"/>
        <v>259837.08669999999</v>
      </c>
      <c r="L454" s="4">
        <f t="shared" si="613"/>
        <v>129918.54334999999</v>
      </c>
      <c r="M454" s="4">
        <f t="shared" si="614"/>
        <v>1299185.4335</v>
      </c>
      <c r="N454" s="4">
        <f t="shared" si="615"/>
        <v>0</v>
      </c>
      <c r="O454">
        <v>293794.85000000003</v>
      </c>
      <c r="P454">
        <v>697163.51</v>
      </c>
      <c r="Q454">
        <v>20912.38</v>
      </c>
      <c r="R454">
        <v>0</v>
      </c>
    </row>
    <row r="455" spans="1:18" x14ac:dyDescent="0.3">
      <c r="A455" t="s">
        <v>90</v>
      </c>
      <c r="B455">
        <v>2023</v>
      </c>
      <c r="C455" s="4">
        <v>29036309.940000001</v>
      </c>
      <c r="D455" s="4">
        <v>0</v>
      </c>
      <c r="E455" s="4">
        <v>29036309.940000001</v>
      </c>
      <c r="F455" s="4">
        <f t="shared" si="607"/>
        <v>21777232.455000002</v>
      </c>
      <c r="G455" s="4">
        <f t="shared" si="608"/>
        <v>2032541.6958000003</v>
      </c>
      <c r="H455" s="4">
        <f t="shared" si="609"/>
        <v>1742178.5963999999</v>
      </c>
      <c r="I455" s="4">
        <f t="shared" si="610"/>
        <v>871089.29819999996</v>
      </c>
      <c r="J455" s="4">
        <f t="shared" si="611"/>
        <v>725907.7485000001</v>
      </c>
      <c r="K455" s="4">
        <f t="shared" si="612"/>
        <v>290363.09940000001</v>
      </c>
      <c r="L455" s="4">
        <f t="shared" si="613"/>
        <v>145181.5497</v>
      </c>
      <c r="M455" s="4">
        <f t="shared" si="614"/>
        <v>1451815.4970000002</v>
      </c>
      <c r="N455" s="4">
        <f t="shared" si="615"/>
        <v>0</v>
      </c>
      <c r="O455">
        <v>329568.83000000007</v>
      </c>
      <c r="P455">
        <v>588074.53</v>
      </c>
      <c r="Q455">
        <v>137.66</v>
      </c>
      <c r="R455">
        <v>861733.8</v>
      </c>
    </row>
    <row r="456" spans="1:18" x14ac:dyDescent="0.3">
      <c r="A456" t="s">
        <v>90</v>
      </c>
      <c r="B456">
        <v>2024</v>
      </c>
      <c r="C456" s="4">
        <v>33367592.730000004</v>
      </c>
      <c r="D456" s="4">
        <v>0</v>
      </c>
      <c r="E456" s="4">
        <v>33367592.730000004</v>
      </c>
      <c r="F456" s="4">
        <f t="shared" si="607"/>
        <v>25025694.547500003</v>
      </c>
      <c r="G456" s="4">
        <f t="shared" si="608"/>
        <v>2335731.4911000007</v>
      </c>
      <c r="H456" s="4">
        <f t="shared" si="609"/>
        <v>2002055.5638000001</v>
      </c>
      <c r="I456" s="4">
        <f t="shared" si="610"/>
        <v>1001027.7819000001</v>
      </c>
      <c r="J456" s="4">
        <f t="shared" si="611"/>
        <v>834189.81825000013</v>
      </c>
      <c r="K456" s="4">
        <f t="shared" si="612"/>
        <v>333675.92730000004</v>
      </c>
      <c r="L456" s="4">
        <f t="shared" si="613"/>
        <v>166837.96365000002</v>
      </c>
      <c r="M456" s="4">
        <f t="shared" si="614"/>
        <v>1668379.6365000003</v>
      </c>
      <c r="N456" s="4">
        <f t="shared" si="615"/>
        <v>0</v>
      </c>
      <c r="O456">
        <v>413873.23</v>
      </c>
      <c r="P456">
        <v>643052.65999999992</v>
      </c>
      <c r="Q456">
        <v>28835.599999999999</v>
      </c>
      <c r="R456">
        <v>18309.39</v>
      </c>
    </row>
    <row r="457" spans="1:18" x14ac:dyDescent="0.3">
      <c r="A457" t="s">
        <v>90</v>
      </c>
      <c r="B457">
        <v>2025</v>
      </c>
      <c r="C457" s="4">
        <v>39414994.229999997</v>
      </c>
      <c r="D457" s="4">
        <v>0</v>
      </c>
      <c r="E457" s="4">
        <v>39414994.229999997</v>
      </c>
      <c r="F457" s="4">
        <f t="shared" si="607"/>
        <v>29561245.672499999</v>
      </c>
      <c r="G457" s="4">
        <f>C457*0.035</f>
        <v>1379524.7980500001</v>
      </c>
      <c r="H457" s="4">
        <f>C457*0.06</f>
        <v>2364899.6537999995</v>
      </c>
      <c r="I457" s="4">
        <f>C457*0.03</f>
        <v>1182449.8268999998</v>
      </c>
      <c r="J457" s="4">
        <f>C457*0</f>
        <v>0</v>
      </c>
      <c r="K457" s="4">
        <f>C457*0</f>
        <v>0</v>
      </c>
      <c r="L457" s="4">
        <f>C457*0</f>
        <v>0</v>
      </c>
      <c r="M457" s="4">
        <f>C457*0</f>
        <v>0</v>
      </c>
      <c r="N457" s="4">
        <f>C457*0.1</f>
        <v>3941499.423</v>
      </c>
      <c r="O457">
        <v>483184.42</v>
      </c>
      <c r="P457">
        <v>710003.82</v>
      </c>
      <c r="Q457">
        <v>26668.760000000002</v>
      </c>
      <c r="R457">
        <v>272332.81</v>
      </c>
    </row>
    <row r="458" spans="1:18" x14ac:dyDescent="0.3">
      <c r="A458" t="s">
        <v>91</v>
      </c>
      <c r="B458">
        <v>2020</v>
      </c>
      <c r="C458" s="4">
        <v>168152178.52999997</v>
      </c>
      <c r="D458" s="4">
        <v>11382614.360000001</v>
      </c>
      <c r="E458" s="4">
        <v>179534792.90000001</v>
      </c>
      <c r="F458" s="4">
        <f t="shared" si="607"/>
        <v>126114133.89749998</v>
      </c>
      <c r="G458" s="4">
        <f t="shared" ref="G458:G462" si="616">C458*0.07</f>
        <v>11770652.497099999</v>
      </c>
      <c r="H458" s="4">
        <f t="shared" ref="H458:H462" si="617">C458*0.06</f>
        <v>10089130.711799998</v>
      </c>
      <c r="I458" s="4">
        <f t="shared" ref="I458:I462" si="618">C458*0.03</f>
        <v>5044565.3558999989</v>
      </c>
      <c r="J458" s="4">
        <f t="shared" ref="J458:J462" si="619">C458*0.025</f>
        <v>4203804.4632499991</v>
      </c>
      <c r="K458" s="4">
        <f t="shared" ref="K458:K462" si="620">C458*0.01</f>
        <v>1681521.7852999996</v>
      </c>
      <c r="L458" s="4">
        <f t="shared" ref="L458:L462" si="621">C458*0.005</f>
        <v>840760.89264999982</v>
      </c>
      <c r="M458" s="4">
        <f t="shared" ref="M458:M462" si="622">C458*0.05</f>
        <v>8407608.9264999982</v>
      </c>
      <c r="N458" s="4">
        <f t="shared" ref="N458:N462" si="623">C458*0</f>
        <v>0</v>
      </c>
      <c r="O458">
        <v>3272323.7199999993</v>
      </c>
      <c r="P458">
        <v>4470887.78</v>
      </c>
      <c r="Q458">
        <v>89503.47</v>
      </c>
      <c r="R458">
        <v>0</v>
      </c>
    </row>
    <row r="459" spans="1:18" x14ac:dyDescent="0.3">
      <c r="A459" t="s">
        <v>91</v>
      </c>
      <c r="B459">
        <v>2021</v>
      </c>
      <c r="C459" s="4">
        <v>197814131.01999998</v>
      </c>
      <c r="D459" s="4">
        <v>13371248.010000002</v>
      </c>
      <c r="E459" s="4">
        <v>211185379.03</v>
      </c>
      <c r="F459" s="4">
        <f t="shared" si="607"/>
        <v>148360598.26499999</v>
      </c>
      <c r="G459" s="4">
        <f t="shared" si="616"/>
        <v>13846989.171399999</v>
      </c>
      <c r="H459" s="4">
        <f t="shared" si="617"/>
        <v>11868847.861199999</v>
      </c>
      <c r="I459" s="4">
        <f t="shared" si="618"/>
        <v>5934423.9305999996</v>
      </c>
      <c r="J459" s="4">
        <f t="shared" si="619"/>
        <v>4945353.2754999995</v>
      </c>
      <c r="K459" s="4">
        <f t="shared" si="620"/>
        <v>1978141.3101999999</v>
      </c>
      <c r="L459" s="4">
        <f t="shared" si="621"/>
        <v>989070.65509999997</v>
      </c>
      <c r="M459" s="4">
        <f t="shared" si="622"/>
        <v>9890706.550999999</v>
      </c>
      <c r="N459" s="4">
        <f t="shared" si="623"/>
        <v>0</v>
      </c>
      <c r="O459">
        <v>4191808.0299999993</v>
      </c>
      <c r="P459">
        <v>5945997.419999999</v>
      </c>
      <c r="Q459">
        <v>0</v>
      </c>
      <c r="R459">
        <v>0</v>
      </c>
    </row>
    <row r="460" spans="1:18" x14ac:dyDescent="0.3">
      <c r="A460" t="s">
        <v>91</v>
      </c>
      <c r="B460">
        <v>2022</v>
      </c>
      <c r="C460" s="4">
        <v>225101941.27000004</v>
      </c>
      <c r="D460" s="4">
        <v>12818020.109999999</v>
      </c>
      <c r="E460" s="4">
        <v>237919961.38</v>
      </c>
      <c r="F460" s="4">
        <f t="shared" si="607"/>
        <v>168826455.95250005</v>
      </c>
      <c r="G460" s="4">
        <f t="shared" si="616"/>
        <v>15757135.888900004</v>
      </c>
      <c r="H460" s="4">
        <f t="shared" si="617"/>
        <v>13506116.476200001</v>
      </c>
      <c r="I460" s="4">
        <f t="shared" si="618"/>
        <v>6753058.2381000007</v>
      </c>
      <c r="J460" s="4">
        <f t="shared" si="619"/>
        <v>5627548.531750001</v>
      </c>
      <c r="K460" s="4">
        <f t="shared" si="620"/>
        <v>2251019.4127000007</v>
      </c>
      <c r="L460" s="4">
        <f t="shared" si="621"/>
        <v>1125509.7063500003</v>
      </c>
      <c r="M460" s="4">
        <f t="shared" si="622"/>
        <v>11255097.063500002</v>
      </c>
      <c r="N460" s="4">
        <f t="shared" si="623"/>
        <v>0</v>
      </c>
      <c r="O460">
        <v>2551497.6600000006</v>
      </c>
      <c r="P460">
        <v>6037320.7600000007</v>
      </c>
      <c r="Q460">
        <v>303457.18</v>
      </c>
      <c r="R460">
        <v>0</v>
      </c>
    </row>
    <row r="461" spans="1:18" x14ac:dyDescent="0.3">
      <c r="A461" t="s">
        <v>91</v>
      </c>
      <c r="B461">
        <v>2023</v>
      </c>
      <c r="C461" s="4">
        <v>223132348.52999997</v>
      </c>
      <c r="D461" s="4">
        <v>0</v>
      </c>
      <c r="E461" s="4">
        <v>223132348.52999997</v>
      </c>
      <c r="F461" s="4">
        <f t="shared" si="607"/>
        <v>167349261.39749998</v>
      </c>
      <c r="G461" s="4">
        <f t="shared" si="616"/>
        <v>15619264.3971</v>
      </c>
      <c r="H461" s="4">
        <f t="shared" si="617"/>
        <v>13387940.911799997</v>
      </c>
      <c r="I461" s="4">
        <f t="shared" si="618"/>
        <v>6693970.4558999985</v>
      </c>
      <c r="J461" s="4">
        <f t="shared" si="619"/>
        <v>5578308.71325</v>
      </c>
      <c r="K461" s="4">
        <f t="shared" si="620"/>
        <v>2231323.4852999998</v>
      </c>
      <c r="L461" s="4">
        <f t="shared" si="621"/>
        <v>1115661.7426499999</v>
      </c>
      <c r="M461" s="4">
        <f t="shared" si="622"/>
        <v>11156617.4265</v>
      </c>
      <c r="N461" s="4">
        <f t="shared" si="623"/>
        <v>0</v>
      </c>
      <c r="O461">
        <v>2557435.5100000002</v>
      </c>
      <c r="P461">
        <v>4518700.2799999993</v>
      </c>
      <c r="Q461">
        <v>2002.43</v>
      </c>
      <c r="R461">
        <v>6621468.3100000005</v>
      </c>
    </row>
    <row r="462" spans="1:18" x14ac:dyDescent="0.3">
      <c r="A462" t="s">
        <v>91</v>
      </c>
      <c r="B462">
        <v>2024</v>
      </c>
      <c r="C462" s="4">
        <v>257909888.80000001</v>
      </c>
      <c r="D462" s="4">
        <v>0</v>
      </c>
      <c r="E462" s="4">
        <v>257909888.80000001</v>
      </c>
      <c r="F462" s="4">
        <f t="shared" si="607"/>
        <v>193432416.60000002</v>
      </c>
      <c r="G462" s="4">
        <f t="shared" si="616"/>
        <v>18053692.216000002</v>
      </c>
      <c r="H462" s="4">
        <f t="shared" si="617"/>
        <v>15474593.328</v>
      </c>
      <c r="I462" s="4">
        <f t="shared" si="618"/>
        <v>7737296.6639999999</v>
      </c>
      <c r="J462" s="4">
        <f t="shared" si="619"/>
        <v>6447747.2200000007</v>
      </c>
      <c r="K462" s="4">
        <f t="shared" si="620"/>
        <v>2579098.8880000003</v>
      </c>
      <c r="L462" s="4">
        <f t="shared" si="621"/>
        <v>1289549.4440000001</v>
      </c>
      <c r="M462" s="4">
        <f t="shared" si="622"/>
        <v>12895494.440000001</v>
      </c>
      <c r="N462" s="4">
        <f t="shared" si="623"/>
        <v>0</v>
      </c>
      <c r="O462">
        <v>3198988.97</v>
      </c>
      <c r="P462">
        <v>4970406.97</v>
      </c>
      <c r="Q462">
        <v>411217.95999999996</v>
      </c>
      <c r="R462">
        <v>140687.4</v>
      </c>
    </row>
    <row r="463" spans="1:18" x14ac:dyDescent="0.3">
      <c r="A463" t="s">
        <v>91</v>
      </c>
      <c r="B463">
        <v>2025</v>
      </c>
      <c r="C463" s="4">
        <v>372683443.25999999</v>
      </c>
      <c r="D463" s="4">
        <v>0</v>
      </c>
      <c r="E463" s="4">
        <v>372683443.25999999</v>
      </c>
      <c r="F463" s="4">
        <f t="shared" si="607"/>
        <v>279512582.44499999</v>
      </c>
      <c r="G463" s="4">
        <f>C463*0.035</f>
        <v>13043920.5141</v>
      </c>
      <c r="H463" s="4">
        <f>C463*0.06</f>
        <v>22361006.595599998</v>
      </c>
      <c r="I463" s="4">
        <f>C463*0.03</f>
        <v>11180503.297799999</v>
      </c>
      <c r="J463" s="4">
        <f>C463*0</f>
        <v>0</v>
      </c>
      <c r="K463" s="4">
        <f>C463*0</f>
        <v>0</v>
      </c>
      <c r="L463" s="4">
        <f>C463*0</f>
        <v>0</v>
      </c>
      <c r="M463" s="4">
        <f>C463*0</f>
        <v>0</v>
      </c>
      <c r="N463" s="4">
        <f>C463*0.1</f>
        <v>37268344.325999998</v>
      </c>
      <c r="O463">
        <v>4570924.63</v>
      </c>
      <c r="P463">
        <v>6716636.1799999997</v>
      </c>
      <c r="Q463">
        <v>383749.06</v>
      </c>
      <c r="R463">
        <v>2576268.6199999996</v>
      </c>
    </row>
    <row r="464" spans="1:18" x14ac:dyDescent="0.3">
      <c r="A464" t="s">
        <v>92</v>
      </c>
      <c r="B464">
        <v>2020</v>
      </c>
      <c r="C464" s="4">
        <v>425100997.73000002</v>
      </c>
      <c r="D464" s="4">
        <v>28782494.990000002</v>
      </c>
      <c r="E464" s="4">
        <v>453883492.72000003</v>
      </c>
      <c r="F464" s="4">
        <f t="shared" si="607"/>
        <v>318825748.29750001</v>
      </c>
      <c r="G464" s="4">
        <f t="shared" ref="G464:G468" si="624">C464*0.07</f>
        <v>29757069.841100004</v>
      </c>
      <c r="H464" s="4">
        <f t="shared" ref="H464:H468" si="625">C464*0.06</f>
        <v>25506059.8638</v>
      </c>
      <c r="I464" s="4">
        <f t="shared" ref="I464:I468" si="626">C464*0.03</f>
        <v>12753029.9319</v>
      </c>
      <c r="J464" s="4">
        <f t="shared" ref="J464:J468" si="627">C464*0.025</f>
        <v>10627524.94325</v>
      </c>
      <c r="K464" s="4">
        <f t="shared" ref="K464:K468" si="628">C464*0.01</f>
        <v>4251009.9773000004</v>
      </c>
      <c r="L464" s="4">
        <f t="shared" ref="L464:L468" si="629">C464*0.005</f>
        <v>2125504.9886500002</v>
      </c>
      <c r="M464" s="4">
        <f t="shared" ref="M464:M468" si="630">C464*0.05</f>
        <v>21255049.886500001</v>
      </c>
      <c r="N464" s="4">
        <f t="shared" ref="N464:N468" si="631">C464*0</f>
        <v>0</v>
      </c>
      <c r="O464">
        <v>8274574.4700000007</v>
      </c>
      <c r="P464">
        <v>11305328.16</v>
      </c>
      <c r="Q464">
        <v>105905.53</v>
      </c>
      <c r="R464">
        <v>0</v>
      </c>
    </row>
    <row r="465" spans="1:18" x14ac:dyDescent="0.3">
      <c r="A465" t="s">
        <v>92</v>
      </c>
      <c r="B465">
        <v>2021</v>
      </c>
      <c r="C465" s="4">
        <v>563846267.04000008</v>
      </c>
      <c r="D465" s="4">
        <v>38121250.380000003</v>
      </c>
      <c r="E465" s="4">
        <v>601967517.41999984</v>
      </c>
      <c r="F465" s="4">
        <f t="shared" si="607"/>
        <v>422884700.28000009</v>
      </c>
      <c r="G465" s="4">
        <f t="shared" si="624"/>
        <v>39469238.692800008</v>
      </c>
      <c r="H465" s="4">
        <f t="shared" si="625"/>
        <v>33830776.022400007</v>
      </c>
      <c r="I465" s="4">
        <f t="shared" si="626"/>
        <v>16915388.011200003</v>
      </c>
      <c r="J465" s="4">
        <f t="shared" si="627"/>
        <v>14096156.676000003</v>
      </c>
      <c r="K465" s="4">
        <f t="shared" si="628"/>
        <v>5638462.6704000011</v>
      </c>
      <c r="L465" s="4">
        <f t="shared" si="629"/>
        <v>2819231.3352000006</v>
      </c>
      <c r="M465" s="4">
        <f t="shared" si="630"/>
        <v>28192313.352000006</v>
      </c>
      <c r="N465" s="4">
        <f t="shared" si="631"/>
        <v>0</v>
      </c>
      <c r="O465">
        <v>11950839.42</v>
      </c>
      <c r="P465">
        <v>16952031.150000002</v>
      </c>
      <c r="Q465">
        <v>0</v>
      </c>
      <c r="R465">
        <v>0</v>
      </c>
    </row>
    <row r="466" spans="1:18" x14ac:dyDescent="0.3">
      <c r="A466" t="s">
        <v>92</v>
      </c>
      <c r="B466">
        <v>2022</v>
      </c>
      <c r="C466" s="4">
        <v>610165986.01999998</v>
      </c>
      <c r="D466" s="4">
        <v>34642280.160000004</v>
      </c>
      <c r="E466" s="4">
        <v>644808266.18000007</v>
      </c>
      <c r="F466" s="4">
        <f t="shared" si="607"/>
        <v>457624489.51499999</v>
      </c>
      <c r="G466" s="4">
        <f t="shared" si="624"/>
        <v>42711619.021400005</v>
      </c>
      <c r="H466" s="4">
        <f t="shared" si="625"/>
        <v>36609959.161199994</v>
      </c>
      <c r="I466" s="4">
        <f t="shared" si="626"/>
        <v>18304979.580599997</v>
      </c>
      <c r="J466" s="4">
        <f t="shared" si="627"/>
        <v>15254149.6505</v>
      </c>
      <c r="K466" s="4">
        <f t="shared" si="628"/>
        <v>6101659.8602</v>
      </c>
      <c r="L466" s="4">
        <f t="shared" si="629"/>
        <v>3050829.9301</v>
      </c>
      <c r="M466" s="4">
        <f t="shared" si="630"/>
        <v>30508299.300999999</v>
      </c>
      <c r="N466" s="4">
        <f t="shared" si="631"/>
        <v>0</v>
      </c>
      <c r="O466">
        <v>6938465.6100000003</v>
      </c>
      <c r="P466">
        <v>16356720.599999998</v>
      </c>
      <c r="Q466">
        <v>356490.13999999996</v>
      </c>
      <c r="R466">
        <v>0</v>
      </c>
    </row>
    <row r="467" spans="1:18" x14ac:dyDescent="0.3">
      <c r="A467" t="s">
        <v>92</v>
      </c>
      <c r="B467">
        <v>2023</v>
      </c>
      <c r="C467" s="4">
        <v>652320628.44000006</v>
      </c>
      <c r="D467" s="4">
        <v>0</v>
      </c>
      <c r="E467" s="4">
        <v>652320628.44000006</v>
      </c>
      <c r="F467" s="4">
        <f t="shared" si="607"/>
        <v>489240471.33000004</v>
      </c>
      <c r="G467" s="4">
        <f t="shared" si="624"/>
        <v>45662443.990800008</v>
      </c>
      <c r="H467" s="4">
        <f t="shared" si="625"/>
        <v>39139237.7064</v>
      </c>
      <c r="I467" s="4">
        <f t="shared" si="626"/>
        <v>19569618.8532</v>
      </c>
      <c r="J467" s="4">
        <f t="shared" si="627"/>
        <v>16308015.711000003</v>
      </c>
      <c r="K467" s="4">
        <f t="shared" si="628"/>
        <v>6523206.2844000012</v>
      </c>
      <c r="L467" s="4">
        <f t="shared" si="629"/>
        <v>3261603.1422000006</v>
      </c>
      <c r="M467" s="4">
        <f t="shared" si="630"/>
        <v>32616031.422000006</v>
      </c>
      <c r="N467" s="4">
        <f t="shared" si="631"/>
        <v>0</v>
      </c>
      <c r="O467">
        <v>7426498.6700000009</v>
      </c>
      <c r="P467">
        <v>13211121.020000001</v>
      </c>
      <c r="Q467">
        <v>2350.62</v>
      </c>
      <c r="R467">
        <v>19358889.32</v>
      </c>
    </row>
    <row r="468" spans="1:18" x14ac:dyDescent="0.3">
      <c r="A468" t="s">
        <v>92</v>
      </c>
      <c r="B468">
        <v>2024</v>
      </c>
      <c r="C468" s="4">
        <v>718391348.78999996</v>
      </c>
      <c r="D468" s="4">
        <v>0</v>
      </c>
      <c r="E468" s="4">
        <v>718391348.78999996</v>
      </c>
      <c r="F468" s="4">
        <f t="shared" si="607"/>
        <v>538793511.59249997</v>
      </c>
      <c r="G468" s="4">
        <f t="shared" si="624"/>
        <v>50287394.415300004</v>
      </c>
      <c r="H468" s="4">
        <f t="shared" si="625"/>
        <v>43103480.927399993</v>
      </c>
      <c r="I468" s="4">
        <f t="shared" si="626"/>
        <v>21551740.463699996</v>
      </c>
      <c r="J468" s="4">
        <f t="shared" si="627"/>
        <v>17959783.719749998</v>
      </c>
      <c r="K468" s="4">
        <f t="shared" si="628"/>
        <v>7183913.4879000001</v>
      </c>
      <c r="L468" s="4">
        <f t="shared" si="629"/>
        <v>3591956.74395</v>
      </c>
      <c r="M468" s="4">
        <f t="shared" si="630"/>
        <v>35919567.439499997</v>
      </c>
      <c r="N468" s="4">
        <f t="shared" si="631"/>
        <v>0</v>
      </c>
      <c r="O468">
        <v>8910182</v>
      </c>
      <c r="P468">
        <v>13844133.140000001</v>
      </c>
      <c r="Q468">
        <v>475513.57</v>
      </c>
      <c r="R468">
        <v>411321.05</v>
      </c>
    </row>
    <row r="469" spans="1:18" x14ac:dyDescent="0.3">
      <c r="A469" t="s">
        <v>92</v>
      </c>
      <c r="B469">
        <v>2025</v>
      </c>
      <c r="C469" s="4">
        <v>613140212.2299999</v>
      </c>
      <c r="D469" s="4">
        <v>0</v>
      </c>
      <c r="E469" s="4">
        <v>613140212.2299999</v>
      </c>
      <c r="F469" s="4">
        <f t="shared" si="607"/>
        <v>459855159.1724999</v>
      </c>
      <c r="G469" s="4">
        <f>C469*0.035</f>
        <v>21459907.42805</v>
      </c>
      <c r="H469" s="4">
        <f>C469*0.06</f>
        <v>36788412.733799994</v>
      </c>
      <c r="I469" s="4">
        <f>C469*0.03</f>
        <v>18394206.366899997</v>
      </c>
      <c r="J469" s="4">
        <f>C469*0</f>
        <v>0</v>
      </c>
      <c r="K469" s="4">
        <f>C469*0</f>
        <v>0</v>
      </c>
      <c r="L469" s="4">
        <f>C469*0</f>
        <v>0</v>
      </c>
      <c r="M469" s="4">
        <f>C469*0</f>
        <v>0</v>
      </c>
      <c r="N469" s="4">
        <f>C469*0.1</f>
        <v>61314021.22299999</v>
      </c>
      <c r="O469">
        <v>7508685.9299999997</v>
      </c>
      <c r="P469">
        <v>11033459.41</v>
      </c>
      <c r="Q469">
        <v>440218.63</v>
      </c>
      <c r="R469">
        <v>4232052.32</v>
      </c>
    </row>
  </sheetData>
  <autoFilter ref="A1:T469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"/>
  <sheetViews>
    <sheetView workbookViewId="0">
      <selection activeCell="B6" sqref="B6"/>
    </sheetView>
  </sheetViews>
  <sheetFormatPr defaultRowHeight="14.4" x14ac:dyDescent="0.3"/>
  <cols>
    <col min="1" max="1" width="9.88671875" style="10" bestFit="1" customWidth="1"/>
    <col min="2" max="2" width="26.88671875" style="10" bestFit="1" customWidth="1"/>
    <col min="3" max="3" width="26.88671875" bestFit="1" customWidth="1"/>
    <col min="4" max="4" width="28.6640625" style="10" bestFit="1" customWidth="1"/>
    <col min="5" max="5" width="18.77734375" style="6" bestFit="1" customWidth="1"/>
    <col min="6" max="6" width="18.6640625" style="6" bestFit="1" customWidth="1"/>
    <col min="7" max="7" width="18.6640625" style="4" customWidth="1"/>
    <col min="8" max="8" width="19.6640625" style="4" customWidth="1"/>
    <col min="9" max="9" width="18.6640625" style="4" customWidth="1"/>
    <col min="10" max="10" width="24.33203125" style="4" bestFit="1" customWidth="1"/>
    <col min="11" max="11" width="18.6640625" style="4" bestFit="1" customWidth="1"/>
    <col min="12" max="15" width="18.6640625" style="4" customWidth="1"/>
    <col min="16" max="16" width="16" style="4" bestFit="1" customWidth="1"/>
    <col min="17" max="17" width="17.6640625" style="4" bestFit="1" customWidth="1"/>
    <col min="18" max="18" width="37.109375" style="4" bestFit="1" customWidth="1"/>
    <col min="19" max="19" width="20.44140625" style="4" bestFit="1" customWidth="1"/>
    <col min="20" max="20" width="29.109375" style="4" bestFit="1" customWidth="1"/>
  </cols>
  <sheetData>
    <row r="1" spans="1:20" ht="43.2" x14ac:dyDescent="0.3">
      <c r="A1" s="10" t="s">
        <v>13</v>
      </c>
      <c r="B1" s="7" t="s">
        <v>118</v>
      </c>
      <c r="C1" s="7" t="s">
        <v>117</v>
      </c>
      <c r="D1" s="13" t="s">
        <v>107</v>
      </c>
      <c r="E1" s="13" t="s">
        <v>102</v>
      </c>
      <c r="F1" s="13" t="s">
        <v>103</v>
      </c>
      <c r="G1" s="8" t="s">
        <v>108</v>
      </c>
      <c r="H1" s="9" t="s">
        <v>110</v>
      </c>
      <c r="I1" s="9" t="s">
        <v>115</v>
      </c>
      <c r="J1" s="9" t="s">
        <v>116</v>
      </c>
      <c r="K1" s="9" t="s">
        <v>111</v>
      </c>
      <c r="L1" s="9" t="s">
        <v>112</v>
      </c>
      <c r="M1" s="9" t="s">
        <v>114</v>
      </c>
      <c r="N1" s="9" t="s">
        <v>113</v>
      </c>
      <c r="O1" s="9" t="s">
        <v>109</v>
      </c>
      <c r="P1" s="4" t="s">
        <v>104</v>
      </c>
      <c r="Q1" s="4" t="s">
        <v>105</v>
      </c>
      <c r="R1" s="5" t="s">
        <v>106</v>
      </c>
      <c r="S1" s="4" t="s">
        <v>100</v>
      </c>
      <c r="T1" s="4" t="s">
        <v>101</v>
      </c>
    </row>
    <row r="2" spans="1:20" x14ac:dyDescent="0.3">
      <c r="A2" s="10">
        <v>2020</v>
      </c>
      <c r="B2" s="6">
        <f>C2/0.8</f>
        <v>13884231180.750008</v>
      </c>
      <c r="C2" s="4">
        <f t="shared" ref="C2:C7" si="0">D2*4</f>
        <v>11107384944.600006</v>
      </c>
      <c r="D2" s="6">
        <v>2776846236.1500015</v>
      </c>
      <c r="E2" s="6">
        <v>187986550.44999981</v>
      </c>
      <c r="F2" s="6">
        <v>2964832786.590003</v>
      </c>
      <c r="G2" s="4">
        <f>D2*75/100</f>
        <v>2082634677.1125011</v>
      </c>
      <c r="H2" s="4">
        <f>D2*7/100</f>
        <v>194379236.53050011</v>
      </c>
      <c r="I2" s="4">
        <f>D2*0.06</f>
        <v>166610774.16900009</v>
      </c>
      <c r="J2" s="4">
        <f>D2*0.03</f>
        <v>83305387.084500045</v>
      </c>
      <c r="K2" s="4">
        <f>D2*0.025</f>
        <v>69421155.903750047</v>
      </c>
      <c r="L2" s="4">
        <f>D2*0.01</f>
        <v>27768462.361500017</v>
      </c>
      <c r="M2" s="4">
        <f>D2*0.005</f>
        <v>13884231.180750009</v>
      </c>
      <c r="N2" s="4">
        <f>D2*0.05</f>
        <v>138842311.80750009</v>
      </c>
      <c r="O2" s="4">
        <f>D2*0</f>
        <v>0</v>
      </c>
      <c r="P2" s="4">
        <v>54043331.299999967</v>
      </c>
      <c r="Q2" s="4">
        <v>324823147.82999933</v>
      </c>
      <c r="R2" s="4">
        <v>73837948.329999954</v>
      </c>
      <c r="S2" s="4">
        <v>1113698.2</v>
      </c>
      <c r="T2" s="4">
        <v>0</v>
      </c>
    </row>
    <row r="3" spans="1:20" x14ac:dyDescent="0.3">
      <c r="A3" s="10">
        <v>2021</v>
      </c>
      <c r="B3" s="6">
        <f t="shared" ref="B3:B7" si="1">C3/0.8</f>
        <v>17795853170.049992</v>
      </c>
      <c r="C3" s="4">
        <f t="shared" si="0"/>
        <v>14236682536.039995</v>
      </c>
      <c r="D3" s="6">
        <v>3559170634.0099988</v>
      </c>
      <c r="E3" s="6">
        <v>240619167.34000057</v>
      </c>
      <c r="F3" s="6">
        <v>3799789801.3500009</v>
      </c>
      <c r="G3" s="4">
        <f t="shared" ref="G3:G7" si="2">D3*75/100</f>
        <v>2669377975.5074992</v>
      </c>
      <c r="H3" s="4">
        <f t="shared" ref="H3:H6" si="3">D3*7/100</f>
        <v>249141944.38069993</v>
      </c>
      <c r="I3" s="4">
        <f t="shared" ref="I3:I6" si="4">D3*0.06</f>
        <v>213550238.04059991</v>
      </c>
      <c r="J3" s="4">
        <f t="shared" ref="J3:J7" si="5">D3*0.03</f>
        <v>106775119.02029996</v>
      </c>
      <c r="K3" s="4">
        <f>D3*0.025</f>
        <v>88979265.850249976</v>
      </c>
      <c r="L3" s="4">
        <f t="shared" ref="L3:L6" si="6">D3*0.01</f>
        <v>35591706.34009999</v>
      </c>
      <c r="M3" s="4">
        <f t="shared" ref="M3:M6" si="7">D3*0.005</f>
        <v>17795853.170049995</v>
      </c>
      <c r="N3" s="4">
        <f t="shared" ref="N3:N6" si="8">D3*0.05</f>
        <v>177958531.70049995</v>
      </c>
      <c r="O3" s="4">
        <f t="shared" ref="O3:O6" si="9">D3*0</f>
        <v>0</v>
      </c>
      <c r="P3" s="4">
        <v>75432932.030000046</v>
      </c>
      <c r="Q3" s="4">
        <v>333061933.76000041</v>
      </c>
      <c r="R3" s="4">
        <v>107000133.78999993</v>
      </c>
      <c r="S3" s="4">
        <v>0</v>
      </c>
      <c r="T3" s="4">
        <v>0</v>
      </c>
    </row>
    <row r="4" spans="1:20" x14ac:dyDescent="0.3">
      <c r="A4" s="10">
        <v>2022</v>
      </c>
      <c r="B4" s="6">
        <f t="shared" si="1"/>
        <v>20868798940.899994</v>
      </c>
      <c r="C4" s="4">
        <f t="shared" si="0"/>
        <v>16695039152.719995</v>
      </c>
      <c r="D4" s="6">
        <v>4173759788.1799989</v>
      </c>
      <c r="E4" s="6">
        <v>238067113.49999991</v>
      </c>
      <c r="F4" s="6">
        <v>4411826901.6799936</v>
      </c>
      <c r="G4" s="4">
        <f t="shared" si="2"/>
        <v>3130319841.1349993</v>
      </c>
      <c r="H4" s="4">
        <f t="shared" si="3"/>
        <v>292163185.17259991</v>
      </c>
      <c r="I4" s="4">
        <f t="shared" si="4"/>
        <v>250425587.29079992</v>
      </c>
      <c r="J4" s="4">
        <f t="shared" si="5"/>
        <v>125212793.64539996</v>
      </c>
      <c r="K4" s="4">
        <f t="shared" ref="K4:K6" si="10">D4*0.025</f>
        <v>104343994.70449997</v>
      </c>
      <c r="L4" s="4">
        <f t="shared" si="6"/>
        <v>41737597.881799988</v>
      </c>
      <c r="M4" s="4">
        <f t="shared" si="7"/>
        <v>20868798.940899994</v>
      </c>
      <c r="N4" s="4">
        <f t="shared" si="8"/>
        <v>208687989.40899995</v>
      </c>
      <c r="O4" s="4">
        <f t="shared" si="9"/>
        <v>0</v>
      </c>
      <c r="P4" s="4">
        <v>47222260.329999991</v>
      </c>
      <c r="Q4" s="4">
        <v>479999873.67000002</v>
      </c>
      <c r="R4" s="4">
        <v>111974082.90000001</v>
      </c>
      <c r="S4" s="4">
        <v>3753181.5100000002</v>
      </c>
      <c r="T4" s="4">
        <v>0</v>
      </c>
    </row>
    <row r="5" spans="1:20" x14ac:dyDescent="0.3">
      <c r="A5" s="10">
        <v>2023</v>
      </c>
      <c r="B5" s="6">
        <f t="shared" si="1"/>
        <v>22064982668.050011</v>
      </c>
      <c r="C5" s="4">
        <f t="shared" si="0"/>
        <v>17651986134.44001</v>
      </c>
      <c r="D5" s="6">
        <v>4412996533.6100025</v>
      </c>
      <c r="E5" s="6">
        <v>0</v>
      </c>
      <c r="F5" s="6">
        <v>4412996533.6100025</v>
      </c>
      <c r="G5" s="4">
        <f t="shared" si="2"/>
        <v>3309747400.2075019</v>
      </c>
      <c r="H5" s="4">
        <f t="shared" si="3"/>
        <v>308909757.35270017</v>
      </c>
      <c r="I5" s="4">
        <f t="shared" si="4"/>
        <v>264779792.01660013</v>
      </c>
      <c r="J5" s="4">
        <f t="shared" si="5"/>
        <v>132389896.00830007</v>
      </c>
      <c r="K5" s="4">
        <f t="shared" si="10"/>
        <v>110324913.34025007</v>
      </c>
      <c r="L5" s="4">
        <f t="shared" si="6"/>
        <v>44129965.336100027</v>
      </c>
      <c r="M5" s="4">
        <f t="shared" si="7"/>
        <v>22064982.668050013</v>
      </c>
      <c r="N5" s="4">
        <f t="shared" si="8"/>
        <v>220649826.68050015</v>
      </c>
      <c r="O5" s="4">
        <f t="shared" si="9"/>
        <v>0</v>
      </c>
      <c r="P5" s="4">
        <v>50310544.930000022</v>
      </c>
      <c r="Q5" s="4">
        <v>549583735.47000062</v>
      </c>
      <c r="R5" s="4">
        <v>89373027.630000055</v>
      </c>
      <c r="S5" s="4">
        <v>24750.769999999997</v>
      </c>
      <c r="T5" s="4">
        <v>130962585.35000004</v>
      </c>
    </row>
    <row r="6" spans="1:20" x14ac:dyDescent="0.3">
      <c r="A6" s="10">
        <v>2024</v>
      </c>
      <c r="B6" s="6">
        <f t="shared" si="1"/>
        <v>25946274641.650032</v>
      </c>
      <c r="C6" s="4">
        <f t="shared" si="0"/>
        <v>20757019713.320026</v>
      </c>
      <c r="D6" s="6">
        <v>5189254928.3300066</v>
      </c>
      <c r="E6" s="6">
        <v>0</v>
      </c>
      <c r="F6" s="6">
        <v>5189254928.3300066</v>
      </c>
      <c r="G6" s="4">
        <f t="shared" si="2"/>
        <v>3891941196.2475047</v>
      </c>
      <c r="H6" s="4">
        <f t="shared" si="3"/>
        <v>363247844.98310041</v>
      </c>
      <c r="I6" s="4">
        <f t="shared" si="4"/>
        <v>311355295.69980037</v>
      </c>
      <c r="J6" s="4">
        <f t="shared" si="5"/>
        <v>155677647.84990019</v>
      </c>
      <c r="K6" s="4">
        <f t="shared" si="10"/>
        <v>129731373.20825016</v>
      </c>
      <c r="L6" s="4">
        <f t="shared" si="6"/>
        <v>51892549.283300065</v>
      </c>
      <c r="M6" s="4">
        <f t="shared" si="7"/>
        <v>25946274.641650032</v>
      </c>
      <c r="N6" s="4">
        <f t="shared" si="8"/>
        <v>259462746.41650033</v>
      </c>
      <c r="O6" s="4">
        <f t="shared" si="9"/>
        <v>0</v>
      </c>
      <c r="P6" s="4">
        <v>64365975.320000023</v>
      </c>
      <c r="Q6" s="4">
        <v>593775573.17999923</v>
      </c>
      <c r="R6" s="4">
        <v>100008187.77999988</v>
      </c>
      <c r="S6" s="4">
        <v>5126668.6999999993</v>
      </c>
      <c r="T6" s="4">
        <v>2782584.1299999994</v>
      </c>
    </row>
    <row r="7" spans="1:20" x14ac:dyDescent="0.3">
      <c r="A7" s="10">
        <v>2025</v>
      </c>
      <c r="B7" s="6">
        <f t="shared" si="1"/>
        <v>28160240985.200005</v>
      </c>
      <c r="C7" s="4">
        <f t="shared" si="0"/>
        <v>22528192788.160004</v>
      </c>
      <c r="D7" s="6">
        <v>5632048197.0400009</v>
      </c>
      <c r="E7" s="6">
        <v>0</v>
      </c>
      <c r="F7" s="6">
        <v>5632048197.0400009</v>
      </c>
      <c r="G7" s="4">
        <f t="shared" si="2"/>
        <v>4224036147.7800007</v>
      </c>
      <c r="H7" s="4">
        <f>D7*5/100</f>
        <v>281602409.85200006</v>
      </c>
      <c r="I7" s="4">
        <f>D7*0.06</f>
        <v>337922891.82240003</v>
      </c>
      <c r="J7" s="4">
        <f t="shared" si="5"/>
        <v>168961445.91120002</v>
      </c>
      <c r="K7" s="4">
        <f>D7*0</f>
        <v>0</v>
      </c>
      <c r="L7" s="4">
        <f>D7*0</f>
        <v>0</v>
      </c>
      <c r="M7" s="4">
        <f>D7*0</f>
        <v>0</v>
      </c>
      <c r="N7" s="4">
        <f>D7*0.01</f>
        <v>56320481.970400013</v>
      </c>
      <c r="O7" s="4">
        <f>D7*0.1</f>
        <v>563204819.70400012</v>
      </c>
      <c r="P7" s="4">
        <v>69026346</v>
      </c>
      <c r="Q7" s="4">
        <v>678035028.01000023</v>
      </c>
      <c r="R7" s="4">
        <v>101429117.61000006</v>
      </c>
      <c r="S7" s="4">
        <v>4792088.91</v>
      </c>
      <c r="T7" s="4">
        <v>38904690.81000001</v>
      </c>
    </row>
    <row r="8" spans="1:20" x14ac:dyDescent="0.3">
      <c r="A8" s="10">
        <v>2026</v>
      </c>
    </row>
    <row r="11" spans="1:20" x14ac:dyDescent="0.3">
      <c r="D11" s="6"/>
    </row>
    <row r="15" spans="1:20" x14ac:dyDescent="0.3">
      <c r="D15" s="6"/>
    </row>
    <row r="16" spans="1:20" x14ac:dyDescent="0.3">
      <c r="C16" s="4"/>
    </row>
    <row r="18" spans="3:3" x14ac:dyDescent="0.3">
      <c r="C1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15"/>
  <sheetViews>
    <sheetView workbookViewId="0">
      <selection activeCell="J990" sqref="J99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37831</v>
      </c>
      <c r="B2">
        <v>3200102</v>
      </c>
      <c r="C2" t="s">
        <v>15</v>
      </c>
      <c r="D2">
        <v>0.8</v>
      </c>
      <c r="E2">
        <v>2698160.79</v>
      </c>
      <c r="F2">
        <v>198456.81</v>
      </c>
      <c r="G2">
        <v>2896617.6</v>
      </c>
      <c r="H2">
        <v>32435.54</v>
      </c>
      <c r="I2">
        <v>81727.990000000005</v>
      </c>
      <c r="J2">
        <v>0.98499999999999999</v>
      </c>
      <c r="K2">
        <v>83394.47</v>
      </c>
      <c r="L2">
        <v>11073.92</v>
      </c>
      <c r="M2">
        <v>0</v>
      </c>
      <c r="N2">
        <v>2022</v>
      </c>
      <c r="O2">
        <v>1</v>
      </c>
    </row>
    <row r="3" spans="1:15" x14ac:dyDescent="0.3">
      <c r="A3">
        <v>37832</v>
      </c>
      <c r="B3">
        <v>3200169</v>
      </c>
      <c r="C3" t="s">
        <v>16</v>
      </c>
      <c r="D3">
        <v>0.30099999999999999</v>
      </c>
      <c r="E3">
        <v>1014998.78</v>
      </c>
      <c r="F3">
        <v>74669.33</v>
      </c>
      <c r="G3">
        <v>1089668.1100000001</v>
      </c>
      <c r="H3">
        <v>12203.87</v>
      </c>
      <c r="I3">
        <v>28100.5</v>
      </c>
      <c r="J3">
        <v>0.439</v>
      </c>
      <c r="K3">
        <v>31377.17</v>
      </c>
      <c r="L3">
        <v>4944.42</v>
      </c>
      <c r="M3">
        <v>0</v>
      </c>
      <c r="N3">
        <v>2022</v>
      </c>
      <c r="O3">
        <v>1</v>
      </c>
    </row>
    <row r="4" spans="1:15" x14ac:dyDescent="0.3">
      <c r="A4">
        <v>37833</v>
      </c>
      <c r="B4">
        <v>3200136</v>
      </c>
      <c r="C4" t="s">
        <v>17</v>
      </c>
      <c r="D4">
        <v>0.41599999999999998</v>
      </c>
      <c r="E4">
        <v>1403866.5</v>
      </c>
      <c r="F4">
        <v>103197.72</v>
      </c>
      <c r="G4">
        <v>1507064.22</v>
      </c>
      <c r="H4">
        <v>16866.48</v>
      </c>
      <c r="I4">
        <v>23227.81</v>
      </c>
      <c r="J4">
        <v>0.34799999999999998</v>
      </c>
      <c r="K4">
        <v>43365.120000000003</v>
      </c>
      <c r="L4">
        <v>3907.17</v>
      </c>
      <c r="M4">
        <v>0</v>
      </c>
      <c r="N4">
        <v>2022</v>
      </c>
      <c r="O4">
        <v>1</v>
      </c>
    </row>
    <row r="5" spans="1:15" x14ac:dyDescent="0.3">
      <c r="A5">
        <v>37834</v>
      </c>
      <c r="B5">
        <v>3200201</v>
      </c>
      <c r="C5" t="s">
        <v>18</v>
      </c>
      <c r="D5">
        <v>0.51</v>
      </c>
      <c r="E5">
        <v>1718051.12</v>
      </c>
      <c r="F5">
        <v>126515.78</v>
      </c>
      <c r="G5">
        <v>1844566.9</v>
      </c>
      <c r="H5">
        <v>20677.650000000001</v>
      </c>
      <c r="I5">
        <v>84672.12</v>
      </c>
      <c r="J5">
        <v>0.98</v>
      </c>
      <c r="K5">
        <v>53163.97</v>
      </c>
      <c r="L5">
        <v>11008.07</v>
      </c>
      <c r="M5">
        <v>0</v>
      </c>
      <c r="N5">
        <v>2022</v>
      </c>
      <c r="O5">
        <v>1</v>
      </c>
    </row>
    <row r="6" spans="1:15" x14ac:dyDescent="0.3">
      <c r="A6">
        <v>37835</v>
      </c>
      <c r="B6">
        <v>3200300</v>
      </c>
      <c r="C6" t="s">
        <v>19</v>
      </c>
      <c r="D6">
        <v>0.49</v>
      </c>
      <c r="E6">
        <v>1651904.33</v>
      </c>
      <c r="F6">
        <v>121554.64</v>
      </c>
      <c r="G6">
        <v>1773458.97</v>
      </c>
      <c r="H6">
        <v>19866.77</v>
      </c>
      <c r="I6">
        <v>76129.009999999995</v>
      </c>
      <c r="J6">
        <v>0.56399999999999995</v>
      </c>
      <c r="K6">
        <v>51079.11</v>
      </c>
      <c r="L6">
        <v>6317.7</v>
      </c>
      <c r="M6">
        <v>0</v>
      </c>
      <c r="N6">
        <v>2022</v>
      </c>
      <c r="O6">
        <v>1</v>
      </c>
    </row>
    <row r="7" spans="1:15" x14ac:dyDescent="0.3">
      <c r="A7">
        <v>37836</v>
      </c>
      <c r="B7">
        <v>3200359</v>
      </c>
      <c r="C7" t="s">
        <v>20</v>
      </c>
      <c r="D7">
        <v>0.23100000000000001</v>
      </c>
      <c r="E7">
        <v>778977.32</v>
      </c>
      <c r="F7">
        <v>57304.4</v>
      </c>
      <c r="G7">
        <v>836281.72</v>
      </c>
      <c r="H7">
        <v>9365.76</v>
      </c>
      <c r="I7">
        <v>14139.68</v>
      </c>
      <c r="J7">
        <v>0.32700000000000001</v>
      </c>
      <c r="K7">
        <v>24080.15</v>
      </c>
      <c r="L7">
        <v>3666.08</v>
      </c>
      <c r="M7">
        <v>0</v>
      </c>
      <c r="N7">
        <v>2022</v>
      </c>
      <c r="O7">
        <v>1</v>
      </c>
    </row>
    <row r="8" spans="1:15" x14ac:dyDescent="0.3">
      <c r="A8">
        <v>37837</v>
      </c>
      <c r="B8">
        <v>3200409</v>
      </c>
      <c r="C8" t="s">
        <v>21</v>
      </c>
      <c r="D8">
        <v>1.766</v>
      </c>
      <c r="E8">
        <v>6024740.5700000003</v>
      </c>
      <c r="F8">
        <v>438108.29</v>
      </c>
      <c r="G8">
        <v>6462848.8600000003</v>
      </c>
      <c r="H8">
        <v>71601.440000000002</v>
      </c>
      <c r="I8">
        <v>174853.05</v>
      </c>
      <c r="J8">
        <v>0.90800000000000003</v>
      </c>
      <c r="K8">
        <v>184093.29</v>
      </c>
      <c r="L8">
        <v>10119.280000000001</v>
      </c>
      <c r="M8">
        <v>0</v>
      </c>
      <c r="N8">
        <v>2022</v>
      </c>
      <c r="O8">
        <v>1</v>
      </c>
    </row>
    <row r="9" spans="1:15" x14ac:dyDescent="0.3">
      <c r="A9">
        <v>37838</v>
      </c>
      <c r="B9">
        <v>3200508</v>
      </c>
      <c r="C9" t="s">
        <v>22</v>
      </c>
      <c r="D9">
        <v>0.185</v>
      </c>
      <c r="E9">
        <v>624807.17000000004</v>
      </c>
      <c r="F9">
        <v>45893.32</v>
      </c>
      <c r="G9">
        <v>670700.49</v>
      </c>
      <c r="H9">
        <v>7500.72</v>
      </c>
      <c r="I9">
        <v>62993.55</v>
      </c>
      <c r="J9">
        <v>0.32300000000000001</v>
      </c>
      <c r="K9">
        <v>19284.97</v>
      </c>
      <c r="L9">
        <v>3622.18</v>
      </c>
      <c r="M9">
        <v>0</v>
      </c>
      <c r="N9">
        <v>2022</v>
      </c>
      <c r="O9">
        <v>1</v>
      </c>
    </row>
    <row r="10" spans="1:15" x14ac:dyDescent="0.3">
      <c r="A10">
        <v>37839</v>
      </c>
      <c r="B10">
        <v>3200607</v>
      </c>
      <c r="C10" t="s">
        <v>23</v>
      </c>
      <c r="D10">
        <v>4.9909999999999997</v>
      </c>
      <c r="E10">
        <v>16849663.41</v>
      </c>
      <c r="F10">
        <v>1238125.94</v>
      </c>
      <c r="G10">
        <v>18087789.350000001</v>
      </c>
      <c r="H10">
        <v>202357.2</v>
      </c>
      <c r="I10">
        <v>375158.95</v>
      </c>
      <c r="J10">
        <v>2.5089999999999999</v>
      </c>
      <c r="K10">
        <v>520277.24</v>
      </c>
      <c r="L10">
        <v>27936.959999999999</v>
      </c>
      <c r="M10">
        <v>0</v>
      </c>
      <c r="N10">
        <v>2022</v>
      </c>
      <c r="O10">
        <v>1</v>
      </c>
    </row>
    <row r="11" spans="1:15" x14ac:dyDescent="0.3">
      <c r="A11">
        <v>37840</v>
      </c>
      <c r="B11">
        <v>3200706</v>
      </c>
      <c r="C11" t="s">
        <v>24</v>
      </c>
      <c r="D11">
        <v>0.373</v>
      </c>
      <c r="E11">
        <v>1257766.05</v>
      </c>
      <c r="F11">
        <v>92530.43</v>
      </c>
      <c r="G11">
        <v>1350296.48</v>
      </c>
      <c r="H11">
        <v>15123.07</v>
      </c>
      <c r="I11">
        <v>45161.31</v>
      </c>
      <c r="J11">
        <v>0.45700000000000002</v>
      </c>
      <c r="K11">
        <v>38882.67</v>
      </c>
      <c r="L11">
        <v>5108.5200000000004</v>
      </c>
      <c r="M11">
        <v>0</v>
      </c>
      <c r="N11">
        <v>2022</v>
      </c>
      <c r="O11">
        <v>1</v>
      </c>
    </row>
    <row r="12" spans="1:15" x14ac:dyDescent="0.3">
      <c r="A12">
        <v>37841</v>
      </c>
      <c r="B12">
        <v>3200805</v>
      </c>
      <c r="C12" t="s">
        <v>25</v>
      </c>
      <c r="D12">
        <v>0.64300000000000002</v>
      </c>
      <c r="E12">
        <v>2170089.83</v>
      </c>
      <c r="F12">
        <v>159509.94</v>
      </c>
      <c r="G12">
        <v>2329599.77</v>
      </c>
      <c r="H12">
        <v>26070.06</v>
      </c>
      <c r="I12">
        <v>177598.53</v>
      </c>
      <c r="J12">
        <v>0.996</v>
      </c>
      <c r="K12">
        <v>67028.3</v>
      </c>
      <c r="L12">
        <v>11166.82</v>
      </c>
      <c r="M12">
        <v>0</v>
      </c>
      <c r="N12">
        <v>2022</v>
      </c>
      <c r="O12">
        <v>1</v>
      </c>
    </row>
    <row r="13" spans="1:15" x14ac:dyDescent="0.3">
      <c r="A13">
        <v>37842</v>
      </c>
      <c r="B13">
        <v>3200904</v>
      </c>
      <c r="C13" t="s">
        <v>26</v>
      </c>
      <c r="D13">
        <v>1.036</v>
      </c>
      <c r="E13">
        <v>3483676.03</v>
      </c>
      <c r="F13">
        <v>256999.27</v>
      </c>
      <c r="G13">
        <v>3740675.3</v>
      </c>
      <c r="H13">
        <v>42004.02</v>
      </c>
      <c r="I13">
        <v>187655.41</v>
      </c>
      <c r="J13">
        <v>1.321</v>
      </c>
      <c r="K13">
        <v>107995.84</v>
      </c>
      <c r="L13">
        <v>14790.58</v>
      </c>
      <c r="M13">
        <v>0</v>
      </c>
      <c r="N13">
        <v>2022</v>
      </c>
      <c r="O13">
        <v>1</v>
      </c>
    </row>
    <row r="14" spans="1:15" x14ac:dyDescent="0.3">
      <c r="A14">
        <v>37843</v>
      </c>
      <c r="B14">
        <v>3107109</v>
      </c>
      <c r="C14" t="s">
        <v>27</v>
      </c>
      <c r="D14">
        <v>0.39900000000000002</v>
      </c>
      <c r="E14">
        <v>1347018.82</v>
      </c>
      <c r="F14">
        <v>98980.63</v>
      </c>
      <c r="G14">
        <v>1445999.45</v>
      </c>
      <c r="H14">
        <v>16177.22</v>
      </c>
      <c r="I14">
        <v>33750.449999999997</v>
      </c>
      <c r="J14">
        <v>0.56899999999999995</v>
      </c>
      <c r="K14">
        <v>41592.99</v>
      </c>
      <c r="L14">
        <v>6380.26</v>
      </c>
      <c r="M14">
        <v>0</v>
      </c>
      <c r="N14">
        <v>2022</v>
      </c>
      <c r="O14">
        <v>1</v>
      </c>
    </row>
    <row r="15" spans="1:15" x14ac:dyDescent="0.3">
      <c r="A15">
        <v>37844</v>
      </c>
      <c r="B15">
        <v>3201100</v>
      </c>
      <c r="C15" t="s">
        <v>28</v>
      </c>
      <c r="D15">
        <v>0.17599999999999999</v>
      </c>
      <c r="E15">
        <v>593139.69999999995</v>
      </c>
      <c r="F15">
        <v>43660.39</v>
      </c>
      <c r="G15">
        <v>636800.09</v>
      </c>
      <c r="H15">
        <v>7135.82</v>
      </c>
      <c r="I15">
        <v>199684.57</v>
      </c>
      <c r="J15">
        <v>0.43</v>
      </c>
      <c r="K15">
        <v>18346.78</v>
      </c>
      <c r="L15">
        <v>4814.4799999999996</v>
      </c>
      <c r="M15">
        <v>0</v>
      </c>
      <c r="N15">
        <v>2022</v>
      </c>
      <c r="O15">
        <v>1</v>
      </c>
    </row>
    <row r="16" spans="1:15" x14ac:dyDescent="0.3">
      <c r="A16">
        <v>37845</v>
      </c>
      <c r="B16">
        <v>3201159</v>
      </c>
      <c r="C16" t="s">
        <v>29</v>
      </c>
      <c r="D16">
        <v>0.42099999999999999</v>
      </c>
      <c r="E16">
        <v>1421386.68</v>
      </c>
      <c r="F16">
        <v>104438.23</v>
      </c>
      <c r="G16">
        <v>1525824.91</v>
      </c>
      <c r="H16">
        <v>17069.2</v>
      </c>
      <c r="I16">
        <v>27045.7</v>
      </c>
      <c r="J16">
        <v>0.46</v>
      </c>
      <c r="K16">
        <v>43886.34</v>
      </c>
      <c r="L16">
        <v>5152.71</v>
      </c>
      <c r="M16">
        <v>0</v>
      </c>
      <c r="N16">
        <v>2022</v>
      </c>
      <c r="O16">
        <v>1</v>
      </c>
    </row>
    <row r="17" spans="1:15" x14ac:dyDescent="0.3">
      <c r="A17">
        <v>37846</v>
      </c>
      <c r="B17">
        <v>3201209</v>
      </c>
      <c r="C17" t="s">
        <v>30</v>
      </c>
      <c r="D17">
        <v>3.234</v>
      </c>
      <c r="E17">
        <v>10897978.890000001</v>
      </c>
      <c r="F17">
        <v>802259.54</v>
      </c>
      <c r="G17">
        <v>11700238.43</v>
      </c>
      <c r="H17">
        <v>131120.65</v>
      </c>
      <c r="I17">
        <v>1019301.15</v>
      </c>
      <c r="J17">
        <v>4.4820000000000002</v>
      </c>
      <c r="K17">
        <v>337122.14</v>
      </c>
      <c r="L17">
        <v>50148.15</v>
      </c>
      <c r="M17">
        <v>0</v>
      </c>
      <c r="N17">
        <v>2022</v>
      </c>
      <c r="O17">
        <v>1</v>
      </c>
    </row>
    <row r="18" spans="1:15" x14ac:dyDescent="0.3">
      <c r="A18">
        <v>37847</v>
      </c>
      <c r="B18">
        <v>3201308</v>
      </c>
      <c r="C18" t="s">
        <v>31</v>
      </c>
      <c r="D18">
        <v>7.4969999999999999</v>
      </c>
      <c r="E18">
        <v>25206111.27</v>
      </c>
      <c r="F18">
        <v>1859771.01</v>
      </c>
      <c r="G18">
        <v>27065882.280000001</v>
      </c>
      <c r="H18">
        <v>303961.51</v>
      </c>
      <c r="I18">
        <v>2032967.69</v>
      </c>
      <c r="J18">
        <v>6.6040000000000001</v>
      </c>
      <c r="K18">
        <v>781510.41</v>
      </c>
      <c r="L18">
        <v>73930.820000000007</v>
      </c>
      <c r="M18">
        <v>0</v>
      </c>
      <c r="N18">
        <v>2022</v>
      </c>
      <c r="O18">
        <v>1</v>
      </c>
    </row>
    <row r="19" spans="1:15" x14ac:dyDescent="0.3">
      <c r="A19">
        <v>37848</v>
      </c>
      <c r="B19">
        <v>3201407</v>
      </c>
      <c r="C19" t="s">
        <v>32</v>
      </c>
      <c r="D19">
        <v>0.96499999999999997</v>
      </c>
      <c r="E19">
        <v>3252477.44</v>
      </c>
      <c r="F19">
        <v>239388.03</v>
      </c>
      <c r="G19">
        <v>3491865.47</v>
      </c>
      <c r="H19">
        <v>39125.360000000001</v>
      </c>
      <c r="I19">
        <v>337112</v>
      </c>
      <c r="J19">
        <v>1.155</v>
      </c>
      <c r="K19">
        <v>100594.58</v>
      </c>
      <c r="L19">
        <v>12936.37</v>
      </c>
      <c r="M19">
        <v>0</v>
      </c>
      <c r="N19">
        <v>2022</v>
      </c>
      <c r="O19">
        <v>1</v>
      </c>
    </row>
    <row r="20" spans="1:15" x14ac:dyDescent="0.3">
      <c r="A20">
        <v>37849</v>
      </c>
      <c r="B20">
        <v>3201506</v>
      </c>
      <c r="C20" t="s">
        <v>33</v>
      </c>
      <c r="D20">
        <v>2.1739999999999999</v>
      </c>
      <c r="E20">
        <v>7334910.3099999996</v>
      </c>
      <c r="F20">
        <v>539306.9</v>
      </c>
      <c r="G20">
        <v>7874217.21</v>
      </c>
      <c r="H20">
        <v>88143.57</v>
      </c>
      <c r="I20">
        <v>549505.41</v>
      </c>
      <c r="J20">
        <v>2.8220000000000001</v>
      </c>
      <c r="K20">
        <v>226624.47</v>
      </c>
      <c r="L20">
        <v>31584.12</v>
      </c>
      <c r="M20">
        <v>0</v>
      </c>
      <c r="N20">
        <v>2022</v>
      </c>
      <c r="O20">
        <v>1</v>
      </c>
    </row>
    <row r="21" spans="1:15" x14ac:dyDescent="0.3">
      <c r="A21">
        <v>37850</v>
      </c>
      <c r="B21">
        <v>3201605</v>
      </c>
      <c r="C21" t="s">
        <v>34</v>
      </c>
      <c r="D21">
        <v>0.65200000000000002</v>
      </c>
      <c r="E21">
        <v>2193643.5</v>
      </c>
      <c r="F21">
        <v>161741.10999999999</v>
      </c>
      <c r="G21">
        <v>2355384.61</v>
      </c>
      <c r="H21">
        <v>26434.959999999999</v>
      </c>
      <c r="I21">
        <v>85900.57</v>
      </c>
      <c r="J21">
        <v>0.999</v>
      </c>
      <c r="K21">
        <v>67966.490000000005</v>
      </c>
      <c r="L21">
        <v>11186.16</v>
      </c>
      <c r="M21">
        <v>0</v>
      </c>
      <c r="N21">
        <v>2022</v>
      </c>
      <c r="O21">
        <v>1</v>
      </c>
    </row>
    <row r="22" spans="1:15" x14ac:dyDescent="0.3">
      <c r="A22">
        <v>37851</v>
      </c>
      <c r="B22">
        <v>3201704</v>
      </c>
      <c r="C22" t="s">
        <v>35</v>
      </c>
      <c r="D22">
        <v>0.47499999999999998</v>
      </c>
      <c r="E22">
        <v>1600573.12</v>
      </c>
      <c r="F22">
        <v>117833.4</v>
      </c>
      <c r="G22">
        <v>1718406.52</v>
      </c>
      <c r="H22">
        <v>19258.599999999999</v>
      </c>
      <c r="I22">
        <v>46820.160000000003</v>
      </c>
      <c r="J22">
        <v>0.46500000000000002</v>
      </c>
      <c r="K22">
        <v>49515.47</v>
      </c>
      <c r="L22">
        <v>5204.71</v>
      </c>
      <c r="M22">
        <v>0</v>
      </c>
      <c r="N22">
        <v>2022</v>
      </c>
      <c r="O22">
        <v>1</v>
      </c>
    </row>
    <row r="23" spans="1:15" x14ac:dyDescent="0.3">
      <c r="A23">
        <v>37852</v>
      </c>
      <c r="B23">
        <v>3201803</v>
      </c>
      <c r="C23" t="s">
        <v>36</v>
      </c>
      <c r="D23">
        <v>0.186</v>
      </c>
      <c r="E23">
        <v>627688.31999999995</v>
      </c>
      <c r="F23">
        <v>46141.29</v>
      </c>
      <c r="G23">
        <v>673829.61</v>
      </c>
      <c r="H23">
        <v>7541.26</v>
      </c>
      <c r="I23">
        <v>13250.72</v>
      </c>
      <c r="J23">
        <v>0.28299999999999997</v>
      </c>
      <c r="K23">
        <v>19389.21</v>
      </c>
      <c r="L23">
        <v>3171.58</v>
      </c>
      <c r="M23">
        <v>0</v>
      </c>
      <c r="N23">
        <v>2022</v>
      </c>
      <c r="O23">
        <v>1</v>
      </c>
    </row>
    <row r="24" spans="1:15" x14ac:dyDescent="0.3">
      <c r="A24">
        <v>37853</v>
      </c>
      <c r="B24">
        <v>3201902</v>
      </c>
      <c r="C24" t="s">
        <v>37</v>
      </c>
      <c r="D24">
        <v>1.3140000000000001</v>
      </c>
      <c r="E24">
        <v>4424622.1900000004</v>
      </c>
      <c r="F24">
        <v>325963.75</v>
      </c>
      <c r="G24">
        <v>4750585.9400000004</v>
      </c>
      <c r="H24">
        <v>53275.37</v>
      </c>
      <c r="I24">
        <v>155415.82999999999</v>
      </c>
      <c r="J24">
        <v>1.0309999999999999</v>
      </c>
      <c r="K24">
        <v>136975.41</v>
      </c>
      <c r="L24">
        <v>11558.42</v>
      </c>
      <c r="M24">
        <v>0</v>
      </c>
      <c r="N24">
        <v>2022</v>
      </c>
      <c r="O24">
        <v>1</v>
      </c>
    </row>
    <row r="25" spans="1:15" x14ac:dyDescent="0.3">
      <c r="A25">
        <v>37854</v>
      </c>
      <c r="B25">
        <v>3202009</v>
      </c>
      <c r="C25" t="s">
        <v>38</v>
      </c>
      <c r="D25">
        <v>0.26</v>
      </c>
      <c r="E25">
        <v>875644.21</v>
      </c>
      <c r="F25">
        <v>64498.18</v>
      </c>
      <c r="G25">
        <v>940142.39</v>
      </c>
      <c r="H25">
        <v>10541.55</v>
      </c>
      <c r="I25">
        <v>40933.620000000003</v>
      </c>
      <c r="J25">
        <v>0.314</v>
      </c>
      <c r="K25">
        <v>27103.200000000001</v>
      </c>
      <c r="L25">
        <v>3514.74</v>
      </c>
      <c r="M25">
        <v>0</v>
      </c>
      <c r="N25">
        <v>2022</v>
      </c>
      <c r="O25">
        <v>1</v>
      </c>
    </row>
    <row r="26" spans="1:15" x14ac:dyDescent="0.3">
      <c r="A26">
        <v>37855</v>
      </c>
      <c r="B26">
        <v>3202108</v>
      </c>
      <c r="C26" t="s">
        <v>39</v>
      </c>
      <c r="D26">
        <v>0.69899999999999995</v>
      </c>
      <c r="E26">
        <v>2357661.2400000002</v>
      </c>
      <c r="F26">
        <v>173401.64</v>
      </c>
      <c r="G26">
        <v>2531062.88</v>
      </c>
      <c r="H26">
        <v>28340.55</v>
      </c>
      <c r="I26">
        <v>49491.39</v>
      </c>
      <c r="J26">
        <v>0.81599999999999995</v>
      </c>
      <c r="K26">
        <v>72865.919999999998</v>
      </c>
      <c r="L26">
        <v>9166.48</v>
      </c>
      <c r="M26">
        <v>0</v>
      </c>
      <c r="N26">
        <v>2022</v>
      </c>
      <c r="O26">
        <v>1</v>
      </c>
    </row>
    <row r="27" spans="1:15" x14ac:dyDescent="0.3">
      <c r="A27">
        <v>37856</v>
      </c>
      <c r="B27">
        <v>3202207</v>
      </c>
      <c r="C27" t="s">
        <v>40</v>
      </c>
      <c r="D27">
        <v>0.313</v>
      </c>
      <c r="E27">
        <v>1057194.81</v>
      </c>
      <c r="F27">
        <v>77646.559999999998</v>
      </c>
      <c r="G27">
        <v>1134841.3700000001</v>
      </c>
      <c r="H27">
        <v>12690.4</v>
      </c>
      <c r="I27">
        <v>60789.02</v>
      </c>
      <c r="J27">
        <v>0.73399999999999999</v>
      </c>
      <c r="K27">
        <v>32628.09</v>
      </c>
      <c r="L27">
        <v>8182.88</v>
      </c>
      <c r="M27">
        <v>0</v>
      </c>
      <c r="N27">
        <v>2022</v>
      </c>
      <c r="O27">
        <v>1</v>
      </c>
    </row>
    <row r="28" spans="1:15" x14ac:dyDescent="0.3">
      <c r="A28">
        <v>37857</v>
      </c>
      <c r="B28">
        <v>3202256</v>
      </c>
      <c r="C28" t="s">
        <v>41</v>
      </c>
      <c r="D28">
        <v>0.43</v>
      </c>
      <c r="E28">
        <v>1451414.98</v>
      </c>
      <c r="F28">
        <v>106670.78</v>
      </c>
      <c r="G28">
        <v>1558085.76</v>
      </c>
      <c r="H28">
        <v>17434.099999999999</v>
      </c>
      <c r="I28">
        <v>31399.46</v>
      </c>
      <c r="J28">
        <v>0.46700000000000003</v>
      </c>
      <c r="K28">
        <v>44824.53</v>
      </c>
      <c r="L28">
        <v>5214.8599999999997</v>
      </c>
      <c r="M28">
        <v>0</v>
      </c>
      <c r="N28">
        <v>2022</v>
      </c>
      <c r="O28">
        <v>1</v>
      </c>
    </row>
    <row r="29" spans="1:15" x14ac:dyDescent="0.3">
      <c r="A29">
        <v>37858</v>
      </c>
      <c r="B29">
        <v>3202306</v>
      </c>
      <c r="C29" t="s">
        <v>42</v>
      </c>
      <c r="D29">
        <v>0.378</v>
      </c>
      <c r="E29">
        <v>1276023.8799999999</v>
      </c>
      <c r="F29">
        <v>93771.09</v>
      </c>
      <c r="G29">
        <v>1369794.97</v>
      </c>
      <c r="H29">
        <v>15325.79</v>
      </c>
      <c r="I29">
        <v>165459.82</v>
      </c>
      <c r="J29">
        <v>0.998</v>
      </c>
      <c r="K29">
        <v>39403.89</v>
      </c>
      <c r="L29">
        <v>11165.45</v>
      </c>
      <c r="M29">
        <v>0</v>
      </c>
      <c r="N29">
        <v>2022</v>
      </c>
      <c r="O29">
        <v>1</v>
      </c>
    </row>
    <row r="30" spans="1:15" x14ac:dyDescent="0.3">
      <c r="A30">
        <v>37859</v>
      </c>
      <c r="B30">
        <v>3202405</v>
      </c>
      <c r="C30" t="s">
        <v>43</v>
      </c>
      <c r="D30">
        <v>0.90900000000000003</v>
      </c>
      <c r="E30">
        <v>3066217.35</v>
      </c>
      <c r="F30">
        <v>225496.63</v>
      </c>
      <c r="G30">
        <v>3291713.98</v>
      </c>
      <c r="H30">
        <v>36854.879999999997</v>
      </c>
      <c r="I30">
        <v>1288738.21</v>
      </c>
      <c r="J30">
        <v>2.8730000000000002</v>
      </c>
      <c r="K30">
        <v>94756.96</v>
      </c>
      <c r="L30">
        <v>32037.06</v>
      </c>
      <c r="M30">
        <v>0</v>
      </c>
      <c r="N30">
        <v>2022</v>
      </c>
      <c r="O30">
        <v>1</v>
      </c>
    </row>
    <row r="31" spans="1:15" x14ac:dyDescent="0.3">
      <c r="A31">
        <v>37860</v>
      </c>
      <c r="B31">
        <v>3202454</v>
      </c>
      <c r="C31" t="s">
        <v>44</v>
      </c>
      <c r="D31">
        <v>0.35099999999999998</v>
      </c>
      <c r="E31">
        <v>1184627.5900000001</v>
      </c>
      <c r="F31">
        <v>87073.11</v>
      </c>
      <c r="G31">
        <v>1271700.7</v>
      </c>
      <c r="H31">
        <v>14231.09</v>
      </c>
      <c r="I31">
        <v>86796.51</v>
      </c>
      <c r="J31">
        <v>0.86499999999999999</v>
      </c>
      <c r="K31">
        <v>36589.32</v>
      </c>
      <c r="L31">
        <v>9659.2099999999991</v>
      </c>
      <c r="M31">
        <v>0</v>
      </c>
      <c r="N31">
        <v>2022</v>
      </c>
      <c r="O31">
        <v>1</v>
      </c>
    </row>
    <row r="32" spans="1:15" x14ac:dyDescent="0.3">
      <c r="A32">
        <v>37861</v>
      </c>
      <c r="B32">
        <v>3202504</v>
      </c>
      <c r="C32" t="s">
        <v>45</v>
      </c>
      <c r="D32">
        <v>0.26700000000000002</v>
      </c>
      <c r="E32">
        <v>901057.62</v>
      </c>
      <c r="F32">
        <v>66235.070000000007</v>
      </c>
      <c r="G32">
        <v>967292.69</v>
      </c>
      <c r="H32">
        <v>10825.36</v>
      </c>
      <c r="I32">
        <v>40256.21</v>
      </c>
      <c r="J32">
        <v>0.46300000000000002</v>
      </c>
      <c r="K32">
        <v>27832.9</v>
      </c>
      <c r="L32">
        <v>5175.21</v>
      </c>
      <c r="M32">
        <v>0</v>
      </c>
      <c r="N32">
        <v>2022</v>
      </c>
      <c r="O32">
        <v>1</v>
      </c>
    </row>
    <row r="33" spans="1:15" x14ac:dyDescent="0.3">
      <c r="A33">
        <v>37862</v>
      </c>
      <c r="B33">
        <v>3202553</v>
      </c>
      <c r="C33" t="s">
        <v>46</v>
      </c>
      <c r="D33">
        <v>0.248</v>
      </c>
      <c r="E33">
        <v>836234.78</v>
      </c>
      <c r="F33">
        <v>61521.55</v>
      </c>
      <c r="G33">
        <v>897756.33</v>
      </c>
      <c r="H33">
        <v>10055.02</v>
      </c>
      <c r="I33">
        <v>19346.330000000002</v>
      </c>
      <c r="J33">
        <v>0.33800000000000002</v>
      </c>
      <c r="K33">
        <v>25852.29</v>
      </c>
      <c r="L33">
        <v>3801.24</v>
      </c>
      <c r="M33">
        <v>0</v>
      </c>
      <c r="N33">
        <v>2022</v>
      </c>
      <c r="O33">
        <v>1</v>
      </c>
    </row>
    <row r="34" spans="1:15" x14ac:dyDescent="0.3">
      <c r="A34">
        <v>37863</v>
      </c>
      <c r="B34">
        <v>3202603</v>
      </c>
      <c r="C34" t="s">
        <v>47</v>
      </c>
      <c r="D34">
        <v>0.34399999999999997</v>
      </c>
      <c r="E34">
        <v>1162574.44</v>
      </c>
      <c r="F34">
        <v>85336.91</v>
      </c>
      <c r="G34">
        <v>1247911.3500000001</v>
      </c>
      <c r="H34">
        <v>13947.28</v>
      </c>
      <c r="I34">
        <v>122055.88</v>
      </c>
      <c r="J34">
        <v>0.55600000000000005</v>
      </c>
      <c r="K34">
        <v>35859.620000000003</v>
      </c>
      <c r="L34">
        <v>6226.72</v>
      </c>
      <c r="M34">
        <v>0</v>
      </c>
      <c r="N34">
        <v>2022</v>
      </c>
      <c r="O34">
        <v>1</v>
      </c>
    </row>
    <row r="35" spans="1:15" x14ac:dyDescent="0.3">
      <c r="A35">
        <v>37864</v>
      </c>
      <c r="B35">
        <v>3202652</v>
      </c>
      <c r="C35" t="s">
        <v>48</v>
      </c>
      <c r="D35">
        <v>0.308</v>
      </c>
      <c r="E35">
        <v>1038936.99</v>
      </c>
      <c r="F35">
        <v>76405.91</v>
      </c>
      <c r="G35">
        <v>1115342.8999999999</v>
      </c>
      <c r="H35">
        <v>12487.68</v>
      </c>
      <c r="I35">
        <v>49302.59</v>
      </c>
      <c r="J35">
        <v>0.55100000000000005</v>
      </c>
      <c r="K35">
        <v>32106.87</v>
      </c>
      <c r="L35">
        <v>5303.5</v>
      </c>
      <c r="M35">
        <v>0</v>
      </c>
      <c r="N35">
        <v>2022</v>
      </c>
      <c r="O35">
        <v>1</v>
      </c>
    </row>
    <row r="36" spans="1:15" x14ac:dyDescent="0.3">
      <c r="A36">
        <v>37865</v>
      </c>
      <c r="B36">
        <v>3202702</v>
      </c>
      <c r="C36" t="s">
        <v>49</v>
      </c>
      <c r="D36">
        <v>0.35499999999999998</v>
      </c>
      <c r="E36">
        <v>1199676.42</v>
      </c>
      <c r="F36">
        <v>88065.72</v>
      </c>
      <c r="G36">
        <v>1287742.1399999999</v>
      </c>
      <c r="H36">
        <v>14393.27</v>
      </c>
      <c r="I36">
        <v>33274.58</v>
      </c>
      <c r="J36">
        <v>0.55500000000000005</v>
      </c>
      <c r="K36">
        <v>37006.300000000003</v>
      </c>
      <c r="L36">
        <v>6233.58</v>
      </c>
      <c r="M36">
        <v>0</v>
      </c>
      <c r="N36">
        <v>2022</v>
      </c>
      <c r="O36">
        <v>1</v>
      </c>
    </row>
    <row r="37" spans="1:15" x14ac:dyDescent="0.3">
      <c r="A37">
        <v>37866</v>
      </c>
      <c r="B37">
        <v>3202801</v>
      </c>
      <c r="C37" t="s">
        <v>50</v>
      </c>
      <c r="D37">
        <v>2.262</v>
      </c>
      <c r="E37">
        <v>7662542.0800000001</v>
      </c>
      <c r="F37">
        <v>561143.87</v>
      </c>
      <c r="G37">
        <v>8223685.9500000002</v>
      </c>
      <c r="H37">
        <v>91711.48</v>
      </c>
      <c r="I37">
        <v>201487.58</v>
      </c>
      <c r="J37">
        <v>1.042</v>
      </c>
      <c r="K37">
        <v>235797.86</v>
      </c>
      <c r="L37">
        <v>11650.35</v>
      </c>
      <c r="M37">
        <v>0</v>
      </c>
      <c r="N37">
        <v>2022</v>
      </c>
      <c r="O37">
        <v>1</v>
      </c>
    </row>
    <row r="38" spans="1:15" x14ac:dyDescent="0.3">
      <c r="A38">
        <v>37867</v>
      </c>
      <c r="B38">
        <v>3202900</v>
      </c>
      <c r="C38" t="s">
        <v>51</v>
      </c>
      <c r="D38">
        <v>0.34599999999999997</v>
      </c>
      <c r="E38">
        <v>1166697.6000000001</v>
      </c>
      <c r="F38">
        <v>85832.49</v>
      </c>
      <c r="G38">
        <v>1252530.0900000001</v>
      </c>
      <c r="H38">
        <v>14028.37</v>
      </c>
      <c r="I38">
        <v>31635.26</v>
      </c>
      <c r="J38">
        <v>0.435</v>
      </c>
      <c r="K38">
        <v>36068.11</v>
      </c>
      <c r="L38">
        <v>4887.47</v>
      </c>
      <c r="M38">
        <v>0</v>
      </c>
      <c r="N38">
        <v>2022</v>
      </c>
      <c r="O38">
        <v>1</v>
      </c>
    </row>
    <row r="39" spans="1:15" x14ac:dyDescent="0.3">
      <c r="A39">
        <v>37868</v>
      </c>
      <c r="B39">
        <v>3203007</v>
      </c>
      <c r="C39" t="s">
        <v>52</v>
      </c>
      <c r="D39">
        <v>0.438</v>
      </c>
      <c r="E39">
        <v>1480119.35</v>
      </c>
      <c r="F39">
        <v>108655.71</v>
      </c>
      <c r="G39">
        <v>1588775.06</v>
      </c>
      <c r="H39">
        <v>17758.46</v>
      </c>
      <c r="I39">
        <v>95819.12</v>
      </c>
      <c r="J39">
        <v>0.89700000000000002</v>
      </c>
      <c r="K39">
        <v>45658.47</v>
      </c>
      <c r="L39">
        <v>10052.19</v>
      </c>
      <c r="M39">
        <v>0</v>
      </c>
      <c r="N39">
        <v>2022</v>
      </c>
      <c r="O39">
        <v>1</v>
      </c>
    </row>
    <row r="40" spans="1:15" x14ac:dyDescent="0.3">
      <c r="A40">
        <v>37869</v>
      </c>
      <c r="B40">
        <v>3203056</v>
      </c>
      <c r="C40" t="s">
        <v>53</v>
      </c>
      <c r="D40">
        <v>0.8</v>
      </c>
      <c r="E40">
        <v>2703651.95</v>
      </c>
      <c r="F40">
        <v>198458.01</v>
      </c>
      <c r="G40">
        <v>2902109.96</v>
      </c>
      <c r="H40">
        <v>32435.54</v>
      </c>
      <c r="I40">
        <v>81863.289999999994</v>
      </c>
      <c r="J40">
        <v>1</v>
      </c>
      <c r="K40">
        <v>83394.47</v>
      </c>
      <c r="L40">
        <v>11154.05</v>
      </c>
      <c r="M40">
        <v>0</v>
      </c>
      <c r="N40">
        <v>2022</v>
      </c>
      <c r="O40">
        <v>1</v>
      </c>
    </row>
    <row r="41" spans="1:15" x14ac:dyDescent="0.3">
      <c r="A41">
        <v>37870</v>
      </c>
      <c r="B41">
        <v>3203106</v>
      </c>
      <c r="C41" t="s">
        <v>54</v>
      </c>
      <c r="D41">
        <v>0.21199999999999999</v>
      </c>
      <c r="E41">
        <v>715219.98</v>
      </c>
      <c r="F41">
        <v>52591.09</v>
      </c>
      <c r="G41">
        <v>767811.07</v>
      </c>
      <c r="H41">
        <v>8595.42</v>
      </c>
      <c r="I41">
        <v>23847.97</v>
      </c>
      <c r="J41">
        <v>0.45800000000000002</v>
      </c>
      <c r="K41">
        <v>22099.53</v>
      </c>
      <c r="L41">
        <v>5130.4799999999996</v>
      </c>
      <c r="M41">
        <v>0</v>
      </c>
      <c r="N41">
        <v>2022</v>
      </c>
      <c r="O41">
        <v>1</v>
      </c>
    </row>
    <row r="42" spans="1:15" x14ac:dyDescent="0.3">
      <c r="A42">
        <v>37871</v>
      </c>
      <c r="B42">
        <v>3203130</v>
      </c>
      <c r="C42" t="s">
        <v>55</v>
      </c>
      <c r="D42">
        <v>0.38600000000000001</v>
      </c>
      <c r="E42">
        <v>1305301.94</v>
      </c>
      <c r="F42">
        <v>95756.15</v>
      </c>
      <c r="G42">
        <v>1401058.09</v>
      </c>
      <c r="H42">
        <v>15650.15</v>
      </c>
      <c r="I42">
        <v>46784.74</v>
      </c>
      <c r="J42">
        <v>0.66600000000000004</v>
      </c>
      <c r="K42">
        <v>40237.83</v>
      </c>
      <c r="L42">
        <v>7465.81</v>
      </c>
      <c r="M42">
        <v>0</v>
      </c>
      <c r="N42">
        <v>2022</v>
      </c>
      <c r="O42">
        <v>1</v>
      </c>
    </row>
    <row r="43" spans="1:15" x14ac:dyDescent="0.3">
      <c r="A43">
        <v>37872</v>
      </c>
      <c r="B43">
        <v>3203163</v>
      </c>
      <c r="C43" t="s">
        <v>56</v>
      </c>
      <c r="D43">
        <v>0.372</v>
      </c>
      <c r="E43">
        <v>1255376.68</v>
      </c>
      <c r="F43">
        <v>92282.559999999998</v>
      </c>
      <c r="G43">
        <v>1347659.24</v>
      </c>
      <c r="H43">
        <v>15082.52</v>
      </c>
      <c r="I43">
        <v>41123.71</v>
      </c>
      <c r="J43">
        <v>0.441</v>
      </c>
      <c r="K43">
        <v>38778.43</v>
      </c>
      <c r="L43">
        <v>4947.71</v>
      </c>
      <c r="M43">
        <v>0</v>
      </c>
      <c r="N43">
        <v>2022</v>
      </c>
      <c r="O43">
        <v>1</v>
      </c>
    </row>
    <row r="44" spans="1:15" x14ac:dyDescent="0.3">
      <c r="A44">
        <v>37873</v>
      </c>
      <c r="B44">
        <v>3203205</v>
      </c>
      <c r="C44" t="s">
        <v>57</v>
      </c>
      <c r="D44">
        <v>5.4</v>
      </c>
      <c r="E44">
        <v>18242622.969999999</v>
      </c>
      <c r="F44">
        <v>1339589.9099999999</v>
      </c>
      <c r="G44">
        <v>19582212.879999999</v>
      </c>
      <c r="H44">
        <v>218939.86</v>
      </c>
      <c r="I44">
        <v>724300.33</v>
      </c>
      <c r="J44">
        <v>4.0880000000000001</v>
      </c>
      <c r="K44">
        <v>562912.66</v>
      </c>
      <c r="L44">
        <v>45496.53</v>
      </c>
      <c r="M44">
        <v>0</v>
      </c>
      <c r="N44">
        <v>2022</v>
      </c>
      <c r="O44">
        <v>1</v>
      </c>
    </row>
    <row r="45" spans="1:15" x14ac:dyDescent="0.3">
      <c r="A45">
        <v>37874</v>
      </c>
      <c r="B45">
        <v>3203304</v>
      </c>
      <c r="C45" t="s">
        <v>58</v>
      </c>
      <c r="D45">
        <v>0.216</v>
      </c>
      <c r="E45">
        <v>731744.02</v>
      </c>
      <c r="F45">
        <v>53584.04</v>
      </c>
      <c r="G45">
        <v>785328.06</v>
      </c>
      <c r="H45">
        <v>8757.59</v>
      </c>
      <c r="I45">
        <v>39739.01</v>
      </c>
      <c r="J45">
        <v>0.57599999999999996</v>
      </c>
      <c r="K45">
        <v>22516.51</v>
      </c>
      <c r="L45">
        <v>6436.65</v>
      </c>
      <c r="M45">
        <v>0</v>
      </c>
      <c r="N45">
        <v>2022</v>
      </c>
      <c r="O45">
        <v>1</v>
      </c>
    </row>
    <row r="46" spans="1:15" x14ac:dyDescent="0.3">
      <c r="A46">
        <v>37875</v>
      </c>
      <c r="B46">
        <v>3203320</v>
      </c>
      <c r="C46" t="s">
        <v>59</v>
      </c>
      <c r="D46">
        <v>0.60899999999999999</v>
      </c>
      <c r="E46">
        <v>2054755.37</v>
      </c>
      <c r="F46">
        <v>151075.42000000001</v>
      </c>
      <c r="G46">
        <v>2205830.79</v>
      </c>
      <c r="H46">
        <v>24691.55</v>
      </c>
      <c r="I46">
        <v>281504.18</v>
      </c>
      <c r="J46">
        <v>1.171</v>
      </c>
      <c r="K46">
        <v>63484.04</v>
      </c>
      <c r="L46">
        <v>13092.24</v>
      </c>
      <c r="M46">
        <v>0</v>
      </c>
      <c r="N46">
        <v>2022</v>
      </c>
      <c r="O46">
        <v>1</v>
      </c>
    </row>
    <row r="47" spans="1:15" x14ac:dyDescent="0.3">
      <c r="A47">
        <v>37876</v>
      </c>
      <c r="B47">
        <v>3203346</v>
      </c>
      <c r="C47" t="s">
        <v>60</v>
      </c>
      <c r="D47">
        <v>0.64500000000000002</v>
      </c>
      <c r="E47">
        <v>2176507.79</v>
      </c>
      <c r="F47">
        <v>160006.01</v>
      </c>
      <c r="G47">
        <v>2336513.7999999998</v>
      </c>
      <c r="H47">
        <v>26151.15</v>
      </c>
      <c r="I47">
        <v>84819.12</v>
      </c>
      <c r="J47">
        <v>0.67100000000000004</v>
      </c>
      <c r="K47">
        <v>67236.789999999994</v>
      </c>
      <c r="L47">
        <v>6631.09</v>
      </c>
      <c r="M47">
        <v>0</v>
      </c>
      <c r="N47">
        <v>2022</v>
      </c>
      <c r="O47">
        <v>1</v>
      </c>
    </row>
    <row r="48" spans="1:15" x14ac:dyDescent="0.3">
      <c r="A48">
        <v>37877</v>
      </c>
      <c r="B48">
        <v>3203353</v>
      </c>
      <c r="C48" t="s">
        <v>61</v>
      </c>
      <c r="D48">
        <v>0.45200000000000001</v>
      </c>
      <c r="E48">
        <v>1523406.09</v>
      </c>
      <c r="F48">
        <v>112127.87</v>
      </c>
      <c r="G48">
        <v>1635533.96</v>
      </c>
      <c r="H48">
        <v>18326.080000000002</v>
      </c>
      <c r="I48">
        <v>67122.39</v>
      </c>
      <c r="J48">
        <v>0.46700000000000003</v>
      </c>
      <c r="K48">
        <v>47117.87</v>
      </c>
      <c r="L48">
        <v>5226.25</v>
      </c>
      <c r="M48">
        <v>0</v>
      </c>
      <c r="N48">
        <v>2022</v>
      </c>
      <c r="O48">
        <v>1</v>
      </c>
    </row>
    <row r="49" spans="1:15" x14ac:dyDescent="0.3">
      <c r="A49">
        <v>37878</v>
      </c>
      <c r="B49">
        <v>3203403</v>
      </c>
      <c r="C49" t="s">
        <v>62</v>
      </c>
      <c r="D49">
        <v>0.51400000000000001</v>
      </c>
      <c r="E49">
        <v>1732526.24</v>
      </c>
      <c r="F49">
        <v>127508.27</v>
      </c>
      <c r="G49">
        <v>1860034.51</v>
      </c>
      <c r="H49">
        <v>20839.830000000002</v>
      </c>
      <c r="I49">
        <v>99037.73</v>
      </c>
      <c r="J49">
        <v>0.85599999999999998</v>
      </c>
      <c r="K49">
        <v>53580.95</v>
      </c>
      <c r="L49">
        <v>9616.5400000000009</v>
      </c>
      <c r="M49">
        <v>0</v>
      </c>
      <c r="N49">
        <v>2022</v>
      </c>
      <c r="O49">
        <v>1</v>
      </c>
    </row>
    <row r="50" spans="1:15" x14ac:dyDescent="0.3">
      <c r="A50">
        <v>37879</v>
      </c>
      <c r="B50">
        <v>3203502</v>
      </c>
      <c r="C50" t="s">
        <v>63</v>
      </c>
      <c r="D50">
        <v>0.53600000000000003</v>
      </c>
      <c r="E50">
        <v>1806976.03</v>
      </c>
      <c r="F50">
        <v>132965.89000000001</v>
      </c>
      <c r="G50">
        <v>1939941.92</v>
      </c>
      <c r="H50">
        <v>21731.81</v>
      </c>
      <c r="I50">
        <v>79180.73</v>
      </c>
      <c r="J50">
        <v>0.69299999999999995</v>
      </c>
      <c r="K50">
        <v>55874.29</v>
      </c>
      <c r="L50">
        <v>7763.84</v>
      </c>
      <c r="M50">
        <v>0</v>
      </c>
      <c r="N50">
        <v>2022</v>
      </c>
      <c r="O50">
        <v>1</v>
      </c>
    </row>
    <row r="51" spans="1:15" x14ac:dyDescent="0.3">
      <c r="A51">
        <v>37880</v>
      </c>
      <c r="B51">
        <v>3203601</v>
      </c>
      <c r="C51" t="s">
        <v>64</v>
      </c>
      <c r="D51">
        <v>0.27800000000000002</v>
      </c>
      <c r="E51">
        <v>938569.39</v>
      </c>
      <c r="F51">
        <v>68963.929999999993</v>
      </c>
      <c r="G51">
        <v>1007533.32</v>
      </c>
      <c r="H51">
        <v>11271.35</v>
      </c>
      <c r="I51">
        <v>17671.66</v>
      </c>
      <c r="J51">
        <v>0.29799999999999999</v>
      </c>
      <c r="K51">
        <v>28979.58</v>
      </c>
      <c r="L51">
        <v>3339.8</v>
      </c>
      <c r="M51">
        <v>0</v>
      </c>
      <c r="N51">
        <v>2022</v>
      </c>
      <c r="O51">
        <v>1</v>
      </c>
    </row>
    <row r="52" spans="1:15" x14ac:dyDescent="0.3">
      <c r="A52">
        <v>37881</v>
      </c>
      <c r="B52">
        <v>3203700</v>
      </c>
      <c r="C52" t="s">
        <v>65</v>
      </c>
      <c r="D52">
        <v>0.55000000000000004</v>
      </c>
      <c r="E52">
        <v>1851737.98</v>
      </c>
      <c r="F52">
        <v>136438.32</v>
      </c>
      <c r="G52">
        <v>1988176.3</v>
      </c>
      <c r="H52">
        <v>22299.43</v>
      </c>
      <c r="I52">
        <v>47528.01</v>
      </c>
      <c r="J52">
        <v>0.67100000000000004</v>
      </c>
      <c r="K52">
        <v>57333.7</v>
      </c>
      <c r="L52">
        <v>7547.73</v>
      </c>
      <c r="M52">
        <v>0</v>
      </c>
      <c r="N52">
        <v>2022</v>
      </c>
      <c r="O52">
        <v>1</v>
      </c>
    </row>
    <row r="53" spans="1:15" x14ac:dyDescent="0.3">
      <c r="A53">
        <v>37882</v>
      </c>
      <c r="B53">
        <v>3203809</v>
      </c>
      <c r="C53" t="s">
        <v>66</v>
      </c>
      <c r="D53">
        <v>0.29599999999999999</v>
      </c>
      <c r="E53">
        <v>998052.34</v>
      </c>
      <c r="F53">
        <v>73428.95</v>
      </c>
      <c r="G53">
        <v>1071481.29</v>
      </c>
      <c r="H53">
        <v>12001.15</v>
      </c>
      <c r="I53">
        <v>44209.3</v>
      </c>
      <c r="J53">
        <v>0.57499999999999996</v>
      </c>
      <c r="K53">
        <v>30855.95</v>
      </c>
      <c r="L53">
        <v>6439.81</v>
      </c>
      <c r="M53">
        <v>0</v>
      </c>
      <c r="N53">
        <v>2022</v>
      </c>
      <c r="O53">
        <v>1</v>
      </c>
    </row>
    <row r="54" spans="1:15" x14ac:dyDescent="0.3">
      <c r="A54">
        <v>37883</v>
      </c>
      <c r="B54">
        <v>3203908</v>
      </c>
      <c r="C54" t="s">
        <v>67</v>
      </c>
      <c r="D54">
        <v>1.268</v>
      </c>
      <c r="E54">
        <v>4273648.3499999996</v>
      </c>
      <c r="F54">
        <v>314553.38</v>
      </c>
      <c r="G54">
        <v>4588201.7300000004</v>
      </c>
      <c r="H54">
        <v>51410.32</v>
      </c>
      <c r="I54">
        <v>187304.21</v>
      </c>
      <c r="J54">
        <v>1.4650000000000001</v>
      </c>
      <c r="K54">
        <v>132180.23000000001</v>
      </c>
      <c r="L54">
        <v>16400.96</v>
      </c>
      <c r="M54">
        <v>0</v>
      </c>
      <c r="N54">
        <v>2022</v>
      </c>
      <c r="O54">
        <v>1</v>
      </c>
    </row>
    <row r="55" spans="1:15" x14ac:dyDescent="0.3">
      <c r="A55">
        <v>37884</v>
      </c>
      <c r="B55">
        <v>3204005</v>
      </c>
      <c r="C55" t="s">
        <v>68</v>
      </c>
      <c r="D55">
        <v>0.47099999999999997</v>
      </c>
      <c r="E55">
        <v>1589212.38</v>
      </c>
      <c r="F55">
        <v>116841.60000000001</v>
      </c>
      <c r="G55">
        <v>1706053.98</v>
      </c>
      <c r="H55">
        <v>19096.419999999998</v>
      </c>
      <c r="I55">
        <v>33555.43</v>
      </c>
      <c r="J55">
        <v>0.747</v>
      </c>
      <c r="K55">
        <v>49098.49</v>
      </c>
      <c r="L55">
        <v>8369.2199999999993</v>
      </c>
      <c r="M55">
        <v>0</v>
      </c>
      <c r="N55">
        <v>2022</v>
      </c>
      <c r="O55">
        <v>1</v>
      </c>
    </row>
    <row r="56" spans="1:15" x14ac:dyDescent="0.3">
      <c r="A56">
        <v>37885</v>
      </c>
      <c r="B56">
        <v>3204054</v>
      </c>
      <c r="C56" t="s">
        <v>69</v>
      </c>
      <c r="D56">
        <v>0.313</v>
      </c>
      <c r="E56">
        <v>1056621.1000000001</v>
      </c>
      <c r="F56">
        <v>77646.44</v>
      </c>
      <c r="G56">
        <v>1134267.54</v>
      </c>
      <c r="H56">
        <v>12690.4</v>
      </c>
      <c r="I56">
        <v>72064.08</v>
      </c>
      <c r="J56">
        <v>0.86199999999999999</v>
      </c>
      <c r="K56">
        <v>32628.09</v>
      </c>
      <c r="L56">
        <v>9653.0300000000007</v>
      </c>
      <c r="M56">
        <v>0</v>
      </c>
      <c r="N56">
        <v>2022</v>
      </c>
      <c r="O56">
        <v>1</v>
      </c>
    </row>
    <row r="57" spans="1:15" x14ac:dyDescent="0.3">
      <c r="A57">
        <v>37886</v>
      </c>
      <c r="B57">
        <v>3204104</v>
      </c>
      <c r="C57" t="s">
        <v>70</v>
      </c>
      <c r="D57">
        <v>0.72599999999999998</v>
      </c>
      <c r="E57">
        <v>2443730.27</v>
      </c>
      <c r="F57">
        <v>180098.48</v>
      </c>
      <c r="G57">
        <v>2623828.75</v>
      </c>
      <c r="H57">
        <v>29435.25</v>
      </c>
      <c r="I57">
        <v>68053.789999999994</v>
      </c>
      <c r="J57">
        <v>0.875</v>
      </c>
      <c r="K57">
        <v>75680.479999999996</v>
      </c>
      <c r="L57">
        <v>9782.84</v>
      </c>
      <c r="M57">
        <v>0</v>
      </c>
      <c r="N57">
        <v>2022</v>
      </c>
      <c r="O57">
        <v>1</v>
      </c>
    </row>
    <row r="58" spans="1:15" x14ac:dyDescent="0.3">
      <c r="A58">
        <v>37887</v>
      </c>
      <c r="B58">
        <v>3204203</v>
      </c>
      <c r="C58" t="s">
        <v>71</v>
      </c>
      <c r="D58">
        <v>0.14599999999999999</v>
      </c>
      <c r="E58">
        <v>493017.97</v>
      </c>
      <c r="F58">
        <v>36218.49</v>
      </c>
      <c r="G58">
        <v>529236.46</v>
      </c>
      <c r="H58">
        <v>5919.49</v>
      </c>
      <c r="I58">
        <v>171663.95</v>
      </c>
      <c r="J58">
        <v>0.73399999999999999</v>
      </c>
      <c r="K58">
        <v>15219.49</v>
      </c>
      <c r="L58">
        <v>8197.2900000000009</v>
      </c>
      <c r="M58">
        <v>0</v>
      </c>
      <c r="N58">
        <v>2022</v>
      </c>
      <c r="O58">
        <v>1</v>
      </c>
    </row>
    <row r="59" spans="1:15" x14ac:dyDescent="0.3">
      <c r="A59">
        <v>37888</v>
      </c>
      <c r="B59">
        <v>3204252</v>
      </c>
      <c r="C59" t="s">
        <v>72</v>
      </c>
      <c r="D59">
        <v>0.221</v>
      </c>
      <c r="E59">
        <v>746149.82</v>
      </c>
      <c r="F59">
        <v>54823.89</v>
      </c>
      <c r="G59">
        <v>800973.71</v>
      </c>
      <c r="H59">
        <v>8960.32</v>
      </c>
      <c r="I59">
        <v>18580.73</v>
      </c>
      <c r="J59">
        <v>0.32900000000000001</v>
      </c>
      <c r="K59">
        <v>23037.72</v>
      </c>
      <c r="L59">
        <v>3675.14</v>
      </c>
      <c r="M59">
        <v>0</v>
      </c>
      <c r="N59">
        <v>2022</v>
      </c>
      <c r="O59">
        <v>1</v>
      </c>
    </row>
    <row r="60" spans="1:15" x14ac:dyDescent="0.3">
      <c r="A60">
        <v>37889</v>
      </c>
      <c r="B60">
        <v>1718402</v>
      </c>
      <c r="C60" t="s">
        <v>73</v>
      </c>
      <c r="D60">
        <v>0.33800000000000002</v>
      </c>
      <c r="E60">
        <v>1139714.3500000001</v>
      </c>
      <c r="F60">
        <v>83847.94</v>
      </c>
      <c r="G60">
        <v>1223562.29</v>
      </c>
      <c r="H60">
        <v>13704.01</v>
      </c>
      <c r="I60">
        <v>151090.54999999999</v>
      </c>
      <c r="J60">
        <v>0.45100000000000001</v>
      </c>
      <c r="K60">
        <v>35234.160000000003</v>
      </c>
      <c r="L60">
        <v>5047.1899999999996</v>
      </c>
      <c r="M60">
        <v>0</v>
      </c>
      <c r="N60">
        <v>2022</v>
      </c>
      <c r="O60">
        <v>1</v>
      </c>
    </row>
    <row r="61" spans="1:15" x14ac:dyDescent="0.3">
      <c r="A61">
        <v>37890</v>
      </c>
      <c r="B61">
        <v>3204351</v>
      </c>
      <c r="C61" t="s">
        <v>74</v>
      </c>
      <c r="D61">
        <v>0.79700000000000004</v>
      </c>
      <c r="E61">
        <v>2685911.19</v>
      </c>
      <c r="F61">
        <v>197712.13</v>
      </c>
      <c r="G61">
        <v>2883623.32</v>
      </c>
      <c r="H61">
        <v>32313.9</v>
      </c>
      <c r="I61">
        <v>46660.13</v>
      </c>
      <c r="J61">
        <v>0.69799999999999995</v>
      </c>
      <c r="K61">
        <v>83081.740000000005</v>
      </c>
      <c r="L61">
        <v>7815.56</v>
      </c>
      <c r="M61">
        <v>0</v>
      </c>
      <c r="N61">
        <v>2022</v>
      </c>
      <c r="O61">
        <v>1</v>
      </c>
    </row>
    <row r="62" spans="1:15" x14ac:dyDescent="0.3">
      <c r="A62">
        <v>37891</v>
      </c>
      <c r="B62">
        <v>3204401</v>
      </c>
      <c r="C62" t="s">
        <v>75</v>
      </c>
      <c r="D62">
        <v>0.27500000000000002</v>
      </c>
      <c r="E62">
        <v>926729.55</v>
      </c>
      <c r="F62">
        <v>68219.360000000001</v>
      </c>
      <c r="G62">
        <v>994948.91</v>
      </c>
      <c r="H62">
        <v>11149.72</v>
      </c>
      <c r="I62">
        <v>42235.57</v>
      </c>
      <c r="J62">
        <v>0.45</v>
      </c>
      <c r="K62">
        <v>28666.85</v>
      </c>
      <c r="L62">
        <v>5042.8</v>
      </c>
      <c r="M62">
        <v>0</v>
      </c>
      <c r="N62">
        <v>2022</v>
      </c>
      <c r="O62">
        <v>1</v>
      </c>
    </row>
    <row r="63" spans="1:15" x14ac:dyDescent="0.3">
      <c r="A63">
        <v>37892</v>
      </c>
      <c r="B63">
        <v>3204500</v>
      </c>
      <c r="C63" t="s">
        <v>76</v>
      </c>
      <c r="D63">
        <v>0.53800000000000003</v>
      </c>
      <c r="E63">
        <v>1811181.17</v>
      </c>
      <c r="F63">
        <v>133461.48000000001</v>
      </c>
      <c r="G63">
        <v>1944642.65</v>
      </c>
      <c r="H63">
        <v>21812.9</v>
      </c>
      <c r="I63">
        <v>31441.62</v>
      </c>
      <c r="J63">
        <v>0.45600000000000002</v>
      </c>
      <c r="K63">
        <v>56082.78</v>
      </c>
      <c r="L63">
        <v>5121.1400000000003</v>
      </c>
      <c r="M63">
        <v>0</v>
      </c>
      <c r="N63">
        <v>2022</v>
      </c>
      <c r="O63">
        <v>1</v>
      </c>
    </row>
    <row r="64" spans="1:15" x14ac:dyDescent="0.3">
      <c r="A64">
        <v>37893</v>
      </c>
      <c r="B64">
        <v>3204559</v>
      </c>
      <c r="C64" t="s">
        <v>77</v>
      </c>
      <c r="D64">
        <v>2.1160000000000001</v>
      </c>
      <c r="E64">
        <v>7147723.4199999999</v>
      </c>
      <c r="F64">
        <v>524920.63</v>
      </c>
      <c r="G64">
        <v>7672644.0499999998</v>
      </c>
      <c r="H64">
        <v>85791.99</v>
      </c>
      <c r="I64">
        <v>379633.29</v>
      </c>
      <c r="J64">
        <v>1.1990000000000001</v>
      </c>
      <c r="K64">
        <v>220578.37</v>
      </c>
      <c r="L64">
        <v>13384.78</v>
      </c>
      <c r="M64">
        <v>0</v>
      </c>
      <c r="N64">
        <v>2022</v>
      </c>
      <c r="O64">
        <v>1</v>
      </c>
    </row>
    <row r="65" spans="1:15" x14ac:dyDescent="0.3">
      <c r="A65">
        <v>37894</v>
      </c>
      <c r="B65">
        <v>3204609</v>
      </c>
      <c r="C65" t="s">
        <v>78</v>
      </c>
      <c r="D65">
        <v>0.68799999999999994</v>
      </c>
      <c r="E65">
        <v>2320805.15</v>
      </c>
      <c r="F65">
        <v>170672.92</v>
      </c>
      <c r="G65">
        <v>2491478.0699999998</v>
      </c>
      <c r="H65">
        <v>27894.560000000001</v>
      </c>
      <c r="I65">
        <v>106159.39</v>
      </c>
      <c r="J65">
        <v>0.82899999999999996</v>
      </c>
      <c r="K65">
        <v>71719.240000000005</v>
      </c>
      <c r="L65">
        <v>9288.4599999999991</v>
      </c>
      <c r="M65">
        <v>0</v>
      </c>
      <c r="N65">
        <v>2022</v>
      </c>
      <c r="O65">
        <v>1</v>
      </c>
    </row>
    <row r="66" spans="1:15" x14ac:dyDescent="0.3">
      <c r="A66">
        <v>37895</v>
      </c>
      <c r="B66">
        <v>3204658</v>
      </c>
      <c r="C66" t="s">
        <v>79</v>
      </c>
      <c r="D66">
        <v>0.42399999999999999</v>
      </c>
      <c r="E66">
        <v>1432488.87</v>
      </c>
      <c r="F66">
        <v>105182.65</v>
      </c>
      <c r="G66">
        <v>1537671.52</v>
      </c>
      <c r="H66">
        <v>17190.830000000002</v>
      </c>
      <c r="I66">
        <v>17059.37</v>
      </c>
      <c r="J66">
        <v>0.33700000000000002</v>
      </c>
      <c r="K66">
        <v>44199.07</v>
      </c>
      <c r="L66">
        <v>3777.64</v>
      </c>
      <c r="M66">
        <v>0</v>
      </c>
      <c r="N66">
        <v>2022</v>
      </c>
      <c r="O66">
        <v>1</v>
      </c>
    </row>
    <row r="67" spans="1:15" x14ac:dyDescent="0.3">
      <c r="A67">
        <v>37896</v>
      </c>
      <c r="B67">
        <v>3204708</v>
      </c>
      <c r="C67" t="s">
        <v>80</v>
      </c>
      <c r="D67">
        <v>0.81499999999999995</v>
      </c>
      <c r="E67">
        <v>2741869.96</v>
      </c>
      <c r="F67">
        <v>202176.34</v>
      </c>
      <c r="G67">
        <v>2944046.3</v>
      </c>
      <c r="H67">
        <v>33043.699999999997</v>
      </c>
      <c r="I67">
        <v>107946.41</v>
      </c>
      <c r="J67">
        <v>1.169</v>
      </c>
      <c r="K67">
        <v>84958.11</v>
      </c>
      <c r="L67">
        <v>13042.71</v>
      </c>
      <c r="M67">
        <v>0</v>
      </c>
      <c r="N67">
        <v>2022</v>
      </c>
      <c r="O67">
        <v>1</v>
      </c>
    </row>
    <row r="68" spans="1:15" x14ac:dyDescent="0.3">
      <c r="A68">
        <v>37897</v>
      </c>
      <c r="B68">
        <v>3204807</v>
      </c>
      <c r="C68" t="s">
        <v>81</v>
      </c>
      <c r="D68">
        <v>0.23</v>
      </c>
      <c r="E68">
        <v>775030.76</v>
      </c>
      <c r="F68">
        <v>57056.2</v>
      </c>
      <c r="G68">
        <v>832086.96</v>
      </c>
      <c r="H68">
        <v>9325.2199999999993</v>
      </c>
      <c r="I68">
        <v>48544.62</v>
      </c>
      <c r="J68">
        <v>0.436</v>
      </c>
      <c r="K68">
        <v>23975.91</v>
      </c>
      <c r="L68">
        <v>4894.6099999999997</v>
      </c>
      <c r="M68">
        <v>0</v>
      </c>
      <c r="N68">
        <v>2022</v>
      </c>
      <c r="O68">
        <v>1</v>
      </c>
    </row>
    <row r="69" spans="1:15" x14ac:dyDescent="0.3">
      <c r="A69">
        <v>37898</v>
      </c>
      <c r="B69">
        <v>3204906</v>
      </c>
      <c r="C69" t="s">
        <v>82</v>
      </c>
      <c r="D69">
        <v>1.8839999999999999</v>
      </c>
      <c r="E69">
        <v>6347752.2800000003</v>
      </c>
      <c r="F69">
        <v>467364.35</v>
      </c>
      <c r="G69">
        <v>6815116.6299999999</v>
      </c>
      <c r="H69">
        <v>76385.69</v>
      </c>
      <c r="I69">
        <v>505430.27</v>
      </c>
      <c r="J69">
        <v>3.024</v>
      </c>
      <c r="K69">
        <v>196393.97</v>
      </c>
      <c r="L69">
        <v>33714.120000000003</v>
      </c>
      <c r="M69">
        <v>0</v>
      </c>
      <c r="N69">
        <v>2022</v>
      </c>
      <c r="O69">
        <v>1</v>
      </c>
    </row>
    <row r="70" spans="1:15" x14ac:dyDescent="0.3">
      <c r="A70">
        <v>37899</v>
      </c>
      <c r="B70">
        <v>3204955</v>
      </c>
      <c r="C70" t="s">
        <v>83</v>
      </c>
      <c r="D70">
        <v>0.32600000000000001</v>
      </c>
      <c r="E70">
        <v>1099731.24</v>
      </c>
      <c r="F70">
        <v>80871.22</v>
      </c>
      <c r="G70">
        <v>1180602.46</v>
      </c>
      <c r="H70">
        <v>13217.48</v>
      </c>
      <c r="I70">
        <v>48710.77</v>
      </c>
      <c r="J70">
        <v>0.46100000000000002</v>
      </c>
      <c r="K70">
        <v>33983.25</v>
      </c>
      <c r="L70">
        <v>5164.09</v>
      </c>
      <c r="M70">
        <v>0</v>
      </c>
      <c r="N70">
        <v>2022</v>
      </c>
      <c r="O70">
        <v>1</v>
      </c>
    </row>
    <row r="71" spans="1:15" x14ac:dyDescent="0.3">
      <c r="A71">
        <v>37900</v>
      </c>
      <c r="B71">
        <v>3205002</v>
      </c>
      <c r="C71" t="s">
        <v>84</v>
      </c>
      <c r="D71">
        <v>14.176</v>
      </c>
      <c r="E71">
        <v>47723423.210000001</v>
      </c>
      <c r="F71">
        <v>3516635.19</v>
      </c>
      <c r="G71">
        <v>51240058.399999999</v>
      </c>
      <c r="H71">
        <v>574757.68999999994</v>
      </c>
      <c r="I71">
        <v>2137604.7200000002</v>
      </c>
      <c r="J71">
        <v>8.4320000000000004</v>
      </c>
      <c r="K71">
        <v>1477749.97</v>
      </c>
      <c r="L71">
        <v>93596.45</v>
      </c>
      <c r="M71">
        <v>0</v>
      </c>
      <c r="N71">
        <v>2022</v>
      </c>
      <c r="O71">
        <v>1</v>
      </c>
    </row>
    <row r="72" spans="1:15" x14ac:dyDescent="0.3">
      <c r="A72">
        <v>37901</v>
      </c>
      <c r="B72">
        <v>3205010</v>
      </c>
      <c r="C72" t="s">
        <v>85</v>
      </c>
      <c r="D72">
        <v>0.72199999999999998</v>
      </c>
      <c r="E72">
        <v>2433844.7999999998</v>
      </c>
      <c r="F72">
        <v>179106.99</v>
      </c>
      <c r="G72">
        <v>2612951.79</v>
      </c>
      <c r="H72">
        <v>29273.07</v>
      </c>
      <c r="I72">
        <v>69173.460000000006</v>
      </c>
      <c r="J72">
        <v>0.997</v>
      </c>
      <c r="K72">
        <v>75263.509999999995</v>
      </c>
      <c r="L72">
        <v>11104.8</v>
      </c>
      <c r="M72">
        <v>0</v>
      </c>
      <c r="N72">
        <v>2022</v>
      </c>
      <c r="O72">
        <v>1</v>
      </c>
    </row>
    <row r="73" spans="1:15" x14ac:dyDescent="0.3">
      <c r="A73">
        <v>37902</v>
      </c>
      <c r="B73">
        <v>3205036</v>
      </c>
      <c r="C73" t="s">
        <v>86</v>
      </c>
      <c r="D73">
        <v>0.498</v>
      </c>
      <c r="E73">
        <v>1677904.09</v>
      </c>
      <c r="F73">
        <v>123538.98</v>
      </c>
      <c r="G73">
        <v>1801443.07</v>
      </c>
      <c r="H73">
        <v>20191.12</v>
      </c>
      <c r="I73">
        <v>85874.72</v>
      </c>
      <c r="J73">
        <v>0.72699999999999998</v>
      </c>
      <c r="K73">
        <v>51913.06</v>
      </c>
      <c r="L73">
        <v>8133.9</v>
      </c>
      <c r="M73">
        <v>0</v>
      </c>
      <c r="N73">
        <v>2022</v>
      </c>
      <c r="O73">
        <v>1</v>
      </c>
    </row>
    <row r="74" spans="1:15" x14ac:dyDescent="0.3">
      <c r="A74">
        <v>37903</v>
      </c>
      <c r="B74">
        <v>3205069</v>
      </c>
      <c r="C74" t="s">
        <v>87</v>
      </c>
      <c r="D74">
        <v>0.75800000000000001</v>
      </c>
      <c r="E74">
        <v>2553630.25</v>
      </c>
      <c r="F74">
        <v>188037.2</v>
      </c>
      <c r="G74">
        <v>2741667.45</v>
      </c>
      <c r="H74">
        <v>30732.67</v>
      </c>
      <c r="I74">
        <v>145317.49</v>
      </c>
      <c r="J74">
        <v>0.85799999999999998</v>
      </c>
      <c r="K74">
        <v>79016.259999999995</v>
      </c>
      <c r="L74">
        <v>9565.76</v>
      </c>
      <c r="M74">
        <v>0</v>
      </c>
      <c r="N74">
        <v>2022</v>
      </c>
      <c r="O74">
        <v>1</v>
      </c>
    </row>
    <row r="75" spans="1:15" x14ac:dyDescent="0.3">
      <c r="A75">
        <v>37904</v>
      </c>
      <c r="B75">
        <v>2112803</v>
      </c>
      <c r="C75" t="s">
        <v>88</v>
      </c>
      <c r="D75">
        <v>2.9929999999999999</v>
      </c>
      <c r="E75">
        <v>10034458.789999999</v>
      </c>
      <c r="F75">
        <v>742463.38</v>
      </c>
      <c r="G75">
        <v>10776922.17</v>
      </c>
      <c r="H75">
        <v>121349.45</v>
      </c>
      <c r="I75">
        <v>272354.8</v>
      </c>
      <c r="J75">
        <v>1.984</v>
      </c>
      <c r="K75">
        <v>311999.55</v>
      </c>
      <c r="L75">
        <v>22112.94</v>
      </c>
      <c r="M75">
        <v>0</v>
      </c>
      <c r="N75">
        <v>2022</v>
      </c>
      <c r="O75">
        <v>1</v>
      </c>
    </row>
    <row r="76" spans="1:15" x14ac:dyDescent="0.3">
      <c r="A76">
        <v>37905</v>
      </c>
      <c r="B76">
        <v>3205150</v>
      </c>
      <c r="C76" t="s">
        <v>89</v>
      </c>
      <c r="D76">
        <v>0.32800000000000001</v>
      </c>
      <c r="E76">
        <v>1106231.18</v>
      </c>
      <c r="F76">
        <v>81367.27</v>
      </c>
      <c r="G76">
        <v>1187598.45</v>
      </c>
      <c r="H76">
        <v>13298.57</v>
      </c>
      <c r="I76">
        <v>29610.82</v>
      </c>
      <c r="J76">
        <v>0.34399999999999997</v>
      </c>
      <c r="K76">
        <v>34191.730000000003</v>
      </c>
      <c r="L76">
        <v>3854.07</v>
      </c>
      <c r="M76">
        <v>0</v>
      </c>
      <c r="N76">
        <v>2022</v>
      </c>
      <c r="O76">
        <v>1</v>
      </c>
    </row>
    <row r="77" spans="1:15" x14ac:dyDescent="0.3">
      <c r="A77">
        <v>37906</v>
      </c>
      <c r="B77">
        <v>3205176</v>
      </c>
      <c r="C77" t="s">
        <v>90</v>
      </c>
      <c r="D77">
        <v>0.623</v>
      </c>
      <c r="E77">
        <v>2100746.6800000002</v>
      </c>
      <c r="F77">
        <v>154548.13</v>
      </c>
      <c r="G77">
        <v>2255294.81</v>
      </c>
      <c r="H77">
        <v>25259.17</v>
      </c>
      <c r="I77">
        <v>61489.26</v>
      </c>
      <c r="J77">
        <v>0.55600000000000005</v>
      </c>
      <c r="K77">
        <v>64943.44</v>
      </c>
      <c r="L77">
        <v>6240.44</v>
      </c>
      <c r="M77">
        <v>0</v>
      </c>
      <c r="N77">
        <v>2022</v>
      </c>
      <c r="O77">
        <v>1</v>
      </c>
    </row>
    <row r="78" spans="1:15" x14ac:dyDescent="0.3">
      <c r="A78">
        <v>37907</v>
      </c>
      <c r="B78">
        <v>3205200</v>
      </c>
      <c r="C78" t="s">
        <v>91</v>
      </c>
      <c r="D78">
        <v>5.3819999999999997</v>
      </c>
      <c r="E78">
        <v>18167322.210000001</v>
      </c>
      <c r="F78">
        <v>1335121.45</v>
      </c>
      <c r="G78">
        <v>19502443.66</v>
      </c>
      <c r="H78">
        <v>218210.06</v>
      </c>
      <c r="I78">
        <v>2885968.02</v>
      </c>
      <c r="J78">
        <v>8.09</v>
      </c>
      <c r="K78">
        <v>561036.28</v>
      </c>
      <c r="L78">
        <v>90040.6</v>
      </c>
      <c r="M78">
        <v>0</v>
      </c>
      <c r="N78">
        <v>2022</v>
      </c>
      <c r="O78">
        <v>1</v>
      </c>
    </row>
    <row r="79" spans="1:15" x14ac:dyDescent="0.3">
      <c r="A79">
        <v>37908</v>
      </c>
      <c r="B79">
        <v>3205309</v>
      </c>
      <c r="C79" t="s">
        <v>92</v>
      </c>
      <c r="D79">
        <v>14.535</v>
      </c>
      <c r="E79">
        <v>49132387.979999997</v>
      </c>
      <c r="F79">
        <v>3605735.71</v>
      </c>
      <c r="G79">
        <v>52738123.689999998</v>
      </c>
      <c r="H79">
        <v>589313.13</v>
      </c>
      <c r="I79">
        <v>3348357.94</v>
      </c>
      <c r="J79">
        <v>9.4969999999999999</v>
      </c>
      <c r="K79">
        <v>1515173.23</v>
      </c>
      <c r="L79">
        <v>105963.28</v>
      </c>
      <c r="M79">
        <v>0</v>
      </c>
      <c r="N79">
        <v>2022</v>
      </c>
      <c r="O79">
        <v>1</v>
      </c>
    </row>
    <row r="80" spans="1:15" x14ac:dyDescent="0.3">
      <c r="A80">
        <v>37909</v>
      </c>
      <c r="B80">
        <v>3200102</v>
      </c>
      <c r="C80" t="s">
        <v>15</v>
      </c>
      <c r="D80">
        <v>0.79800000000000004</v>
      </c>
      <c r="E80">
        <v>2076373.81</v>
      </c>
      <c r="F80">
        <v>23916.99</v>
      </c>
      <c r="G80">
        <v>2100290.7999999998</v>
      </c>
      <c r="H80">
        <v>45580.01</v>
      </c>
      <c r="I80">
        <v>85544.35</v>
      </c>
      <c r="J80">
        <v>0.99299999999999999</v>
      </c>
      <c r="K80">
        <v>49592.91</v>
      </c>
      <c r="L80">
        <v>0</v>
      </c>
      <c r="M80">
        <v>0</v>
      </c>
      <c r="N80">
        <v>2022</v>
      </c>
      <c r="O80">
        <v>2</v>
      </c>
    </row>
    <row r="81" spans="1:15" x14ac:dyDescent="0.3">
      <c r="A81">
        <v>37910</v>
      </c>
      <c r="B81">
        <v>3200169</v>
      </c>
      <c r="C81" t="s">
        <v>16</v>
      </c>
      <c r="D81">
        <v>0.29799999999999999</v>
      </c>
      <c r="E81">
        <v>775391.19</v>
      </c>
      <c r="F81">
        <v>8931.41</v>
      </c>
      <c r="G81">
        <v>784322.6</v>
      </c>
      <c r="H81">
        <v>17021.11</v>
      </c>
      <c r="I81">
        <v>15477.22</v>
      </c>
      <c r="J81">
        <v>0.443</v>
      </c>
      <c r="K81">
        <v>18519.66</v>
      </c>
      <c r="L81">
        <v>0</v>
      </c>
      <c r="M81">
        <v>0</v>
      </c>
      <c r="N81">
        <v>2022</v>
      </c>
      <c r="O81">
        <v>2</v>
      </c>
    </row>
    <row r="82" spans="1:15" x14ac:dyDescent="0.3">
      <c r="A82">
        <v>37911</v>
      </c>
      <c r="B82">
        <v>3200136</v>
      </c>
      <c r="C82" t="s">
        <v>17</v>
      </c>
      <c r="D82">
        <v>0.42499999999999999</v>
      </c>
      <c r="E82">
        <v>1105818.5900000001</v>
      </c>
      <c r="F82">
        <v>12737.73</v>
      </c>
      <c r="G82">
        <v>1118556.32</v>
      </c>
      <c r="H82">
        <v>24275.07</v>
      </c>
      <c r="I82">
        <v>15948.79</v>
      </c>
      <c r="J82">
        <v>0.35</v>
      </c>
      <c r="K82">
        <v>26412.26</v>
      </c>
      <c r="L82">
        <v>0</v>
      </c>
      <c r="M82">
        <v>0</v>
      </c>
      <c r="N82">
        <v>2022</v>
      </c>
      <c r="O82">
        <v>2</v>
      </c>
    </row>
    <row r="83" spans="1:15" x14ac:dyDescent="0.3">
      <c r="A83">
        <v>37912</v>
      </c>
      <c r="B83">
        <v>3200201</v>
      </c>
      <c r="C83" t="s">
        <v>18</v>
      </c>
      <c r="D83">
        <v>0.48399999999999999</v>
      </c>
      <c r="E83">
        <v>1259383.0900000001</v>
      </c>
      <c r="F83">
        <v>14506.03</v>
      </c>
      <c r="G83">
        <v>1273889.1200000001</v>
      </c>
      <c r="H83">
        <v>27645.02</v>
      </c>
      <c r="I83">
        <v>71031.13</v>
      </c>
      <c r="J83">
        <v>0.98699999999999999</v>
      </c>
      <c r="K83">
        <v>30078.91</v>
      </c>
      <c r="L83">
        <v>0</v>
      </c>
      <c r="M83">
        <v>0</v>
      </c>
      <c r="N83">
        <v>2022</v>
      </c>
      <c r="O83">
        <v>2</v>
      </c>
    </row>
    <row r="84" spans="1:15" x14ac:dyDescent="0.3">
      <c r="A84">
        <v>37913</v>
      </c>
      <c r="B84">
        <v>3200300</v>
      </c>
      <c r="C84" t="s">
        <v>19</v>
      </c>
      <c r="D84">
        <v>0.48</v>
      </c>
      <c r="E84">
        <v>1248963.1200000001</v>
      </c>
      <c r="F84">
        <v>14386.13</v>
      </c>
      <c r="G84">
        <v>1263349.25</v>
      </c>
      <c r="H84">
        <v>27416.55</v>
      </c>
      <c r="I84">
        <v>71918.69</v>
      </c>
      <c r="J84">
        <v>0.56599999999999995</v>
      </c>
      <c r="K84">
        <v>29830.32</v>
      </c>
      <c r="L84">
        <v>0</v>
      </c>
      <c r="M84">
        <v>0</v>
      </c>
      <c r="N84">
        <v>2022</v>
      </c>
      <c r="O84">
        <v>2</v>
      </c>
    </row>
    <row r="85" spans="1:15" x14ac:dyDescent="0.3">
      <c r="A85">
        <v>37914</v>
      </c>
      <c r="B85">
        <v>3200359</v>
      </c>
      <c r="C85" t="s">
        <v>20</v>
      </c>
      <c r="D85">
        <v>0.22900000000000001</v>
      </c>
      <c r="E85">
        <v>595840.84</v>
      </c>
      <c r="F85">
        <v>6863.42</v>
      </c>
      <c r="G85">
        <v>602704.26</v>
      </c>
      <c r="H85">
        <v>13079.98</v>
      </c>
      <c r="I85">
        <v>8890.91</v>
      </c>
      <c r="J85">
        <v>0.32900000000000001</v>
      </c>
      <c r="K85">
        <v>14231.55</v>
      </c>
      <c r="L85">
        <v>0</v>
      </c>
      <c r="M85">
        <v>0</v>
      </c>
      <c r="N85">
        <v>2022</v>
      </c>
      <c r="O85">
        <v>2</v>
      </c>
    </row>
    <row r="86" spans="1:15" x14ac:dyDescent="0.3">
      <c r="A86">
        <v>37915</v>
      </c>
      <c r="B86">
        <v>3200409</v>
      </c>
      <c r="C86" t="s">
        <v>21</v>
      </c>
      <c r="D86">
        <v>2.5979999999999999</v>
      </c>
      <c r="E86">
        <v>6759903.5300000003</v>
      </c>
      <c r="F86">
        <v>77865.009999999995</v>
      </c>
      <c r="G86">
        <v>6837768.54</v>
      </c>
      <c r="H86">
        <v>148392.04999999999</v>
      </c>
      <c r="I86">
        <v>104235.46</v>
      </c>
      <c r="J86">
        <v>0.90700000000000003</v>
      </c>
      <c r="K86">
        <v>161456.62</v>
      </c>
      <c r="L86">
        <v>0</v>
      </c>
      <c r="M86">
        <v>0</v>
      </c>
      <c r="N86">
        <v>2022</v>
      </c>
      <c r="O86">
        <v>2</v>
      </c>
    </row>
    <row r="87" spans="1:15" x14ac:dyDescent="0.3">
      <c r="A87">
        <v>37916</v>
      </c>
      <c r="B87">
        <v>3200508</v>
      </c>
      <c r="C87" t="s">
        <v>22</v>
      </c>
      <c r="D87">
        <v>0.19500000000000001</v>
      </c>
      <c r="E87">
        <v>507377.85</v>
      </c>
      <c r="F87">
        <v>5844.37</v>
      </c>
      <c r="G87">
        <v>513222.22</v>
      </c>
      <c r="H87">
        <v>11137.97</v>
      </c>
      <c r="I87">
        <v>44325.5</v>
      </c>
      <c r="J87">
        <v>0.32500000000000001</v>
      </c>
      <c r="K87">
        <v>12118.57</v>
      </c>
      <c r="L87">
        <v>0</v>
      </c>
      <c r="M87">
        <v>0</v>
      </c>
      <c r="N87">
        <v>2022</v>
      </c>
      <c r="O87">
        <v>2</v>
      </c>
    </row>
    <row r="88" spans="1:15" x14ac:dyDescent="0.3">
      <c r="A88">
        <v>37917</v>
      </c>
      <c r="B88">
        <v>3200607</v>
      </c>
      <c r="C88" t="s">
        <v>23</v>
      </c>
      <c r="D88">
        <v>5.18</v>
      </c>
      <c r="E88">
        <v>13476199.5</v>
      </c>
      <c r="F88">
        <v>155250.48000000001</v>
      </c>
      <c r="G88">
        <v>13631449.98</v>
      </c>
      <c r="H88">
        <v>295870.21999999997</v>
      </c>
      <c r="I88">
        <v>271019</v>
      </c>
      <c r="J88">
        <v>2.5049999999999999</v>
      </c>
      <c r="K88">
        <v>321918.89</v>
      </c>
      <c r="L88">
        <v>0</v>
      </c>
      <c r="M88">
        <v>0</v>
      </c>
      <c r="N88">
        <v>2022</v>
      </c>
      <c r="O88">
        <v>2</v>
      </c>
    </row>
    <row r="89" spans="1:15" x14ac:dyDescent="0.3">
      <c r="A89">
        <v>37918</v>
      </c>
      <c r="B89">
        <v>3200706</v>
      </c>
      <c r="C89" t="s">
        <v>24</v>
      </c>
      <c r="D89">
        <v>0.36899999999999999</v>
      </c>
      <c r="E89">
        <v>960127.1</v>
      </c>
      <c r="F89">
        <v>11059.34</v>
      </c>
      <c r="G89">
        <v>971186.44</v>
      </c>
      <c r="H89">
        <v>21076.47</v>
      </c>
      <c r="I89">
        <v>22620.94</v>
      </c>
      <c r="J89">
        <v>0.45800000000000002</v>
      </c>
      <c r="K89">
        <v>22932.06</v>
      </c>
      <c r="L89">
        <v>0</v>
      </c>
      <c r="M89">
        <v>0</v>
      </c>
      <c r="N89">
        <v>2022</v>
      </c>
      <c r="O89">
        <v>2</v>
      </c>
    </row>
    <row r="90" spans="1:15" x14ac:dyDescent="0.3">
      <c r="A90">
        <v>37919</v>
      </c>
      <c r="B90">
        <v>3200805</v>
      </c>
      <c r="C90" t="s">
        <v>25</v>
      </c>
      <c r="D90">
        <v>0.65900000000000003</v>
      </c>
      <c r="E90">
        <v>1714714.94</v>
      </c>
      <c r="F90">
        <v>19750.990000000002</v>
      </c>
      <c r="G90">
        <v>1734465.93</v>
      </c>
      <c r="H90">
        <v>37640.629999999997</v>
      </c>
      <c r="I90">
        <v>117347.08</v>
      </c>
      <c r="J90">
        <v>1.0009999999999999</v>
      </c>
      <c r="K90">
        <v>40954.550000000003</v>
      </c>
      <c r="L90">
        <v>0</v>
      </c>
      <c r="M90">
        <v>0</v>
      </c>
      <c r="N90">
        <v>2022</v>
      </c>
      <c r="O90">
        <v>2</v>
      </c>
    </row>
    <row r="91" spans="1:15" x14ac:dyDescent="0.3">
      <c r="A91">
        <v>37920</v>
      </c>
      <c r="B91">
        <v>3200904</v>
      </c>
      <c r="C91" t="s">
        <v>26</v>
      </c>
      <c r="D91">
        <v>0.90600000000000003</v>
      </c>
      <c r="E91">
        <v>2357399.92</v>
      </c>
      <c r="F91">
        <v>27153.87</v>
      </c>
      <c r="G91">
        <v>2384553.79</v>
      </c>
      <c r="H91">
        <v>51748.73</v>
      </c>
      <c r="I91">
        <v>107447.13</v>
      </c>
      <c r="J91">
        <v>1.3260000000000001</v>
      </c>
      <c r="K91">
        <v>56304.73</v>
      </c>
      <c r="L91">
        <v>0</v>
      </c>
      <c r="M91">
        <v>0</v>
      </c>
      <c r="N91">
        <v>2022</v>
      </c>
      <c r="O91">
        <v>2</v>
      </c>
    </row>
    <row r="92" spans="1:15" x14ac:dyDescent="0.3">
      <c r="A92">
        <v>37921</v>
      </c>
      <c r="B92">
        <v>3107109</v>
      </c>
      <c r="C92" t="s">
        <v>27</v>
      </c>
      <c r="D92">
        <v>0.41399999999999998</v>
      </c>
      <c r="E92">
        <v>1077194.17</v>
      </c>
      <c r="F92">
        <v>12408.04</v>
      </c>
      <c r="G92">
        <v>1089602.21</v>
      </c>
      <c r="H92">
        <v>23646.77</v>
      </c>
      <c r="I92">
        <v>26727.33</v>
      </c>
      <c r="J92">
        <v>0.57199999999999995</v>
      </c>
      <c r="K92">
        <v>25728.65</v>
      </c>
      <c r="L92">
        <v>0</v>
      </c>
      <c r="M92">
        <v>0</v>
      </c>
      <c r="N92">
        <v>2022</v>
      </c>
      <c r="O92">
        <v>2</v>
      </c>
    </row>
    <row r="93" spans="1:15" x14ac:dyDescent="0.3">
      <c r="A93">
        <v>37922</v>
      </c>
      <c r="B93">
        <v>3201100</v>
      </c>
      <c r="C93" t="s">
        <v>28</v>
      </c>
      <c r="D93">
        <v>0.17</v>
      </c>
      <c r="E93">
        <v>442341.49</v>
      </c>
      <c r="F93">
        <v>5095.1000000000004</v>
      </c>
      <c r="G93">
        <v>447436.59</v>
      </c>
      <c r="H93">
        <v>9710.0300000000007</v>
      </c>
      <c r="I93">
        <v>135643.37</v>
      </c>
      <c r="J93">
        <v>0.432</v>
      </c>
      <c r="K93">
        <v>10564.91</v>
      </c>
      <c r="L93">
        <v>0</v>
      </c>
      <c r="M93">
        <v>0</v>
      </c>
      <c r="N93">
        <v>2022</v>
      </c>
      <c r="O93">
        <v>2</v>
      </c>
    </row>
    <row r="94" spans="1:15" x14ac:dyDescent="0.3">
      <c r="A94">
        <v>37923</v>
      </c>
      <c r="B94">
        <v>3201159</v>
      </c>
      <c r="C94" t="s">
        <v>29</v>
      </c>
      <c r="D94">
        <v>0.438</v>
      </c>
      <c r="E94">
        <v>1139649.97</v>
      </c>
      <c r="F94">
        <v>13127.35</v>
      </c>
      <c r="G94">
        <v>1152777.32</v>
      </c>
      <c r="H94">
        <v>25017.599999999999</v>
      </c>
      <c r="I94">
        <v>29712.32</v>
      </c>
      <c r="J94">
        <v>0.46200000000000002</v>
      </c>
      <c r="K94">
        <v>27220.17</v>
      </c>
      <c r="L94">
        <v>0</v>
      </c>
      <c r="M94">
        <v>0</v>
      </c>
      <c r="N94">
        <v>2022</v>
      </c>
      <c r="O94">
        <v>2</v>
      </c>
    </row>
    <row r="95" spans="1:15" x14ac:dyDescent="0.3">
      <c r="A95">
        <v>37924</v>
      </c>
      <c r="B95">
        <v>3201209</v>
      </c>
      <c r="C95" t="s">
        <v>30</v>
      </c>
      <c r="D95">
        <v>3.1120000000000001</v>
      </c>
      <c r="E95">
        <v>8097513.8899999997</v>
      </c>
      <c r="F95">
        <v>93270.18</v>
      </c>
      <c r="G95">
        <v>8190784.0700000003</v>
      </c>
      <c r="H95">
        <v>177750.6</v>
      </c>
      <c r="I95">
        <v>705421.23</v>
      </c>
      <c r="J95">
        <v>4.4960000000000004</v>
      </c>
      <c r="K95">
        <v>193399.92</v>
      </c>
      <c r="L95">
        <v>0</v>
      </c>
      <c r="M95">
        <v>0</v>
      </c>
      <c r="N95">
        <v>2022</v>
      </c>
      <c r="O95">
        <v>2</v>
      </c>
    </row>
    <row r="96" spans="1:15" x14ac:dyDescent="0.3">
      <c r="A96">
        <v>37925</v>
      </c>
      <c r="B96">
        <v>3201308</v>
      </c>
      <c r="C96" t="s">
        <v>31</v>
      </c>
      <c r="D96">
        <v>6.5140000000000002</v>
      </c>
      <c r="E96">
        <v>16948523.539999999</v>
      </c>
      <c r="F96">
        <v>195231.96</v>
      </c>
      <c r="G96">
        <v>17143755.5</v>
      </c>
      <c r="H96">
        <v>372065.37</v>
      </c>
      <c r="I96">
        <v>1798570.37</v>
      </c>
      <c r="J96">
        <v>6.6289999999999996</v>
      </c>
      <c r="K96">
        <v>404822.33</v>
      </c>
      <c r="L96">
        <v>0</v>
      </c>
      <c r="M96">
        <v>0</v>
      </c>
      <c r="N96">
        <v>2022</v>
      </c>
      <c r="O96">
        <v>2</v>
      </c>
    </row>
    <row r="97" spans="1:15" x14ac:dyDescent="0.3">
      <c r="A97">
        <v>37926</v>
      </c>
      <c r="B97">
        <v>3201407</v>
      </c>
      <c r="C97" t="s">
        <v>32</v>
      </c>
      <c r="D97">
        <v>0.93600000000000005</v>
      </c>
      <c r="E97">
        <v>2435419.5299999998</v>
      </c>
      <c r="F97">
        <v>28052.97</v>
      </c>
      <c r="G97">
        <v>2463472.5</v>
      </c>
      <c r="H97">
        <v>53462.26</v>
      </c>
      <c r="I97">
        <v>181303.99</v>
      </c>
      <c r="J97">
        <v>1.1599999999999999</v>
      </c>
      <c r="K97">
        <v>58169.13</v>
      </c>
      <c r="L97">
        <v>0</v>
      </c>
      <c r="M97">
        <v>0</v>
      </c>
      <c r="N97">
        <v>2022</v>
      </c>
      <c r="O97">
        <v>2</v>
      </c>
    </row>
    <row r="98" spans="1:15" x14ac:dyDescent="0.3">
      <c r="A98">
        <v>37927</v>
      </c>
      <c r="B98">
        <v>3201506</v>
      </c>
      <c r="C98" t="s">
        <v>33</v>
      </c>
      <c r="D98">
        <v>2.2010000000000001</v>
      </c>
      <c r="E98">
        <v>5726931.2000000002</v>
      </c>
      <c r="F98">
        <v>65966.460000000006</v>
      </c>
      <c r="G98">
        <v>5792897.6600000001</v>
      </c>
      <c r="H98">
        <v>125716.28</v>
      </c>
      <c r="I98">
        <v>420068.95</v>
      </c>
      <c r="J98">
        <v>2.8319999999999999</v>
      </c>
      <c r="K98">
        <v>136784.45000000001</v>
      </c>
      <c r="L98">
        <v>0</v>
      </c>
      <c r="M98">
        <v>0</v>
      </c>
      <c r="N98">
        <v>2022</v>
      </c>
      <c r="O98">
        <v>2</v>
      </c>
    </row>
    <row r="99" spans="1:15" x14ac:dyDescent="0.3">
      <c r="A99">
        <v>37928</v>
      </c>
      <c r="B99">
        <v>3201605</v>
      </c>
      <c r="C99" t="s">
        <v>34</v>
      </c>
      <c r="D99">
        <v>0.58499999999999996</v>
      </c>
      <c r="E99">
        <v>1522104</v>
      </c>
      <c r="F99">
        <v>17533.11</v>
      </c>
      <c r="G99">
        <v>1539637.11</v>
      </c>
      <c r="H99">
        <v>33413.910000000003</v>
      </c>
      <c r="I99">
        <v>35733.21</v>
      </c>
      <c r="J99">
        <v>1.0029999999999999</v>
      </c>
      <c r="K99">
        <v>36355.699999999997</v>
      </c>
      <c r="L99">
        <v>0</v>
      </c>
      <c r="M99">
        <v>0</v>
      </c>
      <c r="N99">
        <v>2022</v>
      </c>
      <c r="O99">
        <v>2</v>
      </c>
    </row>
    <row r="100" spans="1:15" x14ac:dyDescent="0.3">
      <c r="A100">
        <v>37929</v>
      </c>
      <c r="B100">
        <v>3201704</v>
      </c>
      <c r="C100" t="s">
        <v>35</v>
      </c>
      <c r="D100">
        <v>0.45600000000000002</v>
      </c>
      <c r="E100">
        <v>1186486.95</v>
      </c>
      <c r="F100">
        <v>13666.84</v>
      </c>
      <c r="G100">
        <v>1200153.79</v>
      </c>
      <c r="H100">
        <v>26045.72</v>
      </c>
      <c r="I100">
        <v>30723.88</v>
      </c>
      <c r="J100">
        <v>0.46700000000000003</v>
      </c>
      <c r="K100">
        <v>28338.81</v>
      </c>
      <c r="L100">
        <v>0</v>
      </c>
      <c r="M100">
        <v>0</v>
      </c>
      <c r="N100">
        <v>2022</v>
      </c>
      <c r="O100">
        <v>2</v>
      </c>
    </row>
    <row r="101" spans="1:15" x14ac:dyDescent="0.3">
      <c r="A101">
        <v>37930</v>
      </c>
      <c r="B101">
        <v>3201803</v>
      </c>
      <c r="C101" t="s">
        <v>36</v>
      </c>
      <c r="D101">
        <v>0.19</v>
      </c>
      <c r="E101">
        <v>494365.09</v>
      </c>
      <c r="F101">
        <v>5694.52</v>
      </c>
      <c r="G101">
        <v>500059.61</v>
      </c>
      <c r="H101">
        <v>10852.38</v>
      </c>
      <c r="I101">
        <v>13538.68</v>
      </c>
      <c r="J101">
        <v>0.28399999999999997</v>
      </c>
      <c r="K101">
        <v>11807.84</v>
      </c>
      <c r="L101">
        <v>0</v>
      </c>
      <c r="M101">
        <v>0</v>
      </c>
      <c r="N101">
        <v>2022</v>
      </c>
      <c r="O101">
        <v>2</v>
      </c>
    </row>
    <row r="102" spans="1:15" x14ac:dyDescent="0.3">
      <c r="A102">
        <v>37931</v>
      </c>
      <c r="B102">
        <v>3201902</v>
      </c>
      <c r="C102" t="s">
        <v>37</v>
      </c>
      <c r="D102">
        <v>1.224</v>
      </c>
      <c r="E102">
        <v>3184837.12</v>
      </c>
      <c r="F102">
        <v>36684.67</v>
      </c>
      <c r="G102">
        <v>3221521.79</v>
      </c>
      <c r="H102">
        <v>69912.19</v>
      </c>
      <c r="I102">
        <v>114330.53</v>
      </c>
      <c r="J102">
        <v>1.036</v>
      </c>
      <c r="K102">
        <v>76067.320000000007</v>
      </c>
      <c r="L102">
        <v>0</v>
      </c>
      <c r="M102">
        <v>0</v>
      </c>
      <c r="N102">
        <v>2022</v>
      </c>
      <c r="O102">
        <v>2</v>
      </c>
    </row>
    <row r="103" spans="1:15" x14ac:dyDescent="0.3">
      <c r="A103">
        <v>37932</v>
      </c>
      <c r="B103">
        <v>3202009</v>
      </c>
      <c r="C103" t="s">
        <v>38</v>
      </c>
      <c r="D103">
        <v>0.24399999999999999</v>
      </c>
      <c r="E103">
        <v>634880.17000000004</v>
      </c>
      <c r="F103">
        <v>7312.96</v>
      </c>
      <c r="G103">
        <v>642193.13</v>
      </c>
      <c r="H103">
        <v>13936.74</v>
      </c>
      <c r="I103">
        <v>30969.06</v>
      </c>
      <c r="J103">
        <v>0.315</v>
      </c>
      <c r="K103">
        <v>15163.75</v>
      </c>
      <c r="L103">
        <v>0</v>
      </c>
      <c r="M103">
        <v>0</v>
      </c>
      <c r="N103">
        <v>2022</v>
      </c>
      <c r="O103">
        <v>2</v>
      </c>
    </row>
    <row r="104" spans="1:15" x14ac:dyDescent="0.3">
      <c r="A104">
        <v>37933</v>
      </c>
      <c r="B104">
        <v>3202108</v>
      </c>
      <c r="C104" t="s">
        <v>39</v>
      </c>
      <c r="D104">
        <v>0.69899999999999995</v>
      </c>
      <c r="E104">
        <v>1818780.48</v>
      </c>
      <c r="F104">
        <v>20949.82</v>
      </c>
      <c r="G104">
        <v>1839730.3</v>
      </c>
      <c r="H104">
        <v>39925.339999999997</v>
      </c>
      <c r="I104">
        <v>37272.69</v>
      </c>
      <c r="J104">
        <v>0.82199999999999995</v>
      </c>
      <c r="K104">
        <v>43440.41</v>
      </c>
      <c r="L104">
        <v>0</v>
      </c>
      <c r="M104">
        <v>0</v>
      </c>
      <c r="N104">
        <v>2022</v>
      </c>
      <c r="O104">
        <v>2</v>
      </c>
    </row>
    <row r="105" spans="1:15" x14ac:dyDescent="0.3">
      <c r="A105">
        <v>37934</v>
      </c>
      <c r="B105">
        <v>3202207</v>
      </c>
      <c r="C105" t="s">
        <v>40</v>
      </c>
      <c r="D105">
        <v>0.33100000000000002</v>
      </c>
      <c r="E105">
        <v>861266.48</v>
      </c>
      <c r="F105">
        <v>9920.44</v>
      </c>
      <c r="G105">
        <v>871186.92</v>
      </c>
      <c r="H105">
        <v>18905.990000000002</v>
      </c>
      <c r="I105">
        <v>44092.12</v>
      </c>
      <c r="J105">
        <v>0.73399999999999999</v>
      </c>
      <c r="K105">
        <v>20570.490000000002</v>
      </c>
      <c r="L105">
        <v>0</v>
      </c>
      <c r="M105">
        <v>0</v>
      </c>
      <c r="N105">
        <v>2022</v>
      </c>
      <c r="O105">
        <v>2</v>
      </c>
    </row>
    <row r="106" spans="1:15" x14ac:dyDescent="0.3">
      <c r="A106">
        <v>37935</v>
      </c>
      <c r="B106">
        <v>3202256</v>
      </c>
      <c r="C106" t="s">
        <v>41</v>
      </c>
      <c r="D106">
        <v>0.443</v>
      </c>
      <c r="E106">
        <v>1152647.44</v>
      </c>
      <c r="F106">
        <v>13277.19</v>
      </c>
      <c r="G106">
        <v>1165924.6299999999</v>
      </c>
      <c r="H106">
        <v>25303.19</v>
      </c>
      <c r="I106">
        <v>25600.13</v>
      </c>
      <c r="J106">
        <v>0.46800000000000003</v>
      </c>
      <c r="K106">
        <v>27530.9</v>
      </c>
      <c r="L106">
        <v>0</v>
      </c>
      <c r="M106">
        <v>0</v>
      </c>
      <c r="N106">
        <v>2022</v>
      </c>
      <c r="O106">
        <v>2</v>
      </c>
    </row>
    <row r="107" spans="1:15" x14ac:dyDescent="0.3">
      <c r="A107">
        <v>37936</v>
      </c>
      <c r="B107">
        <v>3202306</v>
      </c>
      <c r="C107" t="s">
        <v>42</v>
      </c>
      <c r="D107">
        <v>0.39100000000000001</v>
      </c>
      <c r="E107">
        <v>1017385.12</v>
      </c>
      <c r="F107">
        <v>11718.73</v>
      </c>
      <c r="G107">
        <v>1029103.85</v>
      </c>
      <c r="H107">
        <v>22333.06</v>
      </c>
      <c r="I107">
        <v>128470.89</v>
      </c>
      <c r="J107">
        <v>1.0009999999999999</v>
      </c>
      <c r="K107">
        <v>24299.279999999999</v>
      </c>
      <c r="L107">
        <v>0</v>
      </c>
      <c r="M107">
        <v>0</v>
      </c>
      <c r="N107">
        <v>2022</v>
      </c>
      <c r="O107">
        <v>2</v>
      </c>
    </row>
    <row r="108" spans="1:15" x14ac:dyDescent="0.3">
      <c r="A108">
        <v>37937</v>
      </c>
      <c r="B108">
        <v>3202405</v>
      </c>
      <c r="C108" t="s">
        <v>43</v>
      </c>
      <c r="D108">
        <v>0.91200000000000003</v>
      </c>
      <c r="E108">
        <v>2373056.36</v>
      </c>
      <c r="F108">
        <v>27333.68</v>
      </c>
      <c r="G108">
        <v>2400390.04</v>
      </c>
      <c r="H108">
        <v>52091.44</v>
      </c>
      <c r="I108">
        <v>866943.21</v>
      </c>
      <c r="J108">
        <v>2.8730000000000002</v>
      </c>
      <c r="K108">
        <v>56677.61</v>
      </c>
      <c r="L108">
        <v>0</v>
      </c>
      <c r="M108">
        <v>0</v>
      </c>
      <c r="N108">
        <v>2022</v>
      </c>
      <c r="O108">
        <v>2</v>
      </c>
    </row>
    <row r="109" spans="1:15" x14ac:dyDescent="0.3">
      <c r="A109">
        <v>37938</v>
      </c>
      <c r="B109">
        <v>3202454</v>
      </c>
      <c r="C109" t="s">
        <v>44</v>
      </c>
      <c r="D109">
        <v>0.36</v>
      </c>
      <c r="E109">
        <v>936757.45</v>
      </c>
      <c r="F109">
        <v>10789.61</v>
      </c>
      <c r="G109">
        <v>947547.06</v>
      </c>
      <c r="H109">
        <v>20562.41</v>
      </c>
      <c r="I109">
        <v>60967.26</v>
      </c>
      <c r="J109">
        <v>0.86599999999999999</v>
      </c>
      <c r="K109">
        <v>22372.74</v>
      </c>
      <c r="L109">
        <v>0</v>
      </c>
      <c r="M109">
        <v>0</v>
      </c>
      <c r="N109">
        <v>2022</v>
      </c>
      <c r="O109">
        <v>2</v>
      </c>
    </row>
    <row r="110" spans="1:15" x14ac:dyDescent="0.3">
      <c r="A110">
        <v>37939</v>
      </c>
      <c r="B110">
        <v>3202504</v>
      </c>
      <c r="C110" t="s">
        <v>45</v>
      </c>
      <c r="D110">
        <v>0.27300000000000002</v>
      </c>
      <c r="E110">
        <v>710315.12</v>
      </c>
      <c r="F110">
        <v>8182.12</v>
      </c>
      <c r="G110">
        <v>718497.24</v>
      </c>
      <c r="H110">
        <v>15593.16</v>
      </c>
      <c r="I110">
        <v>33174.559999999998</v>
      </c>
      <c r="J110">
        <v>0.46400000000000002</v>
      </c>
      <c r="K110">
        <v>16966</v>
      </c>
      <c r="L110">
        <v>0</v>
      </c>
      <c r="M110">
        <v>0</v>
      </c>
      <c r="N110">
        <v>2022</v>
      </c>
      <c r="O110">
        <v>2</v>
      </c>
    </row>
    <row r="111" spans="1:15" x14ac:dyDescent="0.3">
      <c r="A111">
        <v>37940</v>
      </c>
      <c r="B111">
        <v>3202553</v>
      </c>
      <c r="C111" t="s">
        <v>46</v>
      </c>
      <c r="D111">
        <v>0.245</v>
      </c>
      <c r="E111">
        <v>637483.14</v>
      </c>
      <c r="F111">
        <v>7342.93</v>
      </c>
      <c r="G111">
        <v>644826.06999999995</v>
      </c>
      <c r="H111">
        <v>13993.86</v>
      </c>
      <c r="I111">
        <v>19180.16</v>
      </c>
      <c r="J111">
        <v>0.34100000000000003</v>
      </c>
      <c r="K111">
        <v>15225.89</v>
      </c>
      <c r="L111">
        <v>0</v>
      </c>
      <c r="M111">
        <v>0</v>
      </c>
      <c r="N111">
        <v>2022</v>
      </c>
      <c r="O111">
        <v>2</v>
      </c>
    </row>
    <row r="112" spans="1:15" x14ac:dyDescent="0.3">
      <c r="A112">
        <v>37941</v>
      </c>
      <c r="B112">
        <v>3202603</v>
      </c>
      <c r="C112" t="s">
        <v>47</v>
      </c>
      <c r="D112">
        <v>0.372</v>
      </c>
      <c r="E112">
        <v>967960.4</v>
      </c>
      <c r="F112">
        <v>11149.25</v>
      </c>
      <c r="G112">
        <v>979109.65</v>
      </c>
      <c r="H112">
        <v>21247.82</v>
      </c>
      <c r="I112">
        <v>203461.61</v>
      </c>
      <c r="J112">
        <v>0.55800000000000005</v>
      </c>
      <c r="K112">
        <v>23118.5</v>
      </c>
      <c r="L112">
        <v>0</v>
      </c>
      <c r="M112">
        <v>0</v>
      </c>
      <c r="N112">
        <v>2022</v>
      </c>
      <c r="O112">
        <v>2</v>
      </c>
    </row>
    <row r="113" spans="1:15" x14ac:dyDescent="0.3">
      <c r="A113">
        <v>37942</v>
      </c>
      <c r="B113">
        <v>3202652</v>
      </c>
      <c r="C113" t="s">
        <v>48</v>
      </c>
      <c r="D113">
        <v>0.309</v>
      </c>
      <c r="E113">
        <v>803978.97</v>
      </c>
      <c r="F113">
        <v>9261.08</v>
      </c>
      <c r="G113">
        <v>813240.05</v>
      </c>
      <c r="H113">
        <v>17649.400000000001</v>
      </c>
      <c r="I113">
        <v>34814.75</v>
      </c>
      <c r="J113">
        <v>0.47599999999999998</v>
      </c>
      <c r="K113">
        <v>19203.27</v>
      </c>
      <c r="L113">
        <v>0</v>
      </c>
      <c r="M113">
        <v>0</v>
      </c>
      <c r="N113">
        <v>2022</v>
      </c>
      <c r="O113">
        <v>2</v>
      </c>
    </row>
    <row r="114" spans="1:15" x14ac:dyDescent="0.3">
      <c r="A114">
        <v>37943</v>
      </c>
      <c r="B114">
        <v>3202702</v>
      </c>
      <c r="C114" t="s">
        <v>49</v>
      </c>
      <c r="D114">
        <v>0.38300000000000001</v>
      </c>
      <c r="E114">
        <v>996544.11</v>
      </c>
      <c r="F114">
        <v>11478.96</v>
      </c>
      <c r="G114">
        <v>1008023.07</v>
      </c>
      <c r="H114">
        <v>21876.12</v>
      </c>
      <c r="I114">
        <v>23856.93</v>
      </c>
      <c r="J114">
        <v>0.55900000000000005</v>
      </c>
      <c r="K114">
        <v>23802.11</v>
      </c>
      <c r="L114">
        <v>0</v>
      </c>
      <c r="M114">
        <v>0</v>
      </c>
      <c r="N114">
        <v>2022</v>
      </c>
      <c r="O114">
        <v>2</v>
      </c>
    </row>
    <row r="115" spans="1:15" x14ac:dyDescent="0.3">
      <c r="A115">
        <v>37944</v>
      </c>
      <c r="B115">
        <v>3202801</v>
      </c>
      <c r="C115" t="s">
        <v>50</v>
      </c>
      <c r="D115">
        <v>2.665</v>
      </c>
      <c r="E115">
        <v>6934109.5300000003</v>
      </c>
      <c r="F115">
        <v>79873.070000000007</v>
      </c>
      <c r="G115">
        <v>7013982.5999999996</v>
      </c>
      <c r="H115">
        <v>152218.94</v>
      </c>
      <c r="I115">
        <v>116116.63</v>
      </c>
      <c r="J115">
        <v>1.0449999999999999</v>
      </c>
      <c r="K115">
        <v>165620.43</v>
      </c>
      <c r="L115">
        <v>0</v>
      </c>
      <c r="M115">
        <v>0</v>
      </c>
      <c r="N115">
        <v>2022</v>
      </c>
      <c r="O115">
        <v>2</v>
      </c>
    </row>
    <row r="116" spans="1:15" x14ac:dyDescent="0.3">
      <c r="A116">
        <v>37945</v>
      </c>
      <c r="B116">
        <v>3202900</v>
      </c>
      <c r="C116" t="s">
        <v>51</v>
      </c>
      <c r="D116">
        <v>0.34200000000000003</v>
      </c>
      <c r="E116">
        <v>889868.53</v>
      </c>
      <c r="F116">
        <v>10250.14</v>
      </c>
      <c r="G116">
        <v>900118.67</v>
      </c>
      <c r="H116">
        <v>19534.29</v>
      </c>
      <c r="I116">
        <v>34142.68</v>
      </c>
      <c r="J116">
        <v>0.438</v>
      </c>
      <c r="K116">
        <v>21254.1</v>
      </c>
      <c r="L116">
        <v>0</v>
      </c>
      <c r="M116">
        <v>0</v>
      </c>
      <c r="N116">
        <v>2022</v>
      </c>
      <c r="O116">
        <v>2</v>
      </c>
    </row>
    <row r="117" spans="1:15" x14ac:dyDescent="0.3">
      <c r="A117">
        <v>37946</v>
      </c>
      <c r="B117">
        <v>3203007</v>
      </c>
      <c r="C117" t="s">
        <v>52</v>
      </c>
      <c r="D117">
        <v>0.47199999999999998</v>
      </c>
      <c r="E117">
        <v>1228098.72</v>
      </c>
      <c r="F117">
        <v>14146.37</v>
      </c>
      <c r="G117">
        <v>1242245.0900000001</v>
      </c>
      <c r="H117">
        <v>26959.599999999999</v>
      </c>
      <c r="I117">
        <v>72610.94</v>
      </c>
      <c r="J117">
        <v>0.90100000000000002</v>
      </c>
      <c r="K117">
        <v>29333.15</v>
      </c>
      <c r="L117">
        <v>0</v>
      </c>
      <c r="M117">
        <v>0</v>
      </c>
      <c r="N117">
        <v>2022</v>
      </c>
      <c r="O117">
        <v>2</v>
      </c>
    </row>
    <row r="118" spans="1:15" x14ac:dyDescent="0.3">
      <c r="A118">
        <v>37947</v>
      </c>
      <c r="B118">
        <v>3203056</v>
      </c>
      <c r="C118" t="s">
        <v>53</v>
      </c>
      <c r="D118">
        <v>0.86499999999999999</v>
      </c>
      <c r="E118">
        <v>2250661.2200000002</v>
      </c>
      <c r="F118">
        <v>25925.02</v>
      </c>
      <c r="G118">
        <v>2276586.2400000002</v>
      </c>
      <c r="H118">
        <v>49406.9</v>
      </c>
      <c r="I118">
        <v>61000.34</v>
      </c>
      <c r="J118">
        <v>1</v>
      </c>
      <c r="K118">
        <v>53756.73</v>
      </c>
      <c r="L118">
        <v>0</v>
      </c>
      <c r="M118">
        <v>0</v>
      </c>
      <c r="N118">
        <v>2022</v>
      </c>
      <c r="O118">
        <v>2</v>
      </c>
    </row>
    <row r="119" spans="1:15" x14ac:dyDescent="0.3">
      <c r="A119">
        <v>37948</v>
      </c>
      <c r="B119">
        <v>3203106</v>
      </c>
      <c r="C119" t="s">
        <v>54</v>
      </c>
      <c r="D119">
        <v>0.214</v>
      </c>
      <c r="E119">
        <v>556826.97</v>
      </c>
      <c r="F119">
        <v>6413.83</v>
      </c>
      <c r="G119">
        <v>563240.80000000005</v>
      </c>
      <c r="H119">
        <v>12223.21</v>
      </c>
      <c r="I119">
        <v>23004.41</v>
      </c>
      <c r="J119">
        <v>0.46</v>
      </c>
      <c r="K119">
        <v>13299.35</v>
      </c>
      <c r="L119">
        <v>0</v>
      </c>
      <c r="M119">
        <v>0</v>
      </c>
      <c r="N119">
        <v>2022</v>
      </c>
      <c r="O119">
        <v>2</v>
      </c>
    </row>
    <row r="120" spans="1:15" x14ac:dyDescent="0.3">
      <c r="A120">
        <v>37949</v>
      </c>
      <c r="B120">
        <v>3203130</v>
      </c>
      <c r="C120" t="s">
        <v>55</v>
      </c>
      <c r="D120">
        <v>0.42699999999999999</v>
      </c>
      <c r="E120">
        <v>1111037.74</v>
      </c>
      <c r="F120">
        <v>12797.69</v>
      </c>
      <c r="G120">
        <v>1123835.43</v>
      </c>
      <c r="H120">
        <v>24389.3</v>
      </c>
      <c r="I120">
        <v>42930.42</v>
      </c>
      <c r="J120">
        <v>0.66900000000000004</v>
      </c>
      <c r="K120">
        <v>26536.560000000001</v>
      </c>
      <c r="L120">
        <v>0</v>
      </c>
      <c r="M120">
        <v>0</v>
      </c>
      <c r="N120">
        <v>2022</v>
      </c>
      <c r="O120">
        <v>2</v>
      </c>
    </row>
    <row r="121" spans="1:15" x14ac:dyDescent="0.3">
      <c r="A121">
        <v>37950</v>
      </c>
      <c r="B121">
        <v>3203163</v>
      </c>
      <c r="C121" t="s">
        <v>56</v>
      </c>
      <c r="D121">
        <v>0.38</v>
      </c>
      <c r="E121">
        <v>988747.44</v>
      </c>
      <c r="F121">
        <v>11389.04</v>
      </c>
      <c r="G121">
        <v>1000136.48</v>
      </c>
      <c r="H121">
        <v>21704.76</v>
      </c>
      <c r="I121">
        <v>47531.65</v>
      </c>
      <c r="J121">
        <v>0.44400000000000001</v>
      </c>
      <c r="K121">
        <v>23615.67</v>
      </c>
      <c r="L121">
        <v>0</v>
      </c>
      <c r="M121">
        <v>0</v>
      </c>
      <c r="N121">
        <v>2022</v>
      </c>
      <c r="O121">
        <v>2</v>
      </c>
    </row>
    <row r="122" spans="1:15" x14ac:dyDescent="0.3">
      <c r="A122">
        <v>37951</v>
      </c>
      <c r="B122">
        <v>3203205</v>
      </c>
      <c r="C122" t="s">
        <v>57</v>
      </c>
      <c r="D122">
        <v>5.7530000000000001</v>
      </c>
      <c r="E122">
        <v>14969394.609999999</v>
      </c>
      <c r="F122">
        <v>172423.93</v>
      </c>
      <c r="G122">
        <v>15141818.539999999</v>
      </c>
      <c r="H122">
        <v>328598.71999999997</v>
      </c>
      <c r="I122">
        <v>517907.37</v>
      </c>
      <c r="J122">
        <v>4.0789999999999997</v>
      </c>
      <c r="K122">
        <v>357528.84</v>
      </c>
      <c r="L122">
        <v>0</v>
      </c>
      <c r="M122">
        <v>0</v>
      </c>
      <c r="N122">
        <v>2022</v>
      </c>
      <c r="O122">
        <v>2</v>
      </c>
    </row>
    <row r="123" spans="1:15" x14ac:dyDescent="0.3">
      <c r="A123">
        <v>37952</v>
      </c>
      <c r="B123">
        <v>3203304</v>
      </c>
      <c r="C123" t="s">
        <v>58</v>
      </c>
      <c r="D123">
        <v>0.255</v>
      </c>
      <c r="E123">
        <v>663496.48</v>
      </c>
      <c r="F123">
        <v>7642.63</v>
      </c>
      <c r="G123">
        <v>671139.11</v>
      </c>
      <c r="H123">
        <v>14565.04</v>
      </c>
      <c r="I123">
        <v>32466.81</v>
      </c>
      <c r="J123">
        <v>0.57699999999999996</v>
      </c>
      <c r="K123">
        <v>15847.36</v>
      </c>
      <c r="L123">
        <v>0</v>
      </c>
      <c r="M123">
        <v>0</v>
      </c>
      <c r="N123">
        <v>2022</v>
      </c>
      <c r="O123">
        <v>2</v>
      </c>
    </row>
    <row r="124" spans="1:15" x14ac:dyDescent="0.3">
      <c r="A124">
        <v>37953</v>
      </c>
      <c r="B124">
        <v>3203320</v>
      </c>
      <c r="C124" t="s">
        <v>59</v>
      </c>
      <c r="D124">
        <v>0.61699999999999999</v>
      </c>
      <c r="E124">
        <v>1605395.68</v>
      </c>
      <c r="F124">
        <v>18492.18</v>
      </c>
      <c r="G124">
        <v>1623887.86</v>
      </c>
      <c r="H124">
        <v>35241.68</v>
      </c>
      <c r="I124">
        <v>187705.44</v>
      </c>
      <c r="J124">
        <v>1.1739999999999999</v>
      </c>
      <c r="K124">
        <v>38344.39</v>
      </c>
      <c r="L124">
        <v>0</v>
      </c>
      <c r="M124">
        <v>0</v>
      </c>
      <c r="N124">
        <v>2022</v>
      </c>
      <c r="O124">
        <v>2</v>
      </c>
    </row>
    <row r="125" spans="1:15" x14ac:dyDescent="0.3">
      <c r="A125">
        <v>37954</v>
      </c>
      <c r="B125">
        <v>3203346</v>
      </c>
      <c r="C125" t="s">
        <v>60</v>
      </c>
      <c r="D125">
        <v>0.65700000000000003</v>
      </c>
      <c r="E125">
        <v>1709530.39</v>
      </c>
      <c r="F125">
        <v>19691.05</v>
      </c>
      <c r="G125">
        <v>1729221.44</v>
      </c>
      <c r="H125">
        <v>37526.400000000001</v>
      </c>
      <c r="I125">
        <v>52425.760000000002</v>
      </c>
      <c r="J125">
        <v>0.59499999999999997</v>
      </c>
      <c r="K125">
        <v>40830.25</v>
      </c>
      <c r="L125">
        <v>0</v>
      </c>
      <c r="M125">
        <v>0</v>
      </c>
      <c r="N125">
        <v>2022</v>
      </c>
      <c r="O125">
        <v>2</v>
      </c>
    </row>
    <row r="126" spans="1:15" x14ac:dyDescent="0.3">
      <c r="A126">
        <v>37955</v>
      </c>
      <c r="B126">
        <v>3203353</v>
      </c>
      <c r="C126" t="s">
        <v>61</v>
      </c>
      <c r="D126">
        <v>0.438</v>
      </c>
      <c r="E126">
        <v>1139641.83</v>
      </c>
      <c r="F126">
        <v>13127.35</v>
      </c>
      <c r="G126">
        <v>1152769.18</v>
      </c>
      <c r="H126">
        <v>25017.599999999999</v>
      </c>
      <c r="I126">
        <v>58059.77</v>
      </c>
      <c r="J126">
        <v>0.46899999999999997</v>
      </c>
      <c r="K126">
        <v>27220.17</v>
      </c>
      <c r="L126">
        <v>0</v>
      </c>
      <c r="M126">
        <v>0</v>
      </c>
      <c r="N126">
        <v>2022</v>
      </c>
      <c r="O126">
        <v>2</v>
      </c>
    </row>
    <row r="127" spans="1:15" x14ac:dyDescent="0.3">
      <c r="A127">
        <v>37956</v>
      </c>
      <c r="B127">
        <v>3203403</v>
      </c>
      <c r="C127" t="s">
        <v>62</v>
      </c>
      <c r="D127">
        <v>0.5</v>
      </c>
      <c r="E127">
        <v>1300986.72</v>
      </c>
      <c r="F127">
        <v>14985.58</v>
      </c>
      <c r="G127">
        <v>1315972.3</v>
      </c>
      <c r="H127">
        <v>28558.9</v>
      </c>
      <c r="I127">
        <v>77050.5</v>
      </c>
      <c r="J127">
        <v>0.86199999999999999</v>
      </c>
      <c r="K127">
        <v>31073.25</v>
      </c>
      <c r="L127">
        <v>0</v>
      </c>
      <c r="M127">
        <v>0</v>
      </c>
      <c r="N127">
        <v>2022</v>
      </c>
      <c r="O127">
        <v>2</v>
      </c>
    </row>
    <row r="128" spans="1:15" x14ac:dyDescent="0.3">
      <c r="A128">
        <v>37957</v>
      </c>
      <c r="B128">
        <v>3203502</v>
      </c>
      <c r="C128" t="s">
        <v>63</v>
      </c>
      <c r="D128">
        <v>0.52500000000000002</v>
      </c>
      <c r="E128">
        <v>1366026.11</v>
      </c>
      <c r="F128">
        <v>15734.85</v>
      </c>
      <c r="G128">
        <v>1381760.96</v>
      </c>
      <c r="H128">
        <v>29986.85</v>
      </c>
      <c r="I128">
        <v>43027.72</v>
      </c>
      <c r="J128">
        <v>0.69599999999999995</v>
      </c>
      <c r="K128">
        <v>32626.91</v>
      </c>
      <c r="L128">
        <v>0</v>
      </c>
      <c r="M128">
        <v>0</v>
      </c>
      <c r="N128">
        <v>2022</v>
      </c>
      <c r="O128">
        <v>2</v>
      </c>
    </row>
    <row r="129" spans="1:15" x14ac:dyDescent="0.3">
      <c r="A129">
        <v>37958</v>
      </c>
      <c r="B129">
        <v>3203601</v>
      </c>
      <c r="C129" t="s">
        <v>64</v>
      </c>
      <c r="D129">
        <v>0.28899999999999998</v>
      </c>
      <c r="E129">
        <v>751967.58</v>
      </c>
      <c r="F129">
        <v>8661.65</v>
      </c>
      <c r="G129">
        <v>760629.23</v>
      </c>
      <c r="H129">
        <v>16507.04</v>
      </c>
      <c r="I129">
        <v>13560.95</v>
      </c>
      <c r="J129">
        <v>0.3</v>
      </c>
      <c r="K129">
        <v>17960.34</v>
      </c>
      <c r="L129">
        <v>0</v>
      </c>
      <c r="M129">
        <v>0</v>
      </c>
      <c r="N129">
        <v>2022</v>
      </c>
      <c r="O129">
        <v>2</v>
      </c>
    </row>
    <row r="130" spans="1:15" x14ac:dyDescent="0.3">
      <c r="A130">
        <v>37959</v>
      </c>
      <c r="B130">
        <v>3203700</v>
      </c>
      <c r="C130" t="s">
        <v>65</v>
      </c>
      <c r="D130">
        <v>0.50900000000000001</v>
      </c>
      <c r="E130">
        <v>1324395.01</v>
      </c>
      <c r="F130">
        <v>15255.3</v>
      </c>
      <c r="G130">
        <v>1339650.31</v>
      </c>
      <c r="H130">
        <v>29072.959999999999</v>
      </c>
      <c r="I130">
        <v>36417.4</v>
      </c>
      <c r="J130">
        <v>0.67700000000000005</v>
      </c>
      <c r="K130">
        <v>31632.57</v>
      </c>
      <c r="L130">
        <v>0</v>
      </c>
      <c r="M130">
        <v>0</v>
      </c>
      <c r="N130">
        <v>2022</v>
      </c>
      <c r="O130">
        <v>2</v>
      </c>
    </row>
    <row r="131" spans="1:15" x14ac:dyDescent="0.3">
      <c r="A131">
        <v>37960</v>
      </c>
      <c r="B131">
        <v>3203809</v>
      </c>
      <c r="C131" t="s">
        <v>66</v>
      </c>
      <c r="D131">
        <v>0.29199999999999998</v>
      </c>
      <c r="E131">
        <v>759769.34</v>
      </c>
      <c r="F131">
        <v>8751.59</v>
      </c>
      <c r="G131">
        <v>768520.93</v>
      </c>
      <c r="H131">
        <v>16678.400000000001</v>
      </c>
      <c r="I131">
        <v>30413.98</v>
      </c>
      <c r="J131">
        <v>0.57699999999999996</v>
      </c>
      <c r="K131">
        <v>18146.78</v>
      </c>
      <c r="L131">
        <v>0</v>
      </c>
      <c r="M131">
        <v>0</v>
      </c>
      <c r="N131">
        <v>2022</v>
      </c>
      <c r="O131">
        <v>2</v>
      </c>
    </row>
    <row r="132" spans="1:15" x14ac:dyDescent="0.3">
      <c r="A132">
        <v>37961</v>
      </c>
      <c r="B132">
        <v>3203908</v>
      </c>
      <c r="C132" t="s">
        <v>67</v>
      </c>
      <c r="D132">
        <v>1.2290000000000001</v>
      </c>
      <c r="E132">
        <v>3197779.65</v>
      </c>
      <c r="F132">
        <v>36834.5</v>
      </c>
      <c r="G132">
        <v>3234614.15</v>
      </c>
      <c r="H132">
        <v>70197.78</v>
      </c>
      <c r="I132">
        <v>124402.31</v>
      </c>
      <c r="J132">
        <v>1.4710000000000001</v>
      </c>
      <c r="K132">
        <v>76378.05</v>
      </c>
      <c r="L132">
        <v>0</v>
      </c>
      <c r="M132">
        <v>0</v>
      </c>
      <c r="N132">
        <v>2022</v>
      </c>
      <c r="O132">
        <v>2</v>
      </c>
    </row>
    <row r="133" spans="1:15" x14ac:dyDescent="0.3">
      <c r="A133">
        <v>37962</v>
      </c>
      <c r="B133">
        <v>3204005</v>
      </c>
      <c r="C133" t="s">
        <v>68</v>
      </c>
      <c r="D133">
        <v>0.47799999999999998</v>
      </c>
      <c r="E133">
        <v>1243701.21</v>
      </c>
      <c r="F133">
        <v>14326.21</v>
      </c>
      <c r="G133">
        <v>1258027.42</v>
      </c>
      <c r="H133">
        <v>27302.31</v>
      </c>
      <c r="I133">
        <v>33363.72</v>
      </c>
      <c r="J133">
        <v>0.75</v>
      </c>
      <c r="K133">
        <v>29706.03</v>
      </c>
      <c r="L133">
        <v>0</v>
      </c>
      <c r="M133">
        <v>0</v>
      </c>
      <c r="N133">
        <v>2022</v>
      </c>
      <c r="O133">
        <v>2</v>
      </c>
    </row>
    <row r="134" spans="1:15" x14ac:dyDescent="0.3">
      <c r="A134">
        <v>37963</v>
      </c>
      <c r="B134">
        <v>3204054</v>
      </c>
      <c r="C134" t="s">
        <v>69</v>
      </c>
      <c r="D134">
        <v>0.32400000000000001</v>
      </c>
      <c r="E134">
        <v>843019.3</v>
      </c>
      <c r="F134">
        <v>9710.64</v>
      </c>
      <c r="G134">
        <v>852729.94</v>
      </c>
      <c r="H134">
        <v>18506.169999999998</v>
      </c>
      <c r="I134">
        <v>58549.01</v>
      </c>
      <c r="J134">
        <v>0.86499999999999999</v>
      </c>
      <c r="K134">
        <v>20135.47</v>
      </c>
      <c r="L134">
        <v>0</v>
      </c>
      <c r="M134">
        <v>0</v>
      </c>
      <c r="N134">
        <v>2022</v>
      </c>
      <c r="O134">
        <v>2</v>
      </c>
    </row>
    <row r="135" spans="1:15" x14ac:dyDescent="0.3">
      <c r="A135">
        <v>37964</v>
      </c>
      <c r="B135">
        <v>3204104</v>
      </c>
      <c r="C135" t="s">
        <v>70</v>
      </c>
      <c r="D135">
        <v>0.66500000000000004</v>
      </c>
      <c r="E135">
        <v>1730281.84</v>
      </c>
      <c r="F135">
        <v>19930.8</v>
      </c>
      <c r="G135">
        <v>1750212.64</v>
      </c>
      <c r="H135">
        <v>37983.339999999997</v>
      </c>
      <c r="I135">
        <v>39002.86</v>
      </c>
      <c r="J135">
        <v>0.877</v>
      </c>
      <c r="K135">
        <v>41327.42</v>
      </c>
      <c r="L135">
        <v>0</v>
      </c>
      <c r="M135">
        <v>0</v>
      </c>
      <c r="N135">
        <v>2022</v>
      </c>
      <c r="O135">
        <v>2</v>
      </c>
    </row>
    <row r="136" spans="1:15" x14ac:dyDescent="0.3">
      <c r="A136">
        <v>37965</v>
      </c>
      <c r="B136">
        <v>3204203</v>
      </c>
      <c r="C136" t="s">
        <v>71</v>
      </c>
      <c r="D136">
        <v>0.153</v>
      </c>
      <c r="E136">
        <v>398241.78</v>
      </c>
      <c r="F136">
        <v>4585.6000000000004</v>
      </c>
      <c r="G136">
        <v>402827.38</v>
      </c>
      <c r="H136">
        <v>8739.02</v>
      </c>
      <c r="I136">
        <v>103987.69</v>
      </c>
      <c r="J136">
        <v>0.73499999999999999</v>
      </c>
      <c r="K136">
        <v>9508.42</v>
      </c>
      <c r="L136">
        <v>0</v>
      </c>
      <c r="M136">
        <v>0</v>
      </c>
      <c r="N136">
        <v>2022</v>
      </c>
      <c r="O136">
        <v>2</v>
      </c>
    </row>
    <row r="137" spans="1:15" x14ac:dyDescent="0.3">
      <c r="A137">
        <v>37966</v>
      </c>
      <c r="B137">
        <v>3204252</v>
      </c>
      <c r="C137" t="s">
        <v>72</v>
      </c>
      <c r="D137">
        <v>0.23</v>
      </c>
      <c r="E137">
        <v>598440.76</v>
      </c>
      <c r="F137">
        <v>6893.35</v>
      </c>
      <c r="G137">
        <v>605334.11</v>
      </c>
      <c r="H137">
        <v>13137.09</v>
      </c>
      <c r="I137">
        <v>9678.08</v>
      </c>
      <c r="J137">
        <v>0.33</v>
      </c>
      <c r="K137">
        <v>14293.7</v>
      </c>
      <c r="L137">
        <v>0</v>
      </c>
      <c r="M137">
        <v>0</v>
      </c>
      <c r="N137">
        <v>2022</v>
      </c>
      <c r="O137">
        <v>2</v>
      </c>
    </row>
    <row r="138" spans="1:15" x14ac:dyDescent="0.3">
      <c r="A138">
        <v>37967</v>
      </c>
      <c r="B138">
        <v>1718402</v>
      </c>
      <c r="C138" t="s">
        <v>73</v>
      </c>
      <c r="D138">
        <v>0.33400000000000002</v>
      </c>
      <c r="E138">
        <v>869048.9</v>
      </c>
      <c r="F138">
        <v>10010.35</v>
      </c>
      <c r="G138">
        <v>879059.25</v>
      </c>
      <c r="H138">
        <v>19077.349999999999</v>
      </c>
      <c r="I138">
        <v>83714.289999999994</v>
      </c>
      <c r="J138">
        <v>0.45300000000000001</v>
      </c>
      <c r="K138">
        <v>20756.93</v>
      </c>
      <c r="L138">
        <v>0</v>
      </c>
      <c r="M138">
        <v>0</v>
      </c>
      <c r="N138">
        <v>2022</v>
      </c>
      <c r="O138">
        <v>2</v>
      </c>
    </row>
    <row r="139" spans="1:15" x14ac:dyDescent="0.3">
      <c r="A139">
        <v>37968</v>
      </c>
      <c r="B139">
        <v>3204351</v>
      </c>
      <c r="C139" t="s">
        <v>74</v>
      </c>
      <c r="D139">
        <v>0.76900000000000002</v>
      </c>
      <c r="E139">
        <v>2000940.86</v>
      </c>
      <c r="F139">
        <v>23047.79</v>
      </c>
      <c r="G139">
        <v>2023988.65</v>
      </c>
      <c r="H139">
        <v>43923.59</v>
      </c>
      <c r="I139">
        <v>51169.63</v>
      </c>
      <c r="J139">
        <v>0.70099999999999996</v>
      </c>
      <c r="K139">
        <v>47790.66</v>
      </c>
      <c r="L139">
        <v>0</v>
      </c>
      <c r="M139">
        <v>0</v>
      </c>
      <c r="N139">
        <v>2022</v>
      </c>
      <c r="O139">
        <v>2</v>
      </c>
    </row>
    <row r="140" spans="1:15" x14ac:dyDescent="0.3">
      <c r="A140">
        <v>37969</v>
      </c>
      <c r="B140">
        <v>3204401</v>
      </c>
      <c r="C140" t="s">
        <v>75</v>
      </c>
      <c r="D140">
        <v>0.26500000000000001</v>
      </c>
      <c r="E140">
        <v>689512.84</v>
      </c>
      <c r="F140">
        <v>7942.36</v>
      </c>
      <c r="G140">
        <v>697455.2</v>
      </c>
      <c r="H140">
        <v>15136.22</v>
      </c>
      <c r="I140">
        <v>26756.14</v>
      </c>
      <c r="J140">
        <v>0.45200000000000001</v>
      </c>
      <c r="K140">
        <v>16468.82</v>
      </c>
      <c r="L140">
        <v>0</v>
      </c>
      <c r="M140">
        <v>0</v>
      </c>
      <c r="N140">
        <v>2022</v>
      </c>
      <c r="O140">
        <v>2</v>
      </c>
    </row>
    <row r="141" spans="1:15" x14ac:dyDescent="0.3">
      <c r="A141">
        <v>37970</v>
      </c>
      <c r="B141">
        <v>3204500</v>
      </c>
      <c r="C141" t="s">
        <v>76</v>
      </c>
      <c r="D141">
        <v>0.496</v>
      </c>
      <c r="E141">
        <v>1290562.6299999999</v>
      </c>
      <c r="F141">
        <v>14865.69</v>
      </c>
      <c r="G141">
        <v>1305428.32</v>
      </c>
      <c r="H141">
        <v>28330.43</v>
      </c>
      <c r="I141">
        <v>26409.51</v>
      </c>
      <c r="J141">
        <v>0.45900000000000002</v>
      </c>
      <c r="K141">
        <v>30824.67</v>
      </c>
      <c r="L141">
        <v>0</v>
      </c>
      <c r="M141">
        <v>0</v>
      </c>
      <c r="N141">
        <v>2022</v>
      </c>
      <c r="O141">
        <v>2</v>
      </c>
    </row>
    <row r="142" spans="1:15" x14ac:dyDescent="0.3">
      <c r="A142">
        <v>37971</v>
      </c>
      <c r="B142">
        <v>3204559</v>
      </c>
      <c r="C142" t="s">
        <v>77</v>
      </c>
      <c r="D142">
        <v>2.246</v>
      </c>
      <c r="E142">
        <v>5844013.5599999996</v>
      </c>
      <c r="F142">
        <v>67315.179999999993</v>
      </c>
      <c r="G142">
        <v>5911328.7400000002</v>
      </c>
      <c r="H142">
        <v>128286.58</v>
      </c>
      <c r="I142">
        <v>207736.1</v>
      </c>
      <c r="J142">
        <v>1.2</v>
      </c>
      <c r="K142">
        <v>139581.04999999999</v>
      </c>
      <c r="L142">
        <v>0</v>
      </c>
      <c r="M142">
        <v>0</v>
      </c>
      <c r="N142">
        <v>2022</v>
      </c>
      <c r="O142">
        <v>2</v>
      </c>
    </row>
    <row r="143" spans="1:15" x14ac:dyDescent="0.3">
      <c r="A143">
        <v>37972</v>
      </c>
      <c r="B143">
        <v>3204609</v>
      </c>
      <c r="C143" t="s">
        <v>78</v>
      </c>
      <c r="D143">
        <v>0.69099999999999995</v>
      </c>
      <c r="E143">
        <v>1797943.53</v>
      </c>
      <c r="F143">
        <v>20710.05</v>
      </c>
      <c r="G143">
        <v>1818653.58</v>
      </c>
      <c r="H143">
        <v>39468.400000000001</v>
      </c>
      <c r="I143">
        <v>77297.3</v>
      </c>
      <c r="J143">
        <v>0.83299999999999996</v>
      </c>
      <c r="K143">
        <v>42943.23</v>
      </c>
      <c r="L143">
        <v>0</v>
      </c>
      <c r="M143">
        <v>0</v>
      </c>
      <c r="N143">
        <v>2022</v>
      </c>
      <c r="O143">
        <v>2</v>
      </c>
    </row>
    <row r="144" spans="1:15" x14ac:dyDescent="0.3">
      <c r="A144">
        <v>37973</v>
      </c>
      <c r="B144">
        <v>3204658</v>
      </c>
      <c r="C144" t="s">
        <v>79</v>
      </c>
      <c r="D144">
        <v>0.45300000000000001</v>
      </c>
      <c r="E144">
        <v>1178713.71</v>
      </c>
      <c r="F144">
        <v>13576.92</v>
      </c>
      <c r="G144">
        <v>1192290.6299999999</v>
      </c>
      <c r="H144">
        <v>25874.36</v>
      </c>
      <c r="I144">
        <v>16523.43</v>
      </c>
      <c r="J144">
        <v>0.33900000000000002</v>
      </c>
      <c r="K144">
        <v>28152.37</v>
      </c>
      <c r="L144">
        <v>0</v>
      </c>
      <c r="M144">
        <v>0</v>
      </c>
      <c r="N144">
        <v>2022</v>
      </c>
      <c r="O144">
        <v>2</v>
      </c>
    </row>
    <row r="145" spans="1:15" x14ac:dyDescent="0.3">
      <c r="A145">
        <v>37974</v>
      </c>
      <c r="B145">
        <v>3204708</v>
      </c>
      <c r="C145" t="s">
        <v>80</v>
      </c>
      <c r="D145">
        <v>0.72899999999999998</v>
      </c>
      <c r="E145">
        <v>1896789.9</v>
      </c>
      <c r="F145">
        <v>21848.959999999999</v>
      </c>
      <c r="G145">
        <v>1918638.86</v>
      </c>
      <c r="H145">
        <v>41638.879999999997</v>
      </c>
      <c r="I145">
        <v>72364.69</v>
      </c>
      <c r="J145">
        <v>1.17</v>
      </c>
      <c r="K145">
        <v>45304.800000000003</v>
      </c>
      <c r="L145">
        <v>0</v>
      </c>
      <c r="M145">
        <v>0</v>
      </c>
      <c r="N145">
        <v>2022</v>
      </c>
      <c r="O145">
        <v>2</v>
      </c>
    </row>
    <row r="146" spans="1:15" x14ac:dyDescent="0.3">
      <c r="A146">
        <v>37975</v>
      </c>
      <c r="B146">
        <v>3204807</v>
      </c>
      <c r="C146" t="s">
        <v>81</v>
      </c>
      <c r="D146">
        <v>0.221</v>
      </c>
      <c r="E146">
        <v>575070.06999999995</v>
      </c>
      <c r="F146">
        <v>6623.62</v>
      </c>
      <c r="G146">
        <v>581693.68999999994</v>
      </c>
      <c r="H146">
        <v>12623.03</v>
      </c>
      <c r="I146">
        <v>35828.79</v>
      </c>
      <c r="J146">
        <v>0.439</v>
      </c>
      <c r="K146">
        <v>13734.38</v>
      </c>
      <c r="L146">
        <v>0</v>
      </c>
      <c r="M146">
        <v>0</v>
      </c>
      <c r="N146">
        <v>2022</v>
      </c>
      <c r="O146">
        <v>2</v>
      </c>
    </row>
    <row r="147" spans="1:15" x14ac:dyDescent="0.3">
      <c r="A147">
        <v>37976</v>
      </c>
      <c r="B147">
        <v>3204906</v>
      </c>
      <c r="C147" t="s">
        <v>82</v>
      </c>
      <c r="D147">
        <v>1.8009999999999999</v>
      </c>
      <c r="E147">
        <v>4686241.59</v>
      </c>
      <c r="F147">
        <v>53978.01</v>
      </c>
      <c r="G147">
        <v>4740219.5999999996</v>
      </c>
      <c r="H147">
        <v>102869.16</v>
      </c>
      <c r="I147">
        <v>357162.09</v>
      </c>
      <c r="J147">
        <v>3.0230000000000001</v>
      </c>
      <c r="K147">
        <v>111925.85</v>
      </c>
      <c r="L147">
        <v>0</v>
      </c>
      <c r="M147">
        <v>0</v>
      </c>
      <c r="N147">
        <v>2022</v>
      </c>
      <c r="O147">
        <v>2</v>
      </c>
    </row>
    <row r="148" spans="1:15" x14ac:dyDescent="0.3">
      <c r="A148">
        <v>37977</v>
      </c>
      <c r="B148">
        <v>3204955</v>
      </c>
      <c r="C148" t="s">
        <v>83</v>
      </c>
      <c r="D148">
        <v>0.32800000000000001</v>
      </c>
      <c r="E148">
        <v>853437.23</v>
      </c>
      <c r="F148">
        <v>9830.51</v>
      </c>
      <c r="G148">
        <v>863267.74</v>
      </c>
      <c r="H148">
        <v>18734.64</v>
      </c>
      <c r="I148">
        <v>23846.86</v>
      </c>
      <c r="J148">
        <v>0.46300000000000002</v>
      </c>
      <c r="K148">
        <v>20384.05</v>
      </c>
      <c r="L148">
        <v>0</v>
      </c>
      <c r="M148">
        <v>0</v>
      </c>
      <c r="N148">
        <v>2022</v>
      </c>
      <c r="O148">
        <v>2</v>
      </c>
    </row>
    <row r="149" spans="1:15" x14ac:dyDescent="0.3">
      <c r="A149">
        <v>37978</v>
      </c>
      <c r="B149">
        <v>3205002</v>
      </c>
      <c r="C149" t="s">
        <v>84</v>
      </c>
      <c r="D149">
        <v>13.067</v>
      </c>
      <c r="E149">
        <v>34000669.289999999</v>
      </c>
      <c r="F149">
        <v>391632.8</v>
      </c>
      <c r="G149">
        <v>34392302.090000004</v>
      </c>
      <c r="H149">
        <v>746358.33</v>
      </c>
      <c r="I149">
        <v>1415794.5</v>
      </c>
      <c r="J149">
        <v>8.3919999999999995</v>
      </c>
      <c r="K149">
        <v>812068.36</v>
      </c>
      <c r="L149">
        <v>0</v>
      </c>
      <c r="M149">
        <v>0</v>
      </c>
      <c r="N149">
        <v>2022</v>
      </c>
      <c r="O149">
        <v>2</v>
      </c>
    </row>
    <row r="150" spans="1:15" x14ac:dyDescent="0.3">
      <c r="A150">
        <v>37979</v>
      </c>
      <c r="B150">
        <v>3205010</v>
      </c>
      <c r="C150" t="s">
        <v>85</v>
      </c>
      <c r="D150">
        <v>0.70499999999999996</v>
      </c>
      <c r="E150">
        <v>1834376.83</v>
      </c>
      <c r="F150">
        <v>21129.64</v>
      </c>
      <c r="G150">
        <v>1855506.47</v>
      </c>
      <c r="H150">
        <v>40268.050000000003</v>
      </c>
      <c r="I150">
        <v>31012.06</v>
      </c>
      <c r="J150">
        <v>0.996</v>
      </c>
      <c r="K150">
        <v>43813.29</v>
      </c>
      <c r="L150">
        <v>0</v>
      </c>
      <c r="M150">
        <v>0</v>
      </c>
      <c r="N150">
        <v>2022</v>
      </c>
      <c r="O150">
        <v>2</v>
      </c>
    </row>
    <row r="151" spans="1:15" x14ac:dyDescent="0.3">
      <c r="A151">
        <v>37980</v>
      </c>
      <c r="B151">
        <v>3205036</v>
      </c>
      <c r="C151" t="s">
        <v>86</v>
      </c>
      <c r="D151">
        <v>0.47599999999999998</v>
      </c>
      <c r="E151">
        <v>1238545.1299999999</v>
      </c>
      <c r="F151">
        <v>14266.26</v>
      </c>
      <c r="G151">
        <v>1252811.3899999999</v>
      </c>
      <c r="H151">
        <v>27188.07</v>
      </c>
      <c r="I151">
        <v>51647.15</v>
      </c>
      <c r="J151">
        <v>0.72899999999999998</v>
      </c>
      <c r="K151">
        <v>29581.74</v>
      </c>
      <c r="L151">
        <v>0</v>
      </c>
      <c r="M151">
        <v>0</v>
      </c>
      <c r="N151">
        <v>2022</v>
      </c>
      <c r="O151">
        <v>2</v>
      </c>
    </row>
    <row r="152" spans="1:15" x14ac:dyDescent="0.3">
      <c r="A152">
        <v>37981</v>
      </c>
      <c r="B152">
        <v>3205069</v>
      </c>
      <c r="C152" t="s">
        <v>87</v>
      </c>
      <c r="D152">
        <v>0.72099999999999997</v>
      </c>
      <c r="E152">
        <v>1876008.94</v>
      </c>
      <c r="F152">
        <v>21609.18</v>
      </c>
      <c r="G152">
        <v>1897618.12</v>
      </c>
      <c r="H152">
        <v>41181.94</v>
      </c>
      <c r="I152">
        <v>141792.75</v>
      </c>
      <c r="J152">
        <v>0.85799999999999998</v>
      </c>
      <c r="K152">
        <v>44807.63</v>
      </c>
      <c r="L152">
        <v>0</v>
      </c>
      <c r="M152">
        <v>0</v>
      </c>
      <c r="N152">
        <v>2022</v>
      </c>
      <c r="O152">
        <v>2</v>
      </c>
    </row>
    <row r="153" spans="1:15" x14ac:dyDescent="0.3">
      <c r="A153">
        <v>37982</v>
      </c>
      <c r="B153">
        <v>2112803</v>
      </c>
      <c r="C153" t="s">
        <v>88</v>
      </c>
      <c r="D153">
        <v>2.2530000000000001</v>
      </c>
      <c r="E153">
        <v>5861927.9199999999</v>
      </c>
      <c r="F153">
        <v>67524.960000000006</v>
      </c>
      <c r="G153">
        <v>5929452.8799999999</v>
      </c>
      <c r="H153">
        <v>128686.41</v>
      </c>
      <c r="I153">
        <v>528848.23</v>
      </c>
      <c r="J153">
        <v>1.9830000000000001</v>
      </c>
      <c r="K153">
        <v>140016.07</v>
      </c>
      <c r="L153">
        <v>0</v>
      </c>
      <c r="M153">
        <v>0</v>
      </c>
      <c r="N153">
        <v>2022</v>
      </c>
      <c r="O153">
        <v>2</v>
      </c>
    </row>
    <row r="154" spans="1:15" x14ac:dyDescent="0.3">
      <c r="A154">
        <v>37983</v>
      </c>
      <c r="B154">
        <v>3205150</v>
      </c>
      <c r="C154" t="s">
        <v>89</v>
      </c>
      <c r="D154">
        <v>0.32700000000000001</v>
      </c>
      <c r="E154">
        <v>850837.33</v>
      </c>
      <c r="F154">
        <v>9800.56</v>
      </c>
      <c r="G154">
        <v>860637.89</v>
      </c>
      <c r="H154">
        <v>18677.52</v>
      </c>
      <c r="I154">
        <v>16210.73</v>
      </c>
      <c r="J154">
        <v>0.34599999999999997</v>
      </c>
      <c r="K154">
        <v>20321.91</v>
      </c>
      <c r="L154">
        <v>0</v>
      </c>
      <c r="M154">
        <v>0</v>
      </c>
      <c r="N154">
        <v>2022</v>
      </c>
      <c r="O154">
        <v>2</v>
      </c>
    </row>
    <row r="155" spans="1:15" x14ac:dyDescent="0.3">
      <c r="A155">
        <v>37984</v>
      </c>
      <c r="B155">
        <v>3205176</v>
      </c>
      <c r="C155" t="s">
        <v>90</v>
      </c>
      <c r="D155">
        <v>0.61599999999999999</v>
      </c>
      <c r="E155">
        <v>1602769.32</v>
      </c>
      <c r="F155">
        <v>18462.23</v>
      </c>
      <c r="G155">
        <v>1621231.55</v>
      </c>
      <c r="H155">
        <v>35184.57</v>
      </c>
      <c r="I155">
        <v>39008.589999999997</v>
      </c>
      <c r="J155">
        <v>0.56000000000000005</v>
      </c>
      <c r="K155">
        <v>38282.25</v>
      </c>
      <c r="L155">
        <v>0</v>
      </c>
      <c r="M155">
        <v>0</v>
      </c>
      <c r="N155">
        <v>2022</v>
      </c>
      <c r="O155">
        <v>2</v>
      </c>
    </row>
    <row r="156" spans="1:15" x14ac:dyDescent="0.3">
      <c r="A156">
        <v>37985</v>
      </c>
      <c r="B156">
        <v>3205200</v>
      </c>
      <c r="C156" t="s">
        <v>91</v>
      </c>
      <c r="D156">
        <v>5.5570000000000004</v>
      </c>
      <c r="E156">
        <v>14459503.34</v>
      </c>
      <c r="F156">
        <v>166549.57999999999</v>
      </c>
      <c r="G156">
        <v>14626052.92</v>
      </c>
      <c r="H156">
        <v>317403.63</v>
      </c>
      <c r="I156">
        <v>2021827.64</v>
      </c>
      <c r="J156">
        <v>8.0730000000000004</v>
      </c>
      <c r="K156">
        <v>345348.12</v>
      </c>
      <c r="L156">
        <v>0</v>
      </c>
      <c r="M156">
        <v>0</v>
      </c>
      <c r="N156">
        <v>2022</v>
      </c>
      <c r="O156">
        <v>2</v>
      </c>
    </row>
    <row r="157" spans="1:15" x14ac:dyDescent="0.3">
      <c r="A157">
        <v>37986</v>
      </c>
      <c r="B157">
        <v>3205309</v>
      </c>
      <c r="C157" t="s">
        <v>92</v>
      </c>
      <c r="D157">
        <v>15.843</v>
      </c>
      <c r="E157">
        <v>41222039.5</v>
      </c>
      <c r="F157">
        <v>474832.55</v>
      </c>
      <c r="G157">
        <v>41696872.049999997</v>
      </c>
      <c r="H157">
        <v>904917.35</v>
      </c>
      <c r="I157">
        <v>3130938.13</v>
      </c>
      <c r="J157">
        <v>9.5009999999999994</v>
      </c>
      <c r="K157">
        <v>984587.04</v>
      </c>
      <c r="L157">
        <v>0</v>
      </c>
      <c r="M157">
        <v>0</v>
      </c>
      <c r="N157">
        <v>2022</v>
      </c>
      <c r="O157">
        <v>2</v>
      </c>
    </row>
    <row r="158" spans="1:15" x14ac:dyDescent="0.3">
      <c r="A158">
        <v>37987</v>
      </c>
      <c r="B158">
        <v>3200102</v>
      </c>
      <c r="C158" t="s">
        <v>15</v>
      </c>
      <c r="D158">
        <v>0.8</v>
      </c>
      <c r="E158">
        <v>2526190.66</v>
      </c>
      <c r="F158">
        <v>28657.56</v>
      </c>
      <c r="G158">
        <v>2554848.2200000002</v>
      </c>
      <c r="H158">
        <v>31206.14</v>
      </c>
      <c r="I158">
        <v>70940.67</v>
      </c>
      <c r="J158">
        <v>0.98499999999999999</v>
      </c>
      <c r="K158">
        <v>80791.320000000007</v>
      </c>
      <c r="L158">
        <v>0</v>
      </c>
      <c r="M158">
        <v>0</v>
      </c>
      <c r="N158">
        <v>2022</v>
      </c>
      <c r="O158">
        <v>2</v>
      </c>
    </row>
    <row r="159" spans="1:15" x14ac:dyDescent="0.3">
      <c r="A159">
        <v>37988</v>
      </c>
      <c r="B159">
        <v>3200169</v>
      </c>
      <c r="C159" t="s">
        <v>16</v>
      </c>
      <c r="D159">
        <v>0.30099999999999999</v>
      </c>
      <c r="E159">
        <v>950479.25</v>
      </c>
      <c r="F159">
        <v>10782.41</v>
      </c>
      <c r="G159">
        <v>961261.66</v>
      </c>
      <c r="H159">
        <v>11741.31</v>
      </c>
      <c r="I159">
        <v>20111.099999999999</v>
      </c>
      <c r="J159">
        <v>0.439</v>
      </c>
      <c r="K159">
        <v>30397.74</v>
      </c>
      <c r="L159">
        <v>0</v>
      </c>
      <c r="M159">
        <v>0</v>
      </c>
      <c r="N159">
        <v>2022</v>
      </c>
      <c r="O159">
        <v>2</v>
      </c>
    </row>
    <row r="160" spans="1:15" x14ac:dyDescent="0.3">
      <c r="A160">
        <v>37989</v>
      </c>
      <c r="B160">
        <v>3200136</v>
      </c>
      <c r="C160" t="s">
        <v>17</v>
      </c>
      <c r="D160">
        <v>0.41599999999999998</v>
      </c>
      <c r="E160">
        <v>1313619.1499999999</v>
      </c>
      <c r="F160">
        <v>14901.95</v>
      </c>
      <c r="G160">
        <v>1328521.1000000001</v>
      </c>
      <c r="H160">
        <v>16227.2</v>
      </c>
      <c r="I160">
        <v>26126.34</v>
      </c>
      <c r="J160">
        <v>0.34799999999999998</v>
      </c>
      <c r="K160">
        <v>42011.48</v>
      </c>
      <c r="L160">
        <v>0</v>
      </c>
      <c r="M160">
        <v>0</v>
      </c>
      <c r="N160">
        <v>2022</v>
      </c>
      <c r="O160">
        <v>2</v>
      </c>
    </row>
    <row r="161" spans="1:15" x14ac:dyDescent="0.3">
      <c r="A161">
        <v>37990</v>
      </c>
      <c r="B161">
        <v>3200201</v>
      </c>
      <c r="C161" t="s">
        <v>18</v>
      </c>
      <c r="D161">
        <v>0.51</v>
      </c>
      <c r="E161">
        <v>1610446.55</v>
      </c>
      <c r="F161">
        <v>18269.21</v>
      </c>
      <c r="G161">
        <v>1628715.76</v>
      </c>
      <c r="H161">
        <v>19893.919999999998</v>
      </c>
      <c r="I161">
        <v>90432.8</v>
      </c>
      <c r="J161">
        <v>0.98</v>
      </c>
      <c r="K161">
        <v>51504.46</v>
      </c>
      <c r="L161">
        <v>0</v>
      </c>
      <c r="M161">
        <v>0</v>
      </c>
      <c r="N161">
        <v>2022</v>
      </c>
      <c r="O161">
        <v>2</v>
      </c>
    </row>
    <row r="162" spans="1:15" x14ac:dyDescent="0.3">
      <c r="A162">
        <v>37991</v>
      </c>
      <c r="B162">
        <v>3200300</v>
      </c>
      <c r="C162" t="s">
        <v>19</v>
      </c>
      <c r="D162">
        <v>0.49</v>
      </c>
      <c r="E162">
        <v>1547291.79</v>
      </c>
      <c r="F162">
        <v>17552.740000000002</v>
      </c>
      <c r="G162">
        <v>1564844.53</v>
      </c>
      <c r="H162">
        <v>19113.759999999998</v>
      </c>
      <c r="I162">
        <v>82189.33</v>
      </c>
      <c r="J162">
        <v>0.56399999999999995</v>
      </c>
      <c r="K162">
        <v>49484.69</v>
      </c>
      <c r="L162">
        <v>0</v>
      </c>
      <c r="M162">
        <v>0</v>
      </c>
      <c r="N162">
        <v>2022</v>
      </c>
      <c r="O162">
        <v>2</v>
      </c>
    </row>
    <row r="163" spans="1:15" x14ac:dyDescent="0.3">
      <c r="A163">
        <v>37992</v>
      </c>
      <c r="B163">
        <v>3200359</v>
      </c>
      <c r="C163" t="s">
        <v>20</v>
      </c>
      <c r="D163">
        <v>0.23100000000000001</v>
      </c>
      <c r="E163">
        <v>729437.56</v>
      </c>
      <c r="F163">
        <v>8274.8799999999992</v>
      </c>
      <c r="G163">
        <v>737712.44</v>
      </c>
      <c r="H163">
        <v>9010.77</v>
      </c>
      <c r="I163">
        <v>19307.32</v>
      </c>
      <c r="J163">
        <v>0.32700000000000001</v>
      </c>
      <c r="K163">
        <v>23328.49</v>
      </c>
      <c r="L163">
        <v>0</v>
      </c>
      <c r="M163">
        <v>0</v>
      </c>
      <c r="N163">
        <v>2022</v>
      </c>
      <c r="O163">
        <v>2</v>
      </c>
    </row>
    <row r="164" spans="1:15" x14ac:dyDescent="0.3">
      <c r="A164">
        <v>37993</v>
      </c>
      <c r="B164">
        <v>3200409</v>
      </c>
      <c r="C164" t="s">
        <v>21</v>
      </c>
      <c r="D164">
        <v>1.766</v>
      </c>
      <c r="E164">
        <v>5576565.9000000004</v>
      </c>
      <c r="F164">
        <v>63261.53</v>
      </c>
      <c r="G164">
        <v>5639827.4299999997</v>
      </c>
      <c r="H164">
        <v>68887.56</v>
      </c>
      <c r="I164">
        <v>122594.3</v>
      </c>
      <c r="J164">
        <v>0.90800000000000003</v>
      </c>
      <c r="K164">
        <v>178346.83</v>
      </c>
      <c r="L164">
        <v>0</v>
      </c>
      <c r="M164">
        <v>0</v>
      </c>
      <c r="N164">
        <v>2022</v>
      </c>
      <c r="O164">
        <v>2</v>
      </c>
    </row>
    <row r="165" spans="1:15" x14ac:dyDescent="0.3">
      <c r="A165">
        <v>37994</v>
      </c>
      <c r="B165">
        <v>3200508</v>
      </c>
      <c r="C165" t="s">
        <v>22</v>
      </c>
      <c r="D165">
        <v>0.185</v>
      </c>
      <c r="E165">
        <v>584181.61</v>
      </c>
      <c r="F165">
        <v>6627.06</v>
      </c>
      <c r="G165">
        <v>590808.67000000004</v>
      </c>
      <c r="H165">
        <v>7216.42</v>
      </c>
      <c r="I165">
        <v>49161.74</v>
      </c>
      <c r="J165">
        <v>0.32300000000000001</v>
      </c>
      <c r="K165">
        <v>18682.990000000002</v>
      </c>
      <c r="L165">
        <v>0</v>
      </c>
      <c r="M165">
        <v>0</v>
      </c>
      <c r="N165">
        <v>2022</v>
      </c>
      <c r="O165">
        <v>2</v>
      </c>
    </row>
    <row r="166" spans="1:15" x14ac:dyDescent="0.3">
      <c r="A166">
        <v>37995</v>
      </c>
      <c r="B166">
        <v>3200607</v>
      </c>
      <c r="C166" t="s">
        <v>23</v>
      </c>
      <c r="D166">
        <v>4.9909999999999997</v>
      </c>
      <c r="E166">
        <v>15760272.050000001</v>
      </c>
      <c r="F166">
        <v>178787.28</v>
      </c>
      <c r="G166">
        <v>15939059.33</v>
      </c>
      <c r="H166">
        <v>194687.34</v>
      </c>
      <c r="I166">
        <v>448438.42</v>
      </c>
      <c r="J166">
        <v>2.5089999999999999</v>
      </c>
      <c r="K166">
        <v>504036.83</v>
      </c>
      <c r="L166">
        <v>0</v>
      </c>
      <c r="M166">
        <v>0</v>
      </c>
      <c r="N166">
        <v>2022</v>
      </c>
      <c r="O166">
        <v>2</v>
      </c>
    </row>
    <row r="167" spans="1:15" x14ac:dyDescent="0.3">
      <c r="A167">
        <v>37996</v>
      </c>
      <c r="B167">
        <v>3200706</v>
      </c>
      <c r="C167" t="s">
        <v>24</v>
      </c>
      <c r="D167">
        <v>0.373</v>
      </c>
      <c r="E167">
        <v>1177836.4099999999</v>
      </c>
      <c r="F167">
        <v>13361.58</v>
      </c>
      <c r="G167">
        <v>1191197.99</v>
      </c>
      <c r="H167">
        <v>14549.87</v>
      </c>
      <c r="I167">
        <v>49436.56</v>
      </c>
      <c r="J167">
        <v>0.45700000000000002</v>
      </c>
      <c r="K167">
        <v>37668.949999999997</v>
      </c>
      <c r="L167">
        <v>0</v>
      </c>
      <c r="M167">
        <v>0</v>
      </c>
      <c r="N167">
        <v>2022</v>
      </c>
      <c r="O167">
        <v>2</v>
      </c>
    </row>
    <row r="168" spans="1:15" x14ac:dyDescent="0.3">
      <c r="A168">
        <v>37997</v>
      </c>
      <c r="B168">
        <v>3200805</v>
      </c>
      <c r="C168" t="s">
        <v>25</v>
      </c>
      <c r="D168">
        <v>0.64300000000000002</v>
      </c>
      <c r="E168">
        <v>2030425.77</v>
      </c>
      <c r="F168">
        <v>23033.5</v>
      </c>
      <c r="G168">
        <v>2053459.27</v>
      </c>
      <c r="H168">
        <v>25081.94</v>
      </c>
      <c r="I168">
        <v>173320.44</v>
      </c>
      <c r="J168">
        <v>0.996</v>
      </c>
      <c r="K168">
        <v>64936.02</v>
      </c>
      <c r="L168">
        <v>0</v>
      </c>
      <c r="M168">
        <v>0</v>
      </c>
      <c r="N168">
        <v>2022</v>
      </c>
      <c r="O168">
        <v>2</v>
      </c>
    </row>
    <row r="169" spans="1:15" x14ac:dyDescent="0.3">
      <c r="A169">
        <v>37998</v>
      </c>
      <c r="B169">
        <v>3200904</v>
      </c>
      <c r="C169" t="s">
        <v>26</v>
      </c>
      <c r="D169">
        <v>1.036</v>
      </c>
      <c r="E169">
        <v>3271416.92</v>
      </c>
      <c r="F169">
        <v>37111.54</v>
      </c>
      <c r="G169">
        <v>3308528.46</v>
      </c>
      <c r="H169">
        <v>40411.96</v>
      </c>
      <c r="I169">
        <v>227171.82</v>
      </c>
      <c r="J169">
        <v>1.321</v>
      </c>
      <c r="K169">
        <v>104624.76</v>
      </c>
      <c r="L169">
        <v>0</v>
      </c>
      <c r="M169">
        <v>0</v>
      </c>
      <c r="N169">
        <v>2022</v>
      </c>
      <c r="O169">
        <v>2</v>
      </c>
    </row>
    <row r="170" spans="1:15" x14ac:dyDescent="0.3">
      <c r="A170">
        <v>37999</v>
      </c>
      <c r="B170">
        <v>3107109</v>
      </c>
      <c r="C170" t="s">
        <v>27</v>
      </c>
      <c r="D170">
        <v>0.39900000000000002</v>
      </c>
      <c r="E170">
        <v>1259937.6100000001</v>
      </c>
      <c r="F170">
        <v>14292.96</v>
      </c>
      <c r="G170">
        <v>1274230.57</v>
      </c>
      <c r="H170">
        <v>15564.06</v>
      </c>
      <c r="I170">
        <v>47145.27</v>
      </c>
      <c r="J170">
        <v>0.56899999999999995</v>
      </c>
      <c r="K170">
        <v>40294.660000000003</v>
      </c>
      <c r="L170">
        <v>0</v>
      </c>
      <c r="M170">
        <v>0</v>
      </c>
      <c r="N170">
        <v>2022</v>
      </c>
      <c r="O170">
        <v>2</v>
      </c>
    </row>
    <row r="171" spans="1:15" x14ac:dyDescent="0.3">
      <c r="A171">
        <v>38000</v>
      </c>
      <c r="B171">
        <v>3201100</v>
      </c>
      <c r="C171" t="s">
        <v>28</v>
      </c>
      <c r="D171">
        <v>0.17599999999999999</v>
      </c>
      <c r="E171">
        <v>555761.93000000005</v>
      </c>
      <c r="F171">
        <v>6304.67</v>
      </c>
      <c r="G171">
        <v>562066.6</v>
      </c>
      <c r="H171">
        <v>6865.35</v>
      </c>
      <c r="I171">
        <v>150739.26</v>
      </c>
      <c r="J171">
        <v>0.43</v>
      </c>
      <c r="K171">
        <v>17774.09</v>
      </c>
      <c r="L171">
        <v>0</v>
      </c>
      <c r="M171">
        <v>0</v>
      </c>
      <c r="N171">
        <v>2022</v>
      </c>
      <c r="O171">
        <v>2</v>
      </c>
    </row>
    <row r="172" spans="1:15" x14ac:dyDescent="0.3">
      <c r="A172">
        <v>38001</v>
      </c>
      <c r="B172">
        <v>3201159</v>
      </c>
      <c r="C172" t="s">
        <v>29</v>
      </c>
      <c r="D172">
        <v>0.42099999999999999</v>
      </c>
      <c r="E172">
        <v>1329407.8400000001</v>
      </c>
      <c r="F172">
        <v>15081.05</v>
      </c>
      <c r="G172">
        <v>1344488.89</v>
      </c>
      <c r="H172">
        <v>16422.23</v>
      </c>
      <c r="I172">
        <v>26721.94</v>
      </c>
      <c r="J172">
        <v>0.46</v>
      </c>
      <c r="K172">
        <v>42516.43</v>
      </c>
      <c r="L172">
        <v>0</v>
      </c>
      <c r="M172">
        <v>0</v>
      </c>
      <c r="N172">
        <v>2022</v>
      </c>
      <c r="O172">
        <v>2</v>
      </c>
    </row>
    <row r="173" spans="1:15" x14ac:dyDescent="0.3">
      <c r="A173">
        <v>38002</v>
      </c>
      <c r="B173">
        <v>3201209</v>
      </c>
      <c r="C173" t="s">
        <v>30</v>
      </c>
      <c r="D173">
        <v>3.234</v>
      </c>
      <c r="E173">
        <v>10212125.789999999</v>
      </c>
      <c r="F173">
        <v>115848.13</v>
      </c>
      <c r="G173">
        <v>10327973.92</v>
      </c>
      <c r="H173">
        <v>126150.84</v>
      </c>
      <c r="I173">
        <v>979405.66</v>
      </c>
      <c r="J173">
        <v>4.4820000000000002</v>
      </c>
      <c r="K173">
        <v>326598.90000000002</v>
      </c>
      <c r="L173">
        <v>0</v>
      </c>
      <c r="M173">
        <v>0</v>
      </c>
      <c r="N173">
        <v>2022</v>
      </c>
      <c r="O173">
        <v>2</v>
      </c>
    </row>
    <row r="174" spans="1:15" x14ac:dyDescent="0.3">
      <c r="A174">
        <v>38003</v>
      </c>
      <c r="B174">
        <v>3201308</v>
      </c>
      <c r="C174" t="s">
        <v>31</v>
      </c>
      <c r="D174">
        <v>7.4969999999999999</v>
      </c>
      <c r="E174">
        <v>23673564.359999999</v>
      </c>
      <c r="F174">
        <v>268557.02</v>
      </c>
      <c r="G174">
        <v>23942121.379999999</v>
      </c>
      <c r="H174">
        <v>292440.59000000003</v>
      </c>
      <c r="I174">
        <v>1757588.31</v>
      </c>
      <c r="J174">
        <v>6.6040000000000001</v>
      </c>
      <c r="K174">
        <v>757115.63</v>
      </c>
      <c r="L174">
        <v>0</v>
      </c>
      <c r="M174">
        <v>0</v>
      </c>
      <c r="N174">
        <v>2022</v>
      </c>
      <c r="O174">
        <v>2</v>
      </c>
    </row>
    <row r="175" spans="1:15" x14ac:dyDescent="0.3">
      <c r="A175">
        <v>38004</v>
      </c>
      <c r="B175">
        <v>3201407</v>
      </c>
      <c r="C175" t="s">
        <v>32</v>
      </c>
      <c r="D175">
        <v>0.96499999999999997</v>
      </c>
      <c r="E175">
        <v>3047217.48</v>
      </c>
      <c r="F175">
        <v>34568.160000000003</v>
      </c>
      <c r="G175">
        <v>3081785.64</v>
      </c>
      <c r="H175">
        <v>37642.410000000003</v>
      </c>
      <c r="I175">
        <v>294703.56</v>
      </c>
      <c r="J175">
        <v>1.155</v>
      </c>
      <c r="K175">
        <v>97454.52</v>
      </c>
      <c r="L175">
        <v>0</v>
      </c>
      <c r="M175">
        <v>0</v>
      </c>
      <c r="N175">
        <v>2022</v>
      </c>
      <c r="O175">
        <v>2</v>
      </c>
    </row>
    <row r="176" spans="1:15" x14ac:dyDescent="0.3">
      <c r="A176">
        <v>38005</v>
      </c>
      <c r="B176">
        <v>3201506</v>
      </c>
      <c r="C176" t="s">
        <v>33</v>
      </c>
      <c r="D176">
        <v>2.1739999999999999</v>
      </c>
      <c r="E176">
        <v>6864923.1399999997</v>
      </c>
      <c r="F176">
        <v>77876.88</v>
      </c>
      <c r="G176">
        <v>6942800.0199999996</v>
      </c>
      <c r="H176">
        <v>84802.7</v>
      </c>
      <c r="I176">
        <v>512941.1</v>
      </c>
      <c r="J176">
        <v>2.8220000000000001</v>
      </c>
      <c r="K176">
        <v>219550.41</v>
      </c>
      <c r="L176">
        <v>0</v>
      </c>
      <c r="M176">
        <v>0</v>
      </c>
      <c r="N176">
        <v>2022</v>
      </c>
      <c r="O176">
        <v>2</v>
      </c>
    </row>
    <row r="177" spans="1:15" x14ac:dyDescent="0.3">
      <c r="A177">
        <v>38006</v>
      </c>
      <c r="B177">
        <v>3201605</v>
      </c>
      <c r="C177" t="s">
        <v>34</v>
      </c>
      <c r="D177">
        <v>0.65200000000000002</v>
      </c>
      <c r="E177">
        <v>2058845.39</v>
      </c>
      <c r="F177">
        <v>23355.89</v>
      </c>
      <c r="G177">
        <v>2082201.28</v>
      </c>
      <c r="H177">
        <v>25433.01</v>
      </c>
      <c r="I177">
        <v>51040.800000000003</v>
      </c>
      <c r="J177">
        <v>0.999</v>
      </c>
      <c r="K177">
        <v>65844.92</v>
      </c>
      <c r="L177">
        <v>0</v>
      </c>
      <c r="M177">
        <v>0</v>
      </c>
      <c r="N177">
        <v>2022</v>
      </c>
      <c r="O177">
        <v>2</v>
      </c>
    </row>
    <row r="178" spans="1:15" x14ac:dyDescent="0.3">
      <c r="A178">
        <v>38007</v>
      </c>
      <c r="B178">
        <v>3201704</v>
      </c>
      <c r="C178" t="s">
        <v>35</v>
      </c>
      <c r="D178">
        <v>0.47499999999999998</v>
      </c>
      <c r="E178">
        <v>1499925.71</v>
      </c>
      <c r="F178">
        <v>17015.419999999998</v>
      </c>
      <c r="G178">
        <v>1516941.13</v>
      </c>
      <c r="H178">
        <v>18528.650000000001</v>
      </c>
      <c r="I178">
        <v>46566</v>
      </c>
      <c r="J178">
        <v>0.46500000000000002</v>
      </c>
      <c r="K178">
        <v>47969.85</v>
      </c>
      <c r="L178">
        <v>0</v>
      </c>
      <c r="M178">
        <v>0</v>
      </c>
      <c r="N178">
        <v>2022</v>
      </c>
      <c r="O178">
        <v>2</v>
      </c>
    </row>
    <row r="179" spans="1:15" x14ac:dyDescent="0.3">
      <c r="A179">
        <v>38008</v>
      </c>
      <c r="B179">
        <v>3201803</v>
      </c>
      <c r="C179" t="s">
        <v>36</v>
      </c>
      <c r="D179">
        <v>0.186</v>
      </c>
      <c r="E179">
        <v>587339.34</v>
      </c>
      <c r="F179">
        <v>6662.89</v>
      </c>
      <c r="G179">
        <v>594002.23</v>
      </c>
      <c r="H179">
        <v>7255.43</v>
      </c>
      <c r="I179">
        <v>11508.97</v>
      </c>
      <c r="J179">
        <v>0.28299999999999997</v>
      </c>
      <c r="K179">
        <v>18783.98</v>
      </c>
      <c r="L179">
        <v>0</v>
      </c>
      <c r="M179">
        <v>0</v>
      </c>
      <c r="N179">
        <v>2022</v>
      </c>
      <c r="O179">
        <v>2</v>
      </c>
    </row>
    <row r="180" spans="1:15" x14ac:dyDescent="0.3">
      <c r="A180">
        <v>38009</v>
      </c>
      <c r="B180">
        <v>3201902</v>
      </c>
      <c r="C180" t="s">
        <v>37</v>
      </c>
      <c r="D180">
        <v>1.3140000000000001</v>
      </c>
      <c r="E180">
        <v>4149268.18</v>
      </c>
      <c r="F180">
        <v>47070.03</v>
      </c>
      <c r="G180">
        <v>4196338.21</v>
      </c>
      <c r="H180">
        <v>51256.09</v>
      </c>
      <c r="I180">
        <v>177385.45</v>
      </c>
      <c r="J180">
        <v>1.0309999999999999</v>
      </c>
      <c r="K180">
        <v>132699.74</v>
      </c>
      <c r="L180">
        <v>0</v>
      </c>
      <c r="M180">
        <v>0</v>
      </c>
      <c r="N180">
        <v>2022</v>
      </c>
      <c r="O180">
        <v>2</v>
      </c>
    </row>
    <row r="181" spans="1:15" x14ac:dyDescent="0.3">
      <c r="A181">
        <v>38010</v>
      </c>
      <c r="B181">
        <v>3202009</v>
      </c>
      <c r="C181" t="s">
        <v>38</v>
      </c>
      <c r="D181">
        <v>0.26</v>
      </c>
      <c r="E181">
        <v>821011.96</v>
      </c>
      <c r="F181">
        <v>9313.7099999999991</v>
      </c>
      <c r="G181">
        <v>830325.67</v>
      </c>
      <c r="H181">
        <v>10142</v>
      </c>
      <c r="I181">
        <v>50465.06</v>
      </c>
      <c r="J181">
        <v>0.314</v>
      </c>
      <c r="K181">
        <v>26257.17</v>
      </c>
      <c r="L181">
        <v>0</v>
      </c>
      <c r="M181">
        <v>0</v>
      </c>
      <c r="N181">
        <v>2022</v>
      </c>
      <c r="O181">
        <v>2</v>
      </c>
    </row>
    <row r="182" spans="1:15" x14ac:dyDescent="0.3">
      <c r="A182">
        <v>38011</v>
      </c>
      <c r="B182">
        <v>3202108</v>
      </c>
      <c r="C182" t="s">
        <v>39</v>
      </c>
      <c r="D182">
        <v>0.69899999999999995</v>
      </c>
      <c r="E182">
        <v>2207259.11</v>
      </c>
      <c r="F182">
        <v>25039.54</v>
      </c>
      <c r="G182">
        <v>2232298.65</v>
      </c>
      <c r="H182">
        <v>27266.37</v>
      </c>
      <c r="I182">
        <v>40436.86</v>
      </c>
      <c r="J182">
        <v>0.81599999999999995</v>
      </c>
      <c r="K182">
        <v>70591.41</v>
      </c>
      <c r="L182">
        <v>0</v>
      </c>
      <c r="M182">
        <v>0</v>
      </c>
      <c r="N182">
        <v>2022</v>
      </c>
      <c r="O182">
        <v>2</v>
      </c>
    </row>
    <row r="183" spans="1:15" x14ac:dyDescent="0.3">
      <c r="A183">
        <v>38012</v>
      </c>
      <c r="B183">
        <v>3202207</v>
      </c>
      <c r="C183" t="s">
        <v>40</v>
      </c>
      <c r="D183">
        <v>0.313</v>
      </c>
      <c r="E183">
        <v>988372.1</v>
      </c>
      <c r="F183">
        <v>11212.26</v>
      </c>
      <c r="G183">
        <v>999584.36</v>
      </c>
      <c r="H183">
        <v>12209.4</v>
      </c>
      <c r="I183">
        <v>58382.07</v>
      </c>
      <c r="J183">
        <v>0.73399999999999999</v>
      </c>
      <c r="K183">
        <v>31609.599999999999</v>
      </c>
      <c r="L183">
        <v>0</v>
      </c>
      <c r="M183">
        <v>0</v>
      </c>
      <c r="N183">
        <v>2022</v>
      </c>
      <c r="O183">
        <v>2</v>
      </c>
    </row>
    <row r="184" spans="1:15" x14ac:dyDescent="0.3">
      <c r="A184">
        <v>38013</v>
      </c>
      <c r="B184">
        <v>3202256</v>
      </c>
      <c r="C184" t="s">
        <v>41</v>
      </c>
      <c r="D184">
        <v>0.43</v>
      </c>
      <c r="E184">
        <v>1357827.48</v>
      </c>
      <c r="F184">
        <v>15403.44</v>
      </c>
      <c r="G184">
        <v>1373230.92</v>
      </c>
      <c r="H184">
        <v>16773.3</v>
      </c>
      <c r="I184">
        <v>37358.550000000003</v>
      </c>
      <c r="J184">
        <v>0.46700000000000003</v>
      </c>
      <c r="K184">
        <v>43425.33</v>
      </c>
      <c r="L184">
        <v>0</v>
      </c>
      <c r="M184">
        <v>0</v>
      </c>
      <c r="N184">
        <v>2022</v>
      </c>
      <c r="O184">
        <v>2</v>
      </c>
    </row>
    <row r="185" spans="1:15" x14ac:dyDescent="0.3">
      <c r="A185">
        <v>38014</v>
      </c>
      <c r="B185">
        <v>3202306</v>
      </c>
      <c r="C185" t="s">
        <v>42</v>
      </c>
      <c r="D185">
        <v>0.378</v>
      </c>
      <c r="E185">
        <v>1193625.0900000001</v>
      </c>
      <c r="F185">
        <v>13540.71</v>
      </c>
      <c r="G185">
        <v>1207165.8</v>
      </c>
      <c r="H185">
        <v>14744.9</v>
      </c>
      <c r="I185">
        <v>140487.78</v>
      </c>
      <c r="J185">
        <v>0.998</v>
      </c>
      <c r="K185">
        <v>38173.9</v>
      </c>
      <c r="L185">
        <v>0</v>
      </c>
      <c r="M185">
        <v>0</v>
      </c>
      <c r="N185">
        <v>2022</v>
      </c>
      <c r="O185">
        <v>2</v>
      </c>
    </row>
    <row r="186" spans="1:15" x14ac:dyDescent="0.3">
      <c r="A186">
        <v>38015</v>
      </c>
      <c r="B186">
        <v>3202405</v>
      </c>
      <c r="C186" t="s">
        <v>43</v>
      </c>
      <c r="D186">
        <v>0.90900000000000003</v>
      </c>
      <c r="E186">
        <v>2870384.15</v>
      </c>
      <c r="F186">
        <v>32562.14</v>
      </c>
      <c r="G186">
        <v>2902946.29</v>
      </c>
      <c r="H186">
        <v>35457.980000000003</v>
      </c>
      <c r="I186">
        <v>1089178.55</v>
      </c>
      <c r="J186">
        <v>2.8730000000000002</v>
      </c>
      <c r="K186">
        <v>91799.14</v>
      </c>
      <c r="L186">
        <v>0</v>
      </c>
      <c r="M186">
        <v>0</v>
      </c>
      <c r="N186">
        <v>2022</v>
      </c>
      <c r="O186">
        <v>2</v>
      </c>
    </row>
    <row r="187" spans="1:15" x14ac:dyDescent="0.3">
      <c r="A187">
        <v>38016</v>
      </c>
      <c r="B187">
        <v>3202454</v>
      </c>
      <c r="C187" t="s">
        <v>44</v>
      </c>
      <c r="D187">
        <v>0.35099999999999998</v>
      </c>
      <c r="E187">
        <v>1108366.1599999999</v>
      </c>
      <c r="F187">
        <v>12573.52</v>
      </c>
      <c r="G187">
        <v>1120939.68</v>
      </c>
      <c r="H187">
        <v>13691.7</v>
      </c>
      <c r="I187">
        <v>76044.66</v>
      </c>
      <c r="J187">
        <v>0.86499999999999999</v>
      </c>
      <c r="K187">
        <v>35447.199999999997</v>
      </c>
      <c r="L187">
        <v>0</v>
      </c>
      <c r="M187">
        <v>0</v>
      </c>
      <c r="N187">
        <v>2022</v>
      </c>
      <c r="O187">
        <v>2</v>
      </c>
    </row>
    <row r="188" spans="1:15" x14ac:dyDescent="0.3">
      <c r="A188">
        <v>38017</v>
      </c>
      <c r="B188">
        <v>3202504</v>
      </c>
      <c r="C188" t="s">
        <v>45</v>
      </c>
      <c r="D188">
        <v>0.26700000000000002</v>
      </c>
      <c r="E188">
        <v>843116.15</v>
      </c>
      <c r="F188">
        <v>9564.4699999999993</v>
      </c>
      <c r="G188">
        <v>852680.62</v>
      </c>
      <c r="H188">
        <v>10415.049999999999</v>
      </c>
      <c r="I188">
        <v>66410.720000000001</v>
      </c>
      <c r="J188">
        <v>0.46300000000000002</v>
      </c>
      <c r="K188">
        <v>26964.1</v>
      </c>
      <c r="L188">
        <v>0</v>
      </c>
      <c r="M188">
        <v>0</v>
      </c>
      <c r="N188">
        <v>2022</v>
      </c>
      <c r="O188">
        <v>2</v>
      </c>
    </row>
    <row r="189" spans="1:15" x14ac:dyDescent="0.3">
      <c r="A189">
        <v>38018</v>
      </c>
      <c r="B189">
        <v>3202553</v>
      </c>
      <c r="C189" t="s">
        <v>46</v>
      </c>
      <c r="D189">
        <v>0.248</v>
      </c>
      <c r="E189">
        <v>783119.12</v>
      </c>
      <c r="F189">
        <v>8883.83</v>
      </c>
      <c r="G189">
        <v>792002.95</v>
      </c>
      <c r="H189">
        <v>9673.9</v>
      </c>
      <c r="I189">
        <v>26776.240000000002</v>
      </c>
      <c r="J189">
        <v>0.33800000000000002</v>
      </c>
      <c r="K189">
        <v>25045.31</v>
      </c>
      <c r="L189">
        <v>0</v>
      </c>
      <c r="M189">
        <v>0</v>
      </c>
      <c r="N189">
        <v>2022</v>
      </c>
      <c r="O189">
        <v>2</v>
      </c>
    </row>
    <row r="190" spans="1:15" x14ac:dyDescent="0.3">
      <c r="A190">
        <v>38019</v>
      </c>
      <c r="B190">
        <v>3202603</v>
      </c>
      <c r="C190" t="s">
        <v>47</v>
      </c>
      <c r="D190">
        <v>0.34399999999999997</v>
      </c>
      <c r="E190">
        <v>1086261.99</v>
      </c>
      <c r="F190">
        <v>12322.76</v>
      </c>
      <c r="G190">
        <v>1098584.75</v>
      </c>
      <c r="H190">
        <v>13418.64</v>
      </c>
      <c r="I190">
        <v>302118.81</v>
      </c>
      <c r="J190">
        <v>0.55600000000000005</v>
      </c>
      <c r="K190">
        <v>34740.269999999997</v>
      </c>
      <c r="L190">
        <v>0</v>
      </c>
      <c r="M190">
        <v>0</v>
      </c>
      <c r="N190">
        <v>2022</v>
      </c>
      <c r="O190">
        <v>2</v>
      </c>
    </row>
    <row r="191" spans="1:15" x14ac:dyDescent="0.3">
      <c r="A191">
        <v>38020</v>
      </c>
      <c r="B191">
        <v>3202652</v>
      </c>
      <c r="C191" t="s">
        <v>48</v>
      </c>
      <c r="D191">
        <v>0.308</v>
      </c>
      <c r="E191">
        <v>972583.42</v>
      </c>
      <c r="F191">
        <v>11033.14</v>
      </c>
      <c r="G191">
        <v>983616.56</v>
      </c>
      <c r="H191">
        <v>12014.37</v>
      </c>
      <c r="I191">
        <v>58117.9</v>
      </c>
      <c r="J191">
        <v>0.55100000000000005</v>
      </c>
      <c r="K191">
        <v>31104.65</v>
      </c>
      <c r="L191">
        <v>0</v>
      </c>
      <c r="M191">
        <v>0</v>
      </c>
      <c r="N191">
        <v>2022</v>
      </c>
      <c r="O191">
        <v>2</v>
      </c>
    </row>
    <row r="192" spans="1:15" x14ac:dyDescent="0.3">
      <c r="A192">
        <v>38021</v>
      </c>
      <c r="B192">
        <v>3202702</v>
      </c>
      <c r="C192" t="s">
        <v>49</v>
      </c>
      <c r="D192">
        <v>0.35499999999999998</v>
      </c>
      <c r="E192">
        <v>1120997.1100000001</v>
      </c>
      <c r="F192">
        <v>12716.78</v>
      </c>
      <c r="G192">
        <v>1133713.8899999999</v>
      </c>
      <c r="H192">
        <v>13847.73</v>
      </c>
      <c r="I192">
        <v>31177.38</v>
      </c>
      <c r="J192">
        <v>0.55500000000000005</v>
      </c>
      <c r="K192">
        <v>35851.14</v>
      </c>
      <c r="L192">
        <v>0</v>
      </c>
      <c r="M192">
        <v>0</v>
      </c>
      <c r="N192">
        <v>2022</v>
      </c>
      <c r="O192">
        <v>2</v>
      </c>
    </row>
    <row r="193" spans="1:15" x14ac:dyDescent="0.3">
      <c r="A193">
        <v>38022</v>
      </c>
      <c r="B193">
        <v>3202801</v>
      </c>
      <c r="C193" t="s">
        <v>50</v>
      </c>
      <c r="D193">
        <v>2.262</v>
      </c>
      <c r="E193">
        <v>7142804.1200000001</v>
      </c>
      <c r="F193">
        <v>81029.210000000006</v>
      </c>
      <c r="G193">
        <v>7223833.3300000001</v>
      </c>
      <c r="H193">
        <v>88235.37</v>
      </c>
      <c r="I193">
        <v>159261.37</v>
      </c>
      <c r="J193">
        <v>1.042</v>
      </c>
      <c r="K193">
        <v>228437.45</v>
      </c>
      <c r="L193">
        <v>0</v>
      </c>
      <c r="M193">
        <v>0</v>
      </c>
      <c r="N193">
        <v>2022</v>
      </c>
      <c r="O193">
        <v>2</v>
      </c>
    </row>
    <row r="194" spans="1:15" x14ac:dyDescent="0.3">
      <c r="A194">
        <v>38023</v>
      </c>
      <c r="B194">
        <v>3202900</v>
      </c>
      <c r="C194" t="s">
        <v>51</v>
      </c>
      <c r="D194">
        <v>0.34599999999999997</v>
      </c>
      <c r="E194">
        <v>1092577.48</v>
      </c>
      <c r="F194">
        <v>12394.38</v>
      </c>
      <c r="G194">
        <v>1104971.8600000001</v>
      </c>
      <c r="H194">
        <v>13496.66</v>
      </c>
      <c r="I194">
        <v>39875.870000000003</v>
      </c>
      <c r="J194">
        <v>0.435</v>
      </c>
      <c r="K194">
        <v>34942.25</v>
      </c>
      <c r="L194">
        <v>0</v>
      </c>
      <c r="M194">
        <v>0</v>
      </c>
      <c r="N194">
        <v>2022</v>
      </c>
      <c r="O194">
        <v>2</v>
      </c>
    </row>
    <row r="195" spans="1:15" x14ac:dyDescent="0.3">
      <c r="A195">
        <v>38024</v>
      </c>
      <c r="B195">
        <v>3203007</v>
      </c>
      <c r="C195" t="s">
        <v>52</v>
      </c>
      <c r="D195">
        <v>0.438</v>
      </c>
      <c r="E195">
        <v>1383089.4</v>
      </c>
      <c r="F195">
        <v>15690.01</v>
      </c>
      <c r="G195">
        <v>1398779.41</v>
      </c>
      <c r="H195">
        <v>17085.36</v>
      </c>
      <c r="I195">
        <v>93421.86</v>
      </c>
      <c r="J195">
        <v>0.89700000000000002</v>
      </c>
      <c r="K195">
        <v>44233.25</v>
      </c>
      <c r="L195">
        <v>0</v>
      </c>
      <c r="M195">
        <v>0</v>
      </c>
      <c r="N195">
        <v>2022</v>
      </c>
      <c r="O195">
        <v>2</v>
      </c>
    </row>
    <row r="196" spans="1:15" x14ac:dyDescent="0.3">
      <c r="A196">
        <v>38025</v>
      </c>
      <c r="B196">
        <v>3203056</v>
      </c>
      <c r="C196" t="s">
        <v>53</v>
      </c>
      <c r="D196">
        <v>0.8</v>
      </c>
      <c r="E196">
        <v>2526190.66</v>
      </c>
      <c r="F196">
        <v>28657.56</v>
      </c>
      <c r="G196">
        <v>2554848.2200000002</v>
      </c>
      <c r="H196">
        <v>31206.14</v>
      </c>
      <c r="I196">
        <v>97887.78</v>
      </c>
      <c r="J196">
        <v>1</v>
      </c>
      <c r="K196">
        <v>80791.320000000007</v>
      </c>
      <c r="L196">
        <v>0</v>
      </c>
      <c r="M196">
        <v>0</v>
      </c>
      <c r="N196">
        <v>2022</v>
      </c>
      <c r="O196">
        <v>2</v>
      </c>
    </row>
    <row r="197" spans="1:15" x14ac:dyDescent="0.3">
      <c r="A197">
        <v>38026</v>
      </c>
      <c r="B197">
        <v>3203106</v>
      </c>
      <c r="C197" t="s">
        <v>54</v>
      </c>
      <c r="D197">
        <v>0.21199999999999999</v>
      </c>
      <c r="E197">
        <v>669440.52</v>
      </c>
      <c r="F197">
        <v>7594.25</v>
      </c>
      <c r="G197">
        <v>677034.77</v>
      </c>
      <c r="H197">
        <v>8269.6299999999992</v>
      </c>
      <c r="I197">
        <v>25964.5</v>
      </c>
      <c r="J197">
        <v>0.45800000000000002</v>
      </c>
      <c r="K197">
        <v>21409.69</v>
      </c>
      <c r="L197">
        <v>0</v>
      </c>
      <c r="M197">
        <v>0</v>
      </c>
      <c r="N197">
        <v>2022</v>
      </c>
      <c r="O197">
        <v>2</v>
      </c>
    </row>
    <row r="198" spans="1:15" x14ac:dyDescent="0.3">
      <c r="A198">
        <v>38027</v>
      </c>
      <c r="B198">
        <v>3203130</v>
      </c>
      <c r="C198" t="s">
        <v>55</v>
      </c>
      <c r="D198">
        <v>0.38600000000000001</v>
      </c>
      <c r="E198">
        <v>1218887</v>
      </c>
      <c r="F198">
        <v>13827.26</v>
      </c>
      <c r="G198">
        <v>1232714.26</v>
      </c>
      <c r="H198">
        <v>15056.96</v>
      </c>
      <c r="I198">
        <v>60858.95</v>
      </c>
      <c r="J198">
        <v>0.66600000000000004</v>
      </c>
      <c r="K198">
        <v>38981.81</v>
      </c>
      <c r="L198">
        <v>0</v>
      </c>
      <c r="M198">
        <v>0</v>
      </c>
      <c r="N198">
        <v>2022</v>
      </c>
      <c r="O198">
        <v>2</v>
      </c>
    </row>
    <row r="199" spans="1:15" x14ac:dyDescent="0.3">
      <c r="A199">
        <v>38028</v>
      </c>
      <c r="B199">
        <v>3203163</v>
      </c>
      <c r="C199" t="s">
        <v>56</v>
      </c>
      <c r="D199">
        <v>0.372</v>
      </c>
      <c r="E199">
        <v>1174678.6399999999</v>
      </c>
      <c r="F199">
        <v>13325.75</v>
      </c>
      <c r="G199">
        <v>1188004.3899999999</v>
      </c>
      <c r="H199">
        <v>14510.86</v>
      </c>
      <c r="I199">
        <v>26356.67</v>
      </c>
      <c r="J199">
        <v>0.441</v>
      </c>
      <c r="K199">
        <v>37567.96</v>
      </c>
      <c r="L199">
        <v>0</v>
      </c>
      <c r="M199">
        <v>0</v>
      </c>
      <c r="N199">
        <v>2022</v>
      </c>
      <c r="O199">
        <v>2</v>
      </c>
    </row>
    <row r="200" spans="1:15" x14ac:dyDescent="0.3">
      <c r="A200">
        <v>38029</v>
      </c>
      <c r="B200">
        <v>3203205</v>
      </c>
      <c r="C200" t="s">
        <v>57</v>
      </c>
      <c r="D200">
        <v>5.4</v>
      </c>
      <c r="E200">
        <v>17051787.039999999</v>
      </c>
      <c r="F200">
        <v>193438.45</v>
      </c>
      <c r="G200">
        <v>17245225.489999998</v>
      </c>
      <c r="H200">
        <v>210641.48</v>
      </c>
      <c r="I200">
        <v>774216.5</v>
      </c>
      <c r="J200">
        <v>4.0880000000000001</v>
      </c>
      <c r="K200">
        <v>545341.39</v>
      </c>
      <c r="L200">
        <v>0</v>
      </c>
      <c r="M200">
        <v>0</v>
      </c>
      <c r="N200">
        <v>2022</v>
      </c>
      <c r="O200">
        <v>2</v>
      </c>
    </row>
    <row r="201" spans="1:15" x14ac:dyDescent="0.3">
      <c r="A201">
        <v>38030</v>
      </c>
      <c r="B201">
        <v>3203304</v>
      </c>
      <c r="C201" t="s">
        <v>58</v>
      </c>
      <c r="D201">
        <v>0.216</v>
      </c>
      <c r="E201">
        <v>682071.49</v>
      </c>
      <c r="F201">
        <v>7737.54</v>
      </c>
      <c r="G201">
        <v>689809.03</v>
      </c>
      <c r="H201">
        <v>8425.66</v>
      </c>
      <c r="I201">
        <v>38339.870000000003</v>
      </c>
      <c r="J201">
        <v>0.57599999999999996</v>
      </c>
      <c r="K201">
        <v>21813.65</v>
      </c>
      <c r="L201">
        <v>0</v>
      </c>
      <c r="M201">
        <v>0</v>
      </c>
      <c r="N201">
        <v>2022</v>
      </c>
      <c r="O201">
        <v>2</v>
      </c>
    </row>
    <row r="202" spans="1:15" x14ac:dyDescent="0.3">
      <c r="A202">
        <v>38031</v>
      </c>
      <c r="B202">
        <v>3203320</v>
      </c>
      <c r="C202" t="s">
        <v>59</v>
      </c>
      <c r="D202">
        <v>0.60899999999999999</v>
      </c>
      <c r="E202">
        <v>1923062.65</v>
      </c>
      <c r="F202">
        <v>21815.57</v>
      </c>
      <c r="G202">
        <v>1944878.22</v>
      </c>
      <c r="H202">
        <v>23755.68</v>
      </c>
      <c r="I202">
        <v>240192.46</v>
      </c>
      <c r="J202">
        <v>1.171</v>
      </c>
      <c r="K202">
        <v>61502.39</v>
      </c>
      <c r="L202">
        <v>0</v>
      </c>
      <c r="M202">
        <v>0</v>
      </c>
      <c r="N202">
        <v>2022</v>
      </c>
      <c r="O202">
        <v>2</v>
      </c>
    </row>
    <row r="203" spans="1:15" x14ac:dyDescent="0.3">
      <c r="A203">
        <v>38032</v>
      </c>
      <c r="B203">
        <v>3203346</v>
      </c>
      <c r="C203" t="s">
        <v>60</v>
      </c>
      <c r="D203">
        <v>0.64500000000000002</v>
      </c>
      <c r="E203">
        <v>2036741.25</v>
      </c>
      <c r="F203">
        <v>23105.15</v>
      </c>
      <c r="G203">
        <v>2059846.4</v>
      </c>
      <c r="H203">
        <v>25159.95</v>
      </c>
      <c r="I203">
        <v>69961.59</v>
      </c>
      <c r="J203">
        <v>0.67100000000000004</v>
      </c>
      <c r="K203">
        <v>65138</v>
      </c>
      <c r="L203">
        <v>0</v>
      </c>
      <c r="M203">
        <v>0</v>
      </c>
      <c r="N203">
        <v>2022</v>
      </c>
      <c r="O203">
        <v>2</v>
      </c>
    </row>
    <row r="204" spans="1:15" x14ac:dyDescent="0.3">
      <c r="A204">
        <v>38033</v>
      </c>
      <c r="B204">
        <v>3203353</v>
      </c>
      <c r="C204" t="s">
        <v>61</v>
      </c>
      <c r="D204">
        <v>0.45200000000000001</v>
      </c>
      <c r="E204">
        <v>1427297.74</v>
      </c>
      <c r="F204">
        <v>16191.5</v>
      </c>
      <c r="G204">
        <v>1443489.24</v>
      </c>
      <c r="H204">
        <v>17631.47</v>
      </c>
      <c r="I204">
        <v>73736.179999999993</v>
      </c>
      <c r="J204">
        <v>0.46700000000000003</v>
      </c>
      <c r="K204">
        <v>45647.09</v>
      </c>
      <c r="L204">
        <v>0</v>
      </c>
      <c r="M204">
        <v>0</v>
      </c>
      <c r="N204">
        <v>2022</v>
      </c>
      <c r="O204">
        <v>2</v>
      </c>
    </row>
    <row r="205" spans="1:15" x14ac:dyDescent="0.3">
      <c r="A205">
        <v>38034</v>
      </c>
      <c r="B205">
        <v>3203403</v>
      </c>
      <c r="C205" t="s">
        <v>62</v>
      </c>
      <c r="D205">
        <v>0.51400000000000001</v>
      </c>
      <c r="E205">
        <v>1623077.52</v>
      </c>
      <c r="F205">
        <v>18412.46</v>
      </c>
      <c r="G205">
        <v>1641489.98</v>
      </c>
      <c r="H205">
        <v>20049.95</v>
      </c>
      <c r="I205">
        <v>85356.75</v>
      </c>
      <c r="J205">
        <v>0.85599999999999998</v>
      </c>
      <c r="K205">
        <v>51908.42</v>
      </c>
      <c r="L205">
        <v>0</v>
      </c>
      <c r="M205">
        <v>0</v>
      </c>
      <c r="N205">
        <v>2022</v>
      </c>
      <c r="O205">
        <v>2</v>
      </c>
    </row>
    <row r="206" spans="1:15" x14ac:dyDescent="0.3">
      <c r="A206">
        <v>38035</v>
      </c>
      <c r="B206">
        <v>3203502</v>
      </c>
      <c r="C206" t="s">
        <v>63</v>
      </c>
      <c r="D206">
        <v>0.53600000000000003</v>
      </c>
      <c r="E206">
        <v>1692547.74</v>
      </c>
      <c r="F206">
        <v>19200.560000000001</v>
      </c>
      <c r="G206">
        <v>1711748.3</v>
      </c>
      <c r="H206">
        <v>20908.12</v>
      </c>
      <c r="I206">
        <v>68117.06</v>
      </c>
      <c r="J206">
        <v>0.69299999999999995</v>
      </c>
      <c r="K206">
        <v>54130.19</v>
      </c>
      <c r="L206">
        <v>0</v>
      </c>
      <c r="M206">
        <v>0</v>
      </c>
      <c r="N206">
        <v>2022</v>
      </c>
      <c r="O206">
        <v>2</v>
      </c>
    </row>
    <row r="207" spans="1:15" x14ac:dyDescent="0.3">
      <c r="A207">
        <v>38036</v>
      </c>
      <c r="B207">
        <v>3203601</v>
      </c>
      <c r="C207" t="s">
        <v>64</v>
      </c>
      <c r="D207">
        <v>0.27800000000000002</v>
      </c>
      <c r="E207">
        <v>877851.27</v>
      </c>
      <c r="F207">
        <v>9958.48</v>
      </c>
      <c r="G207">
        <v>887809.75</v>
      </c>
      <c r="H207">
        <v>10844.14</v>
      </c>
      <c r="I207">
        <v>11108.34</v>
      </c>
      <c r="J207">
        <v>0.29799999999999999</v>
      </c>
      <c r="K207">
        <v>28074.98</v>
      </c>
      <c r="L207">
        <v>0</v>
      </c>
      <c r="M207">
        <v>0</v>
      </c>
      <c r="N207">
        <v>2022</v>
      </c>
      <c r="O207">
        <v>2</v>
      </c>
    </row>
    <row r="208" spans="1:15" x14ac:dyDescent="0.3">
      <c r="A208">
        <v>38037</v>
      </c>
      <c r="B208">
        <v>3203700</v>
      </c>
      <c r="C208" t="s">
        <v>65</v>
      </c>
      <c r="D208">
        <v>0.55000000000000004</v>
      </c>
      <c r="E208">
        <v>1736756.08</v>
      </c>
      <c r="F208">
        <v>19702.05</v>
      </c>
      <c r="G208">
        <v>1756458.13</v>
      </c>
      <c r="H208">
        <v>21454.22</v>
      </c>
      <c r="I208">
        <v>37659.08</v>
      </c>
      <c r="J208">
        <v>0.67100000000000004</v>
      </c>
      <c r="K208">
        <v>55544.03</v>
      </c>
      <c r="L208">
        <v>0</v>
      </c>
      <c r="M208">
        <v>0</v>
      </c>
      <c r="N208">
        <v>2022</v>
      </c>
      <c r="O208">
        <v>2</v>
      </c>
    </row>
    <row r="209" spans="1:15" x14ac:dyDescent="0.3">
      <c r="A209">
        <v>38038</v>
      </c>
      <c r="B209">
        <v>3203809</v>
      </c>
      <c r="C209" t="s">
        <v>66</v>
      </c>
      <c r="D209">
        <v>0.29599999999999999</v>
      </c>
      <c r="E209">
        <v>934690.56</v>
      </c>
      <c r="F209">
        <v>10603.3</v>
      </c>
      <c r="G209">
        <v>945293.86</v>
      </c>
      <c r="H209">
        <v>11546.27</v>
      </c>
      <c r="I209">
        <v>42886.14</v>
      </c>
      <c r="J209">
        <v>0.57499999999999996</v>
      </c>
      <c r="K209">
        <v>29892.79</v>
      </c>
      <c r="L209">
        <v>0</v>
      </c>
      <c r="M209">
        <v>0</v>
      </c>
      <c r="N209">
        <v>2022</v>
      </c>
      <c r="O209">
        <v>2</v>
      </c>
    </row>
    <row r="210" spans="1:15" x14ac:dyDescent="0.3">
      <c r="A210">
        <v>38039</v>
      </c>
      <c r="B210">
        <v>3203908</v>
      </c>
      <c r="C210" t="s">
        <v>67</v>
      </c>
      <c r="D210">
        <v>1.268</v>
      </c>
      <c r="E210">
        <v>4004012.23</v>
      </c>
      <c r="F210">
        <v>45422.22</v>
      </c>
      <c r="G210">
        <v>4049434.45</v>
      </c>
      <c r="H210">
        <v>49461.74</v>
      </c>
      <c r="I210">
        <v>174583.74</v>
      </c>
      <c r="J210">
        <v>1.4650000000000001</v>
      </c>
      <c r="K210">
        <v>128054.24</v>
      </c>
      <c r="L210">
        <v>0</v>
      </c>
      <c r="M210">
        <v>0</v>
      </c>
      <c r="N210">
        <v>2022</v>
      </c>
      <c r="O210">
        <v>2</v>
      </c>
    </row>
    <row r="211" spans="1:15" x14ac:dyDescent="0.3">
      <c r="A211">
        <v>38040</v>
      </c>
      <c r="B211">
        <v>3204005</v>
      </c>
      <c r="C211" t="s">
        <v>68</v>
      </c>
      <c r="D211">
        <v>0.47099999999999997</v>
      </c>
      <c r="E211">
        <v>1487294.76</v>
      </c>
      <c r="F211">
        <v>16872.150000000001</v>
      </c>
      <c r="G211">
        <v>1504166.91</v>
      </c>
      <c r="H211">
        <v>18372.62</v>
      </c>
      <c r="I211">
        <v>32361.94</v>
      </c>
      <c r="J211">
        <v>0.747</v>
      </c>
      <c r="K211">
        <v>47565.89</v>
      </c>
      <c r="L211">
        <v>0</v>
      </c>
      <c r="M211">
        <v>0</v>
      </c>
      <c r="N211">
        <v>2022</v>
      </c>
      <c r="O211">
        <v>2</v>
      </c>
    </row>
    <row r="212" spans="1:15" x14ac:dyDescent="0.3">
      <c r="A212">
        <v>38041</v>
      </c>
      <c r="B212">
        <v>3204054</v>
      </c>
      <c r="C212" t="s">
        <v>69</v>
      </c>
      <c r="D212">
        <v>0.313</v>
      </c>
      <c r="E212">
        <v>988372.1</v>
      </c>
      <c r="F212">
        <v>11212.26</v>
      </c>
      <c r="G212">
        <v>999584.36</v>
      </c>
      <c r="H212">
        <v>12209.4</v>
      </c>
      <c r="I212">
        <v>63202.49</v>
      </c>
      <c r="J212">
        <v>0.86199999999999999</v>
      </c>
      <c r="K212">
        <v>31609.599999999999</v>
      </c>
      <c r="L212">
        <v>0</v>
      </c>
      <c r="M212">
        <v>0</v>
      </c>
      <c r="N212">
        <v>2022</v>
      </c>
      <c r="O212">
        <v>2</v>
      </c>
    </row>
    <row r="213" spans="1:15" x14ac:dyDescent="0.3">
      <c r="A213">
        <v>38042</v>
      </c>
      <c r="B213">
        <v>3204104</v>
      </c>
      <c r="C213" t="s">
        <v>70</v>
      </c>
      <c r="D213">
        <v>0.72599999999999998</v>
      </c>
      <c r="E213">
        <v>2292518.04</v>
      </c>
      <c r="F213">
        <v>26006.71</v>
      </c>
      <c r="G213">
        <v>2318524.75</v>
      </c>
      <c r="H213">
        <v>28319.58</v>
      </c>
      <c r="I213">
        <v>59369.98</v>
      </c>
      <c r="J213">
        <v>0.875</v>
      </c>
      <c r="K213">
        <v>73318.13</v>
      </c>
      <c r="L213">
        <v>0</v>
      </c>
      <c r="M213">
        <v>0</v>
      </c>
      <c r="N213">
        <v>2022</v>
      </c>
      <c r="O213">
        <v>2</v>
      </c>
    </row>
    <row r="214" spans="1:15" x14ac:dyDescent="0.3">
      <c r="A214">
        <v>38043</v>
      </c>
      <c r="B214">
        <v>3204203</v>
      </c>
      <c r="C214" t="s">
        <v>71</v>
      </c>
      <c r="D214">
        <v>0.14599999999999999</v>
      </c>
      <c r="E214">
        <v>461029.8</v>
      </c>
      <c r="F214">
        <v>5230.0200000000004</v>
      </c>
      <c r="G214">
        <v>466259.82</v>
      </c>
      <c r="H214">
        <v>5695.12</v>
      </c>
      <c r="I214">
        <v>151886.70000000001</v>
      </c>
      <c r="J214">
        <v>0.73399999999999999</v>
      </c>
      <c r="K214">
        <v>14744.42</v>
      </c>
      <c r="L214">
        <v>0</v>
      </c>
      <c r="M214">
        <v>0</v>
      </c>
      <c r="N214">
        <v>2022</v>
      </c>
      <c r="O214">
        <v>2</v>
      </c>
    </row>
    <row r="215" spans="1:15" x14ac:dyDescent="0.3">
      <c r="A215">
        <v>38044</v>
      </c>
      <c r="B215">
        <v>3204252</v>
      </c>
      <c r="C215" t="s">
        <v>72</v>
      </c>
      <c r="D215">
        <v>0.221</v>
      </c>
      <c r="E215">
        <v>697860.16</v>
      </c>
      <c r="F215">
        <v>7916.67</v>
      </c>
      <c r="G215">
        <v>705776.83</v>
      </c>
      <c r="H215">
        <v>8620.7000000000007</v>
      </c>
      <c r="I215">
        <v>16890.919999999998</v>
      </c>
      <c r="J215">
        <v>0.32900000000000001</v>
      </c>
      <c r="K215">
        <v>22318.6</v>
      </c>
      <c r="L215">
        <v>0</v>
      </c>
      <c r="M215">
        <v>0</v>
      </c>
      <c r="N215">
        <v>2022</v>
      </c>
      <c r="O215">
        <v>2</v>
      </c>
    </row>
    <row r="216" spans="1:15" x14ac:dyDescent="0.3">
      <c r="A216">
        <v>38045</v>
      </c>
      <c r="B216">
        <v>1718402</v>
      </c>
      <c r="C216" t="s">
        <v>73</v>
      </c>
      <c r="D216">
        <v>0.33800000000000002</v>
      </c>
      <c r="E216">
        <v>1067315.57</v>
      </c>
      <c r="F216">
        <v>12107.83</v>
      </c>
      <c r="G216">
        <v>1079423.3999999999</v>
      </c>
      <c r="H216">
        <v>13184.6</v>
      </c>
      <c r="I216">
        <v>138285.82999999999</v>
      </c>
      <c r="J216">
        <v>0.45100000000000001</v>
      </c>
      <c r="K216">
        <v>34134.33</v>
      </c>
      <c r="L216">
        <v>0</v>
      </c>
      <c r="M216">
        <v>0</v>
      </c>
      <c r="N216">
        <v>2022</v>
      </c>
      <c r="O216">
        <v>2</v>
      </c>
    </row>
    <row r="217" spans="1:15" x14ac:dyDescent="0.3">
      <c r="A217">
        <v>38046</v>
      </c>
      <c r="B217">
        <v>3204351</v>
      </c>
      <c r="C217" t="s">
        <v>74</v>
      </c>
      <c r="D217">
        <v>0.79700000000000004</v>
      </c>
      <c r="E217">
        <v>2516717.44</v>
      </c>
      <c r="F217">
        <v>28550.07</v>
      </c>
      <c r="G217">
        <v>2545267.5099999998</v>
      </c>
      <c r="H217">
        <v>31089.119999999999</v>
      </c>
      <c r="I217">
        <v>92366.76</v>
      </c>
      <c r="J217">
        <v>0.69799999999999995</v>
      </c>
      <c r="K217">
        <v>80488.350000000006</v>
      </c>
      <c r="L217">
        <v>0</v>
      </c>
      <c r="M217">
        <v>0</v>
      </c>
      <c r="N217">
        <v>2022</v>
      </c>
      <c r="O217">
        <v>2</v>
      </c>
    </row>
    <row r="218" spans="1:15" x14ac:dyDescent="0.3">
      <c r="A218">
        <v>38047</v>
      </c>
      <c r="B218">
        <v>3204401</v>
      </c>
      <c r="C218" t="s">
        <v>75</v>
      </c>
      <c r="D218">
        <v>0.27500000000000002</v>
      </c>
      <c r="E218">
        <v>868378.04</v>
      </c>
      <c r="F218">
        <v>9851.0300000000007</v>
      </c>
      <c r="G218">
        <v>878229.07</v>
      </c>
      <c r="H218">
        <v>10727.11</v>
      </c>
      <c r="I218">
        <v>36133.25</v>
      </c>
      <c r="J218">
        <v>0.45</v>
      </c>
      <c r="K218">
        <v>27772.01</v>
      </c>
      <c r="L218">
        <v>0</v>
      </c>
      <c r="M218">
        <v>0</v>
      </c>
      <c r="N218">
        <v>2022</v>
      </c>
      <c r="O218">
        <v>2</v>
      </c>
    </row>
    <row r="219" spans="1:15" x14ac:dyDescent="0.3">
      <c r="A219">
        <v>38048</v>
      </c>
      <c r="B219">
        <v>3204500</v>
      </c>
      <c r="C219" t="s">
        <v>76</v>
      </c>
      <c r="D219">
        <v>0.53800000000000003</v>
      </c>
      <c r="E219">
        <v>1698863.23</v>
      </c>
      <c r="F219">
        <v>19272.21</v>
      </c>
      <c r="G219">
        <v>1718135.44</v>
      </c>
      <c r="H219">
        <v>20986.13</v>
      </c>
      <c r="I219">
        <v>31165.63</v>
      </c>
      <c r="J219">
        <v>0.45600000000000002</v>
      </c>
      <c r="K219">
        <v>54332.17</v>
      </c>
      <c r="L219">
        <v>0</v>
      </c>
      <c r="M219">
        <v>0</v>
      </c>
      <c r="N219">
        <v>2022</v>
      </c>
      <c r="O219">
        <v>2</v>
      </c>
    </row>
    <row r="220" spans="1:15" x14ac:dyDescent="0.3">
      <c r="A220">
        <v>38049</v>
      </c>
      <c r="B220">
        <v>3204559</v>
      </c>
      <c r="C220" t="s">
        <v>77</v>
      </c>
      <c r="D220">
        <v>2.1160000000000001</v>
      </c>
      <c r="E220">
        <v>6681774.3200000003</v>
      </c>
      <c r="F220">
        <v>75799.19</v>
      </c>
      <c r="G220">
        <v>6757573.5099999998</v>
      </c>
      <c r="H220">
        <v>82540.25</v>
      </c>
      <c r="I220">
        <v>311612.71999999997</v>
      </c>
      <c r="J220">
        <v>1.1990000000000001</v>
      </c>
      <c r="K220">
        <v>213693.03</v>
      </c>
      <c r="L220">
        <v>0</v>
      </c>
      <c r="M220">
        <v>0</v>
      </c>
      <c r="N220">
        <v>2022</v>
      </c>
      <c r="O220">
        <v>2</v>
      </c>
    </row>
    <row r="221" spans="1:15" x14ac:dyDescent="0.3">
      <c r="A221">
        <v>38050</v>
      </c>
      <c r="B221">
        <v>3204609</v>
      </c>
      <c r="C221" t="s">
        <v>78</v>
      </c>
      <c r="D221">
        <v>0.68799999999999994</v>
      </c>
      <c r="E221">
        <v>2172523.9700000002</v>
      </c>
      <c r="F221">
        <v>24645.5</v>
      </c>
      <c r="G221">
        <v>2197169.4700000002</v>
      </c>
      <c r="H221">
        <v>26837.279999999999</v>
      </c>
      <c r="I221">
        <v>111559.41</v>
      </c>
      <c r="J221">
        <v>0.82899999999999996</v>
      </c>
      <c r="K221">
        <v>69480.53</v>
      </c>
      <c r="L221">
        <v>0</v>
      </c>
      <c r="M221">
        <v>0</v>
      </c>
      <c r="N221">
        <v>2022</v>
      </c>
      <c r="O221">
        <v>2</v>
      </c>
    </row>
    <row r="222" spans="1:15" x14ac:dyDescent="0.3">
      <c r="A222">
        <v>38051</v>
      </c>
      <c r="B222">
        <v>3204658</v>
      </c>
      <c r="C222" t="s">
        <v>79</v>
      </c>
      <c r="D222">
        <v>0.42399999999999999</v>
      </c>
      <c r="E222">
        <v>1338881.05</v>
      </c>
      <c r="F222">
        <v>15188.51</v>
      </c>
      <c r="G222">
        <v>1354069.56</v>
      </c>
      <c r="H222">
        <v>16539.259999999998</v>
      </c>
      <c r="I222">
        <v>17451.77</v>
      </c>
      <c r="J222">
        <v>0.33700000000000002</v>
      </c>
      <c r="K222">
        <v>42819.4</v>
      </c>
      <c r="L222">
        <v>0</v>
      </c>
      <c r="M222">
        <v>0</v>
      </c>
      <c r="N222">
        <v>2022</v>
      </c>
      <c r="O222">
        <v>2</v>
      </c>
    </row>
    <row r="223" spans="1:15" x14ac:dyDescent="0.3">
      <c r="A223">
        <v>38052</v>
      </c>
      <c r="B223">
        <v>3204708</v>
      </c>
      <c r="C223" t="s">
        <v>80</v>
      </c>
      <c r="D223">
        <v>0.81499999999999995</v>
      </c>
      <c r="E223">
        <v>2573556.7599999998</v>
      </c>
      <c r="F223">
        <v>29194.87</v>
      </c>
      <c r="G223">
        <v>2602751.63</v>
      </c>
      <c r="H223">
        <v>31791.26</v>
      </c>
      <c r="I223">
        <v>80985.039999999994</v>
      </c>
      <c r="J223">
        <v>1.169</v>
      </c>
      <c r="K223">
        <v>82306.16</v>
      </c>
      <c r="L223">
        <v>0</v>
      </c>
      <c r="M223">
        <v>0</v>
      </c>
      <c r="N223">
        <v>2022</v>
      </c>
      <c r="O223">
        <v>2</v>
      </c>
    </row>
    <row r="224" spans="1:15" x14ac:dyDescent="0.3">
      <c r="A224">
        <v>38053</v>
      </c>
      <c r="B224">
        <v>3204807</v>
      </c>
      <c r="C224" t="s">
        <v>81</v>
      </c>
      <c r="D224">
        <v>0.23</v>
      </c>
      <c r="E224">
        <v>726279.82</v>
      </c>
      <c r="F224">
        <v>8239.0499999999993</v>
      </c>
      <c r="G224">
        <v>734518.87</v>
      </c>
      <c r="H224">
        <v>8971.77</v>
      </c>
      <c r="I224">
        <v>46066.16</v>
      </c>
      <c r="J224">
        <v>0.436</v>
      </c>
      <c r="K224">
        <v>23227.5</v>
      </c>
      <c r="L224">
        <v>0</v>
      </c>
      <c r="M224">
        <v>0</v>
      </c>
      <c r="N224">
        <v>2022</v>
      </c>
      <c r="O224">
        <v>2</v>
      </c>
    </row>
    <row r="225" spans="1:15" x14ac:dyDescent="0.3">
      <c r="A225">
        <v>38054</v>
      </c>
      <c r="B225">
        <v>3204906</v>
      </c>
      <c r="C225" t="s">
        <v>82</v>
      </c>
      <c r="D225">
        <v>1.8839999999999999</v>
      </c>
      <c r="E225">
        <v>5949179.0199999996</v>
      </c>
      <c r="F225">
        <v>67488.5</v>
      </c>
      <c r="G225">
        <v>6016667.5199999996</v>
      </c>
      <c r="H225">
        <v>73490.47</v>
      </c>
      <c r="I225">
        <v>492311.36</v>
      </c>
      <c r="J225">
        <v>3.024</v>
      </c>
      <c r="K225">
        <v>190263.55</v>
      </c>
      <c r="L225">
        <v>0</v>
      </c>
      <c r="M225">
        <v>0</v>
      </c>
      <c r="N225">
        <v>2022</v>
      </c>
      <c r="O225">
        <v>2</v>
      </c>
    </row>
    <row r="226" spans="1:15" x14ac:dyDescent="0.3">
      <c r="A226">
        <v>38055</v>
      </c>
      <c r="B226">
        <v>3204955</v>
      </c>
      <c r="C226" t="s">
        <v>83</v>
      </c>
      <c r="D226">
        <v>0.32600000000000001</v>
      </c>
      <c r="E226">
        <v>1029422.69</v>
      </c>
      <c r="F226">
        <v>11677.94</v>
      </c>
      <c r="G226">
        <v>1041100.63</v>
      </c>
      <c r="H226">
        <v>12716.5</v>
      </c>
      <c r="I226">
        <v>36740.65</v>
      </c>
      <c r="J226">
        <v>0.46100000000000002</v>
      </c>
      <c r="K226">
        <v>32922.46</v>
      </c>
      <c r="L226">
        <v>0</v>
      </c>
      <c r="M226">
        <v>0</v>
      </c>
      <c r="N226">
        <v>2022</v>
      </c>
      <c r="O226">
        <v>2</v>
      </c>
    </row>
    <row r="227" spans="1:15" x14ac:dyDescent="0.3">
      <c r="A227">
        <v>38056</v>
      </c>
      <c r="B227">
        <v>3205002</v>
      </c>
      <c r="C227" t="s">
        <v>84</v>
      </c>
      <c r="D227">
        <v>14.176</v>
      </c>
      <c r="E227">
        <v>44764098.689999998</v>
      </c>
      <c r="F227">
        <v>507811.71</v>
      </c>
      <c r="G227">
        <v>45271910.399999999</v>
      </c>
      <c r="H227">
        <v>552972.89</v>
      </c>
      <c r="I227">
        <v>2236859.36</v>
      </c>
      <c r="J227">
        <v>8.4320000000000004</v>
      </c>
      <c r="K227">
        <v>1431622.14</v>
      </c>
      <c r="L227">
        <v>0</v>
      </c>
      <c r="M227">
        <v>0</v>
      </c>
      <c r="N227">
        <v>2022</v>
      </c>
      <c r="O227">
        <v>2</v>
      </c>
    </row>
    <row r="228" spans="1:15" x14ac:dyDescent="0.3">
      <c r="A228">
        <v>38057</v>
      </c>
      <c r="B228">
        <v>3205010</v>
      </c>
      <c r="C228" t="s">
        <v>85</v>
      </c>
      <c r="D228">
        <v>0.72199999999999998</v>
      </c>
      <c r="E228">
        <v>2279887.0699999998</v>
      </c>
      <c r="F228">
        <v>25863.43</v>
      </c>
      <c r="G228">
        <v>2305750.5</v>
      </c>
      <c r="H228">
        <v>28163.55</v>
      </c>
      <c r="I228">
        <v>60436.69</v>
      </c>
      <c r="J228">
        <v>0.997</v>
      </c>
      <c r="K228">
        <v>72914.17</v>
      </c>
      <c r="L228">
        <v>0</v>
      </c>
      <c r="M228">
        <v>0</v>
      </c>
      <c r="N228">
        <v>2022</v>
      </c>
      <c r="O228">
        <v>2</v>
      </c>
    </row>
    <row r="229" spans="1:15" x14ac:dyDescent="0.3">
      <c r="A229">
        <v>38058</v>
      </c>
      <c r="B229">
        <v>3205036</v>
      </c>
      <c r="C229" t="s">
        <v>86</v>
      </c>
      <c r="D229">
        <v>0.498</v>
      </c>
      <c r="E229">
        <v>1572553.69</v>
      </c>
      <c r="F229">
        <v>17839.310000000001</v>
      </c>
      <c r="G229">
        <v>1590393</v>
      </c>
      <c r="H229">
        <v>19425.830000000002</v>
      </c>
      <c r="I229">
        <v>93016.61</v>
      </c>
      <c r="J229">
        <v>0.72699999999999998</v>
      </c>
      <c r="K229">
        <v>50292.59</v>
      </c>
      <c r="L229">
        <v>0</v>
      </c>
      <c r="M229">
        <v>0</v>
      </c>
      <c r="N229">
        <v>2022</v>
      </c>
      <c r="O229">
        <v>2</v>
      </c>
    </row>
    <row r="230" spans="1:15" x14ac:dyDescent="0.3">
      <c r="A230">
        <v>38059</v>
      </c>
      <c r="B230">
        <v>3205069</v>
      </c>
      <c r="C230" t="s">
        <v>87</v>
      </c>
      <c r="D230">
        <v>0.75800000000000001</v>
      </c>
      <c r="E230">
        <v>2393565.67</v>
      </c>
      <c r="F230">
        <v>27153.05</v>
      </c>
      <c r="G230">
        <v>2420718.7200000002</v>
      </c>
      <c r="H230">
        <v>29567.82</v>
      </c>
      <c r="I230">
        <v>163382.6</v>
      </c>
      <c r="J230">
        <v>0.85799999999999998</v>
      </c>
      <c r="K230">
        <v>76549.77</v>
      </c>
      <c r="L230">
        <v>0</v>
      </c>
      <c r="M230">
        <v>0</v>
      </c>
      <c r="N230">
        <v>2022</v>
      </c>
      <c r="O230">
        <v>2</v>
      </c>
    </row>
    <row r="231" spans="1:15" x14ac:dyDescent="0.3">
      <c r="A231">
        <v>38060</v>
      </c>
      <c r="B231">
        <v>2112803</v>
      </c>
      <c r="C231" t="s">
        <v>88</v>
      </c>
      <c r="D231">
        <v>2.9929999999999999</v>
      </c>
      <c r="E231">
        <v>9451110.8599999994</v>
      </c>
      <c r="F231">
        <v>107215.06</v>
      </c>
      <c r="G231">
        <v>9558325.9199999999</v>
      </c>
      <c r="H231">
        <v>116749.99</v>
      </c>
      <c r="I231">
        <v>507193.19</v>
      </c>
      <c r="J231">
        <v>1.984</v>
      </c>
      <c r="K231">
        <v>302260.51</v>
      </c>
      <c r="L231">
        <v>0</v>
      </c>
      <c r="M231">
        <v>0</v>
      </c>
      <c r="N231">
        <v>2022</v>
      </c>
      <c r="O231">
        <v>2</v>
      </c>
    </row>
    <row r="232" spans="1:15" x14ac:dyDescent="0.3">
      <c r="A232">
        <v>38061</v>
      </c>
      <c r="B232">
        <v>3205150</v>
      </c>
      <c r="C232" t="s">
        <v>89</v>
      </c>
      <c r="D232">
        <v>0.32800000000000001</v>
      </c>
      <c r="E232">
        <v>1035738.17</v>
      </c>
      <c r="F232">
        <v>11749.6</v>
      </c>
      <c r="G232">
        <v>1047487.77</v>
      </c>
      <c r="H232">
        <v>12794.52</v>
      </c>
      <c r="I232">
        <v>34919.360000000001</v>
      </c>
      <c r="J232">
        <v>0.34399999999999997</v>
      </c>
      <c r="K232">
        <v>33124.44</v>
      </c>
      <c r="L232">
        <v>0</v>
      </c>
      <c r="M232">
        <v>0</v>
      </c>
      <c r="N232">
        <v>2022</v>
      </c>
      <c r="O232">
        <v>2</v>
      </c>
    </row>
    <row r="233" spans="1:15" x14ac:dyDescent="0.3">
      <c r="A233">
        <v>38062</v>
      </c>
      <c r="B233">
        <v>3205176</v>
      </c>
      <c r="C233" t="s">
        <v>90</v>
      </c>
      <c r="D233">
        <v>0.623</v>
      </c>
      <c r="E233">
        <v>1967270.97</v>
      </c>
      <c r="F233">
        <v>22317.08</v>
      </c>
      <c r="G233">
        <v>1989588.05</v>
      </c>
      <c r="H233">
        <v>24301.79</v>
      </c>
      <c r="I233">
        <v>52000.800000000003</v>
      </c>
      <c r="J233">
        <v>0.55600000000000005</v>
      </c>
      <c r="K233">
        <v>62916.24</v>
      </c>
      <c r="L233">
        <v>0</v>
      </c>
      <c r="M233">
        <v>0</v>
      </c>
      <c r="N233">
        <v>2022</v>
      </c>
      <c r="O233">
        <v>2</v>
      </c>
    </row>
    <row r="234" spans="1:15" x14ac:dyDescent="0.3">
      <c r="A234">
        <v>38063</v>
      </c>
      <c r="B234">
        <v>3205200</v>
      </c>
      <c r="C234" t="s">
        <v>91</v>
      </c>
      <c r="D234">
        <v>5.3819999999999997</v>
      </c>
      <c r="E234">
        <v>16994947.75</v>
      </c>
      <c r="F234">
        <v>192793.66</v>
      </c>
      <c r="G234">
        <v>17187741.41</v>
      </c>
      <c r="H234">
        <v>209939.34</v>
      </c>
      <c r="I234">
        <v>2572536.8199999998</v>
      </c>
      <c r="J234">
        <v>8.09</v>
      </c>
      <c r="K234">
        <v>543523.57999999996</v>
      </c>
      <c r="L234">
        <v>0</v>
      </c>
      <c r="M234">
        <v>0</v>
      </c>
      <c r="N234">
        <v>2022</v>
      </c>
      <c r="O234">
        <v>2</v>
      </c>
    </row>
    <row r="235" spans="1:15" x14ac:dyDescent="0.3">
      <c r="A235">
        <v>38064</v>
      </c>
      <c r="B235">
        <v>3205309</v>
      </c>
      <c r="C235" t="s">
        <v>92</v>
      </c>
      <c r="D235">
        <v>14.535</v>
      </c>
      <c r="E235">
        <v>45897726.630000003</v>
      </c>
      <c r="F235">
        <v>520671.56</v>
      </c>
      <c r="G235">
        <v>46418398.189999998</v>
      </c>
      <c r="H235">
        <v>566976.65</v>
      </c>
      <c r="I235">
        <v>3363535.69</v>
      </c>
      <c r="J235">
        <v>9.4969999999999999</v>
      </c>
      <c r="K235">
        <v>1467877.25</v>
      </c>
      <c r="L235">
        <v>0</v>
      </c>
      <c r="M235">
        <v>0</v>
      </c>
      <c r="N235">
        <v>2022</v>
      </c>
      <c r="O235">
        <v>2</v>
      </c>
    </row>
    <row r="236" spans="1:15" x14ac:dyDescent="0.3">
      <c r="A236">
        <v>38065</v>
      </c>
      <c r="B236">
        <v>3200102</v>
      </c>
      <c r="C236" t="s">
        <v>15</v>
      </c>
      <c r="D236">
        <v>0.8</v>
      </c>
      <c r="E236">
        <v>2541089.11</v>
      </c>
      <c r="F236">
        <v>289518.5</v>
      </c>
      <c r="G236">
        <v>2830607.61</v>
      </c>
      <c r="H236">
        <v>31746.06</v>
      </c>
      <c r="I236">
        <v>188170.17</v>
      </c>
      <c r="J236">
        <v>0.98499999999999999</v>
      </c>
      <c r="K236">
        <v>88320.17</v>
      </c>
      <c r="L236">
        <v>0</v>
      </c>
      <c r="M236">
        <v>0</v>
      </c>
      <c r="N236">
        <v>2022</v>
      </c>
      <c r="O236">
        <v>3</v>
      </c>
    </row>
    <row r="237" spans="1:15" x14ac:dyDescent="0.3">
      <c r="A237">
        <v>38066</v>
      </c>
      <c r="B237">
        <v>3200169</v>
      </c>
      <c r="C237" t="s">
        <v>16</v>
      </c>
      <c r="D237">
        <v>0.30099999999999999</v>
      </c>
      <c r="E237">
        <v>956084.78</v>
      </c>
      <c r="F237">
        <v>108931.33</v>
      </c>
      <c r="G237">
        <v>1065016.1100000001</v>
      </c>
      <c r="H237">
        <v>11944.45</v>
      </c>
      <c r="I237">
        <v>50498.86</v>
      </c>
      <c r="J237">
        <v>0.439</v>
      </c>
      <c r="K237">
        <v>33230.46</v>
      </c>
      <c r="L237">
        <v>0</v>
      </c>
      <c r="M237">
        <v>0</v>
      </c>
      <c r="N237">
        <v>2022</v>
      </c>
      <c r="O237">
        <v>3</v>
      </c>
    </row>
    <row r="238" spans="1:15" x14ac:dyDescent="0.3">
      <c r="A238">
        <v>38067</v>
      </c>
      <c r="B238">
        <v>3200136</v>
      </c>
      <c r="C238" t="s">
        <v>17</v>
      </c>
      <c r="D238">
        <v>0.41599999999999998</v>
      </c>
      <c r="E238">
        <v>1321366.33</v>
      </c>
      <c r="F238">
        <v>150549.63</v>
      </c>
      <c r="G238">
        <v>1471915.96</v>
      </c>
      <c r="H238">
        <v>16507.95</v>
      </c>
      <c r="I238">
        <v>61074.57</v>
      </c>
      <c r="J238">
        <v>0.34799999999999998</v>
      </c>
      <c r="K238">
        <v>45926.49</v>
      </c>
      <c r="L238">
        <v>0</v>
      </c>
      <c r="M238">
        <v>0</v>
      </c>
      <c r="N238">
        <v>2022</v>
      </c>
      <c r="O238">
        <v>3</v>
      </c>
    </row>
    <row r="239" spans="1:15" x14ac:dyDescent="0.3">
      <c r="A239">
        <v>38068</v>
      </c>
      <c r="B239">
        <v>3200201</v>
      </c>
      <c r="C239" t="s">
        <v>18</v>
      </c>
      <c r="D239">
        <v>0.51</v>
      </c>
      <c r="E239">
        <v>1619944.29</v>
      </c>
      <c r="F239">
        <v>184568.05</v>
      </c>
      <c r="G239">
        <v>1804512.34</v>
      </c>
      <c r="H239">
        <v>20238.11</v>
      </c>
      <c r="I239">
        <v>161198.71</v>
      </c>
      <c r="J239">
        <v>0.98</v>
      </c>
      <c r="K239">
        <v>56304.11</v>
      </c>
      <c r="L239">
        <v>0</v>
      </c>
      <c r="M239">
        <v>0</v>
      </c>
      <c r="N239">
        <v>2022</v>
      </c>
      <c r="O239">
        <v>3</v>
      </c>
    </row>
    <row r="240" spans="1:15" x14ac:dyDescent="0.3">
      <c r="A240">
        <v>38069</v>
      </c>
      <c r="B240">
        <v>3200300</v>
      </c>
      <c r="C240" t="s">
        <v>19</v>
      </c>
      <c r="D240">
        <v>0.49</v>
      </c>
      <c r="E240">
        <v>1556417.06</v>
      </c>
      <c r="F240">
        <v>177330.09</v>
      </c>
      <c r="G240">
        <v>1733747.15</v>
      </c>
      <c r="H240">
        <v>19444.46</v>
      </c>
      <c r="I240">
        <v>237608.41</v>
      </c>
      <c r="J240">
        <v>0.56399999999999995</v>
      </c>
      <c r="K240">
        <v>54096.1</v>
      </c>
      <c r="L240">
        <v>0</v>
      </c>
      <c r="M240">
        <v>0</v>
      </c>
      <c r="N240">
        <v>2022</v>
      </c>
      <c r="O240">
        <v>3</v>
      </c>
    </row>
    <row r="241" spans="1:15" x14ac:dyDescent="0.3">
      <c r="A241">
        <v>38070</v>
      </c>
      <c r="B241">
        <v>3200359</v>
      </c>
      <c r="C241" t="s">
        <v>20</v>
      </c>
      <c r="D241">
        <v>0.23100000000000001</v>
      </c>
      <c r="E241">
        <v>733739.49</v>
      </c>
      <c r="F241">
        <v>83598.47</v>
      </c>
      <c r="G241">
        <v>817337.96</v>
      </c>
      <c r="H241">
        <v>9166.67</v>
      </c>
      <c r="I241">
        <v>19862.05</v>
      </c>
      <c r="J241">
        <v>0.32700000000000001</v>
      </c>
      <c r="K241">
        <v>25502.45</v>
      </c>
      <c r="L241">
        <v>0</v>
      </c>
      <c r="M241">
        <v>0</v>
      </c>
      <c r="N241">
        <v>2022</v>
      </c>
      <c r="O241">
        <v>3</v>
      </c>
    </row>
    <row r="242" spans="1:15" x14ac:dyDescent="0.3">
      <c r="A242">
        <v>38071</v>
      </c>
      <c r="B242">
        <v>3200409</v>
      </c>
      <c r="C242" t="s">
        <v>21</v>
      </c>
      <c r="D242">
        <v>1.766</v>
      </c>
      <c r="E242">
        <v>5609454.1600000001</v>
      </c>
      <c r="F242">
        <v>639112.07999999996</v>
      </c>
      <c r="G242">
        <v>6248566.2400000002</v>
      </c>
      <c r="H242">
        <v>70079.42</v>
      </c>
      <c r="I242">
        <v>285813.53999999998</v>
      </c>
      <c r="J242">
        <v>0.90800000000000003</v>
      </c>
      <c r="K242">
        <v>194966.78</v>
      </c>
      <c r="L242">
        <v>0</v>
      </c>
      <c r="M242">
        <v>0</v>
      </c>
      <c r="N242">
        <v>2022</v>
      </c>
      <c r="O242">
        <v>3</v>
      </c>
    </row>
    <row r="243" spans="1:15" x14ac:dyDescent="0.3">
      <c r="A243">
        <v>38072</v>
      </c>
      <c r="B243">
        <v>3200508</v>
      </c>
      <c r="C243" t="s">
        <v>22</v>
      </c>
      <c r="D243">
        <v>0.185</v>
      </c>
      <c r="E243">
        <v>587626.84</v>
      </c>
      <c r="F243">
        <v>66951.16</v>
      </c>
      <c r="G243">
        <v>654578</v>
      </c>
      <c r="H243">
        <v>7341.28</v>
      </c>
      <c r="I243">
        <v>96394.44</v>
      </c>
      <c r="J243">
        <v>0.32300000000000001</v>
      </c>
      <c r="K243">
        <v>20424.04</v>
      </c>
      <c r="L243">
        <v>0</v>
      </c>
      <c r="M243">
        <v>0</v>
      </c>
      <c r="N243">
        <v>2022</v>
      </c>
      <c r="O243">
        <v>3</v>
      </c>
    </row>
    <row r="244" spans="1:15" x14ac:dyDescent="0.3">
      <c r="A244">
        <v>38073</v>
      </c>
      <c r="B244">
        <v>3200607</v>
      </c>
      <c r="C244" t="s">
        <v>23</v>
      </c>
      <c r="D244">
        <v>4.9909999999999997</v>
      </c>
      <c r="E244">
        <v>15853219.619999999</v>
      </c>
      <c r="F244">
        <v>1806233.54</v>
      </c>
      <c r="G244">
        <v>17659453.16</v>
      </c>
      <c r="H244">
        <v>198055.7</v>
      </c>
      <c r="I244">
        <v>741272.29</v>
      </c>
      <c r="J244">
        <v>2.5089999999999999</v>
      </c>
      <c r="K244">
        <v>551007.47</v>
      </c>
      <c r="L244">
        <v>0</v>
      </c>
      <c r="M244">
        <v>0</v>
      </c>
      <c r="N244">
        <v>2022</v>
      </c>
      <c r="O244">
        <v>3</v>
      </c>
    </row>
    <row r="245" spans="1:15" x14ac:dyDescent="0.3">
      <c r="A245">
        <v>38074</v>
      </c>
      <c r="B245">
        <v>3200706</v>
      </c>
      <c r="C245" t="s">
        <v>24</v>
      </c>
      <c r="D245">
        <v>0.373</v>
      </c>
      <c r="E245">
        <v>1184782.78</v>
      </c>
      <c r="F245">
        <v>134987.98000000001</v>
      </c>
      <c r="G245">
        <v>1319770.76</v>
      </c>
      <c r="H245">
        <v>14801.6</v>
      </c>
      <c r="I245">
        <v>60735.14</v>
      </c>
      <c r="J245">
        <v>0.45700000000000002</v>
      </c>
      <c r="K245">
        <v>41179.279999999999</v>
      </c>
      <c r="L245">
        <v>0</v>
      </c>
      <c r="M245">
        <v>0</v>
      </c>
      <c r="N245">
        <v>2022</v>
      </c>
      <c r="O245">
        <v>3</v>
      </c>
    </row>
    <row r="246" spans="1:15" x14ac:dyDescent="0.3">
      <c r="A246">
        <v>38075</v>
      </c>
      <c r="B246">
        <v>3200805</v>
      </c>
      <c r="C246" t="s">
        <v>25</v>
      </c>
      <c r="D246">
        <v>0.64300000000000002</v>
      </c>
      <c r="E246">
        <v>2042400.38</v>
      </c>
      <c r="F246">
        <v>232700.5</v>
      </c>
      <c r="G246">
        <v>2275100.88</v>
      </c>
      <c r="H246">
        <v>25515.89</v>
      </c>
      <c r="I246">
        <v>380149.26</v>
      </c>
      <c r="J246">
        <v>0.996</v>
      </c>
      <c r="K246">
        <v>70987.34</v>
      </c>
      <c r="L246">
        <v>0</v>
      </c>
      <c r="M246">
        <v>0</v>
      </c>
      <c r="N246">
        <v>2022</v>
      </c>
      <c r="O246">
        <v>3</v>
      </c>
    </row>
    <row r="247" spans="1:15" x14ac:dyDescent="0.3">
      <c r="A247">
        <v>38076</v>
      </c>
      <c r="B247">
        <v>3200904</v>
      </c>
      <c r="C247" t="s">
        <v>26</v>
      </c>
      <c r="D247">
        <v>1.036</v>
      </c>
      <c r="E247">
        <v>3290710.39</v>
      </c>
      <c r="F247">
        <v>374926.46</v>
      </c>
      <c r="G247">
        <v>3665636.85</v>
      </c>
      <c r="H247">
        <v>41111.14</v>
      </c>
      <c r="I247">
        <v>401211.59</v>
      </c>
      <c r="J247">
        <v>1.321</v>
      </c>
      <c r="K247">
        <v>114374.62</v>
      </c>
      <c r="L247">
        <v>0</v>
      </c>
      <c r="M247">
        <v>0</v>
      </c>
      <c r="N247">
        <v>2022</v>
      </c>
      <c r="O247">
        <v>3</v>
      </c>
    </row>
    <row r="248" spans="1:15" x14ac:dyDescent="0.3">
      <c r="A248">
        <v>38077</v>
      </c>
      <c r="B248">
        <v>3107109</v>
      </c>
      <c r="C248" t="s">
        <v>27</v>
      </c>
      <c r="D248">
        <v>0.39900000000000002</v>
      </c>
      <c r="E248">
        <v>1267368.2</v>
      </c>
      <c r="F248">
        <v>144397.35</v>
      </c>
      <c r="G248">
        <v>1411765.55</v>
      </c>
      <c r="H248">
        <v>15833.34</v>
      </c>
      <c r="I248">
        <v>56711.38</v>
      </c>
      <c r="J248">
        <v>0.56899999999999995</v>
      </c>
      <c r="K248">
        <v>44049.68</v>
      </c>
      <c r="L248">
        <v>0</v>
      </c>
      <c r="M248">
        <v>0</v>
      </c>
      <c r="N248">
        <v>2022</v>
      </c>
      <c r="O248">
        <v>3</v>
      </c>
    </row>
    <row r="249" spans="1:15" x14ac:dyDescent="0.3">
      <c r="A249">
        <v>38078</v>
      </c>
      <c r="B249">
        <v>3201100</v>
      </c>
      <c r="C249" t="s">
        <v>28</v>
      </c>
      <c r="D249">
        <v>0.17599999999999999</v>
      </c>
      <c r="E249">
        <v>559039.62</v>
      </c>
      <c r="F249">
        <v>63694.07</v>
      </c>
      <c r="G249">
        <v>622733.68999999994</v>
      </c>
      <c r="H249">
        <v>6984.13</v>
      </c>
      <c r="I249">
        <v>248605.5</v>
      </c>
      <c r="J249">
        <v>0.43</v>
      </c>
      <c r="K249">
        <v>19430.43</v>
      </c>
      <c r="L249">
        <v>0</v>
      </c>
      <c r="M249">
        <v>0</v>
      </c>
      <c r="N249">
        <v>2022</v>
      </c>
      <c r="O249">
        <v>3</v>
      </c>
    </row>
    <row r="250" spans="1:15" x14ac:dyDescent="0.3">
      <c r="A250">
        <v>38079</v>
      </c>
      <c r="B250">
        <v>3201159</v>
      </c>
      <c r="C250" t="s">
        <v>29</v>
      </c>
      <c r="D250">
        <v>0.42099999999999999</v>
      </c>
      <c r="E250">
        <v>1337248.1299999999</v>
      </c>
      <c r="F250">
        <v>152359.10999999999</v>
      </c>
      <c r="G250">
        <v>1489607.24</v>
      </c>
      <c r="H250">
        <v>16706.36</v>
      </c>
      <c r="I250">
        <v>53902.81</v>
      </c>
      <c r="J250">
        <v>0.46</v>
      </c>
      <c r="K250">
        <v>46478.49</v>
      </c>
      <c r="L250">
        <v>0</v>
      </c>
      <c r="M250">
        <v>0</v>
      </c>
      <c r="N250">
        <v>2022</v>
      </c>
      <c r="O250">
        <v>3</v>
      </c>
    </row>
    <row r="251" spans="1:15" x14ac:dyDescent="0.3">
      <c r="A251">
        <v>38080</v>
      </c>
      <c r="B251">
        <v>3201209</v>
      </c>
      <c r="C251" t="s">
        <v>30</v>
      </c>
      <c r="D251">
        <v>3.234</v>
      </c>
      <c r="E251">
        <v>10272352.699999999</v>
      </c>
      <c r="F251">
        <v>1170378.53</v>
      </c>
      <c r="G251">
        <v>11442731.23</v>
      </c>
      <c r="H251">
        <v>128333.43</v>
      </c>
      <c r="I251">
        <v>1711898.34</v>
      </c>
      <c r="J251">
        <v>4.4820000000000002</v>
      </c>
      <c r="K251">
        <v>357034.29</v>
      </c>
      <c r="L251">
        <v>0</v>
      </c>
      <c r="M251">
        <v>0</v>
      </c>
      <c r="N251">
        <v>2022</v>
      </c>
      <c r="O251">
        <v>3</v>
      </c>
    </row>
    <row r="252" spans="1:15" x14ac:dyDescent="0.3">
      <c r="A252">
        <v>38081</v>
      </c>
      <c r="B252">
        <v>3201308</v>
      </c>
      <c r="C252" t="s">
        <v>31</v>
      </c>
      <c r="D252">
        <v>7.4969999999999999</v>
      </c>
      <c r="E252">
        <v>23813181.190000001</v>
      </c>
      <c r="F252">
        <v>2713150.23</v>
      </c>
      <c r="G252">
        <v>26526331.420000002</v>
      </c>
      <c r="H252">
        <v>297500.21999999997</v>
      </c>
      <c r="I252">
        <v>4127370.24</v>
      </c>
      <c r="J252">
        <v>6.6040000000000001</v>
      </c>
      <c r="K252">
        <v>827670.4</v>
      </c>
      <c r="L252">
        <v>0</v>
      </c>
      <c r="M252">
        <v>0</v>
      </c>
      <c r="N252">
        <v>2022</v>
      </c>
      <c r="O252">
        <v>3</v>
      </c>
    </row>
    <row r="253" spans="1:15" x14ac:dyDescent="0.3">
      <c r="A253">
        <v>38082</v>
      </c>
      <c r="B253">
        <v>3201407</v>
      </c>
      <c r="C253" t="s">
        <v>32</v>
      </c>
      <c r="D253">
        <v>0.96499999999999997</v>
      </c>
      <c r="E253">
        <v>3065188.72</v>
      </c>
      <c r="F253">
        <v>349231.69</v>
      </c>
      <c r="G253">
        <v>3414420.41</v>
      </c>
      <c r="H253">
        <v>38293.68</v>
      </c>
      <c r="I253">
        <v>514633.88</v>
      </c>
      <c r="J253">
        <v>1.155</v>
      </c>
      <c r="K253">
        <v>106536.21</v>
      </c>
      <c r="L253">
        <v>0</v>
      </c>
      <c r="M253">
        <v>0</v>
      </c>
      <c r="N253">
        <v>2022</v>
      </c>
      <c r="O253">
        <v>3</v>
      </c>
    </row>
    <row r="254" spans="1:15" x14ac:dyDescent="0.3">
      <c r="A254">
        <v>38083</v>
      </c>
      <c r="B254">
        <v>3201506</v>
      </c>
      <c r="C254" t="s">
        <v>33</v>
      </c>
      <c r="D254">
        <v>2.1739999999999999</v>
      </c>
      <c r="E254">
        <v>6905409.6500000004</v>
      </c>
      <c r="F254">
        <v>786766.48</v>
      </c>
      <c r="G254">
        <v>7692176.1299999999</v>
      </c>
      <c r="H254">
        <v>86269.9</v>
      </c>
      <c r="I254">
        <v>1172422.8500000001</v>
      </c>
      <c r="J254">
        <v>2.8220000000000001</v>
      </c>
      <c r="K254">
        <v>240010.06</v>
      </c>
      <c r="L254">
        <v>0</v>
      </c>
      <c r="M254">
        <v>0</v>
      </c>
      <c r="N254">
        <v>2022</v>
      </c>
      <c r="O254">
        <v>3</v>
      </c>
    </row>
    <row r="255" spans="1:15" x14ac:dyDescent="0.3">
      <c r="A255">
        <v>38084</v>
      </c>
      <c r="B255">
        <v>3201605</v>
      </c>
      <c r="C255" t="s">
        <v>34</v>
      </c>
      <c r="D255">
        <v>0.65200000000000002</v>
      </c>
      <c r="E255">
        <v>2070987.6</v>
      </c>
      <c r="F255">
        <v>235957.57</v>
      </c>
      <c r="G255">
        <v>2306945.17</v>
      </c>
      <c r="H255">
        <v>25873.03</v>
      </c>
      <c r="I255">
        <v>99756.74</v>
      </c>
      <c r="J255">
        <v>0.999</v>
      </c>
      <c r="K255">
        <v>71980.94</v>
      </c>
      <c r="L255">
        <v>0</v>
      </c>
      <c r="M255">
        <v>0</v>
      </c>
      <c r="N255">
        <v>2022</v>
      </c>
      <c r="O255">
        <v>3</v>
      </c>
    </row>
    <row r="256" spans="1:15" x14ac:dyDescent="0.3">
      <c r="A256">
        <v>38085</v>
      </c>
      <c r="B256">
        <v>3201704</v>
      </c>
      <c r="C256" t="s">
        <v>35</v>
      </c>
      <c r="D256">
        <v>0.47499999999999998</v>
      </c>
      <c r="E256">
        <v>1508771.65</v>
      </c>
      <c r="F256">
        <v>171901.61</v>
      </c>
      <c r="G256">
        <v>1680673.26</v>
      </c>
      <c r="H256">
        <v>18849.22</v>
      </c>
      <c r="I256">
        <v>94614.14</v>
      </c>
      <c r="J256">
        <v>0.46500000000000002</v>
      </c>
      <c r="K256">
        <v>52440.1</v>
      </c>
      <c r="L256">
        <v>0</v>
      </c>
      <c r="M256">
        <v>0</v>
      </c>
      <c r="N256">
        <v>2022</v>
      </c>
      <c r="O256">
        <v>3</v>
      </c>
    </row>
    <row r="257" spans="1:15" x14ac:dyDescent="0.3">
      <c r="A257">
        <v>38086</v>
      </c>
      <c r="B257">
        <v>3201803</v>
      </c>
      <c r="C257" t="s">
        <v>36</v>
      </c>
      <c r="D257">
        <v>0.186</v>
      </c>
      <c r="E257">
        <v>590803.21</v>
      </c>
      <c r="F257">
        <v>67313.039999999994</v>
      </c>
      <c r="G257">
        <v>658116.25</v>
      </c>
      <c r="H257">
        <v>7380.96</v>
      </c>
      <c r="I257">
        <v>20660.32</v>
      </c>
      <c r="J257">
        <v>0.28299999999999997</v>
      </c>
      <c r="K257">
        <v>20534.439999999999</v>
      </c>
      <c r="L257">
        <v>0</v>
      </c>
      <c r="M257">
        <v>0</v>
      </c>
      <c r="N257">
        <v>2022</v>
      </c>
      <c r="O257">
        <v>3</v>
      </c>
    </row>
    <row r="258" spans="1:15" x14ac:dyDescent="0.3">
      <c r="A258">
        <v>38087</v>
      </c>
      <c r="B258">
        <v>3201902</v>
      </c>
      <c r="C258" t="s">
        <v>37</v>
      </c>
      <c r="D258">
        <v>1.3140000000000001</v>
      </c>
      <c r="E258">
        <v>4173738.85</v>
      </c>
      <c r="F258">
        <v>475534.15</v>
      </c>
      <c r="G258">
        <v>4649273</v>
      </c>
      <c r="H258">
        <v>52142.9</v>
      </c>
      <c r="I258">
        <v>385728.12</v>
      </c>
      <c r="J258">
        <v>1.0309999999999999</v>
      </c>
      <c r="K258">
        <v>145065.88</v>
      </c>
      <c r="L258">
        <v>0</v>
      </c>
      <c r="M258">
        <v>0</v>
      </c>
      <c r="N258">
        <v>2022</v>
      </c>
      <c r="O258">
        <v>3</v>
      </c>
    </row>
    <row r="259" spans="1:15" x14ac:dyDescent="0.3">
      <c r="A259">
        <v>38088</v>
      </c>
      <c r="B259">
        <v>3202009</v>
      </c>
      <c r="C259" t="s">
        <v>38</v>
      </c>
      <c r="D259">
        <v>0.26</v>
      </c>
      <c r="E259">
        <v>825853.96</v>
      </c>
      <c r="F259">
        <v>94093.49</v>
      </c>
      <c r="G259">
        <v>919947.45</v>
      </c>
      <c r="H259">
        <v>10317.469999999999</v>
      </c>
      <c r="I259">
        <v>102799</v>
      </c>
      <c r="J259">
        <v>0.314</v>
      </c>
      <c r="K259">
        <v>28704.05</v>
      </c>
      <c r="L259">
        <v>0</v>
      </c>
      <c r="M259">
        <v>0</v>
      </c>
      <c r="N259">
        <v>2022</v>
      </c>
      <c r="O259">
        <v>3</v>
      </c>
    </row>
    <row r="260" spans="1:15" x14ac:dyDescent="0.3">
      <c r="A260">
        <v>38089</v>
      </c>
      <c r="B260">
        <v>3202108</v>
      </c>
      <c r="C260" t="s">
        <v>39</v>
      </c>
      <c r="D260">
        <v>0.69899999999999995</v>
      </c>
      <c r="E260">
        <v>2220276.59</v>
      </c>
      <c r="F260">
        <v>252966.79</v>
      </c>
      <c r="G260">
        <v>2473243.38</v>
      </c>
      <c r="H260">
        <v>27738.12</v>
      </c>
      <c r="I260">
        <v>97142.5</v>
      </c>
      <c r="J260">
        <v>0.81599999999999995</v>
      </c>
      <c r="K260">
        <v>77169.75</v>
      </c>
      <c r="L260">
        <v>0</v>
      </c>
      <c r="M260">
        <v>0</v>
      </c>
      <c r="N260">
        <v>2022</v>
      </c>
      <c r="O260">
        <v>3</v>
      </c>
    </row>
    <row r="261" spans="1:15" x14ac:dyDescent="0.3">
      <c r="A261">
        <v>38090</v>
      </c>
      <c r="B261">
        <v>3202207</v>
      </c>
      <c r="C261" t="s">
        <v>40</v>
      </c>
      <c r="D261">
        <v>0.313</v>
      </c>
      <c r="E261">
        <v>994201.11</v>
      </c>
      <c r="F261">
        <v>113274.13</v>
      </c>
      <c r="G261">
        <v>1107475.24</v>
      </c>
      <c r="H261">
        <v>12420.64</v>
      </c>
      <c r="I261">
        <v>115735.25</v>
      </c>
      <c r="J261">
        <v>0.73399999999999999</v>
      </c>
      <c r="K261">
        <v>34555.26</v>
      </c>
      <c r="L261">
        <v>0</v>
      </c>
      <c r="M261">
        <v>0</v>
      </c>
      <c r="N261">
        <v>2022</v>
      </c>
      <c r="O261">
        <v>3</v>
      </c>
    </row>
    <row r="262" spans="1:15" x14ac:dyDescent="0.3">
      <c r="A262">
        <v>38091</v>
      </c>
      <c r="B262">
        <v>3202256</v>
      </c>
      <c r="C262" t="s">
        <v>41</v>
      </c>
      <c r="D262">
        <v>0.43</v>
      </c>
      <c r="E262">
        <v>1365835.37</v>
      </c>
      <c r="F262">
        <v>155616.18</v>
      </c>
      <c r="G262">
        <v>1521451.55</v>
      </c>
      <c r="H262">
        <v>17063.5</v>
      </c>
      <c r="I262">
        <v>81072.77</v>
      </c>
      <c r="J262">
        <v>0.46700000000000003</v>
      </c>
      <c r="K262">
        <v>47472.09</v>
      </c>
      <c r="L262">
        <v>0</v>
      </c>
      <c r="M262">
        <v>0</v>
      </c>
      <c r="N262">
        <v>2022</v>
      </c>
      <c r="O262">
        <v>3</v>
      </c>
    </row>
    <row r="263" spans="1:15" x14ac:dyDescent="0.3">
      <c r="A263">
        <v>38092</v>
      </c>
      <c r="B263">
        <v>3202306</v>
      </c>
      <c r="C263" t="s">
        <v>42</v>
      </c>
      <c r="D263">
        <v>0.378</v>
      </c>
      <c r="E263">
        <v>1200664.58</v>
      </c>
      <c r="F263">
        <v>136797.48000000001</v>
      </c>
      <c r="G263">
        <v>1337462.06</v>
      </c>
      <c r="H263">
        <v>15000.01</v>
      </c>
      <c r="I263">
        <v>262526.28999999998</v>
      </c>
      <c r="J263">
        <v>0.998</v>
      </c>
      <c r="K263">
        <v>41731.279999999999</v>
      </c>
      <c r="L263">
        <v>0</v>
      </c>
      <c r="M263">
        <v>0</v>
      </c>
      <c r="N263">
        <v>2022</v>
      </c>
      <c r="O263">
        <v>3</v>
      </c>
    </row>
    <row r="264" spans="1:15" x14ac:dyDescent="0.3">
      <c r="A264">
        <v>38093</v>
      </c>
      <c r="B264">
        <v>3202405</v>
      </c>
      <c r="C264" t="s">
        <v>43</v>
      </c>
      <c r="D264">
        <v>0.90900000000000003</v>
      </c>
      <c r="E264">
        <v>2887312.5</v>
      </c>
      <c r="F264">
        <v>328965.40000000002</v>
      </c>
      <c r="G264">
        <v>3216277.9</v>
      </c>
      <c r="H264">
        <v>36071.46</v>
      </c>
      <c r="I264">
        <v>1842993.15</v>
      </c>
      <c r="J264">
        <v>2.8730000000000002</v>
      </c>
      <c r="K264">
        <v>100353.8</v>
      </c>
      <c r="L264">
        <v>0</v>
      </c>
      <c r="M264">
        <v>0</v>
      </c>
      <c r="N264">
        <v>2022</v>
      </c>
      <c r="O264">
        <v>3</v>
      </c>
    </row>
    <row r="265" spans="1:15" x14ac:dyDescent="0.3">
      <c r="A265">
        <v>38094</v>
      </c>
      <c r="B265">
        <v>3202454</v>
      </c>
      <c r="C265" t="s">
        <v>44</v>
      </c>
      <c r="D265">
        <v>0.35099999999999998</v>
      </c>
      <c r="E265">
        <v>1114902.8500000001</v>
      </c>
      <c r="F265">
        <v>127026.25</v>
      </c>
      <c r="G265">
        <v>1241929.1000000001</v>
      </c>
      <c r="H265">
        <v>13928.58</v>
      </c>
      <c r="I265">
        <v>192687.93</v>
      </c>
      <c r="J265">
        <v>0.86499999999999999</v>
      </c>
      <c r="K265">
        <v>38750.47</v>
      </c>
      <c r="L265">
        <v>0</v>
      </c>
      <c r="M265">
        <v>0</v>
      </c>
      <c r="N265">
        <v>2022</v>
      </c>
      <c r="O265">
        <v>3</v>
      </c>
    </row>
    <row r="266" spans="1:15" x14ac:dyDescent="0.3">
      <c r="A266">
        <v>38095</v>
      </c>
      <c r="B266">
        <v>3202504</v>
      </c>
      <c r="C266" t="s">
        <v>45</v>
      </c>
      <c r="D266">
        <v>0.26700000000000002</v>
      </c>
      <c r="E266">
        <v>848088.49</v>
      </c>
      <c r="F266">
        <v>96626.79</v>
      </c>
      <c r="G266">
        <v>944715.28</v>
      </c>
      <c r="H266">
        <v>10595.25</v>
      </c>
      <c r="I266">
        <v>100628.77</v>
      </c>
      <c r="J266">
        <v>0.46300000000000002</v>
      </c>
      <c r="K266">
        <v>29476.85</v>
      </c>
      <c r="L266">
        <v>0</v>
      </c>
      <c r="M266">
        <v>0</v>
      </c>
      <c r="N266">
        <v>2022</v>
      </c>
      <c r="O266">
        <v>3</v>
      </c>
    </row>
    <row r="267" spans="1:15" x14ac:dyDescent="0.3">
      <c r="A267">
        <v>38096</v>
      </c>
      <c r="B267">
        <v>3202553</v>
      </c>
      <c r="C267" t="s">
        <v>46</v>
      </c>
      <c r="D267">
        <v>0.248</v>
      </c>
      <c r="E267">
        <v>787737.62</v>
      </c>
      <c r="F267">
        <v>89750.720000000001</v>
      </c>
      <c r="G267">
        <v>877488.34</v>
      </c>
      <c r="H267">
        <v>9841.2800000000007</v>
      </c>
      <c r="I267">
        <v>43823.99</v>
      </c>
      <c r="J267">
        <v>0.33800000000000002</v>
      </c>
      <c r="K267">
        <v>27379.25</v>
      </c>
      <c r="L267">
        <v>0</v>
      </c>
      <c r="M267">
        <v>0</v>
      </c>
      <c r="N267">
        <v>2022</v>
      </c>
      <c r="O267">
        <v>3</v>
      </c>
    </row>
    <row r="268" spans="1:15" x14ac:dyDescent="0.3">
      <c r="A268">
        <v>38097</v>
      </c>
      <c r="B268">
        <v>3202603</v>
      </c>
      <c r="C268" t="s">
        <v>47</v>
      </c>
      <c r="D268">
        <v>0.34399999999999997</v>
      </c>
      <c r="E268">
        <v>1092668.3400000001</v>
      </c>
      <c r="F268">
        <v>124492.96</v>
      </c>
      <c r="G268">
        <v>1217161.3</v>
      </c>
      <c r="H268">
        <v>13650.8</v>
      </c>
      <c r="I268">
        <v>314750.46000000002</v>
      </c>
      <c r="J268">
        <v>0.55600000000000005</v>
      </c>
      <c r="K268">
        <v>37977.67</v>
      </c>
      <c r="L268">
        <v>0</v>
      </c>
      <c r="M268">
        <v>0</v>
      </c>
      <c r="N268">
        <v>2022</v>
      </c>
      <c r="O268">
        <v>3</v>
      </c>
    </row>
    <row r="269" spans="1:15" x14ac:dyDescent="0.3">
      <c r="A269">
        <v>38098</v>
      </c>
      <c r="B269">
        <v>3202652</v>
      </c>
      <c r="C269" t="s">
        <v>48</v>
      </c>
      <c r="D269">
        <v>0.308</v>
      </c>
      <c r="E269">
        <v>978319.29</v>
      </c>
      <c r="F269">
        <v>111464.63</v>
      </c>
      <c r="G269">
        <v>1089783.92</v>
      </c>
      <c r="H269">
        <v>12222.23</v>
      </c>
      <c r="I269">
        <v>85227.31</v>
      </c>
      <c r="J269">
        <v>0.55100000000000005</v>
      </c>
      <c r="K269">
        <v>34003.269999999997</v>
      </c>
      <c r="L269">
        <v>0</v>
      </c>
      <c r="M269">
        <v>0</v>
      </c>
      <c r="N269">
        <v>2022</v>
      </c>
      <c r="O269">
        <v>3</v>
      </c>
    </row>
    <row r="270" spans="1:15" x14ac:dyDescent="0.3">
      <c r="A270">
        <v>38099</v>
      </c>
      <c r="B270">
        <v>3202702</v>
      </c>
      <c r="C270" t="s">
        <v>49</v>
      </c>
      <c r="D270">
        <v>0.35499999999999998</v>
      </c>
      <c r="E270">
        <v>1127608.28</v>
      </c>
      <c r="F270">
        <v>128473.83</v>
      </c>
      <c r="G270">
        <v>1256082.1100000001</v>
      </c>
      <c r="H270">
        <v>14087.31</v>
      </c>
      <c r="I270">
        <v>52015.62</v>
      </c>
      <c r="J270">
        <v>0.55500000000000005</v>
      </c>
      <c r="K270">
        <v>39192.07</v>
      </c>
      <c r="L270">
        <v>0</v>
      </c>
      <c r="M270">
        <v>0</v>
      </c>
      <c r="N270">
        <v>2022</v>
      </c>
      <c r="O270">
        <v>3</v>
      </c>
    </row>
    <row r="271" spans="1:15" x14ac:dyDescent="0.3">
      <c r="A271">
        <v>38100</v>
      </c>
      <c r="B271">
        <v>3202801</v>
      </c>
      <c r="C271" t="s">
        <v>50</v>
      </c>
      <c r="D271">
        <v>2.262</v>
      </c>
      <c r="E271">
        <v>7184929.3899999997</v>
      </c>
      <c r="F271">
        <v>818613.57</v>
      </c>
      <c r="G271">
        <v>8003542.96</v>
      </c>
      <c r="H271">
        <v>89761.97</v>
      </c>
      <c r="I271">
        <v>243918.03</v>
      </c>
      <c r="J271">
        <v>1.042</v>
      </c>
      <c r="K271">
        <v>249725.29</v>
      </c>
      <c r="L271">
        <v>0</v>
      </c>
      <c r="M271">
        <v>0</v>
      </c>
      <c r="N271">
        <v>2022</v>
      </c>
      <c r="O271">
        <v>3</v>
      </c>
    </row>
    <row r="272" spans="1:15" x14ac:dyDescent="0.3">
      <c r="A272">
        <v>38101</v>
      </c>
      <c r="B272">
        <v>3202900</v>
      </c>
      <c r="C272" t="s">
        <v>51</v>
      </c>
      <c r="D272">
        <v>0.34599999999999997</v>
      </c>
      <c r="E272">
        <v>1099021.03</v>
      </c>
      <c r="F272">
        <v>125216.73</v>
      </c>
      <c r="G272">
        <v>1224237.76</v>
      </c>
      <c r="H272">
        <v>13730.17</v>
      </c>
      <c r="I272">
        <v>122345.91</v>
      </c>
      <c r="J272">
        <v>0.435</v>
      </c>
      <c r="K272">
        <v>38198.47</v>
      </c>
      <c r="L272">
        <v>0</v>
      </c>
      <c r="M272">
        <v>0</v>
      </c>
      <c r="N272">
        <v>2022</v>
      </c>
      <c r="O272">
        <v>3</v>
      </c>
    </row>
    <row r="273" spans="1:15" x14ac:dyDescent="0.3">
      <c r="A273">
        <v>38102</v>
      </c>
      <c r="B273">
        <v>3203007</v>
      </c>
      <c r="C273" t="s">
        <v>52</v>
      </c>
      <c r="D273">
        <v>0.438</v>
      </c>
      <c r="E273">
        <v>1391246.27</v>
      </c>
      <c r="F273">
        <v>158511.4</v>
      </c>
      <c r="G273">
        <v>1549757.67</v>
      </c>
      <c r="H273">
        <v>17380.97</v>
      </c>
      <c r="I273">
        <v>171979.28</v>
      </c>
      <c r="J273">
        <v>0.89700000000000002</v>
      </c>
      <c r="K273">
        <v>48355.29</v>
      </c>
      <c r="L273">
        <v>0</v>
      </c>
      <c r="M273">
        <v>0</v>
      </c>
      <c r="N273">
        <v>2022</v>
      </c>
      <c r="O273">
        <v>3</v>
      </c>
    </row>
    <row r="274" spans="1:15" x14ac:dyDescent="0.3">
      <c r="A274">
        <v>38103</v>
      </c>
      <c r="B274">
        <v>3203056</v>
      </c>
      <c r="C274" t="s">
        <v>53</v>
      </c>
      <c r="D274">
        <v>0.8</v>
      </c>
      <c r="E274">
        <v>2541089.11</v>
      </c>
      <c r="F274">
        <v>289518.5</v>
      </c>
      <c r="G274">
        <v>2830607.61</v>
      </c>
      <c r="H274">
        <v>31746.06</v>
      </c>
      <c r="I274">
        <v>195663.47</v>
      </c>
      <c r="J274">
        <v>1</v>
      </c>
      <c r="K274">
        <v>88320.17</v>
      </c>
      <c r="L274">
        <v>0</v>
      </c>
      <c r="M274">
        <v>0</v>
      </c>
      <c r="N274">
        <v>2022</v>
      </c>
      <c r="O274">
        <v>3</v>
      </c>
    </row>
    <row r="275" spans="1:15" x14ac:dyDescent="0.3">
      <c r="A275">
        <v>38104</v>
      </c>
      <c r="B275">
        <v>3203106</v>
      </c>
      <c r="C275" t="s">
        <v>54</v>
      </c>
      <c r="D275">
        <v>0.21199999999999999</v>
      </c>
      <c r="E275">
        <v>673388.6</v>
      </c>
      <c r="F275">
        <v>76722.41</v>
      </c>
      <c r="G275">
        <v>750111.01</v>
      </c>
      <c r="H275">
        <v>8412.7000000000007</v>
      </c>
      <c r="I275">
        <v>47474.62</v>
      </c>
      <c r="J275">
        <v>0.45800000000000002</v>
      </c>
      <c r="K275">
        <v>23404.85</v>
      </c>
      <c r="L275">
        <v>0</v>
      </c>
      <c r="M275">
        <v>0</v>
      </c>
      <c r="N275">
        <v>2022</v>
      </c>
      <c r="O275">
        <v>3</v>
      </c>
    </row>
    <row r="276" spans="1:15" x14ac:dyDescent="0.3">
      <c r="A276">
        <v>38105</v>
      </c>
      <c r="B276">
        <v>3203130</v>
      </c>
      <c r="C276" t="s">
        <v>55</v>
      </c>
      <c r="D276">
        <v>0.38600000000000001</v>
      </c>
      <c r="E276">
        <v>1226075.49</v>
      </c>
      <c r="F276">
        <v>139692.67000000001</v>
      </c>
      <c r="G276">
        <v>1365768.16</v>
      </c>
      <c r="H276">
        <v>15317.47</v>
      </c>
      <c r="I276">
        <v>137579.26</v>
      </c>
      <c r="J276">
        <v>0.66600000000000004</v>
      </c>
      <c r="K276">
        <v>42614.48</v>
      </c>
      <c r="L276">
        <v>0</v>
      </c>
      <c r="M276">
        <v>0</v>
      </c>
      <c r="N276">
        <v>2022</v>
      </c>
      <c r="O276">
        <v>3</v>
      </c>
    </row>
    <row r="277" spans="1:15" x14ac:dyDescent="0.3">
      <c r="A277">
        <v>38106</v>
      </c>
      <c r="B277">
        <v>3203163</v>
      </c>
      <c r="C277" t="s">
        <v>56</v>
      </c>
      <c r="D277">
        <v>0.372</v>
      </c>
      <c r="E277">
        <v>1181606.44</v>
      </c>
      <c r="F277">
        <v>134626.12</v>
      </c>
      <c r="G277">
        <v>1316232.56</v>
      </c>
      <c r="H277">
        <v>14761.92</v>
      </c>
      <c r="I277">
        <v>87045.75</v>
      </c>
      <c r="J277">
        <v>0.441</v>
      </c>
      <c r="K277">
        <v>41068.879999999997</v>
      </c>
      <c r="L277">
        <v>0</v>
      </c>
      <c r="M277">
        <v>0</v>
      </c>
      <c r="N277">
        <v>2022</v>
      </c>
      <c r="O277">
        <v>3</v>
      </c>
    </row>
    <row r="278" spans="1:15" x14ac:dyDescent="0.3">
      <c r="A278">
        <v>38107</v>
      </c>
      <c r="B278">
        <v>3203205</v>
      </c>
      <c r="C278" t="s">
        <v>57</v>
      </c>
      <c r="D278">
        <v>5.4</v>
      </c>
      <c r="E278">
        <v>17152351.420000002</v>
      </c>
      <c r="F278">
        <v>1954249.82</v>
      </c>
      <c r="G278">
        <v>19106601.239999998</v>
      </c>
      <c r="H278">
        <v>214285.87</v>
      </c>
      <c r="I278">
        <v>1415085.24</v>
      </c>
      <c r="J278">
        <v>4.0880000000000001</v>
      </c>
      <c r="K278">
        <v>596161.16</v>
      </c>
      <c r="L278">
        <v>0</v>
      </c>
      <c r="M278">
        <v>0</v>
      </c>
      <c r="N278">
        <v>2022</v>
      </c>
      <c r="O278">
        <v>3</v>
      </c>
    </row>
    <row r="279" spans="1:15" x14ac:dyDescent="0.3">
      <c r="A279">
        <v>38108</v>
      </c>
      <c r="B279">
        <v>3203304</v>
      </c>
      <c r="C279" t="s">
        <v>58</v>
      </c>
      <c r="D279">
        <v>0.216</v>
      </c>
      <c r="E279">
        <v>686094.05</v>
      </c>
      <c r="F279">
        <v>78170.009999999995</v>
      </c>
      <c r="G279">
        <v>764264.06</v>
      </c>
      <c r="H279">
        <v>8571.43</v>
      </c>
      <c r="I279">
        <v>79031.66</v>
      </c>
      <c r="J279">
        <v>0.57599999999999996</v>
      </c>
      <c r="K279">
        <v>23846.45</v>
      </c>
      <c r="L279">
        <v>0</v>
      </c>
      <c r="M279">
        <v>0</v>
      </c>
      <c r="N279">
        <v>2022</v>
      </c>
      <c r="O279">
        <v>3</v>
      </c>
    </row>
    <row r="280" spans="1:15" x14ac:dyDescent="0.3">
      <c r="A280">
        <v>38109</v>
      </c>
      <c r="B280">
        <v>3203320</v>
      </c>
      <c r="C280" t="s">
        <v>59</v>
      </c>
      <c r="D280">
        <v>0.60899999999999999</v>
      </c>
      <c r="E280">
        <v>1934404.06</v>
      </c>
      <c r="F280">
        <v>220395.97</v>
      </c>
      <c r="G280">
        <v>2154800.0299999998</v>
      </c>
      <c r="H280">
        <v>24166.68</v>
      </c>
      <c r="I280">
        <v>381083.09</v>
      </c>
      <c r="J280">
        <v>1.171</v>
      </c>
      <c r="K280">
        <v>67233.73</v>
      </c>
      <c r="L280">
        <v>0</v>
      </c>
      <c r="M280">
        <v>0</v>
      </c>
      <c r="N280">
        <v>2022</v>
      </c>
      <c r="O280">
        <v>3</v>
      </c>
    </row>
    <row r="281" spans="1:15" x14ac:dyDescent="0.3">
      <c r="A281">
        <v>38110</v>
      </c>
      <c r="B281">
        <v>3203346</v>
      </c>
      <c r="C281" t="s">
        <v>60</v>
      </c>
      <c r="D281">
        <v>0.64500000000000002</v>
      </c>
      <c r="E281">
        <v>2048753.12</v>
      </c>
      <c r="F281">
        <v>233424.3</v>
      </c>
      <c r="G281">
        <v>2282177.42</v>
      </c>
      <c r="H281">
        <v>25595.26</v>
      </c>
      <c r="I281">
        <v>243523.67</v>
      </c>
      <c r="J281">
        <v>0.67100000000000004</v>
      </c>
      <c r="K281">
        <v>71208.13</v>
      </c>
      <c r="L281">
        <v>0</v>
      </c>
      <c r="M281">
        <v>0</v>
      </c>
      <c r="N281">
        <v>2022</v>
      </c>
      <c r="O281">
        <v>3</v>
      </c>
    </row>
    <row r="282" spans="1:15" x14ac:dyDescent="0.3">
      <c r="A282">
        <v>38111</v>
      </c>
      <c r="B282">
        <v>3203353</v>
      </c>
      <c r="C282" t="s">
        <v>61</v>
      </c>
      <c r="D282">
        <v>0.45200000000000001</v>
      </c>
      <c r="E282">
        <v>1435715.33</v>
      </c>
      <c r="F282">
        <v>163577.96</v>
      </c>
      <c r="G282">
        <v>1599293.29</v>
      </c>
      <c r="H282">
        <v>17936.52</v>
      </c>
      <c r="I282">
        <v>186532.38</v>
      </c>
      <c r="J282">
        <v>0.46700000000000003</v>
      </c>
      <c r="K282">
        <v>49900.89</v>
      </c>
      <c r="L282">
        <v>0</v>
      </c>
      <c r="M282">
        <v>0</v>
      </c>
      <c r="N282">
        <v>2022</v>
      </c>
      <c r="O282">
        <v>3</v>
      </c>
    </row>
    <row r="283" spans="1:15" x14ac:dyDescent="0.3">
      <c r="A283">
        <v>38112</v>
      </c>
      <c r="B283">
        <v>3203403</v>
      </c>
      <c r="C283" t="s">
        <v>62</v>
      </c>
      <c r="D283">
        <v>0.51400000000000001</v>
      </c>
      <c r="E283">
        <v>1632649.74</v>
      </c>
      <c r="F283">
        <v>186015.63</v>
      </c>
      <c r="G283">
        <v>1818665.37</v>
      </c>
      <c r="H283">
        <v>20396.84</v>
      </c>
      <c r="I283">
        <v>142111.56</v>
      </c>
      <c r="J283">
        <v>0.85599999999999998</v>
      </c>
      <c r="K283">
        <v>56745.71</v>
      </c>
      <c r="L283">
        <v>0</v>
      </c>
      <c r="M283">
        <v>0</v>
      </c>
      <c r="N283">
        <v>2022</v>
      </c>
      <c r="O283">
        <v>3</v>
      </c>
    </row>
    <row r="284" spans="1:15" x14ac:dyDescent="0.3">
      <c r="A284">
        <v>38113</v>
      </c>
      <c r="B284">
        <v>3203502</v>
      </c>
      <c r="C284" t="s">
        <v>63</v>
      </c>
      <c r="D284">
        <v>0.53600000000000003</v>
      </c>
      <c r="E284">
        <v>1702529.7</v>
      </c>
      <c r="F284">
        <v>193977.41</v>
      </c>
      <c r="G284">
        <v>1896507.11</v>
      </c>
      <c r="H284">
        <v>21269.86</v>
      </c>
      <c r="I284">
        <v>102284.71</v>
      </c>
      <c r="J284">
        <v>0.69299999999999995</v>
      </c>
      <c r="K284">
        <v>59174.51</v>
      </c>
      <c r="L284">
        <v>0</v>
      </c>
      <c r="M284">
        <v>0</v>
      </c>
      <c r="N284">
        <v>2022</v>
      </c>
      <c r="O284">
        <v>3</v>
      </c>
    </row>
    <row r="285" spans="1:15" x14ac:dyDescent="0.3">
      <c r="A285">
        <v>38114</v>
      </c>
      <c r="B285">
        <v>3203601</v>
      </c>
      <c r="C285" t="s">
        <v>64</v>
      </c>
      <c r="D285">
        <v>0.27800000000000002</v>
      </c>
      <c r="E285">
        <v>883028.46</v>
      </c>
      <c r="F285">
        <v>100607.69</v>
      </c>
      <c r="G285">
        <v>983636.15</v>
      </c>
      <c r="H285">
        <v>11031.75</v>
      </c>
      <c r="I285">
        <v>23394.33</v>
      </c>
      <c r="J285">
        <v>0.29799999999999999</v>
      </c>
      <c r="K285">
        <v>30691.25</v>
      </c>
      <c r="L285">
        <v>0</v>
      </c>
      <c r="M285">
        <v>0</v>
      </c>
      <c r="N285">
        <v>2022</v>
      </c>
      <c r="O285">
        <v>3</v>
      </c>
    </row>
    <row r="286" spans="1:15" x14ac:dyDescent="0.3">
      <c r="A286">
        <v>38115</v>
      </c>
      <c r="B286">
        <v>3203700</v>
      </c>
      <c r="C286" t="s">
        <v>65</v>
      </c>
      <c r="D286">
        <v>0.55000000000000004</v>
      </c>
      <c r="E286">
        <v>1746998.76</v>
      </c>
      <c r="F286">
        <v>199043.97</v>
      </c>
      <c r="G286">
        <v>1946042.73</v>
      </c>
      <c r="H286">
        <v>21825.41</v>
      </c>
      <c r="I286">
        <v>82990.149999999994</v>
      </c>
      <c r="J286">
        <v>0.67100000000000004</v>
      </c>
      <c r="K286">
        <v>60720.12</v>
      </c>
      <c r="L286">
        <v>0</v>
      </c>
      <c r="M286">
        <v>0</v>
      </c>
      <c r="N286">
        <v>2022</v>
      </c>
      <c r="O286">
        <v>3</v>
      </c>
    </row>
    <row r="287" spans="1:15" x14ac:dyDescent="0.3">
      <c r="A287">
        <v>38116</v>
      </c>
      <c r="B287">
        <v>3203809</v>
      </c>
      <c r="C287" t="s">
        <v>66</v>
      </c>
      <c r="D287">
        <v>0.29599999999999999</v>
      </c>
      <c r="E287">
        <v>940202.98</v>
      </c>
      <c r="F287">
        <v>107121.84</v>
      </c>
      <c r="G287">
        <v>1047324.82</v>
      </c>
      <c r="H287">
        <v>11746.04</v>
      </c>
      <c r="I287">
        <v>68572.2</v>
      </c>
      <c r="J287">
        <v>0.57499999999999996</v>
      </c>
      <c r="K287">
        <v>32678.47</v>
      </c>
      <c r="L287">
        <v>0</v>
      </c>
      <c r="M287">
        <v>0</v>
      </c>
      <c r="N287">
        <v>2022</v>
      </c>
      <c r="O287">
        <v>3</v>
      </c>
    </row>
    <row r="288" spans="1:15" x14ac:dyDescent="0.3">
      <c r="A288">
        <v>38117</v>
      </c>
      <c r="B288">
        <v>3203908</v>
      </c>
      <c r="C288" t="s">
        <v>67</v>
      </c>
      <c r="D288">
        <v>1.268</v>
      </c>
      <c r="E288">
        <v>4027626.19</v>
      </c>
      <c r="F288">
        <v>458886.84</v>
      </c>
      <c r="G288">
        <v>4486513.03</v>
      </c>
      <c r="H288">
        <v>50317.5</v>
      </c>
      <c r="I288">
        <v>295198.18</v>
      </c>
      <c r="J288">
        <v>1.4650000000000001</v>
      </c>
      <c r="K288">
        <v>139987.47</v>
      </c>
      <c r="L288">
        <v>0</v>
      </c>
      <c r="M288">
        <v>0</v>
      </c>
      <c r="N288">
        <v>2022</v>
      </c>
      <c r="O288">
        <v>3</v>
      </c>
    </row>
    <row r="289" spans="1:15" x14ac:dyDescent="0.3">
      <c r="A289">
        <v>38118</v>
      </c>
      <c r="B289">
        <v>3204005</v>
      </c>
      <c r="C289" t="s">
        <v>68</v>
      </c>
      <c r="D289">
        <v>0.47099999999999997</v>
      </c>
      <c r="E289">
        <v>1496066.21</v>
      </c>
      <c r="F289">
        <v>170454.01</v>
      </c>
      <c r="G289">
        <v>1666520.22</v>
      </c>
      <c r="H289">
        <v>18690.490000000002</v>
      </c>
      <c r="I289">
        <v>76147.91</v>
      </c>
      <c r="J289">
        <v>0.747</v>
      </c>
      <c r="K289">
        <v>51998.5</v>
      </c>
      <c r="L289">
        <v>0</v>
      </c>
      <c r="M289">
        <v>0</v>
      </c>
      <c r="N289">
        <v>2022</v>
      </c>
      <c r="O289">
        <v>3</v>
      </c>
    </row>
    <row r="290" spans="1:15" x14ac:dyDescent="0.3">
      <c r="A290">
        <v>38119</v>
      </c>
      <c r="B290">
        <v>3204054</v>
      </c>
      <c r="C290" t="s">
        <v>69</v>
      </c>
      <c r="D290">
        <v>0.313</v>
      </c>
      <c r="E290">
        <v>994201.11</v>
      </c>
      <c r="F290">
        <v>113274.13</v>
      </c>
      <c r="G290">
        <v>1107475.24</v>
      </c>
      <c r="H290">
        <v>12420.64</v>
      </c>
      <c r="I290">
        <v>117843.91</v>
      </c>
      <c r="J290">
        <v>0.86199999999999999</v>
      </c>
      <c r="K290">
        <v>34555.26</v>
      </c>
      <c r="L290">
        <v>0</v>
      </c>
      <c r="M290">
        <v>0</v>
      </c>
      <c r="N290">
        <v>2022</v>
      </c>
      <c r="O290">
        <v>3</v>
      </c>
    </row>
    <row r="291" spans="1:15" x14ac:dyDescent="0.3">
      <c r="A291">
        <v>38120</v>
      </c>
      <c r="B291">
        <v>3204104</v>
      </c>
      <c r="C291" t="s">
        <v>70</v>
      </c>
      <c r="D291">
        <v>0.72599999999999998</v>
      </c>
      <c r="E291">
        <v>2306038.35</v>
      </c>
      <c r="F291">
        <v>262738.03000000003</v>
      </c>
      <c r="G291">
        <v>2568776.38</v>
      </c>
      <c r="H291">
        <v>28809.55</v>
      </c>
      <c r="I291">
        <v>79306.87</v>
      </c>
      <c r="J291">
        <v>0.875</v>
      </c>
      <c r="K291">
        <v>80150.559999999998</v>
      </c>
      <c r="L291">
        <v>0</v>
      </c>
      <c r="M291">
        <v>0</v>
      </c>
      <c r="N291">
        <v>2022</v>
      </c>
      <c r="O291">
        <v>3</v>
      </c>
    </row>
    <row r="292" spans="1:15" x14ac:dyDescent="0.3">
      <c r="A292">
        <v>38121</v>
      </c>
      <c r="B292">
        <v>3204203</v>
      </c>
      <c r="C292" t="s">
        <v>71</v>
      </c>
      <c r="D292">
        <v>0.14599999999999999</v>
      </c>
      <c r="E292">
        <v>463748.74</v>
      </c>
      <c r="F292">
        <v>52837.13</v>
      </c>
      <c r="G292">
        <v>516585.87</v>
      </c>
      <c r="H292">
        <v>5793.66</v>
      </c>
      <c r="I292">
        <v>247641.28</v>
      </c>
      <c r="J292">
        <v>0.73399999999999999</v>
      </c>
      <c r="K292">
        <v>16118.43</v>
      </c>
      <c r="L292">
        <v>0</v>
      </c>
      <c r="M292">
        <v>0</v>
      </c>
      <c r="N292">
        <v>2022</v>
      </c>
      <c r="O292">
        <v>3</v>
      </c>
    </row>
    <row r="293" spans="1:15" x14ac:dyDescent="0.3">
      <c r="A293">
        <v>38122</v>
      </c>
      <c r="B293">
        <v>3204252</v>
      </c>
      <c r="C293" t="s">
        <v>72</v>
      </c>
      <c r="D293">
        <v>0.221</v>
      </c>
      <c r="E293">
        <v>701975.86</v>
      </c>
      <c r="F293">
        <v>79979.5</v>
      </c>
      <c r="G293">
        <v>781955.36</v>
      </c>
      <c r="H293">
        <v>8769.85</v>
      </c>
      <c r="I293">
        <v>24407.35</v>
      </c>
      <c r="J293">
        <v>0.32900000000000001</v>
      </c>
      <c r="K293">
        <v>24398.45</v>
      </c>
      <c r="L293">
        <v>0</v>
      </c>
      <c r="M293">
        <v>0</v>
      </c>
      <c r="N293">
        <v>2022</v>
      </c>
      <c r="O293">
        <v>3</v>
      </c>
    </row>
    <row r="294" spans="1:15" x14ac:dyDescent="0.3">
      <c r="A294">
        <v>38123</v>
      </c>
      <c r="B294">
        <v>1718402</v>
      </c>
      <c r="C294" t="s">
        <v>73</v>
      </c>
      <c r="D294">
        <v>0.33800000000000002</v>
      </c>
      <c r="E294">
        <v>1073610.1200000001</v>
      </c>
      <c r="F294">
        <v>122321.55</v>
      </c>
      <c r="G294">
        <v>1195931.67</v>
      </c>
      <c r="H294">
        <v>13412.71</v>
      </c>
      <c r="I294">
        <v>193314.45</v>
      </c>
      <c r="J294">
        <v>0.45100000000000001</v>
      </c>
      <c r="K294">
        <v>37315.279999999999</v>
      </c>
      <c r="L294">
        <v>0</v>
      </c>
      <c r="M294">
        <v>0</v>
      </c>
      <c r="N294">
        <v>2022</v>
      </c>
      <c r="O294">
        <v>3</v>
      </c>
    </row>
    <row r="295" spans="1:15" x14ac:dyDescent="0.3">
      <c r="A295">
        <v>38124</v>
      </c>
      <c r="B295">
        <v>3204351</v>
      </c>
      <c r="C295" t="s">
        <v>74</v>
      </c>
      <c r="D295">
        <v>0.79700000000000004</v>
      </c>
      <c r="E295">
        <v>2531560</v>
      </c>
      <c r="F295">
        <v>288432.78999999998</v>
      </c>
      <c r="G295">
        <v>2819992.79</v>
      </c>
      <c r="H295">
        <v>31627.01</v>
      </c>
      <c r="I295">
        <v>211795.74</v>
      </c>
      <c r="J295">
        <v>0.69799999999999995</v>
      </c>
      <c r="K295">
        <v>87988.97</v>
      </c>
      <c r="L295">
        <v>0</v>
      </c>
      <c r="M295">
        <v>0</v>
      </c>
      <c r="N295">
        <v>2022</v>
      </c>
      <c r="O295">
        <v>3</v>
      </c>
    </row>
    <row r="296" spans="1:15" x14ac:dyDescent="0.3">
      <c r="A296">
        <v>38125</v>
      </c>
      <c r="B296">
        <v>3204401</v>
      </c>
      <c r="C296" t="s">
        <v>75</v>
      </c>
      <c r="D296">
        <v>0.27500000000000002</v>
      </c>
      <c r="E296">
        <v>873499.36</v>
      </c>
      <c r="F296">
        <v>99521.97</v>
      </c>
      <c r="G296">
        <v>973021.33</v>
      </c>
      <c r="H296">
        <v>10912.71</v>
      </c>
      <c r="I296">
        <v>77139.91</v>
      </c>
      <c r="J296">
        <v>0.45</v>
      </c>
      <c r="K296">
        <v>30360.06</v>
      </c>
      <c r="L296">
        <v>0</v>
      </c>
      <c r="M296">
        <v>0</v>
      </c>
      <c r="N296">
        <v>2022</v>
      </c>
      <c r="O296">
        <v>3</v>
      </c>
    </row>
    <row r="297" spans="1:15" x14ac:dyDescent="0.3">
      <c r="A297">
        <v>38126</v>
      </c>
      <c r="B297">
        <v>3204500</v>
      </c>
      <c r="C297" t="s">
        <v>76</v>
      </c>
      <c r="D297">
        <v>0.53800000000000003</v>
      </c>
      <c r="E297">
        <v>1708882.41</v>
      </c>
      <c r="F297">
        <v>194701.22</v>
      </c>
      <c r="G297">
        <v>1903583.63</v>
      </c>
      <c r="H297">
        <v>21349.22</v>
      </c>
      <c r="I297">
        <v>87259.15</v>
      </c>
      <c r="J297">
        <v>0.45600000000000002</v>
      </c>
      <c r="K297">
        <v>59395.32</v>
      </c>
      <c r="L297">
        <v>0</v>
      </c>
      <c r="M297">
        <v>0</v>
      </c>
      <c r="N297">
        <v>2022</v>
      </c>
      <c r="O297">
        <v>3</v>
      </c>
    </row>
    <row r="298" spans="1:15" x14ac:dyDescent="0.3">
      <c r="A298">
        <v>38127</v>
      </c>
      <c r="B298">
        <v>3204559</v>
      </c>
      <c r="C298" t="s">
        <v>77</v>
      </c>
      <c r="D298">
        <v>2.1160000000000001</v>
      </c>
      <c r="E298">
        <v>6721180.6699999999</v>
      </c>
      <c r="F298">
        <v>765776.44</v>
      </c>
      <c r="G298">
        <v>7486957.1100000003</v>
      </c>
      <c r="H298">
        <v>83968.320000000007</v>
      </c>
      <c r="I298">
        <v>550713.81999999995</v>
      </c>
      <c r="J298">
        <v>1.1990000000000001</v>
      </c>
      <c r="K298">
        <v>233606.85</v>
      </c>
      <c r="L298">
        <v>0</v>
      </c>
      <c r="M298">
        <v>0</v>
      </c>
      <c r="N298">
        <v>2022</v>
      </c>
      <c r="O298">
        <v>3</v>
      </c>
    </row>
    <row r="299" spans="1:15" x14ac:dyDescent="0.3">
      <c r="A299">
        <v>38128</v>
      </c>
      <c r="B299">
        <v>3204609</v>
      </c>
      <c r="C299" t="s">
        <v>78</v>
      </c>
      <c r="D299">
        <v>0.68799999999999994</v>
      </c>
      <c r="E299">
        <v>2185336.63</v>
      </c>
      <c r="F299">
        <v>248985.9</v>
      </c>
      <c r="G299">
        <v>2434322.5299999998</v>
      </c>
      <c r="H299">
        <v>27301.61</v>
      </c>
      <c r="I299">
        <v>214953.93</v>
      </c>
      <c r="J299">
        <v>0.82899999999999996</v>
      </c>
      <c r="K299">
        <v>75955.350000000006</v>
      </c>
      <c r="L299">
        <v>0</v>
      </c>
      <c r="M299">
        <v>0</v>
      </c>
      <c r="N299">
        <v>2022</v>
      </c>
      <c r="O299">
        <v>3</v>
      </c>
    </row>
    <row r="300" spans="1:15" x14ac:dyDescent="0.3">
      <c r="A300">
        <v>38129</v>
      </c>
      <c r="B300">
        <v>3204658</v>
      </c>
      <c r="C300" t="s">
        <v>79</v>
      </c>
      <c r="D300">
        <v>0.42399999999999999</v>
      </c>
      <c r="E300">
        <v>1346777.23</v>
      </c>
      <c r="F300">
        <v>153444.79999999999</v>
      </c>
      <c r="G300">
        <v>1500222.03</v>
      </c>
      <c r="H300">
        <v>16825.41</v>
      </c>
      <c r="I300">
        <v>59981.74</v>
      </c>
      <c r="J300">
        <v>0.33700000000000002</v>
      </c>
      <c r="K300">
        <v>46809.69</v>
      </c>
      <c r="L300">
        <v>0</v>
      </c>
      <c r="M300">
        <v>0</v>
      </c>
      <c r="N300">
        <v>2022</v>
      </c>
      <c r="O300">
        <v>3</v>
      </c>
    </row>
    <row r="301" spans="1:15" x14ac:dyDescent="0.3">
      <c r="A301">
        <v>38130</v>
      </c>
      <c r="B301">
        <v>3204708</v>
      </c>
      <c r="C301" t="s">
        <v>80</v>
      </c>
      <c r="D301">
        <v>0.81499999999999995</v>
      </c>
      <c r="E301">
        <v>2588734.5299999998</v>
      </c>
      <c r="F301">
        <v>294946.96999999997</v>
      </c>
      <c r="G301">
        <v>2883681.5</v>
      </c>
      <c r="H301">
        <v>32341.29</v>
      </c>
      <c r="I301">
        <v>221500.87</v>
      </c>
      <c r="J301">
        <v>1.169</v>
      </c>
      <c r="K301">
        <v>89976.17</v>
      </c>
      <c r="L301">
        <v>0</v>
      </c>
      <c r="M301">
        <v>0</v>
      </c>
      <c r="N301">
        <v>2022</v>
      </c>
      <c r="O301">
        <v>3</v>
      </c>
    </row>
    <row r="302" spans="1:15" x14ac:dyDescent="0.3">
      <c r="A302">
        <v>38131</v>
      </c>
      <c r="B302">
        <v>3204807</v>
      </c>
      <c r="C302" t="s">
        <v>81</v>
      </c>
      <c r="D302">
        <v>0.23</v>
      </c>
      <c r="E302">
        <v>730563.11</v>
      </c>
      <c r="F302">
        <v>83236.570000000007</v>
      </c>
      <c r="G302">
        <v>813799.68</v>
      </c>
      <c r="H302">
        <v>9126.99</v>
      </c>
      <c r="I302">
        <v>84512.45</v>
      </c>
      <c r="J302">
        <v>0.436</v>
      </c>
      <c r="K302">
        <v>25392.05</v>
      </c>
      <c r="L302">
        <v>0</v>
      </c>
      <c r="M302">
        <v>0</v>
      </c>
      <c r="N302">
        <v>2022</v>
      </c>
      <c r="O302">
        <v>3</v>
      </c>
    </row>
    <row r="303" spans="1:15" x14ac:dyDescent="0.3">
      <c r="A303">
        <v>38132</v>
      </c>
      <c r="B303">
        <v>3204906</v>
      </c>
      <c r="C303" t="s">
        <v>82</v>
      </c>
      <c r="D303">
        <v>1.8839999999999999</v>
      </c>
      <c r="E303">
        <v>5984264.8200000003</v>
      </c>
      <c r="F303">
        <v>681816.06</v>
      </c>
      <c r="G303">
        <v>6666080.8799999999</v>
      </c>
      <c r="H303">
        <v>74761.960000000006</v>
      </c>
      <c r="I303">
        <v>779840.97</v>
      </c>
      <c r="J303">
        <v>3.024</v>
      </c>
      <c r="K303">
        <v>207994.01</v>
      </c>
      <c r="L303">
        <v>0</v>
      </c>
      <c r="M303">
        <v>0</v>
      </c>
      <c r="N303">
        <v>2022</v>
      </c>
      <c r="O303">
        <v>3</v>
      </c>
    </row>
    <row r="304" spans="1:15" x14ac:dyDescent="0.3">
      <c r="A304">
        <v>38133</v>
      </c>
      <c r="B304">
        <v>3204955</v>
      </c>
      <c r="C304" t="s">
        <v>83</v>
      </c>
      <c r="D304">
        <v>0.32600000000000001</v>
      </c>
      <c r="E304">
        <v>1035493.81</v>
      </c>
      <c r="F304">
        <v>117978.79</v>
      </c>
      <c r="G304">
        <v>1153472.6000000001</v>
      </c>
      <c r="H304">
        <v>12936.52</v>
      </c>
      <c r="I304">
        <v>81503.600000000006</v>
      </c>
      <c r="J304">
        <v>0.46100000000000002</v>
      </c>
      <c r="K304">
        <v>35990.47</v>
      </c>
      <c r="L304">
        <v>0</v>
      </c>
      <c r="M304">
        <v>0</v>
      </c>
      <c r="N304">
        <v>2022</v>
      </c>
      <c r="O304">
        <v>3</v>
      </c>
    </row>
    <row r="305" spans="1:15" x14ac:dyDescent="0.3">
      <c r="A305">
        <v>38134</v>
      </c>
      <c r="B305">
        <v>3205002</v>
      </c>
      <c r="C305" t="s">
        <v>84</v>
      </c>
      <c r="D305">
        <v>14.176</v>
      </c>
      <c r="E305">
        <v>45028098.829999998</v>
      </c>
      <c r="F305">
        <v>5130267.8099999996</v>
      </c>
      <c r="G305">
        <v>50158366.640000001</v>
      </c>
      <c r="H305">
        <v>562540.1</v>
      </c>
      <c r="I305">
        <v>3773869.28</v>
      </c>
      <c r="J305">
        <v>8.4320000000000004</v>
      </c>
      <c r="K305">
        <v>1565033.43</v>
      </c>
      <c r="L305">
        <v>0</v>
      </c>
      <c r="M305">
        <v>0</v>
      </c>
      <c r="N305">
        <v>2022</v>
      </c>
      <c r="O305">
        <v>3</v>
      </c>
    </row>
    <row r="306" spans="1:15" x14ac:dyDescent="0.3">
      <c r="A306">
        <v>38135</v>
      </c>
      <c r="B306">
        <v>3205010</v>
      </c>
      <c r="C306" t="s">
        <v>85</v>
      </c>
      <c r="D306">
        <v>0.72199999999999998</v>
      </c>
      <c r="E306">
        <v>2293332.91</v>
      </c>
      <c r="F306">
        <v>261290.44</v>
      </c>
      <c r="G306">
        <v>2554623.35</v>
      </c>
      <c r="H306">
        <v>28650.81</v>
      </c>
      <c r="I306">
        <v>105295</v>
      </c>
      <c r="J306">
        <v>0.997</v>
      </c>
      <c r="K306">
        <v>79708.95</v>
      </c>
      <c r="L306">
        <v>0</v>
      </c>
      <c r="M306">
        <v>0</v>
      </c>
      <c r="N306">
        <v>2022</v>
      </c>
      <c r="O306">
        <v>3</v>
      </c>
    </row>
    <row r="307" spans="1:15" x14ac:dyDescent="0.3">
      <c r="A307">
        <v>38136</v>
      </c>
      <c r="B307">
        <v>3205036</v>
      </c>
      <c r="C307" t="s">
        <v>86</v>
      </c>
      <c r="D307">
        <v>0.498</v>
      </c>
      <c r="E307">
        <v>1581827.95</v>
      </c>
      <c r="F307">
        <v>180225.28</v>
      </c>
      <c r="G307">
        <v>1762053.23</v>
      </c>
      <c r="H307">
        <v>19761.919999999998</v>
      </c>
      <c r="I307">
        <v>178709.04</v>
      </c>
      <c r="J307">
        <v>0.72699999999999998</v>
      </c>
      <c r="K307">
        <v>54979.3</v>
      </c>
      <c r="L307">
        <v>0</v>
      </c>
      <c r="M307">
        <v>0</v>
      </c>
      <c r="N307">
        <v>2022</v>
      </c>
      <c r="O307">
        <v>3</v>
      </c>
    </row>
    <row r="308" spans="1:15" x14ac:dyDescent="0.3">
      <c r="A308">
        <v>38137</v>
      </c>
      <c r="B308">
        <v>3205069</v>
      </c>
      <c r="C308" t="s">
        <v>87</v>
      </c>
      <c r="D308">
        <v>0.75800000000000001</v>
      </c>
      <c r="E308">
        <v>2407681.91</v>
      </c>
      <c r="F308">
        <v>274318.77</v>
      </c>
      <c r="G308">
        <v>2682000.6800000002</v>
      </c>
      <c r="H308">
        <v>30079.39</v>
      </c>
      <c r="I308">
        <v>376239.86</v>
      </c>
      <c r="J308">
        <v>0.85799999999999998</v>
      </c>
      <c r="K308">
        <v>83683.37</v>
      </c>
      <c r="L308">
        <v>0</v>
      </c>
      <c r="M308">
        <v>0</v>
      </c>
      <c r="N308">
        <v>2022</v>
      </c>
      <c r="O308">
        <v>3</v>
      </c>
    </row>
    <row r="309" spans="1:15" x14ac:dyDescent="0.3">
      <c r="A309">
        <v>38138</v>
      </c>
      <c r="B309">
        <v>2112803</v>
      </c>
      <c r="C309" t="s">
        <v>88</v>
      </c>
      <c r="D309">
        <v>2.9929999999999999</v>
      </c>
      <c r="E309">
        <v>9506849.5899999999</v>
      </c>
      <c r="F309">
        <v>1083161.1000000001</v>
      </c>
      <c r="G309">
        <v>10590010.689999999</v>
      </c>
      <c r="H309">
        <v>118769.93</v>
      </c>
      <c r="I309">
        <v>852748.97</v>
      </c>
      <c r="J309">
        <v>1.984</v>
      </c>
      <c r="K309">
        <v>330427.84000000003</v>
      </c>
      <c r="L309">
        <v>0</v>
      </c>
      <c r="M309">
        <v>0</v>
      </c>
      <c r="N309">
        <v>2022</v>
      </c>
      <c r="O309">
        <v>3</v>
      </c>
    </row>
    <row r="310" spans="1:15" x14ac:dyDescent="0.3">
      <c r="A310">
        <v>38139</v>
      </c>
      <c r="B310">
        <v>3205150</v>
      </c>
      <c r="C310" t="s">
        <v>89</v>
      </c>
      <c r="D310">
        <v>0.32800000000000001</v>
      </c>
      <c r="E310">
        <v>1041846.53</v>
      </c>
      <c r="F310">
        <v>118702.59</v>
      </c>
      <c r="G310">
        <v>1160549.1200000001</v>
      </c>
      <c r="H310">
        <v>13015.88</v>
      </c>
      <c r="I310">
        <v>48820.14</v>
      </c>
      <c r="J310">
        <v>0.34399999999999997</v>
      </c>
      <c r="K310">
        <v>36211.269999999997</v>
      </c>
      <c r="L310">
        <v>0</v>
      </c>
      <c r="M310">
        <v>0</v>
      </c>
      <c r="N310">
        <v>2022</v>
      </c>
      <c r="O310">
        <v>3</v>
      </c>
    </row>
    <row r="311" spans="1:15" x14ac:dyDescent="0.3">
      <c r="A311">
        <v>38140</v>
      </c>
      <c r="B311">
        <v>3205176</v>
      </c>
      <c r="C311" t="s">
        <v>90</v>
      </c>
      <c r="D311">
        <v>0.623</v>
      </c>
      <c r="E311">
        <v>1978873.12</v>
      </c>
      <c r="F311">
        <v>225462.53</v>
      </c>
      <c r="G311">
        <v>2204335.65</v>
      </c>
      <c r="H311">
        <v>24722.240000000002</v>
      </c>
      <c r="I311">
        <v>146661.26999999999</v>
      </c>
      <c r="J311">
        <v>0.55600000000000005</v>
      </c>
      <c r="K311">
        <v>68779.33</v>
      </c>
      <c r="L311">
        <v>0</v>
      </c>
      <c r="M311">
        <v>0</v>
      </c>
      <c r="N311">
        <v>2022</v>
      </c>
      <c r="O311">
        <v>3</v>
      </c>
    </row>
    <row r="312" spans="1:15" x14ac:dyDescent="0.3">
      <c r="A312">
        <v>38141</v>
      </c>
      <c r="B312">
        <v>3205200</v>
      </c>
      <c r="C312" t="s">
        <v>91</v>
      </c>
      <c r="D312">
        <v>5.3819999999999997</v>
      </c>
      <c r="E312">
        <v>17095176.91</v>
      </c>
      <c r="F312">
        <v>1947735.7</v>
      </c>
      <c r="G312">
        <v>19042912.609999999</v>
      </c>
      <c r="H312">
        <v>213571.59</v>
      </c>
      <c r="I312">
        <v>4376957.6500000004</v>
      </c>
      <c r="J312">
        <v>8.09</v>
      </c>
      <c r="K312">
        <v>594173.94999999995</v>
      </c>
      <c r="L312">
        <v>0</v>
      </c>
      <c r="M312">
        <v>0</v>
      </c>
      <c r="N312">
        <v>2022</v>
      </c>
      <c r="O312">
        <v>3</v>
      </c>
    </row>
    <row r="313" spans="1:15" x14ac:dyDescent="0.3">
      <c r="A313">
        <v>38142</v>
      </c>
      <c r="B313">
        <v>3205309</v>
      </c>
      <c r="C313" t="s">
        <v>92</v>
      </c>
      <c r="D313">
        <v>14.535</v>
      </c>
      <c r="E313">
        <v>46168412.850000001</v>
      </c>
      <c r="F313">
        <v>5260189.16</v>
      </c>
      <c r="G313">
        <v>51428602.009999998</v>
      </c>
      <c r="H313">
        <v>576786.14</v>
      </c>
      <c r="I313">
        <v>5546618.0099999998</v>
      </c>
      <c r="J313">
        <v>9.4969999999999999</v>
      </c>
      <c r="K313">
        <v>1604667.17</v>
      </c>
      <c r="L313">
        <v>0</v>
      </c>
      <c r="M313">
        <v>0</v>
      </c>
      <c r="N313">
        <v>2022</v>
      </c>
      <c r="O313">
        <v>3</v>
      </c>
    </row>
    <row r="314" spans="1:15" x14ac:dyDescent="0.3">
      <c r="A314">
        <v>38143</v>
      </c>
      <c r="B314">
        <v>3200102</v>
      </c>
      <c r="C314" t="s">
        <v>15</v>
      </c>
      <c r="D314">
        <v>0.8</v>
      </c>
      <c r="E314">
        <v>2714974.68</v>
      </c>
      <c r="F314">
        <v>213156.41</v>
      </c>
      <c r="G314">
        <v>2928131.09</v>
      </c>
      <c r="H314">
        <v>31319.08</v>
      </c>
      <c r="I314">
        <v>696876.87</v>
      </c>
      <c r="J314">
        <v>0.98499999999999999</v>
      </c>
      <c r="K314">
        <v>72283.62</v>
      </c>
      <c r="L314">
        <v>13047.02</v>
      </c>
      <c r="M314">
        <v>0</v>
      </c>
      <c r="N314">
        <v>2022</v>
      </c>
      <c r="O314">
        <v>4</v>
      </c>
    </row>
    <row r="315" spans="1:15" x14ac:dyDescent="0.3">
      <c r="A315">
        <v>38144</v>
      </c>
      <c r="B315">
        <v>3200169</v>
      </c>
      <c r="C315" t="s">
        <v>16</v>
      </c>
      <c r="D315">
        <v>0.30099999999999999</v>
      </c>
      <c r="E315">
        <v>1021509.21</v>
      </c>
      <c r="F315">
        <v>80200.09</v>
      </c>
      <c r="G315">
        <v>1101709.3</v>
      </c>
      <c r="H315">
        <v>11783.8</v>
      </c>
      <c r="I315">
        <v>179852.73</v>
      </c>
      <c r="J315">
        <v>0.439</v>
      </c>
      <c r="K315">
        <v>27196.71</v>
      </c>
      <c r="L315">
        <v>5820.44</v>
      </c>
      <c r="M315">
        <v>0</v>
      </c>
      <c r="N315">
        <v>2022</v>
      </c>
      <c r="O315">
        <v>4</v>
      </c>
    </row>
    <row r="316" spans="1:15" x14ac:dyDescent="0.3">
      <c r="A316">
        <v>38145</v>
      </c>
      <c r="B316">
        <v>3200136</v>
      </c>
      <c r="C316" t="s">
        <v>17</v>
      </c>
      <c r="D316">
        <v>0.41599999999999998</v>
      </c>
      <c r="E316">
        <v>1411786.85</v>
      </c>
      <c r="F316">
        <v>110841.31</v>
      </c>
      <c r="G316">
        <v>1522628.16</v>
      </c>
      <c r="H316">
        <v>16285.92</v>
      </c>
      <c r="I316">
        <v>237481.28</v>
      </c>
      <c r="J316">
        <v>0.34799999999999998</v>
      </c>
      <c r="K316">
        <v>37587.480000000003</v>
      </c>
      <c r="L316">
        <v>4610.3599999999997</v>
      </c>
      <c r="M316">
        <v>0</v>
      </c>
      <c r="N316">
        <v>2022</v>
      </c>
      <c r="O316">
        <v>4</v>
      </c>
    </row>
    <row r="317" spans="1:15" x14ac:dyDescent="0.3">
      <c r="A317">
        <v>38146</v>
      </c>
      <c r="B317">
        <v>3200201</v>
      </c>
      <c r="C317" t="s">
        <v>18</v>
      </c>
      <c r="D317">
        <v>0.51</v>
      </c>
      <c r="E317">
        <v>1730796.35</v>
      </c>
      <c r="F317">
        <v>135887.22</v>
      </c>
      <c r="G317">
        <v>1866683.57</v>
      </c>
      <c r="H317">
        <v>19965.91</v>
      </c>
      <c r="I317">
        <v>728950.99</v>
      </c>
      <c r="J317">
        <v>0.98</v>
      </c>
      <c r="K317">
        <v>46080.81</v>
      </c>
      <c r="L317">
        <v>12973.36</v>
      </c>
      <c r="M317">
        <v>0</v>
      </c>
      <c r="N317">
        <v>2022</v>
      </c>
      <c r="O317">
        <v>4</v>
      </c>
    </row>
    <row r="318" spans="1:15" x14ac:dyDescent="0.3">
      <c r="A318">
        <v>38147</v>
      </c>
      <c r="B318">
        <v>3200300</v>
      </c>
      <c r="C318" t="s">
        <v>19</v>
      </c>
      <c r="D318">
        <v>0.49</v>
      </c>
      <c r="E318">
        <v>1662921.99</v>
      </c>
      <c r="F318">
        <v>130558.3</v>
      </c>
      <c r="G318">
        <v>1793480.29</v>
      </c>
      <c r="H318">
        <v>19182.939999999999</v>
      </c>
      <c r="I318">
        <v>648505.11</v>
      </c>
      <c r="J318">
        <v>0.56399999999999995</v>
      </c>
      <c r="K318">
        <v>44273.72</v>
      </c>
      <c r="L318">
        <v>7463.93</v>
      </c>
      <c r="M318">
        <v>0</v>
      </c>
      <c r="N318">
        <v>2022</v>
      </c>
      <c r="O318">
        <v>4</v>
      </c>
    </row>
    <row r="319" spans="1:15" x14ac:dyDescent="0.3">
      <c r="A319">
        <v>38148</v>
      </c>
      <c r="B319">
        <v>3200359</v>
      </c>
      <c r="C319" t="s">
        <v>20</v>
      </c>
      <c r="D319">
        <v>0.23100000000000001</v>
      </c>
      <c r="E319">
        <v>783948.96</v>
      </c>
      <c r="F319">
        <v>61548.9</v>
      </c>
      <c r="G319">
        <v>845497.86</v>
      </c>
      <c r="H319">
        <v>9043.3799999999992</v>
      </c>
      <c r="I319">
        <v>102694.87</v>
      </c>
      <c r="J319">
        <v>0.32700000000000001</v>
      </c>
      <c r="K319">
        <v>20871.89</v>
      </c>
      <c r="L319">
        <v>4334.75</v>
      </c>
      <c r="M319">
        <v>0</v>
      </c>
      <c r="N319">
        <v>2022</v>
      </c>
      <c r="O319">
        <v>4</v>
      </c>
    </row>
    <row r="320" spans="1:15" x14ac:dyDescent="0.3">
      <c r="A320">
        <v>38149</v>
      </c>
      <c r="B320">
        <v>3200409</v>
      </c>
      <c r="C320" t="s">
        <v>21</v>
      </c>
      <c r="D320">
        <v>1.766</v>
      </c>
      <c r="E320">
        <v>5993306.5999999996</v>
      </c>
      <c r="F320">
        <v>470542.73</v>
      </c>
      <c r="G320">
        <v>6463849.3300000001</v>
      </c>
      <c r="H320">
        <v>69136.87</v>
      </c>
      <c r="I320">
        <v>804974.92</v>
      </c>
      <c r="J320">
        <v>0.90800000000000003</v>
      </c>
      <c r="K320">
        <v>159566.09</v>
      </c>
      <c r="L320">
        <v>12020.53</v>
      </c>
      <c r="M320">
        <v>0</v>
      </c>
      <c r="N320">
        <v>2022</v>
      </c>
      <c r="O320">
        <v>4</v>
      </c>
    </row>
    <row r="321" spans="1:15" x14ac:dyDescent="0.3">
      <c r="A321">
        <v>38150</v>
      </c>
      <c r="B321">
        <v>3200508</v>
      </c>
      <c r="C321" t="s">
        <v>22</v>
      </c>
      <c r="D321">
        <v>0.185</v>
      </c>
      <c r="E321">
        <v>627837.89</v>
      </c>
      <c r="F321">
        <v>49292.4</v>
      </c>
      <c r="G321">
        <v>677130.29</v>
      </c>
      <c r="H321">
        <v>7242.54</v>
      </c>
      <c r="I321">
        <v>253540.81</v>
      </c>
      <c r="J321">
        <v>0.32300000000000001</v>
      </c>
      <c r="K321">
        <v>16715.59</v>
      </c>
      <c r="L321">
        <v>4275.2700000000004</v>
      </c>
      <c r="M321">
        <v>0</v>
      </c>
      <c r="N321">
        <v>2022</v>
      </c>
      <c r="O321">
        <v>4</v>
      </c>
    </row>
    <row r="322" spans="1:15" x14ac:dyDescent="0.3">
      <c r="A322">
        <v>38151</v>
      </c>
      <c r="B322">
        <v>3200607</v>
      </c>
      <c r="C322" t="s">
        <v>23</v>
      </c>
      <c r="D322">
        <v>4.9909999999999997</v>
      </c>
      <c r="E322">
        <v>16938048.300000001</v>
      </c>
      <c r="F322">
        <v>1329829.3899999999</v>
      </c>
      <c r="G322">
        <v>18267877.690000001</v>
      </c>
      <c r="H322">
        <v>195391.91</v>
      </c>
      <c r="I322">
        <v>2651624.7999999998</v>
      </c>
      <c r="J322">
        <v>2.5089999999999999</v>
      </c>
      <c r="K322">
        <v>450959.42</v>
      </c>
      <c r="L322">
        <v>33232.75</v>
      </c>
      <c r="M322">
        <v>0</v>
      </c>
      <c r="N322">
        <v>2022</v>
      </c>
      <c r="O322">
        <v>4</v>
      </c>
    </row>
    <row r="323" spans="1:15" x14ac:dyDescent="0.3">
      <c r="A323">
        <v>38152</v>
      </c>
      <c r="B323">
        <v>3200706</v>
      </c>
      <c r="C323" t="s">
        <v>24</v>
      </c>
      <c r="D323">
        <v>0.373</v>
      </c>
      <c r="E323">
        <v>1265856.95</v>
      </c>
      <c r="F323">
        <v>99384.15</v>
      </c>
      <c r="G323">
        <v>1365241.1</v>
      </c>
      <c r="H323">
        <v>14602.52</v>
      </c>
      <c r="I323">
        <v>226694.5</v>
      </c>
      <c r="J323">
        <v>0.45700000000000002</v>
      </c>
      <c r="K323">
        <v>33702.239999999998</v>
      </c>
      <c r="L323">
        <v>6057.2</v>
      </c>
      <c r="M323">
        <v>0</v>
      </c>
      <c r="N323">
        <v>2022</v>
      </c>
      <c r="O323">
        <v>4</v>
      </c>
    </row>
    <row r="324" spans="1:15" x14ac:dyDescent="0.3">
      <c r="A324">
        <v>38153</v>
      </c>
      <c r="B324">
        <v>3200805</v>
      </c>
      <c r="C324" t="s">
        <v>25</v>
      </c>
      <c r="D324">
        <v>0.64300000000000002</v>
      </c>
      <c r="E324">
        <v>2182160.88</v>
      </c>
      <c r="F324">
        <v>171324.47</v>
      </c>
      <c r="G324">
        <v>2353485.35</v>
      </c>
      <c r="H324">
        <v>25172.71</v>
      </c>
      <c r="I324">
        <v>1119436.31</v>
      </c>
      <c r="J324">
        <v>0.996</v>
      </c>
      <c r="K324">
        <v>58097.96</v>
      </c>
      <c r="L324">
        <v>13198.04</v>
      </c>
      <c r="M324">
        <v>0</v>
      </c>
      <c r="N324">
        <v>2022</v>
      </c>
      <c r="O324">
        <v>4</v>
      </c>
    </row>
    <row r="325" spans="1:15" x14ac:dyDescent="0.3">
      <c r="A325">
        <v>38154</v>
      </c>
      <c r="B325">
        <v>3200904</v>
      </c>
      <c r="C325" t="s">
        <v>26</v>
      </c>
      <c r="D325">
        <v>1.036</v>
      </c>
      <c r="E325">
        <v>3515892.22</v>
      </c>
      <c r="F325">
        <v>276037.51</v>
      </c>
      <c r="G325">
        <v>3791929.73</v>
      </c>
      <c r="H325">
        <v>40558.21</v>
      </c>
      <c r="I325">
        <v>1272771.67</v>
      </c>
      <c r="J325">
        <v>1.321</v>
      </c>
      <c r="K325">
        <v>93607.29</v>
      </c>
      <c r="L325">
        <v>17500.47</v>
      </c>
      <c r="M325">
        <v>0</v>
      </c>
      <c r="N325">
        <v>2022</v>
      </c>
      <c r="O325">
        <v>4</v>
      </c>
    </row>
    <row r="326" spans="1:15" x14ac:dyDescent="0.3">
      <c r="A326">
        <v>38155</v>
      </c>
      <c r="B326">
        <v>3107109</v>
      </c>
      <c r="C326" t="s">
        <v>27</v>
      </c>
      <c r="D326">
        <v>0.39900000000000002</v>
      </c>
      <c r="E326">
        <v>1354093.62</v>
      </c>
      <c r="F326">
        <v>106311.77</v>
      </c>
      <c r="G326">
        <v>1460405.39</v>
      </c>
      <c r="H326">
        <v>15620.39</v>
      </c>
      <c r="I326">
        <v>245421.71</v>
      </c>
      <c r="J326">
        <v>0.56899999999999995</v>
      </c>
      <c r="K326">
        <v>36051.449999999997</v>
      </c>
      <c r="L326">
        <v>7540.66</v>
      </c>
      <c r="M326">
        <v>0</v>
      </c>
      <c r="N326">
        <v>2022</v>
      </c>
      <c r="O326">
        <v>4</v>
      </c>
    </row>
    <row r="327" spans="1:15" x14ac:dyDescent="0.3">
      <c r="A327">
        <v>38156</v>
      </c>
      <c r="B327">
        <v>3201100</v>
      </c>
      <c r="C327" t="s">
        <v>28</v>
      </c>
      <c r="D327">
        <v>0.17599999999999999</v>
      </c>
      <c r="E327">
        <v>597294.42000000004</v>
      </c>
      <c r="F327">
        <v>46894.400000000001</v>
      </c>
      <c r="G327">
        <v>644188.81999999995</v>
      </c>
      <c r="H327">
        <v>6890.2</v>
      </c>
      <c r="I327">
        <v>787121.52</v>
      </c>
      <c r="J327">
        <v>0.43</v>
      </c>
      <c r="K327">
        <v>15902.4</v>
      </c>
      <c r="L327">
        <v>5689.4</v>
      </c>
      <c r="M327">
        <v>0</v>
      </c>
      <c r="N327">
        <v>2022</v>
      </c>
      <c r="O327">
        <v>4</v>
      </c>
    </row>
    <row r="328" spans="1:15" x14ac:dyDescent="0.3">
      <c r="A328">
        <v>38157</v>
      </c>
      <c r="B328">
        <v>3201159</v>
      </c>
      <c r="C328" t="s">
        <v>29</v>
      </c>
      <c r="D328">
        <v>0.42099999999999999</v>
      </c>
      <c r="E328">
        <v>1428755.43</v>
      </c>
      <c r="F328">
        <v>112173.57</v>
      </c>
      <c r="G328">
        <v>1540929</v>
      </c>
      <c r="H328">
        <v>16481.669999999998</v>
      </c>
      <c r="I328">
        <v>221082.66</v>
      </c>
      <c r="J328">
        <v>0.46</v>
      </c>
      <c r="K328">
        <v>38039.25</v>
      </c>
      <c r="L328">
        <v>6086.22</v>
      </c>
      <c r="M328">
        <v>0</v>
      </c>
      <c r="N328">
        <v>2022</v>
      </c>
      <c r="O328">
        <v>4</v>
      </c>
    </row>
    <row r="329" spans="1:15" x14ac:dyDescent="0.3">
      <c r="A329">
        <v>38158</v>
      </c>
      <c r="B329">
        <v>3201209</v>
      </c>
      <c r="C329" t="s">
        <v>30</v>
      </c>
      <c r="D329">
        <v>3.234</v>
      </c>
      <c r="E329">
        <v>10975285.140000001</v>
      </c>
      <c r="F329">
        <v>861684.7</v>
      </c>
      <c r="G329">
        <v>11836969.84</v>
      </c>
      <c r="H329">
        <v>126607.38</v>
      </c>
      <c r="I329">
        <v>6690671.6900000004</v>
      </c>
      <c r="J329">
        <v>4.4820000000000002</v>
      </c>
      <c r="K329">
        <v>292206.53000000003</v>
      </c>
      <c r="L329">
        <v>59363.65</v>
      </c>
      <c r="M329">
        <v>0</v>
      </c>
      <c r="N329">
        <v>2022</v>
      </c>
      <c r="O329">
        <v>4</v>
      </c>
    </row>
    <row r="330" spans="1:15" x14ac:dyDescent="0.3">
      <c r="A330">
        <v>38159</v>
      </c>
      <c r="B330">
        <v>3201308</v>
      </c>
      <c r="C330" t="s">
        <v>31</v>
      </c>
      <c r="D330">
        <v>7.4969999999999999</v>
      </c>
      <c r="E330">
        <v>25442706.489999998</v>
      </c>
      <c r="F330">
        <v>1997541.78</v>
      </c>
      <c r="G330">
        <v>27440248.27</v>
      </c>
      <c r="H330">
        <v>293498.93</v>
      </c>
      <c r="I330">
        <v>7677183.3399999999</v>
      </c>
      <c r="J330">
        <v>6.6040000000000001</v>
      </c>
      <c r="K330">
        <v>677387.86</v>
      </c>
      <c r="L330">
        <v>87461.21</v>
      </c>
      <c r="M330">
        <v>0</v>
      </c>
      <c r="N330">
        <v>2022</v>
      </c>
      <c r="O330">
        <v>4</v>
      </c>
    </row>
    <row r="331" spans="1:15" x14ac:dyDescent="0.3">
      <c r="A331">
        <v>38160</v>
      </c>
      <c r="B331">
        <v>3201407</v>
      </c>
      <c r="C331" t="s">
        <v>32</v>
      </c>
      <c r="D331">
        <v>0.96499999999999997</v>
      </c>
      <c r="E331">
        <v>3274938.23</v>
      </c>
      <c r="F331">
        <v>257119.89</v>
      </c>
      <c r="G331">
        <v>3532058.12</v>
      </c>
      <c r="H331">
        <v>37778.639999999999</v>
      </c>
      <c r="I331">
        <v>1689571.02</v>
      </c>
      <c r="J331">
        <v>1.155</v>
      </c>
      <c r="K331">
        <v>87192.11</v>
      </c>
      <c r="L331">
        <v>15296.72</v>
      </c>
      <c r="M331">
        <v>0</v>
      </c>
      <c r="N331">
        <v>2022</v>
      </c>
      <c r="O331">
        <v>4</v>
      </c>
    </row>
    <row r="332" spans="1:15" x14ac:dyDescent="0.3">
      <c r="A332">
        <v>38161</v>
      </c>
      <c r="B332">
        <v>3201506</v>
      </c>
      <c r="C332" t="s">
        <v>33</v>
      </c>
      <c r="D332">
        <v>2.1739999999999999</v>
      </c>
      <c r="E332">
        <v>7377943.6799999997</v>
      </c>
      <c r="F332">
        <v>579252.49</v>
      </c>
      <c r="G332">
        <v>7957196.1699999999</v>
      </c>
      <c r="H332">
        <v>85109.6</v>
      </c>
      <c r="I332">
        <v>4257583.03</v>
      </c>
      <c r="J332">
        <v>2.8220000000000001</v>
      </c>
      <c r="K332">
        <v>196430.73</v>
      </c>
      <c r="L332">
        <v>37370.04</v>
      </c>
      <c r="M332">
        <v>0</v>
      </c>
      <c r="N332">
        <v>2022</v>
      </c>
      <c r="O332">
        <v>4</v>
      </c>
    </row>
    <row r="333" spans="1:15" x14ac:dyDescent="0.3">
      <c r="A333">
        <v>38162</v>
      </c>
      <c r="B333">
        <v>3201605</v>
      </c>
      <c r="C333" t="s">
        <v>34</v>
      </c>
      <c r="D333">
        <v>0.65200000000000002</v>
      </c>
      <c r="E333">
        <v>2212704.37</v>
      </c>
      <c r="F333">
        <v>173722.43</v>
      </c>
      <c r="G333">
        <v>2386426.7999999998</v>
      </c>
      <c r="H333">
        <v>25525.05</v>
      </c>
      <c r="I333">
        <v>409761.67</v>
      </c>
      <c r="J333">
        <v>0.999</v>
      </c>
      <c r="K333">
        <v>58911.15</v>
      </c>
      <c r="L333">
        <v>13232.86</v>
      </c>
      <c r="M333">
        <v>0</v>
      </c>
      <c r="N333">
        <v>2022</v>
      </c>
      <c r="O333">
        <v>4</v>
      </c>
    </row>
    <row r="334" spans="1:15" x14ac:dyDescent="0.3">
      <c r="A334">
        <v>38163</v>
      </c>
      <c r="B334">
        <v>3201704</v>
      </c>
      <c r="C334" t="s">
        <v>35</v>
      </c>
      <c r="D334">
        <v>0.47499999999999998</v>
      </c>
      <c r="E334">
        <v>1612016.2</v>
      </c>
      <c r="F334">
        <v>126561.58</v>
      </c>
      <c r="G334">
        <v>1738577.78</v>
      </c>
      <c r="H334">
        <v>18595.7</v>
      </c>
      <c r="I334">
        <v>339741.45</v>
      </c>
      <c r="J334">
        <v>0.46500000000000002</v>
      </c>
      <c r="K334">
        <v>42918.400000000001</v>
      </c>
      <c r="L334">
        <v>6156.65</v>
      </c>
      <c r="M334">
        <v>0</v>
      </c>
      <c r="N334">
        <v>2022</v>
      </c>
      <c r="O334">
        <v>4</v>
      </c>
    </row>
    <row r="335" spans="1:15" x14ac:dyDescent="0.3">
      <c r="A335">
        <v>38164</v>
      </c>
      <c r="B335">
        <v>3201803</v>
      </c>
      <c r="C335" t="s">
        <v>36</v>
      </c>
      <c r="D335">
        <v>0.186</v>
      </c>
      <c r="E335">
        <v>631231.6</v>
      </c>
      <c r="F335">
        <v>49558.86</v>
      </c>
      <c r="G335">
        <v>680790.46</v>
      </c>
      <c r="H335">
        <v>7281.69</v>
      </c>
      <c r="I335">
        <v>87149</v>
      </c>
      <c r="J335">
        <v>0.28299999999999997</v>
      </c>
      <c r="K335">
        <v>16805.939999999999</v>
      </c>
      <c r="L335">
        <v>3742.4</v>
      </c>
      <c r="M335">
        <v>0</v>
      </c>
      <c r="N335">
        <v>2022</v>
      </c>
      <c r="O335">
        <v>4</v>
      </c>
    </row>
    <row r="336" spans="1:15" x14ac:dyDescent="0.3">
      <c r="A336">
        <v>38165</v>
      </c>
      <c r="B336">
        <v>3201902</v>
      </c>
      <c r="C336" t="s">
        <v>37</v>
      </c>
      <c r="D336">
        <v>1.3140000000000001</v>
      </c>
      <c r="E336">
        <v>4459345.91</v>
      </c>
      <c r="F336">
        <v>350109.37</v>
      </c>
      <c r="G336">
        <v>4809455.28</v>
      </c>
      <c r="H336">
        <v>51441.59</v>
      </c>
      <c r="I336">
        <v>1316274.54</v>
      </c>
      <c r="J336">
        <v>1.0309999999999999</v>
      </c>
      <c r="K336">
        <v>118725.84</v>
      </c>
      <c r="L336">
        <v>13658.54</v>
      </c>
      <c r="M336">
        <v>0</v>
      </c>
      <c r="N336">
        <v>2022</v>
      </c>
      <c r="O336">
        <v>4</v>
      </c>
    </row>
    <row r="337" spans="1:15" x14ac:dyDescent="0.3">
      <c r="A337">
        <v>38166</v>
      </c>
      <c r="B337">
        <v>3202009</v>
      </c>
      <c r="C337" t="s">
        <v>38</v>
      </c>
      <c r="D337">
        <v>0.26</v>
      </c>
      <c r="E337">
        <v>882366.77</v>
      </c>
      <c r="F337">
        <v>69275.839999999997</v>
      </c>
      <c r="G337">
        <v>951642.61</v>
      </c>
      <c r="H337">
        <v>10178.700000000001</v>
      </c>
      <c r="I337">
        <v>276716.78000000003</v>
      </c>
      <c r="J337">
        <v>0.314</v>
      </c>
      <c r="K337">
        <v>23492.18</v>
      </c>
      <c r="L337">
        <v>4154.54</v>
      </c>
      <c r="M337">
        <v>0</v>
      </c>
      <c r="N337">
        <v>2022</v>
      </c>
      <c r="O337">
        <v>4</v>
      </c>
    </row>
    <row r="338" spans="1:15" x14ac:dyDescent="0.3">
      <c r="A338">
        <v>38167</v>
      </c>
      <c r="B338">
        <v>3202108</v>
      </c>
      <c r="C338" t="s">
        <v>39</v>
      </c>
      <c r="D338">
        <v>0.69899999999999995</v>
      </c>
      <c r="E338">
        <v>2372209.12</v>
      </c>
      <c r="F338">
        <v>186245.4</v>
      </c>
      <c r="G338">
        <v>2558454.52</v>
      </c>
      <c r="H338">
        <v>27365.05</v>
      </c>
      <c r="I338">
        <v>339242.02</v>
      </c>
      <c r="J338">
        <v>0.81599999999999995</v>
      </c>
      <c r="K338">
        <v>63157.81</v>
      </c>
      <c r="L338">
        <v>10805.71</v>
      </c>
      <c r="M338">
        <v>0</v>
      </c>
      <c r="N338">
        <v>2022</v>
      </c>
      <c r="O338">
        <v>4</v>
      </c>
    </row>
    <row r="339" spans="1:15" x14ac:dyDescent="0.3">
      <c r="A339">
        <v>38168</v>
      </c>
      <c r="B339">
        <v>3202207</v>
      </c>
      <c r="C339" t="s">
        <v>40</v>
      </c>
      <c r="D339">
        <v>0.313</v>
      </c>
      <c r="E339">
        <v>1062233.8600000001</v>
      </c>
      <c r="F339">
        <v>83397.440000000002</v>
      </c>
      <c r="G339">
        <v>1145631.3</v>
      </c>
      <c r="H339">
        <v>12253.59</v>
      </c>
      <c r="I339">
        <v>433316.89</v>
      </c>
      <c r="J339">
        <v>0.73399999999999999</v>
      </c>
      <c r="K339">
        <v>28280.97</v>
      </c>
      <c r="L339">
        <v>9726.36</v>
      </c>
      <c r="M339">
        <v>0</v>
      </c>
      <c r="N339">
        <v>2022</v>
      </c>
      <c r="O339">
        <v>4</v>
      </c>
    </row>
    <row r="340" spans="1:15" x14ac:dyDescent="0.3">
      <c r="A340">
        <v>38169</v>
      </c>
      <c r="B340">
        <v>3202256</v>
      </c>
      <c r="C340" t="s">
        <v>41</v>
      </c>
      <c r="D340">
        <v>0.43</v>
      </c>
      <c r="E340">
        <v>1459298.89</v>
      </c>
      <c r="F340">
        <v>114571.55</v>
      </c>
      <c r="G340">
        <v>1573870.44</v>
      </c>
      <c r="H340">
        <v>16834.009999999998</v>
      </c>
      <c r="I340">
        <v>357755.93</v>
      </c>
      <c r="J340">
        <v>0.46700000000000003</v>
      </c>
      <c r="K340">
        <v>38852.44</v>
      </c>
      <c r="L340">
        <v>6182.44</v>
      </c>
      <c r="M340">
        <v>0</v>
      </c>
      <c r="N340">
        <v>2022</v>
      </c>
      <c r="O340">
        <v>4</v>
      </c>
    </row>
    <row r="341" spans="1:15" x14ac:dyDescent="0.3">
      <c r="A341">
        <v>38170</v>
      </c>
      <c r="B341">
        <v>3202306</v>
      </c>
      <c r="C341" t="s">
        <v>42</v>
      </c>
      <c r="D341">
        <v>0.378</v>
      </c>
      <c r="E341">
        <v>1282825.52</v>
      </c>
      <c r="F341">
        <v>100716.4</v>
      </c>
      <c r="G341">
        <v>1383541.92</v>
      </c>
      <c r="H341">
        <v>14798.27</v>
      </c>
      <c r="I341">
        <v>980037.96</v>
      </c>
      <c r="J341">
        <v>0.998</v>
      </c>
      <c r="K341">
        <v>34154.01</v>
      </c>
      <c r="L341">
        <v>13215.62</v>
      </c>
      <c r="M341">
        <v>0</v>
      </c>
      <c r="N341">
        <v>2022</v>
      </c>
      <c r="O341">
        <v>4</v>
      </c>
    </row>
    <row r="342" spans="1:15" x14ac:dyDescent="0.3">
      <c r="A342">
        <v>38171</v>
      </c>
      <c r="B342">
        <v>3202405</v>
      </c>
      <c r="C342" t="s">
        <v>43</v>
      </c>
      <c r="D342">
        <v>0.90900000000000003</v>
      </c>
      <c r="E342">
        <v>3084889.98</v>
      </c>
      <c r="F342">
        <v>242198.96</v>
      </c>
      <c r="G342">
        <v>3327088.94</v>
      </c>
      <c r="H342">
        <v>35586.300000000003</v>
      </c>
      <c r="I342">
        <v>6668691.8200000003</v>
      </c>
      <c r="J342">
        <v>2.8730000000000002</v>
      </c>
      <c r="K342">
        <v>82132.259999999995</v>
      </c>
      <c r="L342">
        <v>38050.379999999997</v>
      </c>
      <c r="M342">
        <v>0</v>
      </c>
      <c r="N342">
        <v>2022</v>
      </c>
      <c r="O342">
        <v>4</v>
      </c>
    </row>
    <row r="343" spans="1:15" x14ac:dyDescent="0.3">
      <c r="A343">
        <v>38172</v>
      </c>
      <c r="B343">
        <v>3202454</v>
      </c>
      <c r="C343" t="s">
        <v>44</v>
      </c>
      <c r="D343">
        <v>0.35099999999999998</v>
      </c>
      <c r="E343">
        <v>1191195.1599999999</v>
      </c>
      <c r="F343">
        <v>93522.35</v>
      </c>
      <c r="G343">
        <v>1284717.51</v>
      </c>
      <c r="H343">
        <v>13741.25</v>
      </c>
      <c r="I343">
        <v>650400.29</v>
      </c>
      <c r="J343">
        <v>0.86499999999999999</v>
      </c>
      <c r="K343">
        <v>31714.44</v>
      </c>
      <c r="L343">
        <v>11452.7</v>
      </c>
      <c r="M343">
        <v>0</v>
      </c>
      <c r="N343">
        <v>2022</v>
      </c>
      <c r="O343">
        <v>4</v>
      </c>
    </row>
    <row r="344" spans="1:15" x14ac:dyDescent="0.3">
      <c r="A344">
        <v>38173</v>
      </c>
      <c r="B344">
        <v>3202504</v>
      </c>
      <c r="C344" t="s">
        <v>45</v>
      </c>
      <c r="D344">
        <v>0.26700000000000002</v>
      </c>
      <c r="E344">
        <v>906122.79</v>
      </c>
      <c r="F344">
        <v>71140.929999999993</v>
      </c>
      <c r="G344">
        <v>977263.72</v>
      </c>
      <c r="H344">
        <v>10452.74</v>
      </c>
      <c r="I344">
        <v>381903.24</v>
      </c>
      <c r="J344">
        <v>0.46300000000000002</v>
      </c>
      <c r="K344">
        <v>24124.66</v>
      </c>
      <c r="L344">
        <v>6126.68</v>
      </c>
      <c r="M344">
        <v>0</v>
      </c>
      <c r="N344">
        <v>2022</v>
      </c>
      <c r="O344">
        <v>4</v>
      </c>
    </row>
    <row r="345" spans="1:15" x14ac:dyDescent="0.3">
      <c r="A345">
        <v>38174</v>
      </c>
      <c r="B345">
        <v>3202553</v>
      </c>
      <c r="C345" t="s">
        <v>46</v>
      </c>
      <c r="D345">
        <v>0.248</v>
      </c>
      <c r="E345">
        <v>841642.18</v>
      </c>
      <c r="F345">
        <v>66078.5</v>
      </c>
      <c r="G345">
        <v>907720.68</v>
      </c>
      <c r="H345">
        <v>9708.91</v>
      </c>
      <c r="I345">
        <v>149036.79</v>
      </c>
      <c r="J345">
        <v>0.33800000000000002</v>
      </c>
      <c r="K345">
        <v>22407.919999999998</v>
      </c>
      <c r="L345">
        <v>4482.87</v>
      </c>
      <c r="M345">
        <v>0</v>
      </c>
      <c r="N345">
        <v>2022</v>
      </c>
      <c r="O345">
        <v>4</v>
      </c>
    </row>
    <row r="346" spans="1:15" x14ac:dyDescent="0.3">
      <c r="A346">
        <v>38175</v>
      </c>
      <c r="B346">
        <v>3202603</v>
      </c>
      <c r="C346" t="s">
        <v>47</v>
      </c>
      <c r="D346">
        <v>0.34399999999999997</v>
      </c>
      <c r="E346">
        <v>1167439.1100000001</v>
      </c>
      <c r="F346">
        <v>91657.24</v>
      </c>
      <c r="G346">
        <v>1259096.3500000001</v>
      </c>
      <c r="H346">
        <v>13467.2</v>
      </c>
      <c r="I346">
        <v>737025.45</v>
      </c>
      <c r="J346">
        <v>0.55600000000000005</v>
      </c>
      <c r="K346">
        <v>31081.96</v>
      </c>
      <c r="L346">
        <v>7369.31</v>
      </c>
      <c r="M346">
        <v>0</v>
      </c>
      <c r="N346">
        <v>2022</v>
      </c>
      <c r="O346">
        <v>4</v>
      </c>
    </row>
    <row r="347" spans="1:15" x14ac:dyDescent="0.3">
      <c r="A347">
        <v>38176</v>
      </c>
      <c r="B347">
        <v>3202652</v>
      </c>
      <c r="C347" t="s">
        <v>48</v>
      </c>
      <c r="D347">
        <v>0.308</v>
      </c>
      <c r="E347">
        <v>1045265.25</v>
      </c>
      <c r="F347">
        <v>82065.210000000006</v>
      </c>
      <c r="G347">
        <v>1127330.46</v>
      </c>
      <c r="H347">
        <v>12057.85</v>
      </c>
      <c r="I347">
        <v>279624.38</v>
      </c>
      <c r="J347">
        <v>0.55100000000000005</v>
      </c>
      <c r="K347">
        <v>27829.19</v>
      </c>
      <c r="L347">
        <v>7303.07</v>
      </c>
      <c r="M347">
        <v>0</v>
      </c>
      <c r="N347">
        <v>2022</v>
      </c>
      <c r="O347">
        <v>4</v>
      </c>
    </row>
    <row r="348" spans="1:15" x14ac:dyDescent="0.3">
      <c r="A348">
        <v>38177</v>
      </c>
      <c r="B348">
        <v>3202702</v>
      </c>
      <c r="C348" t="s">
        <v>49</v>
      </c>
      <c r="D348">
        <v>0.35499999999999998</v>
      </c>
      <c r="E348">
        <v>1204770.02</v>
      </c>
      <c r="F348">
        <v>94588.17</v>
      </c>
      <c r="G348">
        <v>1299358.19</v>
      </c>
      <c r="H348">
        <v>13897.84</v>
      </c>
      <c r="I348">
        <v>281066.38</v>
      </c>
      <c r="J348">
        <v>0.55500000000000005</v>
      </c>
      <c r="K348">
        <v>32075.86</v>
      </c>
      <c r="L348">
        <v>7353.04</v>
      </c>
      <c r="M348">
        <v>0</v>
      </c>
      <c r="N348">
        <v>2022</v>
      </c>
      <c r="O348">
        <v>4</v>
      </c>
    </row>
    <row r="349" spans="1:15" x14ac:dyDescent="0.3">
      <c r="A349">
        <v>38178</v>
      </c>
      <c r="B349">
        <v>3202801</v>
      </c>
      <c r="C349" t="s">
        <v>50</v>
      </c>
      <c r="D349">
        <v>2.262</v>
      </c>
      <c r="E349">
        <v>7676590.9199999999</v>
      </c>
      <c r="F349">
        <v>602699.68000000005</v>
      </c>
      <c r="G349">
        <v>8279290.5999999996</v>
      </c>
      <c r="H349">
        <v>88554.7</v>
      </c>
      <c r="I349">
        <v>663338.32999999996</v>
      </c>
      <c r="J349">
        <v>1.042</v>
      </c>
      <c r="K349">
        <v>204381.93</v>
      </c>
      <c r="L349">
        <v>13793.45</v>
      </c>
      <c r="M349">
        <v>0</v>
      </c>
      <c r="N349">
        <v>2022</v>
      </c>
      <c r="O349">
        <v>4</v>
      </c>
    </row>
    <row r="350" spans="1:15" x14ac:dyDescent="0.3">
      <c r="A350">
        <v>38179</v>
      </c>
      <c r="B350">
        <v>3202900</v>
      </c>
      <c r="C350" t="s">
        <v>51</v>
      </c>
      <c r="D350">
        <v>0.34599999999999997</v>
      </c>
      <c r="E350">
        <v>1174226.52</v>
      </c>
      <c r="F350">
        <v>92190.14</v>
      </c>
      <c r="G350">
        <v>1266416.6599999999</v>
      </c>
      <c r="H350">
        <v>13545.5</v>
      </c>
      <c r="I350">
        <v>346119.54</v>
      </c>
      <c r="J350">
        <v>0.435</v>
      </c>
      <c r="K350">
        <v>31262.66</v>
      </c>
      <c r="L350">
        <v>5761.11</v>
      </c>
      <c r="M350">
        <v>0</v>
      </c>
      <c r="N350">
        <v>2022</v>
      </c>
      <c r="O350">
        <v>4</v>
      </c>
    </row>
    <row r="351" spans="1:15" x14ac:dyDescent="0.3">
      <c r="A351">
        <v>38180</v>
      </c>
      <c r="B351">
        <v>3203007</v>
      </c>
      <c r="C351" t="s">
        <v>52</v>
      </c>
      <c r="D351">
        <v>0.438</v>
      </c>
      <c r="E351">
        <v>1486448.6399999999</v>
      </c>
      <c r="F351">
        <v>116703.11</v>
      </c>
      <c r="G351">
        <v>1603151.75</v>
      </c>
      <c r="H351">
        <v>17147.2</v>
      </c>
      <c r="I351">
        <v>538645.42000000004</v>
      </c>
      <c r="J351">
        <v>0.89700000000000002</v>
      </c>
      <c r="K351">
        <v>39575.279999999999</v>
      </c>
      <c r="L351">
        <v>11880.63</v>
      </c>
      <c r="M351">
        <v>0</v>
      </c>
      <c r="N351">
        <v>2022</v>
      </c>
      <c r="O351">
        <v>4</v>
      </c>
    </row>
    <row r="352" spans="1:15" x14ac:dyDescent="0.3">
      <c r="A352">
        <v>38181</v>
      </c>
      <c r="B352">
        <v>3203056</v>
      </c>
      <c r="C352" t="s">
        <v>53</v>
      </c>
      <c r="D352">
        <v>0.8</v>
      </c>
      <c r="E352">
        <v>2714974.68</v>
      </c>
      <c r="F352">
        <v>213156.41</v>
      </c>
      <c r="G352">
        <v>2928131.09</v>
      </c>
      <c r="H352">
        <v>31319.08</v>
      </c>
      <c r="I352">
        <v>831658.79</v>
      </c>
      <c r="J352">
        <v>1</v>
      </c>
      <c r="K352">
        <v>72283.62</v>
      </c>
      <c r="L352">
        <v>13250.59</v>
      </c>
      <c r="M352">
        <v>0</v>
      </c>
      <c r="N352">
        <v>2022</v>
      </c>
      <c r="O352">
        <v>4</v>
      </c>
    </row>
    <row r="353" spans="1:15" x14ac:dyDescent="0.3">
      <c r="A353">
        <v>38182</v>
      </c>
      <c r="B353">
        <v>3203106</v>
      </c>
      <c r="C353" t="s">
        <v>54</v>
      </c>
      <c r="D353">
        <v>0.21199999999999999</v>
      </c>
      <c r="E353">
        <v>719468.29</v>
      </c>
      <c r="F353">
        <v>56486.44</v>
      </c>
      <c r="G353">
        <v>775954.73</v>
      </c>
      <c r="H353">
        <v>8299.56</v>
      </c>
      <c r="I353">
        <v>202729.91</v>
      </c>
      <c r="J353">
        <v>0.45800000000000002</v>
      </c>
      <c r="K353">
        <v>19155.16</v>
      </c>
      <c r="L353">
        <v>6067.85</v>
      </c>
      <c r="M353">
        <v>0</v>
      </c>
      <c r="N353">
        <v>2022</v>
      </c>
      <c r="O353">
        <v>4</v>
      </c>
    </row>
    <row r="354" spans="1:15" x14ac:dyDescent="0.3">
      <c r="A354">
        <v>38183</v>
      </c>
      <c r="B354">
        <v>3203130</v>
      </c>
      <c r="C354" t="s">
        <v>55</v>
      </c>
      <c r="D354">
        <v>0.38600000000000001</v>
      </c>
      <c r="E354">
        <v>1309975.28</v>
      </c>
      <c r="F354">
        <v>102847.99</v>
      </c>
      <c r="G354">
        <v>1412823.27</v>
      </c>
      <c r="H354">
        <v>15111.46</v>
      </c>
      <c r="I354">
        <v>586673.37</v>
      </c>
      <c r="J354">
        <v>0.66600000000000004</v>
      </c>
      <c r="K354">
        <v>34876.85</v>
      </c>
      <c r="L354">
        <v>8822.94</v>
      </c>
      <c r="M354">
        <v>0</v>
      </c>
      <c r="N354">
        <v>2022</v>
      </c>
      <c r="O354">
        <v>4</v>
      </c>
    </row>
    <row r="355" spans="1:15" x14ac:dyDescent="0.3">
      <c r="A355">
        <v>38184</v>
      </c>
      <c r="B355">
        <v>3203163</v>
      </c>
      <c r="C355" t="s">
        <v>56</v>
      </c>
      <c r="D355">
        <v>0.372</v>
      </c>
      <c r="E355">
        <v>1262463.22</v>
      </c>
      <c r="F355">
        <v>99117.72</v>
      </c>
      <c r="G355">
        <v>1361580.94</v>
      </c>
      <c r="H355">
        <v>14563.37</v>
      </c>
      <c r="I355">
        <v>273728.42</v>
      </c>
      <c r="J355">
        <v>0.441</v>
      </c>
      <c r="K355">
        <v>33611.879999999997</v>
      </c>
      <c r="L355">
        <v>5839.45</v>
      </c>
      <c r="M355">
        <v>0</v>
      </c>
      <c r="N355">
        <v>2022</v>
      </c>
      <c r="O355">
        <v>4</v>
      </c>
    </row>
    <row r="356" spans="1:15" x14ac:dyDescent="0.3">
      <c r="A356">
        <v>38185</v>
      </c>
      <c r="B356">
        <v>3203205</v>
      </c>
      <c r="C356" t="s">
        <v>57</v>
      </c>
      <c r="D356">
        <v>5.4</v>
      </c>
      <c r="E356">
        <v>18326079.100000001</v>
      </c>
      <c r="F356">
        <v>1438805.62</v>
      </c>
      <c r="G356">
        <v>19764884.719999999</v>
      </c>
      <c r="H356">
        <v>211403.79</v>
      </c>
      <c r="I356">
        <v>5173800.34</v>
      </c>
      <c r="J356">
        <v>4.0880000000000001</v>
      </c>
      <c r="K356">
        <v>487914.42</v>
      </c>
      <c r="L356">
        <v>54138.64</v>
      </c>
      <c r="M356">
        <v>0</v>
      </c>
      <c r="N356">
        <v>2022</v>
      </c>
      <c r="O356">
        <v>4</v>
      </c>
    </row>
    <row r="357" spans="1:15" x14ac:dyDescent="0.3">
      <c r="A357">
        <v>38186</v>
      </c>
      <c r="B357">
        <v>3203304</v>
      </c>
      <c r="C357" t="s">
        <v>58</v>
      </c>
      <c r="D357">
        <v>0.216</v>
      </c>
      <c r="E357">
        <v>733043.16</v>
      </c>
      <c r="F357">
        <v>57552.22</v>
      </c>
      <c r="G357">
        <v>790595.38</v>
      </c>
      <c r="H357">
        <v>8456.15</v>
      </c>
      <c r="I357">
        <v>306622.71000000002</v>
      </c>
      <c r="J357">
        <v>0.57599999999999996</v>
      </c>
      <c r="K357">
        <v>19516.580000000002</v>
      </c>
      <c r="L357">
        <v>7622.37</v>
      </c>
      <c r="M357">
        <v>0</v>
      </c>
      <c r="N357">
        <v>2022</v>
      </c>
      <c r="O357">
        <v>4</v>
      </c>
    </row>
    <row r="358" spans="1:15" x14ac:dyDescent="0.3">
      <c r="A358">
        <v>38187</v>
      </c>
      <c r="B358">
        <v>3203320</v>
      </c>
      <c r="C358" t="s">
        <v>59</v>
      </c>
      <c r="D358">
        <v>0.60899999999999999</v>
      </c>
      <c r="E358">
        <v>2066774.47</v>
      </c>
      <c r="F358">
        <v>162265.32</v>
      </c>
      <c r="G358">
        <v>2229039.79</v>
      </c>
      <c r="H358">
        <v>23841.65</v>
      </c>
      <c r="I358">
        <v>994111.09</v>
      </c>
      <c r="J358">
        <v>1.171</v>
      </c>
      <c r="K358">
        <v>55025.9</v>
      </c>
      <c r="L358">
        <v>15506.73</v>
      </c>
      <c r="M358">
        <v>0</v>
      </c>
      <c r="N358">
        <v>2022</v>
      </c>
      <c r="O358">
        <v>4</v>
      </c>
    </row>
    <row r="359" spans="1:15" x14ac:dyDescent="0.3">
      <c r="A359">
        <v>38188</v>
      </c>
      <c r="B359">
        <v>3203346</v>
      </c>
      <c r="C359" t="s">
        <v>60</v>
      </c>
      <c r="D359">
        <v>0.64500000000000002</v>
      </c>
      <c r="E359">
        <v>2188948.3199999998</v>
      </c>
      <c r="F359">
        <v>171857.36</v>
      </c>
      <c r="G359">
        <v>2360805.6800000002</v>
      </c>
      <c r="H359">
        <v>25251.01</v>
      </c>
      <c r="I359">
        <v>691685.38</v>
      </c>
      <c r="J359">
        <v>0.67100000000000004</v>
      </c>
      <c r="K359">
        <v>58278.67</v>
      </c>
      <c r="L359">
        <v>8882.09</v>
      </c>
      <c r="M359">
        <v>0</v>
      </c>
      <c r="N359">
        <v>2022</v>
      </c>
      <c r="O359">
        <v>4</v>
      </c>
    </row>
    <row r="360" spans="1:15" x14ac:dyDescent="0.3">
      <c r="A360">
        <v>38189</v>
      </c>
      <c r="B360">
        <v>3203353</v>
      </c>
      <c r="C360" t="s">
        <v>61</v>
      </c>
      <c r="D360">
        <v>0.45200000000000001</v>
      </c>
      <c r="E360">
        <v>1533960.68</v>
      </c>
      <c r="F360">
        <v>120433.38</v>
      </c>
      <c r="G360">
        <v>1654394.06</v>
      </c>
      <c r="H360">
        <v>17695.28</v>
      </c>
      <c r="I360">
        <v>498778.32</v>
      </c>
      <c r="J360">
        <v>0.46700000000000003</v>
      </c>
      <c r="K360">
        <v>40840.239999999998</v>
      </c>
      <c r="L360">
        <v>6189.54</v>
      </c>
      <c r="M360">
        <v>0</v>
      </c>
      <c r="N360">
        <v>2022</v>
      </c>
      <c r="O360">
        <v>4</v>
      </c>
    </row>
    <row r="361" spans="1:15" x14ac:dyDescent="0.3">
      <c r="A361">
        <v>38190</v>
      </c>
      <c r="B361">
        <v>3203403</v>
      </c>
      <c r="C361" t="s">
        <v>62</v>
      </c>
      <c r="D361">
        <v>0.51400000000000001</v>
      </c>
      <c r="E361">
        <v>1744371.25</v>
      </c>
      <c r="F361">
        <v>136952.98000000001</v>
      </c>
      <c r="G361">
        <v>1881324.23</v>
      </c>
      <c r="H361">
        <v>20122.509999999998</v>
      </c>
      <c r="I361">
        <v>627148.80000000005</v>
      </c>
      <c r="J361">
        <v>0.85599999999999998</v>
      </c>
      <c r="K361">
        <v>46442.22</v>
      </c>
      <c r="L361">
        <v>11342.6</v>
      </c>
      <c r="M361">
        <v>0</v>
      </c>
      <c r="N361">
        <v>2022</v>
      </c>
      <c r="O361">
        <v>4</v>
      </c>
    </row>
    <row r="362" spans="1:15" x14ac:dyDescent="0.3">
      <c r="A362">
        <v>38191</v>
      </c>
      <c r="B362">
        <v>3203502</v>
      </c>
      <c r="C362" t="s">
        <v>63</v>
      </c>
      <c r="D362">
        <v>0.53600000000000003</v>
      </c>
      <c r="E362">
        <v>1819033.05</v>
      </c>
      <c r="F362">
        <v>142814.78</v>
      </c>
      <c r="G362">
        <v>1961847.83</v>
      </c>
      <c r="H362">
        <v>20983.78</v>
      </c>
      <c r="I362">
        <v>396575.66</v>
      </c>
      <c r="J362">
        <v>0.69299999999999995</v>
      </c>
      <c r="K362">
        <v>48430.02</v>
      </c>
      <c r="L362">
        <v>9174.31</v>
      </c>
      <c r="M362">
        <v>0</v>
      </c>
      <c r="N362">
        <v>2022</v>
      </c>
      <c r="O362">
        <v>4</v>
      </c>
    </row>
    <row r="363" spans="1:15" x14ac:dyDescent="0.3">
      <c r="A363">
        <v>38192</v>
      </c>
      <c r="B363">
        <v>3203601</v>
      </c>
      <c r="C363" t="s">
        <v>64</v>
      </c>
      <c r="D363">
        <v>0.27800000000000002</v>
      </c>
      <c r="E363">
        <v>943453.7</v>
      </c>
      <c r="F363">
        <v>74071.820000000007</v>
      </c>
      <c r="G363">
        <v>1017525.52</v>
      </c>
      <c r="H363">
        <v>10883.38</v>
      </c>
      <c r="I363">
        <v>92557.33</v>
      </c>
      <c r="J363">
        <v>0.29799999999999999</v>
      </c>
      <c r="K363">
        <v>25118.560000000001</v>
      </c>
      <c r="L363">
        <v>3940.98</v>
      </c>
      <c r="M363">
        <v>0</v>
      </c>
      <c r="N363">
        <v>2022</v>
      </c>
      <c r="O363">
        <v>4</v>
      </c>
    </row>
    <row r="364" spans="1:15" x14ac:dyDescent="0.3">
      <c r="A364">
        <v>38193</v>
      </c>
      <c r="B364">
        <v>3203700</v>
      </c>
      <c r="C364" t="s">
        <v>65</v>
      </c>
      <c r="D364">
        <v>0.55000000000000004</v>
      </c>
      <c r="E364">
        <v>1866545.09</v>
      </c>
      <c r="F364">
        <v>146545.01</v>
      </c>
      <c r="G364">
        <v>2013090.1</v>
      </c>
      <c r="H364">
        <v>21531.87</v>
      </c>
      <c r="I364">
        <v>332127.46000000002</v>
      </c>
      <c r="J364">
        <v>0.67100000000000004</v>
      </c>
      <c r="K364">
        <v>49694.99</v>
      </c>
      <c r="L364">
        <v>8887.73</v>
      </c>
      <c r="M364">
        <v>0</v>
      </c>
      <c r="N364">
        <v>2022</v>
      </c>
      <c r="O364">
        <v>4</v>
      </c>
    </row>
    <row r="365" spans="1:15" x14ac:dyDescent="0.3">
      <c r="A365">
        <v>38194</v>
      </c>
      <c r="B365">
        <v>3203809</v>
      </c>
      <c r="C365" t="s">
        <v>66</v>
      </c>
      <c r="D365">
        <v>0.29599999999999999</v>
      </c>
      <c r="E365">
        <v>1004540.64</v>
      </c>
      <c r="F365">
        <v>78867.86</v>
      </c>
      <c r="G365">
        <v>1083408.5</v>
      </c>
      <c r="H365">
        <v>11588.06</v>
      </c>
      <c r="I365">
        <v>254812.37</v>
      </c>
      <c r="J365">
        <v>0.57499999999999996</v>
      </c>
      <c r="K365">
        <v>26744.94</v>
      </c>
      <c r="L365">
        <v>7614.15</v>
      </c>
      <c r="M365">
        <v>0</v>
      </c>
      <c r="N365">
        <v>2022</v>
      </c>
      <c r="O365">
        <v>4</v>
      </c>
    </row>
    <row r="366" spans="1:15" x14ac:dyDescent="0.3">
      <c r="A366">
        <v>38195</v>
      </c>
      <c r="B366">
        <v>3203908</v>
      </c>
      <c r="C366" t="s">
        <v>67</v>
      </c>
      <c r="D366">
        <v>1.268</v>
      </c>
      <c r="E366">
        <v>4303234.88</v>
      </c>
      <c r="F366">
        <v>337852.85</v>
      </c>
      <c r="G366">
        <v>4641087.7300000004</v>
      </c>
      <c r="H366">
        <v>49640.74</v>
      </c>
      <c r="I366">
        <v>1291480.73</v>
      </c>
      <c r="J366">
        <v>1.4650000000000001</v>
      </c>
      <c r="K366">
        <v>114569.54</v>
      </c>
      <c r="L366">
        <v>19398.79</v>
      </c>
      <c r="M366">
        <v>0</v>
      </c>
      <c r="N366">
        <v>2022</v>
      </c>
      <c r="O366">
        <v>4</v>
      </c>
    </row>
    <row r="367" spans="1:15" x14ac:dyDescent="0.3">
      <c r="A367">
        <v>38196</v>
      </c>
      <c r="B367">
        <v>3204005</v>
      </c>
      <c r="C367" t="s">
        <v>68</v>
      </c>
      <c r="D367">
        <v>0.47099999999999997</v>
      </c>
      <c r="E367">
        <v>1598441.37</v>
      </c>
      <c r="F367">
        <v>125495.83</v>
      </c>
      <c r="G367">
        <v>1723937.2</v>
      </c>
      <c r="H367">
        <v>18439.11</v>
      </c>
      <c r="I367">
        <v>327605.44</v>
      </c>
      <c r="J367">
        <v>0.747</v>
      </c>
      <c r="K367">
        <v>42556.98</v>
      </c>
      <c r="L367">
        <v>9895.1200000000008</v>
      </c>
      <c r="M367">
        <v>0</v>
      </c>
      <c r="N367">
        <v>2022</v>
      </c>
      <c r="O367">
        <v>4</v>
      </c>
    </row>
    <row r="368" spans="1:15" x14ac:dyDescent="0.3">
      <c r="A368">
        <v>38197</v>
      </c>
      <c r="B368">
        <v>3204054</v>
      </c>
      <c r="C368" t="s">
        <v>69</v>
      </c>
      <c r="D368">
        <v>0.313</v>
      </c>
      <c r="E368">
        <v>1062233.8600000001</v>
      </c>
      <c r="F368">
        <v>83397.440000000002</v>
      </c>
      <c r="G368">
        <v>1145631.3</v>
      </c>
      <c r="H368">
        <v>12253.59</v>
      </c>
      <c r="I368">
        <v>444525.66</v>
      </c>
      <c r="J368">
        <v>0.86199999999999999</v>
      </c>
      <c r="K368">
        <v>28280.97</v>
      </c>
      <c r="L368">
        <v>11422.55</v>
      </c>
      <c r="M368">
        <v>0</v>
      </c>
      <c r="N368">
        <v>2022</v>
      </c>
      <c r="O368">
        <v>4</v>
      </c>
    </row>
    <row r="369" spans="1:15" x14ac:dyDescent="0.3">
      <c r="A369">
        <v>38198</v>
      </c>
      <c r="B369">
        <v>3204104</v>
      </c>
      <c r="C369" t="s">
        <v>70</v>
      </c>
      <c r="D369">
        <v>0.72599999999999998</v>
      </c>
      <c r="E369">
        <v>2463839.52</v>
      </c>
      <c r="F369">
        <v>193439.42</v>
      </c>
      <c r="G369">
        <v>2657278.94</v>
      </c>
      <c r="H369">
        <v>28422.06</v>
      </c>
      <c r="I369">
        <v>426525.02</v>
      </c>
      <c r="J369">
        <v>0.875</v>
      </c>
      <c r="K369">
        <v>65597.38</v>
      </c>
      <c r="L369">
        <v>11587.92</v>
      </c>
      <c r="M369">
        <v>0</v>
      </c>
      <c r="N369">
        <v>2022</v>
      </c>
      <c r="O369">
        <v>4</v>
      </c>
    </row>
    <row r="370" spans="1:15" x14ac:dyDescent="0.3">
      <c r="A370">
        <v>38199</v>
      </c>
      <c r="B370">
        <v>3204203</v>
      </c>
      <c r="C370" t="s">
        <v>71</v>
      </c>
      <c r="D370">
        <v>0.14599999999999999</v>
      </c>
      <c r="E370">
        <v>495482.88</v>
      </c>
      <c r="F370">
        <v>38901.019999999997</v>
      </c>
      <c r="G370">
        <v>534383.9</v>
      </c>
      <c r="H370">
        <v>5715.73</v>
      </c>
      <c r="I370">
        <v>764109.99</v>
      </c>
      <c r="J370">
        <v>0.73399999999999999</v>
      </c>
      <c r="K370">
        <v>13191.76</v>
      </c>
      <c r="L370">
        <v>9727.7999999999993</v>
      </c>
      <c r="M370">
        <v>0</v>
      </c>
      <c r="N370">
        <v>2022</v>
      </c>
      <c r="O370">
        <v>4</v>
      </c>
    </row>
    <row r="371" spans="1:15" x14ac:dyDescent="0.3">
      <c r="A371">
        <v>38200</v>
      </c>
      <c r="B371">
        <v>3204252</v>
      </c>
      <c r="C371" t="s">
        <v>72</v>
      </c>
      <c r="D371">
        <v>0.221</v>
      </c>
      <c r="E371">
        <v>750011.75</v>
      </c>
      <c r="F371">
        <v>58884.45</v>
      </c>
      <c r="G371">
        <v>808896.2</v>
      </c>
      <c r="H371">
        <v>8651.9</v>
      </c>
      <c r="I371">
        <v>94123.35</v>
      </c>
      <c r="J371">
        <v>0.32900000000000001</v>
      </c>
      <c r="K371">
        <v>19968.349999999999</v>
      </c>
      <c r="L371">
        <v>4351.67</v>
      </c>
      <c r="M371">
        <v>0</v>
      </c>
      <c r="N371">
        <v>2022</v>
      </c>
      <c r="O371">
        <v>4</v>
      </c>
    </row>
    <row r="372" spans="1:15" x14ac:dyDescent="0.3">
      <c r="A372">
        <v>38201</v>
      </c>
      <c r="B372">
        <v>1718402</v>
      </c>
      <c r="C372" t="s">
        <v>73</v>
      </c>
      <c r="D372">
        <v>0.33800000000000002</v>
      </c>
      <c r="E372">
        <v>1147076.8</v>
      </c>
      <c r="F372">
        <v>90058.58</v>
      </c>
      <c r="G372">
        <v>1237135.3799999999</v>
      </c>
      <c r="H372">
        <v>13232.31</v>
      </c>
      <c r="I372">
        <v>535355.72</v>
      </c>
      <c r="J372">
        <v>0.45100000000000001</v>
      </c>
      <c r="K372">
        <v>30539.83</v>
      </c>
      <c r="L372">
        <v>5971.95</v>
      </c>
      <c r="M372">
        <v>0</v>
      </c>
      <c r="N372">
        <v>2022</v>
      </c>
      <c r="O372">
        <v>4</v>
      </c>
    </row>
    <row r="373" spans="1:15" x14ac:dyDescent="0.3">
      <c r="A373">
        <v>38202</v>
      </c>
      <c r="B373">
        <v>3204351</v>
      </c>
      <c r="C373" t="s">
        <v>74</v>
      </c>
      <c r="D373">
        <v>0.79700000000000004</v>
      </c>
      <c r="E373">
        <v>2704793.53</v>
      </c>
      <c r="F373">
        <v>212357.06</v>
      </c>
      <c r="G373">
        <v>2917150.59</v>
      </c>
      <c r="H373">
        <v>31201.63</v>
      </c>
      <c r="I373">
        <v>865018.91</v>
      </c>
      <c r="J373">
        <v>0.69799999999999995</v>
      </c>
      <c r="K373">
        <v>72012.55</v>
      </c>
      <c r="L373">
        <v>9245.8700000000008</v>
      </c>
      <c r="M373">
        <v>0</v>
      </c>
      <c r="N373">
        <v>2022</v>
      </c>
      <c r="O373">
        <v>4</v>
      </c>
    </row>
    <row r="374" spans="1:15" x14ac:dyDescent="0.3">
      <c r="A374">
        <v>38203</v>
      </c>
      <c r="B374">
        <v>3204401</v>
      </c>
      <c r="C374" t="s">
        <v>75</v>
      </c>
      <c r="D374">
        <v>0.27500000000000002</v>
      </c>
      <c r="E374">
        <v>933272.54</v>
      </c>
      <c r="F374">
        <v>73272.479999999996</v>
      </c>
      <c r="G374">
        <v>1006545.02</v>
      </c>
      <c r="H374">
        <v>10765.93</v>
      </c>
      <c r="I374">
        <v>320909.34000000003</v>
      </c>
      <c r="J374">
        <v>0.45</v>
      </c>
      <c r="K374">
        <v>24847.49</v>
      </c>
      <c r="L374">
        <v>5954.06</v>
      </c>
      <c r="M374">
        <v>0</v>
      </c>
      <c r="N374">
        <v>2022</v>
      </c>
      <c r="O374">
        <v>4</v>
      </c>
    </row>
    <row r="375" spans="1:15" x14ac:dyDescent="0.3">
      <c r="A375">
        <v>38204</v>
      </c>
      <c r="B375">
        <v>3204500</v>
      </c>
      <c r="C375" t="s">
        <v>76</v>
      </c>
      <c r="D375">
        <v>0.53800000000000003</v>
      </c>
      <c r="E375">
        <v>1825820.48</v>
      </c>
      <c r="F375">
        <v>143347.67000000001</v>
      </c>
      <c r="G375">
        <v>1969168.15</v>
      </c>
      <c r="H375">
        <v>21062.080000000002</v>
      </c>
      <c r="I375">
        <v>236394.35</v>
      </c>
      <c r="J375">
        <v>0.45600000000000002</v>
      </c>
      <c r="K375">
        <v>48610.73</v>
      </c>
      <c r="L375">
        <v>6041.26</v>
      </c>
      <c r="M375">
        <v>0</v>
      </c>
      <c r="N375">
        <v>2022</v>
      </c>
      <c r="O375">
        <v>4</v>
      </c>
    </row>
    <row r="376" spans="1:15" x14ac:dyDescent="0.3">
      <c r="A376">
        <v>38205</v>
      </c>
      <c r="B376">
        <v>3204559</v>
      </c>
      <c r="C376" t="s">
        <v>77</v>
      </c>
      <c r="D376">
        <v>2.1160000000000001</v>
      </c>
      <c r="E376">
        <v>7181108.04</v>
      </c>
      <c r="F376">
        <v>563798.64</v>
      </c>
      <c r="G376">
        <v>7744906.6799999997</v>
      </c>
      <c r="H376">
        <v>82838.97</v>
      </c>
      <c r="I376">
        <v>1521065.85</v>
      </c>
      <c r="J376">
        <v>1.1990000000000001</v>
      </c>
      <c r="K376">
        <v>191190.17</v>
      </c>
      <c r="L376">
        <v>15882.13</v>
      </c>
      <c r="M376">
        <v>0</v>
      </c>
      <c r="N376">
        <v>2022</v>
      </c>
      <c r="O376">
        <v>4</v>
      </c>
    </row>
    <row r="377" spans="1:15" x14ac:dyDescent="0.3">
      <c r="A377">
        <v>38206</v>
      </c>
      <c r="B377">
        <v>3204609</v>
      </c>
      <c r="C377" t="s">
        <v>78</v>
      </c>
      <c r="D377">
        <v>0.68799999999999994</v>
      </c>
      <c r="E377">
        <v>2334878.25</v>
      </c>
      <c r="F377">
        <v>183314.52</v>
      </c>
      <c r="G377">
        <v>2518192.77</v>
      </c>
      <c r="H377">
        <v>26934.41</v>
      </c>
      <c r="I377">
        <v>961396.23</v>
      </c>
      <c r="J377">
        <v>0.82899999999999996</v>
      </c>
      <c r="K377">
        <v>62163.91</v>
      </c>
      <c r="L377">
        <v>10983.81</v>
      </c>
      <c r="M377">
        <v>0</v>
      </c>
      <c r="N377">
        <v>2022</v>
      </c>
      <c r="O377">
        <v>4</v>
      </c>
    </row>
    <row r="378" spans="1:15" x14ac:dyDescent="0.3">
      <c r="A378">
        <v>38207</v>
      </c>
      <c r="B378">
        <v>3204658</v>
      </c>
      <c r="C378" t="s">
        <v>79</v>
      </c>
      <c r="D378">
        <v>0.42399999999999999</v>
      </c>
      <c r="E378">
        <v>1438936.6</v>
      </c>
      <c r="F378">
        <v>112972.86</v>
      </c>
      <c r="G378">
        <v>1551909.46</v>
      </c>
      <c r="H378">
        <v>16599.11</v>
      </c>
      <c r="I378">
        <v>247941.68</v>
      </c>
      <c r="J378">
        <v>0.33700000000000002</v>
      </c>
      <c r="K378">
        <v>38310.32</v>
      </c>
      <c r="L378">
        <v>4467.5600000000004</v>
      </c>
      <c r="M378">
        <v>0</v>
      </c>
      <c r="N378">
        <v>2022</v>
      </c>
      <c r="O378">
        <v>4</v>
      </c>
    </row>
    <row r="379" spans="1:15" x14ac:dyDescent="0.3">
      <c r="A379">
        <v>38208</v>
      </c>
      <c r="B379">
        <v>3204708</v>
      </c>
      <c r="C379" t="s">
        <v>80</v>
      </c>
      <c r="D379">
        <v>0.81499999999999995</v>
      </c>
      <c r="E379">
        <v>2765880.47</v>
      </c>
      <c r="F379">
        <v>217153.07</v>
      </c>
      <c r="G379">
        <v>2983033.54</v>
      </c>
      <c r="H379">
        <v>31906.31</v>
      </c>
      <c r="I379">
        <v>900547.3</v>
      </c>
      <c r="J379">
        <v>1.169</v>
      </c>
      <c r="K379">
        <v>73638.94</v>
      </c>
      <c r="L379">
        <v>15478.68</v>
      </c>
      <c r="M379">
        <v>0</v>
      </c>
      <c r="N379">
        <v>2022</v>
      </c>
      <c r="O379">
        <v>4</v>
      </c>
    </row>
    <row r="380" spans="1:15" x14ac:dyDescent="0.3">
      <c r="A380">
        <v>38209</v>
      </c>
      <c r="B380">
        <v>3204807</v>
      </c>
      <c r="C380" t="s">
        <v>81</v>
      </c>
      <c r="D380">
        <v>0.23</v>
      </c>
      <c r="E380">
        <v>780555.21</v>
      </c>
      <c r="F380">
        <v>61282.44</v>
      </c>
      <c r="G380">
        <v>841837.65</v>
      </c>
      <c r="H380">
        <v>9004.24</v>
      </c>
      <c r="I380">
        <v>259741.53</v>
      </c>
      <c r="J380">
        <v>0.436</v>
      </c>
      <c r="K380">
        <v>20781.54</v>
      </c>
      <c r="L380">
        <v>5777.72</v>
      </c>
      <c r="M380">
        <v>0</v>
      </c>
      <c r="N380">
        <v>2022</v>
      </c>
      <c r="O380">
        <v>4</v>
      </c>
    </row>
    <row r="381" spans="1:15" x14ac:dyDescent="0.3">
      <c r="A381">
        <v>38210</v>
      </c>
      <c r="B381">
        <v>3204906</v>
      </c>
      <c r="C381" t="s">
        <v>82</v>
      </c>
      <c r="D381">
        <v>1.8839999999999999</v>
      </c>
      <c r="E381">
        <v>6393765.3700000001</v>
      </c>
      <c r="F381">
        <v>501983.27</v>
      </c>
      <c r="G381">
        <v>6895748.6399999997</v>
      </c>
      <c r="H381">
        <v>73756.429999999993</v>
      </c>
      <c r="I381">
        <v>2684175.06</v>
      </c>
      <c r="J381">
        <v>3.024</v>
      </c>
      <c r="K381">
        <v>170227.92</v>
      </c>
      <c r="L381">
        <v>40057.5</v>
      </c>
      <c r="M381">
        <v>0</v>
      </c>
      <c r="N381">
        <v>2022</v>
      </c>
      <c r="O381">
        <v>4</v>
      </c>
    </row>
    <row r="382" spans="1:15" x14ac:dyDescent="0.3">
      <c r="A382">
        <v>38211</v>
      </c>
      <c r="B382">
        <v>3204955</v>
      </c>
      <c r="C382" t="s">
        <v>83</v>
      </c>
      <c r="D382">
        <v>0.32600000000000001</v>
      </c>
      <c r="E382">
        <v>1106352.17</v>
      </c>
      <c r="F382">
        <v>86861.23</v>
      </c>
      <c r="G382">
        <v>1193213.3999999999</v>
      </c>
      <c r="H382">
        <v>12762.52</v>
      </c>
      <c r="I382">
        <v>343596.55</v>
      </c>
      <c r="J382">
        <v>0.46100000000000002</v>
      </c>
      <c r="K382">
        <v>29455.57</v>
      </c>
      <c r="L382">
        <v>6110.72</v>
      </c>
      <c r="M382">
        <v>0</v>
      </c>
      <c r="N382">
        <v>2022</v>
      </c>
      <c r="O382">
        <v>4</v>
      </c>
    </row>
    <row r="383" spans="1:15" x14ac:dyDescent="0.3">
      <c r="A383">
        <v>38212</v>
      </c>
      <c r="B383">
        <v>3205002</v>
      </c>
      <c r="C383" t="s">
        <v>84</v>
      </c>
      <c r="D383">
        <v>14.176</v>
      </c>
      <c r="E383">
        <v>48109351.390000001</v>
      </c>
      <c r="F383">
        <v>3777131.18</v>
      </c>
      <c r="G383">
        <v>51886482.57</v>
      </c>
      <c r="H383">
        <v>554974.09</v>
      </c>
      <c r="I383">
        <v>11850510.779999999</v>
      </c>
      <c r="J383">
        <v>8.4320000000000004</v>
      </c>
      <c r="K383">
        <v>1280865.72</v>
      </c>
      <c r="L383">
        <v>111681.89</v>
      </c>
      <c r="M383">
        <v>0</v>
      </c>
      <c r="N383">
        <v>2022</v>
      </c>
      <c r="O383">
        <v>4</v>
      </c>
    </row>
    <row r="384" spans="1:15" x14ac:dyDescent="0.3">
      <c r="A384">
        <v>38213</v>
      </c>
      <c r="B384">
        <v>3205010</v>
      </c>
      <c r="C384" t="s">
        <v>85</v>
      </c>
      <c r="D384">
        <v>0.72199999999999998</v>
      </c>
      <c r="E384">
        <v>2450264.66</v>
      </c>
      <c r="F384">
        <v>192373.61</v>
      </c>
      <c r="G384">
        <v>2642638.27</v>
      </c>
      <c r="H384">
        <v>28265.47</v>
      </c>
      <c r="I384">
        <v>416583.62</v>
      </c>
      <c r="J384">
        <v>0.997</v>
      </c>
      <c r="K384">
        <v>65235.97</v>
      </c>
      <c r="L384">
        <v>13200.46</v>
      </c>
      <c r="M384">
        <v>0</v>
      </c>
      <c r="N384">
        <v>2022</v>
      </c>
      <c r="O384">
        <v>4</v>
      </c>
    </row>
    <row r="385" spans="1:15" x14ac:dyDescent="0.3">
      <c r="A385">
        <v>38214</v>
      </c>
      <c r="B385">
        <v>3205036</v>
      </c>
      <c r="C385" t="s">
        <v>86</v>
      </c>
      <c r="D385">
        <v>0.498</v>
      </c>
      <c r="E385">
        <v>1690071.73</v>
      </c>
      <c r="F385">
        <v>132689.85999999999</v>
      </c>
      <c r="G385">
        <v>1822761.59</v>
      </c>
      <c r="H385">
        <v>19496.13</v>
      </c>
      <c r="I385">
        <v>604765.15</v>
      </c>
      <c r="J385">
        <v>0.72699999999999998</v>
      </c>
      <c r="K385">
        <v>44996.55</v>
      </c>
      <c r="L385">
        <v>9629.49</v>
      </c>
      <c r="M385">
        <v>0</v>
      </c>
      <c r="N385">
        <v>2022</v>
      </c>
      <c r="O385">
        <v>4</v>
      </c>
    </row>
    <row r="386" spans="1:15" x14ac:dyDescent="0.3">
      <c r="A386">
        <v>38215</v>
      </c>
      <c r="B386">
        <v>3205069</v>
      </c>
      <c r="C386" t="s">
        <v>87</v>
      </c>
      <c r="D386">
        <v>0.75800000000000001</v>
      </c>
      <c r="E386">
        <v>2572438.5099999998</v>
      </c>
      <c r="F386">
        <v>201965.67</v>
      </c>
      <c r="G386">
        <v>2774404.18</v>
      </c>
      <c r="H386">
        <v>29674.83</v>
      </c>
      <c r="I386">
        <v>1424916.56</v>
      </c>
      <c r="J386">
        <v>0.85799999999999998</v>
      </c>
      <c r="K386">
        <v>68488.73</v>
      </c>
      <c r="L386">
        <v>11362.75</v>
      </c>
      <c r="M386">
        <v>0</v>
      </c>
      <c r="N386">
        <v>2022</v>
      </c>
      <c r="O386">
        <v>4</v>
      </c>
    </row>
    <row r="387" spans="1:15" x14ac:dyDescent="0.3">
      <c r="A387">
        <v>38216</v>
      </c>
      <c r="B387">
        <v>2112803</v>
      </c>
      <c r="C387" t="s">
        <v>88</v>
      </c>
      <c r="D387">
        <v>2.9929999999999999</v>
      </c>
      <c r="E387">
        <v>10157399.039999999</v>
      </c>
      <c r="F387">
        <v>797471.32</v>
      </c>
      <c r="G387">
        <v>10954870.359999999</v>
      </c>
      <c r="H387">
        <v>117172.51</v>
      </c>
      <c r="I387">
        <v>1618394.04</v>
      </c>
      <c r="J387">
        <v>1.984</v>
      </c>
      <c r="K387">
        <v>270431.09000000003</v>
      </c>
      <c r="L387">
        <v>26271.4</v>
      </c>
      <c r="M387">
        <v>0</v>
      </c>
      <c r="N387">
        <v>2022</v>
      </c>
      <c r="O387">
        <v>4</v>
      </c>
    </row>
    <row r="388" spans="1:15" x14ac:dyDescent="0.3">
      <c r="A388">
        <v>38217</v>
      </c>
      <c r="B388">
        <v>3205150</v>
      </c>
      <c r="C388" t="s">
        <v>89</v>
      </c>
      <c r="D388">
        <v>0.32800000000000001</v>
      </c>
      <c r="E388">
        <v>1113139.6100000001</v>
      </c>
      <c r="F388">
        <v>87394.11</v>
      </c>
      <c r="G388">
        <v>1200533.72</v>
      </c>
      <c r="H388">
        <v>12840.82</v>
      </c>
      <c r="I388">
        <v>191293.85</v>
      </c>
      <c r="J388">
        <v>0.34399999999999997</v>
      </c>
      <c r="K388">
        <v>29636.28</v>
      </c>
      <c r="L388">
        <v>4555.3999999999996</v>
      </c>
      <c r="M388">
        <v>0</v>
      </c>
      <c r="N388">
        <v>2022</v>
      </c>
      <c r="O388">
        <v>4</v>
      </c>
    </row>
    <row r="389" spans="1:15" x14ac:dyDescent="0.3">
      <c r="A389">
        <v>38218</v>
      </c>
      <c r="B389">
        <v>3205176</v>
      </c>
      <c r="C389" t="s">
        <v>90</v>
      </c>
      <c r="D389">
        <v>0.623</v>
      </c>
      <c r="E389">
        <v>2114286.54</v>
      </c>
      <c r="F389">
        <v>165995.53</v>
      </c>
      <c r="G389">
        <v>2280282.0699999998</v>
      </c>
      <c r="H389">
        <v>24389.73</v>
      </c>
      <c r="I389">
        <v>492023.74</v>
      </c>
      <c r="J389">
        <v>0.55600000000000005</v>
      </c>
      <c r="K389">
        <v>56290.87</v>
      </c>
      <c r="L389">
        <v>7366.41</v>
      </c>
      <c r="M389">
        <v>0</v>
      </c>
      <c r="N389">
        <v>2022</v>
      </c>
      <c r="O389">
        <v>4</v>
      </c>
    </row>
    <row r="390" spans="1:15" x14ac:dyDescent="0.3">
      <c r="A390">
        <v>38219</v>
      </c>
      <c r="B390">
        <v>3205200</v>
      </c>
      <c r="C390" t="s">
        <v>91</v>
      </c>
      <c r="D390">
        <v>5.3819999999999997</v>
      </c>
      <c r="E390">
        <v>18264992.199999999</v>
      </c>
      <c r="F390">
        <v>1434009.58</v>
      </c>
      <c r="G390">
        <v>19699001.780000001</v>
      </c>
      <c r="H390">
        <v>210699.11</v>
      </c>
      <c r="I390">
        <v>17636597.379999999</v>
      </c>
      <c r="J390">
        <v>8.09</v>
      </c>
      <c r="K390">
        <v>486288.04</v>
      </c>
      <c r="L390">
        <v>107151.09</v>
      </c>
      <c r="M390">
        <v>0</v>
      </c>
      <c r="N390">
        <v>2022</v>
      </c>
      <c r="O390">
        <v>4</v>
      </c>
    </row>
    <row r="391" spans="1:15" x14ac:dyDescent="0.3">
      <c r="A391">
        <v>38220</v>
      </c>
      <c r="B391">
        <v>3205309</v>
      </c>
      <c r="C391" t="s">
        <v>92</v>
      </c>
      <c r="D391">
        <v>14.535</v>
      </c>
      <c r="E391">
        <v>49327696.369999997</v>
      </c>
      <c r="F391">
        <v>3872785.04</v>
      </c>
      <c r="G391">
        <v>53200481.409999996</v>
      </c>
      <c r="H391">
        <v>569028.53</v>
      </c>
      <c r="I391">
        <v>21590629.859999999</v>
      </c>
      <c r="J391">
        <v>9.4969999999999999</v>
      </c>
      <c r="K391">
        <v>1313302.99</v>
      </c>
      <c r="L391">
        <v>125783.26</v>
      </c>
      <c r="M391">
        <v>0</v>
      </c>
      <c r="N391">
        <v>2022</v>
      </c>
      <c r="O391">
        <v>4</v>
      </c>
    </row>
    <row r="392" spans="1:15" x14ac:dyDescent="0.3">
      <c r="A392">
        <v>38221</v>
      </c>
      <c r="B392">
        <v>3200102</v>
      </c>
      <c r="C392" t="s">
        <v>15</v>
      </c>
      <c r="D392">
        <v>0.8</v>
      </c>
      <c r="E392">
        <v>2761776.67</v>
      </c>
      <c r="F392">
        <v>163855.54999999999</v>
      </c>
      <c r="G392">
        <v>2925632.22</v>
      </c>
      <c r="H392">
        <v>23987.95</v>
      </c>
      <c r="I392">
        <v>362748.66</v>
      </c>
      <c r="J392">
        <v>0.98499999999999999</v>
      </c>
      <c r="K392">
        <v>85556.57</v>
      </c>
      <c r="L392">
        <v>0</v>
      </c>
      <c r="M392">
        <v>0</v>
      </c>
      <c r="N392">
        <v>2022</v>
      </c>
      <c r="O392">
        <v>5</v>
      </c>
    </row>
    <row r="393" spans="1:15" x14ac:dyDescent="0.3">
      <c r="A393">
        <v>38222</v>
      </c>
      <c r="B393">
        <v>3200169</v>
      </c>
      <c r="C393" t="s">
        <v>16</v>
      </c>
      <c r="D393">
        <v>0.30099999999999999</v>
      </c>
      <c r="E393">
        <v>1039118.48</v>
      </c>
      <c r="F393">
        <v>61650.67</v>
      </c>
      <c r="G393">
        <v>1100769.1499999999</v>
      </c>
      <c r="H393">
        <v>9025.4599999999991</v>
      </c>
      <c r="I393">
        <v>145483.1</v>
      </c>
      <c r="J393">
        <v>0.439</v>
      </c>
      <c r="K393">
        <v>32190.66</v>
      </c>
      <c r="L393">
        <v>0</v>
      </c>
      <c r="M393">
        <v>0</v>
      </c>
      <c r="N393">
        <v>2022</v>
      </c>
      <c r="O393">
        <v>5</v>
      </c>
    </row>
    <row r="394" spans="1:15" x14ac:dyDescent="0.3">
      <c r="A394">
        <v>38223</v>
      </c>
      <c r="B394">
        <v>3200136</v>
      </c>
      <c r="C394" t="s">
        <v>17</v>
      </c>
      <c r="D394">
        <v>0.41599999999999998</v>
      </c>
      <c r="E394">
        <v>1436123.87</v>
      </c>
      <c r="F394">
        <v>85204.9</v>
      </c>
      <c r="G394">
        <v>1521328.77</v>
      </c>
      <c r="H394">
        <v>12473.73</v>
      </c>
      <c r="I394">
        <v>164257.9</v>
      </c>
      <c r="J394">
        <v>0.34799999999999998</v>
      </c>
      <c r="K394">
        <v>44489.41</v>
      </c>
      <c r="L394">
        <v>0</v>
      </c>
      <c r="M394">
        <v>0</v>
      </c>
      <c r="N394">
        <v>2022</v>
      </c>
      <c r="O394">
        <v>5</v>
      </c>
    </row>
    <row r="395" spans="1:15" x14ac:dyDescent="0.3">
      <c r="A395">
        <v>38224</v>
      </c>
      <c r="B395">
        <v>3200201</v>
      </c>
      <c r="C395" t="s">
        <v>18</v>
      </c>
      <c r="D395">
        <v>0.51</v>
      </c>
      <c r="E395">
        <v>1760632.63</v>
      </c>
      <c r="F395">
        <v>104457.91</v>
      </c>
      <c r="G395">
        <v>1865090.54</v>
      </c>
      <c r="H395">
        <v>15292.32</v>
      </c>
      <c r="I395">
        <v>324052.98</v>
      </c>
      <c r="J395">
        <v>0.98</v>
      </c>
      <c r="K395">
        <v>54542.31</v>
      </c>
      <c r="L395">
        <v>0</v>
      </c>
      <c r="M395">
        <v>0</v>
      </c>
      <c r="N395">
        <v>2022</v>
      </c>
      <c r="O395">
        <v>5</v>
      </c>
    </row>
    <row r="396" spans="1:15" x14ac:dyDescent="0.3">
      <c r="A396">
        <v>38225</v>
      </c>
      <c r="B396">
        <v>3200300</v>
      </c>
      <c r="C396" t="s">
        <v>19</v>
      </c>
      <c r="D396">
        <v>0.49</v>
      </c>
      <c r="E396">
        <v>1691588.19</v>
      </c>
      <c r="F396">
        <v>100361.5</v>
      </c>
      <c r="G396">
        <v>1791949.69</v>
      </c>
      <c r="H396">
        <v>14692.62</v>
      </c>
      <c r="I396">
        <v>375674.72</v>
      </c>
      <c r="J396">
        <v>0.56399999999999995</v>
      </c>
      <c r="K396">
        <v>52403.39</v>
      </c>
      <c r="L396">
        <v>0</v>
      </c>
      <c r="M396">
        <v>0</v>
      </c>
      <c r="N396">
        <v>2022</v>
      </c>
      <c r="O396">
        <v>5</v>
      </c>
    </row>
    <row r="397" spans="1:15" x14ac:dyDescent="0.3">
      <c r="A397">
        <v>38226</v>
      </c>
      <c r="B397">
        <v>3200359</v>
      </c>
      <c r="C397" t="s">
        <v>20</v>
      </c>
      <c r="D397">
        <v>0.23100000000000001</v>
      </c>
      <c r="E397">
        <v>797463.01</v>
      </c>
      <c r="F397">
        <v>47313.26</v>
      </c>
      <c r="G397">
        <v>844776.27</v>
      </c>
      <c r="H397">
        <v>6926.52</v>
      </c>
      <c r="I397">
        <v>72807.899999999994</v>
      </c>
      <c r="J397">
        <v>0.32700000000000001</v>
      </c>
      <c r="K397">
        <v>24704.46</v>
      </c>
      <c r="L397">
        <v>0</v>
      </c>
      <c r="M397">
        <v>0</v>
      </c>
      <c r="N397">
        <v>2022</v>
      </c>
      <c r="O397">
        <v>5</v>
      </c>
    </row>
    <row r="398" spans="1:15" x14ac:dyDescent="0.3">
      <c r="A398">
        <v>38227</v>
      </c>
      <c r="B398">
        <v>3200409</v>
      </c>
      <c r="C398" t="s">
        <v>21</v>
      </c>
      <c r="D398">
        <v>1.766</v>
      </c>
      <c r="E398">
        <v>6096621.9800000004</v>
      </c>
      <c r="F398">
        <v>361711.14</v>
      </c>
      <c r="G398">
        <v>6458333.1200000001</v>
      </c>
      <c r="H398">
        <v>52953.39</v>
      </c>
      <c r="I398">
        <v>429980.5</v>
      </c>
      <c r="J398">
        <v>0.90800000000000003</v>
      </c>
      <c r="K398">
        <v>188866.12</v>
      </c>
      <c r="L398">
        <v>0</v>
      </c>
      <c r="M398">
        <v>0</v>
      </c>
      <c r="N398">
        <v>2022</v>
      </c>
      <c r="O398">
        <v>5</v>
      </c>
    </row>
    <row r="399" spans="1:15" x14ac:dyDescent="0.3">
      <c r="A399">
        <v>38228</v>
      </c>
      <c r="B399">
        <v>3200508</v>
      </c>
      <c r="C399" t="s">
        <v>22</v>
      </c>
      <c r="D399">
        <v>0.185</v>
      </c>
      <c r="E399">
        <v>638660.86</v>
      </c>
      <c r="F399">
        <v>37891.61</v>
      </c>
      <c r="G399">
        <v>676552.47</v>
      </c>
      <c r="H399">
        <v>5547.21</v>
      </c>
      <c r="I399">
        <v>121906.37</v>
      </c>
      <c r="J399">
        <v>0.32300000000000001</v>
      </c>
      <c r="K399">
        <v>19784.96</v>
      </c>
      <c r="L399">
        <v>0</v>
      </c>
      <c r="M399">
        <v>0</v>
      </c>
      <c r="N399">
        <v>2022</v>
      </c>
      <c r="O399">
        <v>5</v>
      </c>
    </row>
    <row r="400" spans="1:15" x14ac:dyDescent="0.3">
      <c r="A400">
        <v>38229</v>
      </c>
      <c r="B400">
        <v>3200607</v>
      </c>
      <c r="C400" t="s">
        <v>23</v>
      </c>
      <c r="D400">
        <v>4.9909999999999997</v>
      </c>
      <c r="E400">
        <v>17230034.140000001</v>
      </c>
      <c r="F400">
        <v>1022253.84</v>
      </c>
      <c r="G400">
        <v>18252287.98</v>
      </c>
      <c r="H400">
        <v>149654.79999999999</v>
      </c>
      <c r="I400">
        <v>1476804.18</v>
      </c>
      <c r="J400">
        <v>2.5089999999999999</v>
      </c>
      <c r="K400">
        <v>533766.01</v>
      </c>
      <c r="L400">
        <v>0</v>
      </c>
      <c r="M400">
        <v>0</v>
      </c>
      <c r="N400">
        <v>2022</v>
      </c>
      <c r="O400">
        <v>5</v>
      </c>
    </row>
    <row r="401" spans="1:15" x14ac:dyDescent="0.3">
      <c r="A401">
        <v>38230</v>
      </c>
      <c r="B401">
        <v>3200706</v>
      </c>
      <c r="C401" t="s">
        <v>24</v>
      </c>
      <c r="D401">
        <v>0.373</v>
      </c>
      <c r="E401">
        <v>1287678.3799999999</v>
      </c>
      <c r="F401">
        <v>76397.649999999994</v>
      </c>
      <c r="G401">
        <v>1364076.03</v>
      </c>
      <c r="H401">
        <v>11184.38</v>
      </c>
      <c r="I401">
        <v>128155.48</v>
      </c>
      <c r="J401">
        <v>0.45700000000000002</v>
      </c>
      <c r="K401">
        <v>39890.75</v>
      </c>
      <c r="L401">
        <v>0</v>
      </c>
      <c r="M401">
        <v>0</v>
      </c>
      <c r="N401">
        <v>2022</v>
      </c>
      <c r="O401">
        <v>5</v>
      </c>
    </row>
    <row r="402" spans="1:15" x14ac:dyDescent="0.3">
      <c r="A402">
        <v>38231</v>
      </c>
      <c r="B402">
        <v>3200805</v>
      </c>
      <c r="C402" t="s">
        <v>25</v>
      </c>
      <c r="D402">
        <v>0.64300000000000002</v>
      </c>
      <c r="E402">
        <v>2219777.98</v>
      </c>
      <c r="F402">
        <v>131698.9</v>
      </c>
      <c r="G402">
        <v>2351476.88</v>
      </c>
      <c r="H402">
        <v>19280.310000000001</v>
      </c>
      <c r="I402">
        <v>709467.73</v>
      </c>
      <c r="J402">
        <v>0.996</v>
      </c>
      <c r="K402">
        <v>68766.09</v>
      </c>
      <c r="L402">
        <v>0</v>
      </c>
      <c r="M402">
        <v>0</v>
      </c>
      <c r="N402">
        <v>2022</v>
      </c>
      <c r="O402">
        <v>5</v>
      </c>
    </row>
    <row r="403" spans="1:15" x14ac:dyDescent="0.3">
      <c r="A403">
        <v>38232</v>
      </c>
      <c r="B403">
        <v>3200904</v>
      </c>
      <c r="C403" t="s">
        <v>26</v>
      </c>
      <c r="D403">
        <v>1.036</v>
      </c>
      <c r="E403">
        <v>3576500.78</v>
      </c>
      <c r="F403">
        <v>212192.95</v>
      </c>
      <c r="G403">
        <v>3788693.73</v>
      </c>
      <c r="H403">
        <v>31064.39</v>
      </c>
      <c r="I403">
        <v>691448.08</v>
      </c>
      <c r="J403">
        <v>1.321</v>
      </c>
      <c r="K403">
        <v>110795.75</v>
      </c>
      <c r="L403">
        <v>0</v>
      </c>
      <c r="M403">
        <v>0</v>
      </c>
      <c r="N403">
        <v>2022</v>
      </c>
      <c r="O403">
        <v>5</v>
      </c>
    </row>
    <row r="404" spans="1:15" x14ac:dyDescent="0.3">
      <c r="A404">
        <v>38233</v>
      </c>
      <c r="B404">
        <v>3107109</v>
      </c>
      <c r="C404" t="s">
        <v>27</v>
      </c>
      <c r="D404">
        <v>0.39900000000000002</v>
      </c>
      <c r="E404">
        <v>1377436.13</v>
      </c>
      <c r="F404">
        <v>81722.960000000006</v>
      </c>
      <c r="G404">
        <v>1459159.09</v>
      </c>
      <c r="H404">
        <v>11963.99</v>
      </c>
      <c r="I404">
        <v>167165.45000000001</v>
      </c>
      <c r="J404">
        <v>0.56899999999999995</v>
      </c>
      <c r="K404">
        <v>42671.33</v>
      </c>
      <c r="L404">
        <v>0</v>
      </c>
      <c r="M404">
        <v>0</v>
      </c>
      <c r="N404">
        <v>2022</v>
      </c>
      <c r="O404">
        <v>5</v>
      </c>
    </row>
    <row r="405" spans="1:15" x14ac:dyDescent="0.3">
      <c r="A405">
        <v>38234</v>
      </c>
      <c r="B405">
        <v>3201100</v>
      </c>
      <c r="C405" t="s">
        <v>28</v>
      </c>
      <c r="D405">
        <v>0.17599999999999999</v>
      </c>
      <c r="E405">
        <v>607590.88</v>
      </c>
      <c r="F405">
        <v>36048.239999999998</v>
      </c>
      <c r="G405">
        <v>643639.12</v>
      </c>
      <c r="H405">
        <v>5277.35</v>
      </c>
      <c r="I405">
        <v>307353.11</v>
      </c>
      <c r="J405">
        <v>0.43</v>
      </c>
      <c r="K405">
        <v>18822.439999999999</v>
      </c>
      <c r="L405">
        <v>0</v>
      </c>
      <c r="M405">
        <v>0</v>
      </c>
      <c r="N405">
        <v>2022</v>
      </c>
      <c r="O405">
        <v>5</v>
      </c>
    </row>
    <row r="406" spans="1:15" x14ac:dyDescent="0.3">
      <c r="A406">
        <v>38235</v>
      </c>
      <c r="B406">
        <v>3201159</v>
      </c>
      <c r="C406" t="s">
        <v>29</v>
      </c>
      <c r="D406">
        <v>0.42099999999999999</v>
      </c>
      <c r="E406">
        <v>1453384.99</v>
      </c>
      <c r="F406">
        <v>86228.99</v>
      </c>
      <c r="G406">
        <v>1539613.98</v>
      </c>
      <c r="H406">
        <v>12623.66</v>
      </c>
      <c r="I406">
        <v>146800.42000000001</v>
      </c>
      <c r="J406">
        <v>0.46</v>
      </c>
      <c r="K406">
        <v>45024.14</v>
      </c>
      <c r="L406">
        <v>0</v>
      </c>
      <c r="M406">
        <v>0</v>
      </c>
      <c r="N406">
        <v>2022</v>
      </c>
      <c r="O406">
        <v>5</v>
      </c>
    </row>
    <row r="407" spans="1:15" x14ac:dyDescent="0.3">
      <c r="A407">
        <v>38236</v>
      </c>
      <c r="B407">
        <v>3201209</v>
      </c>
      <c r="C407" t="s">
        <v>30</v>
      </c>
      <c r="D407">
        <v>3.234</v>
      </c>
      <c r="E407">
        <v>11164482.140000001</v>
      </c>
      <c r="F407">
        <v>662386.09</v>
      </c>
      <c r="G407">
        <v>11826868.23</v>
      </c>
      <c r="H407">
        <v>96971.27</v>
      </c>
      <c r="I407">
        <v>3222348.71</v>
      </c>
      <c r="J407">
        <v>4.4820000000000002</v>
      </c>
      <c r="K407">
        <v>345862.40000000002</v>
      </c>
      <c r="L407">
        <v>0</v>
      </c>
      <c r="M407">
        <v>0</v>
      </c>
      <c r="N407">
        <v>2022</v>
      </c>
      <c r="O407">
        <v>5</v>
      </c>
    </row>
    <row r="408" spans="1:15" x14ac:dyDescent="0.3">
      <c r="A408">
        <v>38237</v>
      </c>
      <c r="B408">
        <v>3201308</v>
      </c>
      <c r="C408" t="s">
        <v>31</v>
      </c>
      <c r="D408">
        <v>7.4969999999999999</v>
      </c>
      <c r="E408">
        <v>25881299.539999999</v>
      </c>
      <c r="F408">
        <v>1535531.39</v>
      </c>
      <c r="G408">
        <v>27416830.93</v>
      </c>
      <c r="H408">
        <v>224797.03</v>
      </c>
      <c r="I408">
        <v>4247208.8899999997</v>
      </c>
      <c r="J408">
        <v>6.6040000000000001</v>
      </c>
      <c r="K408">
        <v>801771.95</v>
      </c>
      <c r="L408">
        <v>0</v>
      </c>
      <c r="M408">
        <v>0</v>
      </c>
      <c r="N408">
        <v>2022</v>
      </c>
      <c r="O408">
        <v>5</v>
      </c>
    </row>
    <row r="409" spans="1:15" x14ac:dyDescent="0.3">
      <c r="A409">
        <v>38238</v>
      </c>
      <c r="B409">
        <v>3201407</v>
      </c>
      <c r="C409" t="s">
        <v>32</v>
      </c>
      <c r="D409">
        <v>0.96499999999999997</v>
      </c>
      <c r="E409">
        <v>3331393.09</v>
      </c>
      <c r="F409">
        <v>197650.75</v>
      </c>
      <c r="G409">
        <v>3529043.84</v>
      </c>
      <c r="H409">
        <v>28935.46</v>
      </c>
      <c r="I409">
        <v>780228.1</v>
      </c>
      <c r="J409">
        <v>1.155</v>
      </c>
      <c r="K409">
        <v>103202.61</v>
      </c>
      <c r="L409">
        <v>0</v>
      </c>
      <c r="M409">
        <v>0</v>
      </c>
      <c r="N409">
        <v>2022</v>
      </c>
      <c r="O409">
        <v>5</v>
      </c>
    </row>
    <row r="410" spans="1:15" x14ac:dyDescent="0.3">
      <c r="A410">
        <v>38239</v>
      </c>
      <c r="B410">
        <v>3201506</v>
      </c>
      <c r="C410" t="s">
        <v>33</v>
      </c>
      <c r="D410">
        <v>2.1739999999999999</v>
      </c>
      <c r="E410">
        <v>7505128.0700000003</v>
      </c>
      <c r="F410">
        <v>445277.48</v>
      </c>
      <c r="G410">
        <v>7950405.5499999998</v>
      </c>
      <c r="H410">
        <v>65187.24</v>
      </c>
      <c r="I410">
        <v>2079858.83</v>
      </c>
      <c r="J410">
        <v>2.8220000000000001</v>
      </c>
      <c r="K410">
        <v>232499.96</v>
      </c>
      <c r="L410">
        <v>0</v>
      </c>
      <c r="M410">
        <v>0</v>
      </c>
      <c r="N410">
        <v>2022</v>
      </c>
      <c r="O410">
        <v>5</v>
      </c>
    </row>
    <row r="411" spans="1:15" x14ac:dyDescent="0.3">
      <c r="A411">
        <v>38240</v>
      </c>
      <c r="B411">
        <v>3201605</v>
      </c>
      <c r="C411" t="s">
        <v>34</v>
      </c>
      <c r="D411">
        <v>0.65200000000000002</v>
      </c>
      <c r="E411">
        <v>2250847.9900000002</v>
      </c>
      <c r="F411">
        <v>133542.28</v>
      </c>
      <c r="G411">
        <v>2384390.27</v>
      </c>
      <c r="H411">
        <v>19550.18</v>
      </c>
      <c r="I411">
        <v>253564.71</v>
      </c>
      <c r="J411">
        <v>0.999</v>
      </c>
      <c r="K411">
        <v>69728.600000000006</v>
      </c>
      <c r="L411">
        <v>0</v>
      </c>
      <c r="M411">
        <v>0</v>
      </c>
      <c r="N411">
        <v>2022</v>
      </c>
      <c r="O411">
        <v>5</v>
      </c>
    </row>
    <row r="412" spans="1:15" x14ac:dyDescent="0.3">
      <c r="A412">
        <v>38241</v>
      </c>
      <c r="B412">
        <v>3201704</v>
      </c>
      <c r="C412" t="s">
        <v>35</v>
      </c>
      <c r="D412">
        <v>0.47499999999999998</v>
      </c>
      <c r="E412">
        <v>1639804.89</v>
      </c>
      <c r="F412">
        <v>97289.22</v>
      </c>
      <c r="G412">
        <v>1737094.11</v>
      </c>
      <c r="H412">
        <v>14242.84</v>
      </c>
      <c r="I412">
        <v>179043.74</v>
      </c>
      <c r="J412">
        <v>0.46500000000000002</v>
      </c>
      <c r="K412">
        <v>50799.21</v>
      </c>
      <c r="L412">
        <v>0</v>
      </c>
      <c r="M412">
        <v>0</v>
      </c>
      <c r="N412">
        <v>2022</v>
      </c>
      <c r="O412">
        <v>5</v>
      </c>
    </row>
    <row r="413" spans="1:15" x14ac:dyDescent="0.3">
      <c r="A413">
        <v>38242</v>
      </c>
      <c r="B413">
        <v>3201803</v>
      </c>
      <c r="C413" t="s">
        <v>36</v>
      </c>
      <c r="D413">
        <v>0.186</v>
      </c>
      <c r="E413">
        <v>642113.06000000006</v>
      </c>
      <c r="F413">
        <v>38096.410000000003</v>
      </c>
      <c r="G413">
        <v>680209.47</v>
      </c>
      <c r="H413">
        <v>5577.2</v>
      </c>
      <c r="I413">
        <v>37141.49</v>
      </c>
      <c r="J413">
        <v>0.28299999999999997</v>
      </c>
      <c r="K413">
        <v>19891.900000000001</v>
      </c>
      <c r="L413">
        <v>0</v>
      </c>
      <c r="M413">
        <v>0</v>
      </c>
      <c r="N413">
        <v>2022</v>
      </c>
      <c r="O413">
        <v>5</v>
      </c>
    </row>
    <row r="414" spans="1:15" x14ac:dyDescent="0.3">
      <c r="A414">
        <v>38243</v>
      </c>
      <c r="B414">
        <v>3201902</v>
      </c>
      <c r="C414" t="s">
        <v>37</v>
      </c>
      <c r="D414">
        <v>1.3140000000000001</v>
      </c>
      <c r="E414">
        <v>4536218.13</v>
      </c>
      <c r="F414">
        <v>269132.75</v>
      </c>
      <c r="G414">
        <v>4805350.88</v>
      </c>
      <c r="H414">
        <v>39400.199999999997</v>
      </c>
      <c r="I414">
        <v>669719.37</v>
      </c>
      <c r="J414">
        <v>1.0309999999999999</v>
      </c>
      <c r="K414">
        <v>140526.65</v>
      </c>
      <c r="L414">
        <v>0</v>
      </c>
      <c r="M414">
        <v>0</v>
      </c>
      <c r="N414">
        <v>2022</v>
      </c>
      <c r="O414">
        <v>5</v>
      </c>
    </row>
    <row r="415" spans="1:15" x14ac:dyDescent="0.3">
      <c r="A415">
        <v>38244</v>
      </c>
      <c r="B415">
        <v>3202009</v>
      </c>
      <c r="C415" t="s">
        <v>38</v>
      </c>
      <c r="D415">
        <v>0.26</v>
      </c>
      <c r="E415">
        <v>897577.41</v>
      </c>
      <c r="F415">
        <v>53253.05</v>
      </c>
      <c r="G415">
        <v>950830.46</v>
      </c>
      <c r="H415">
        <v>7796.08</v>
      </c>
      <c r="I415">
        <v>142371.09</v>
      </c>
      <c r="J415">
        <v>0.314</v>
      </c>
      <c r="K415">
        <v>27805.89</v>
      </c>
      <c r="L415">
        <v>0</v>
      </c>
      <c r="M415">
        <v>0</v>
      </c>
      <c r="N415">
        <v>2022</v>
      </c>
      <c r="O415">
        <v>5</v>
      </c>
    </row>
    <row r="416" spans="1:15" x14ac:dyDescent="0.3">
      <c r="A416">
        <v>38245</v>
      </c>
      <c r="B416">
        <v>3202108</v>
      </c>
      <c r="C416" t="s">
        <v>39</v>
      </c>
      <c r="D416">
        <v>0.69899999999999995</v>
      </c>
      <c r="E416">
        <v>2413102.35</v>
      </c>
      <c r="F416">
        <v>143168.81</v>
      </c>
      <c r="G416">
        <v>2556271.16</v>
      </c>
      <c r="H416">
        <v>20959.47</v>
      </c>
      <c r="I416">
        <v>240414.56</v>
      </c>
      <c r="J416">
        <v>0.81599999999999995</v>
      </c>
      <c r="K416">
        <v>74755.039999999994</v>
      </c>
      <c r="L416">
        <v>0</v>
      </c>
      <c r="M416">
        <v>0</v>
      </c>
      <c r="N416">
        <v>2022</v>
      </c>
      <c r="O416">
        <v>5</v>
      </c>
    </row>
    <row r="417" spans="1:15" x14ac:dyDescent="0.3">
      <c r="A417">
        <v>38246</v>
      </c>
      <c r="B417">
        <v>3202207</v>
      </c>
      <c r="C417" t="s">
        <v>40</v>
      </c>
      <c r="D417">
        <v>0.313</v>
      </c>
      <c r="E417">
        <v>1080545.1200000001</v>
      </c>
      <c r="F417">
        <v>64108.480000000003</v>
      </c>
      <c r="G417">
        <v>1144653.6000000001</v>
      </c>
      <c r="H417">
        <v>9385.2800000000007</v>
      </c>
      <c r="I417">
        <v>202827.82</v>
      </c>
      <c r="J417">
        <v>0.73399999999999999</v>
      </c>
      <c r="K417">
        <v>33474.01</v>
      </c>
      <c r="L417">
        <v>0</v>
      </c>
      <c r="M417">
        <v>0</v>
      </c>
      <c r="N417">
        <v>2022</v>
      </c>
      <c r="O417">
        <v>5</v>
      </c>
    </row>
    <row r="418" spans="1:15" x14ac:dyDescent="0.3">
      <c r="A418">
        <v>38247</v>
      </c>
      <c r="B418">
        <v>3202256</v>
      </c>
      <c r="C418" t="s">
        <v>41</v>
      </c>
      <c r="D418">
        <v>0.43</v>
      </c>
      <c r="E418">
        <v>1484454.95</v>
      </c>
      <c r="F418">
        <v>88072.35</v>
      </c>
      <c r="G418">
        <v>1572527.3</v>
      </c>
      <c r="H418">
        <v>12893.52</v>
      </c>
      <c r="I418">
        <v>176866.5</v>
      </c>
      <c r="J418">
        <v>0.46700000000000003</v>
      </c>
      <c r="K418">
        <v>45986.65</v>
      </c>
      <c r="L418">
        <v>0</v>
      </c>
      <c r="M418">
        <v>0</v>
      </c>
      <c r="N418">
        <v>2022</v>
      </c>
      <c r="O418">
        <v>5</v>
      </c>
    </row>
    <row r="419" spans="1:15" x14ac:dyDescent="0.3">
      <c r="A419">
        <v>38248</v>
      </c>
      <c r="B419">
        <v>3202306</v>
      </c>
      <c r="C419" t="s">
        <v>42</v>
      </c>
      <c r="D419">
        <v>0.378</v>
      </c>
      <c r="E419">
        <v>1304939.48</v>
      </c>
      <c r="F419">
        <v>77421.75</v>
      </c>
      <c r="G419">
        <v>1382361.23</v>
      </c>
      <c r="H419">
        <v>11334.3</v>
      </c>
      <c r="I419">
        <v>559615.69999999995</v>
      </c>
      <c r="J419">
        <v>0.998</v>
      </c>
      <c r="K419">
        <v>40425.47</v>
      </c>
      <c r="L419">
        <v>0</v>
      </c>
      <c r="M419">
        <v>0</v>
      </c>
      <c r="N419">
        <v>2022</v>
      </c>
      <c r="O419">
        <v>5</v>
      </c>
    </row>
    <row r="420" spans="1:15" x14ac:dyDescent="0.3">
      <c r="A420">
        <v>38249</v>
      </c>
      <c r="B420">
        <v>3202405</v>
      </c>
      <c r="C420" t="s">
        <v>43</v>
      </c>
      <c r="D420">
        <v>0.90900000000000003</v>
      </c>
      <c r="E420">
        <v>3138068.73</v>
      </c>
      <c r="F420">
        <v>186180.9</v>
      </c>
      <c r="G420">
        <v>3324249.63</v>
      </c>
      <c r="H420">
        <v>27256.3</v>
      </c>
      <c r="I420">
        <v>2745825.19</v>
      </c>
      <c r="J420">
        <v>2.8730000000000002</v>
      </c>
      <c r="K420">
        <v>97213.64</v>
      </c>
      <c r="L420">
        <v>0</v>
      </c>
      <c r="M420">
        <v>0</v>
      </c>
      <c r="N420">
        <v>2022</v>
      </c>
      <c r="O420">
        <v>5</v>
      </c>
    </row>
    <row r="421" spans="1:15" x14ac:dyDescent="0.3">
      <c r="A421">
        <v>38250</v>
      </c>
      <c r="B421">
        <v>3202454</v>
      </c>
      <c r="C421" t="s">
        <v>44</v>
      </c>
      <c r="D421">
        <v>0.35099999999999998</v>
      </c>
      <c r="E421">
        <v>1211729.53</v>
      </c>
      <c r="F421">
        <v>71891.63</v>
      </c>
      <c r="G421">
        <v>1283621.1599999999</v>
      </c>
      <c r="H421">
        <v>10524.71</v>
      </c>
      <c r="I421">
        <v>378221.1</v>
      </c>
      <c r="J421">
        <v>0.86499999999999999</v>
      </c>
      <c r="K421">
        <v>37537.94</v>
      </c>
      <c r="L421">
        <v>0</v>
      </c>
      <c r="M421">
        <v>0</v>
      </c>
      <c r="N421">
        <v>2022</v>
      </c>
      <c r="O421">
        <v>5</v>
      </c>
    </row>
    <row r="422" spans="1:15" x14ac:dyDescent="0.3">
      <c r="A422">
        <v>38251</v>
      </c>
      <c r="B422">
        <v>3202504</v>
      </c>
      <c r="C422" t="s">
        <v>45</v>
      </c>
      <c r="D422">
        <v>0.26700000000000002</v>
      </c>
      <c r="E422">
        <v>921742.97</v>
      </c>
      <c r="F422">
        <v>54686.78</v>
      </c>
      <c r="G422">
        <v>976429.75</v>
      </c>
      <c r="H422">
        <v>8005.98</v>
      </c>
      <c r="I422">
        <v>202434.36</v>
      </c>
      <c r="J422">
        <v>0.46300000000000002</v>
      </c>
      <c r="K422">
        <v>28554.51</v>
      </c>
      <c r="L422">
        <v>0</v>
      </c>
      <c r="M422">
        <v>0</v>
      </c>
      <c r="N422">
        <v>2022</v>
      </c>
      <c r="O422">
        <v>5</v>
      </c>
    </row>
    <row r="423" spans="1:15" x14ac:dyDescent="0.3">
      <c r="A423">
        <v>38252</v>
      </c>
      <c r="B423">
        <v>3202553</v>
      </c>
      <c r="C423" t="s">
        <v>46</v>
      </c>
      <c r="D423">
        <v>0.248</v>
      </c>
      <c r="E423">
        <v>856150.79</v>
      </c>
      <c r="F423">
        <v>50795.199999999997</v>
      </c>
      <c r="G423">
        <v>906945.99</v>
      </c>
      <c r="H423">
        <v>7436.26</v>
      </c>
      <c r="I423">
        <v>85331.09</v>
      </c>
      <c r="J423">
        <v>0.33800000000000002</v>
      </c>
      <c r="K423">
        <v>26522.53</v>
      </c>
      <c r="L423">
        <v>0</v>
      </c>
      <c r="M423">
        <v>0</v>
      </c>
      <c r="N423">
        <v>2022</v>
      </c>
      <c r="O423">
        <v>5</v>
      </c>
    </row>
    <row r="424" spans="1:15" x14ac:dyDescent="0.3">
      <c r="A424">
        <v>38253</v>
      </c>
      <c r="B424">
        <v>3202603</v>
      </c>
      <c r="C424" t="s">
        <v>47</v>
      </c>
      <c r="D424">
        <v>0.34399999999999997</v>
      </c>
      <c r="E424">
        <v>1187563.96</v>
      </c>
      <c r="F424">
        <v>70457.87</v>
      </c>
      <c r="G424">
        <v>1258021.83</v>
      </c>
      <c r="H424">
        <v>10314.82</v>
      </c>
      <c r="I424">
        <v>415630.25</v>
      </c>
      <c r="J424">
        <v>0.55600000000000005</v>
      </c>
      <c r="K424">
        <v>36789.32</v>
      </c>
      <c r="L424">
        <v>0</v>
      </c>
      <c r="M424">
        <v>0</v>
      </c>
      <c r="N424">
        <v>2022</v>
      </c>
      <c r="O424">
        <v>5</v>
      </c>
    </row>
    <row r="425" spans="1:15" x14ac:dyDescent="0.3">
      <c r="A425">
        <v>38254</v>
      </c>
      <c r="B425">
        <v>3202652</v>
      </c>
      <c r="C425" t="s">
        <v>48</v>
      </c>
      <c r="D425">
        <v>0.308</v>
      </c>
      <c r="E425">
        <v>1063284.02</v>
      </c>
      <c r="F425">
        <v>63084.36</v>
      </c>
      <c r="G425">
        <v>1126368.3799999999</v>
      </c>
      <c r="H425">
        <v>9235.36</v>
      </c>
      <c r="I425">
        <v>196331.81</v>
      </c>
      <c r="J425">
        <v>0.55100000000000005</v>
      </c>
      <c r="K425">
        <v>32939.279999999999</v>
      </c>
      <c r="L425">
        <v>0</v>
      </c>
      <c r="M425">
        <v>0</v>
      </c>
      <c r="N425">
        <v>2022</v>
      </c>
      <c r="O425">
        <v>5</v>
      </c>
    </row>
    <row r="426" spans="1:15" x14ac:dyDescent="0.3">
      <c r="A426">
        <v>38255</v>
      </c>
      <c r="B426">
        <v>3202702</v>
      </c>
      <c r="C426" t="s">
        <v>49</v>
      </c>
      <c r="D426">
        <v>0.35499999999999998</v>
      </c>
      <c r="E426">
        <v>1225538.3999999999</v>
      </c>
      <c r="F426">
        <v>72710.87</v>
      </c>
      <c r="G426">
        <v>1298249.27</v>
      </c>
      <c r="H426">
        <v>10644.65</v>
      </c>
      <c r="I426">
        <v>171474.41</v>
      </c>
      <c r="J426">
        <v>0.55500000000000005</v>
      </c>
      <c r="K426">
        <v>37965.72</v>
      </c>
      <c r="L426">
        <v>0</v>
      </c>
      <c r="M426">
        <v>0</v>
      </c>
      <c r="N426">
        <v>2022</v>
      </c>
      <c r="O426">
        <v>5</v>
      </c>
    </row>
    <row r="427" spans="1:15" x14ac:dyDescent="0.3">
      <c r="A427">
        <v>38256</v>
      </c>
      <c r="B427">
        <v>3202801</v>
      </c>
      <c r="C427" t="s">
        <v>50</v>
      </c>
      <c r="D427">
        <v>2.262</v>
      </c>
      <c r="E427">
        <v>7808923.5</v>
      </c>
      <c r="F427">
        <v>463301.57</v>
      </c>
      <c r="G427">
        <v>8272225.0700000003</v>
      </c>
      <c r="H427">
        <v>67825.919999999998</v>
      </c>
      <c r="I427">
        <v>437490.12</v>
      </c>
      <c r="J427">
        <v>1.042</v>
      </c>
      <c r="K427">
        <v>241911.19</v>
      </c>
      <c r="L427">
        <v>0</v>
      </c>
      <c r="M427">
        <v>0</v>
      </c>
      <c r="N427">
        <v>2022</v>
      </c>
      <c r="O427">
        <v>5</v>
      </c>
    </row>
    <row r="428" spans="1:15" x14ac:dyDescent="0.3">
      <c r="A428">
        <v>38257</v>
      </c>
      <c r="B428">
        <v>3202900</v>
      </c>
      <c r="C428" t="s">
        <v>51</v>
      </c>
      <c r="D428">
        <v>0.34599999999999997</v>
      </c>
      <c r="E428">
        <v>1194468.3999999999</v>
      </c>
      <c r="F428">
        <v>70867.520000000004</v>
      </c>
      <c r="G428">
        <v>1265335.92</v>
      </c>
      <c r="H428">
        <v>10374.790000000001</v>
      </c>
      <c r="I428">
        <v>249735.8</v>
      </c>
      <c r="J428">
        <v>0.435</v>
      </c>
      <c r="K428">
        <v>37003.21</v>
      </c>
      <c r="L428">
        <v>0</v>
      </c>
      <c r="M428">
        <v>0</v>
      </c>
      <c r="N428">
        <v>2022</v>
      </c>
      <c r="O428">
        <v>5</v>
      </c>
    </row>
    <row r="429" spans="1:15" x14ac:dyDescent="0.3">
      <c r="A429">
        <v>38258</v>
      </c>
      <c r="B429">
        <v>3203007</v>
      </c>
      <c r="C429" t="s">
        <v>52</v>
      </c>
      <c r="D429">
        <v>0.438</v>
      </c>
      <c r="E429">
        <v>1512072.7</v>
      </c>
      <c r="F429">
        <v>89710.91</v>
      </c>
      <c r="G429">
        <v>1601783.61</v>
      </c>
      <c r="H429">
        <v>13133.4</v>
      </c>
      <c r="I429">
        <v>364711.84</v>
      </c>
      <c r="J429">
        <v>0.89700000000000002</v>
      </c>
      <c r="K429">
        <v>46842.21</v>
      </c>
      <c r="L429">
        <v>0</v>
      </c>
      <c r="M429">
        <v>0</v>
      </c>
      <c r="N429">
        <v>2022</v>
      </c>
      <c r="O429">
        <v>5</v>
      </c>
    </row>
    <row r="430" spans="1:15" x14ac:dyDescent="0.3">
      <c r="A430">
        <v>38259</v>
      </c>
      <c r="B430">
        <v>3203056</v>
      </c>
      <c r="C430" t="s">
        <v>53</v>
      </c>
      <c r="D430">
        <v>0.8</v>
      </c>
      <c r="E430">
        <v>2761776.67</v>
      </c>
      <c r="F430">
        <v>163855.54999999999</v>
      </c>
      <c r="G430">
        <v>2925632.22</v>
      </c>
      <c r="H430">
        <v>23987.95</v>
      </c>
      <c r="I430">
        <v>435128.65</v>
      </c>
      <c r="J430">
        <v>1</v>
      </c>
      <c r="K430">
        <v>85556.57</v>
      </c>
      <c r="L430">
        <v>0</v>
      </c>
      <c r="M430">
        <v>0</v>
      </c>
      <c r="N430">
        <v>2022</v>
      </c>
      <c r="O430">
        <v>5</v>
      </c>
    </row>
    <row r="431" spans="1:15" x14ac:dyDescent="0.3">
      <c r="A431">
        <v>38260</v>
      </c>
      <c r="B431">
        <v>3203106</v>
      </c>
      <c r="C431" t="s">
        <v>54</v>
      </c>
      <c r="D431">
        <v>0.21199999999999999</v>
      </c>
      <c r="E431">
        <v>731870.82</v>
      </c>
      <c r="F431">
        <v>43421.73</v>
      </c>
      <c r="G431">
        <v>775292.55</v>
      </c>
      <c r="H431">
        <v>6356.81</v>
      </c>
      <c r="I431">
        <v>125624.88</v>
      </c>
      <c r="J431">
        <v>0.45800000000000002</v>
      </c>
      <c r="K431">
        <v>22672.49</v>
      </c>
      <c r="L431">
        <v>0</v>
      </c>
      <c r="M431">
        <v>0</v>
      </c>
      <c r="N431">
        <v>2022</v>
      </c>
      <c r="O431">
        <v>5</v>
      </c>
    </row>
    <row r="432" spans="1:15" x14ac:dyDescent="0.3">
      <c r="A432">
        <v>38261</v>
      </c>
      <c r="B432">
        <v>3203130</v>
      </c>
      <c r="C432" t="s">
        <v>55</v>
      </c>
      <c r="D432">
        <v>0.38600000000000001</v>
      </c>
      <c r="E432">
        <v>1332557.25</v>
      </c>
      <c r="F432">
        <v>79060.31</v>
      </c>
      <c r="G432">
        <v>1411617.56</v>
      </c>
      <c r="H432">
        <v>11574.18</v>
      </c>
      <c r="I432">
        <v>229878.94</v>
      </c>
      <c r="J432">
        <v>0.66600000000000004</v>
      </c>
      <c r="K432">
        <v>41281.040000000001</v>
      </c>
      <c r="L432">
        <v>0</v>
      </c>
      <c r="M432">
        <v>0</v>
      </c>
      <c r="N432">
        <v>2022</v>
      </c>
      <c r="O432">
        <v>5</v>
      </c>
    </row>
    <row r="433" spans="1:15" x14ac:dyDescent="0.3">
      <c r="A433">
        <v>38262</v>
      </c>
      <c r="B433">
        <v>3203163</v>
      </c>
      <c r="C433" t="s">
        <v>56</v>
      </c>
      <c r="D433">
        <v>0.372</v>
      </c>
      <c r="E433">
        <v>1284226.1499999999</v>
      </c>
      <c r="F433">
        <v>76192.850000000006</v>
      </c>
      <c r="G433">
        <v>1360419</v>
      </c>
      <c r="H433">
        <v>11154.39</v>
      </c>
      <c r="I433">
        <v>117687.44</v>
      </c>
      <c r="J433">
        <v>0.441</v>
      </c>
      <c r="K433">
        <v>39783.81</v>
      </c>
      <c r="L433">
        <v>0</v>
      </c>
      <c r="M433">
        <v>0</v>
      </c>
      <c r="N433">
        <v>2022</v>
      </c>
      <c r="O433">
        <v>5</v>
      </c>
    </row>
    <row r="434" spans="1:15" x14ac:dyDescent="0.3">
      <c r="A434">
        <v>38263</v>
      </c>
      <c r="B434">
        <v>3203205</v>
      </c>
      <c r="C434" t="s">
        <v>57</v>
      </c>
      <c r="D434">
        <v>5.4</v>
      </c>
      <c r="E434">
        <v>18641992.48</v>
      </c>
      <c r="F434">
        <v>1106025</v>
      </c>
      <c r="G434">
        <v>19748017.48</v>
      </c>
      <c r="H434">
        <v>161918.63</v>
      </c>
      <c r="I434">
        <v>2820326.15</v>
      </c>
      <c r="J434">
        <v>4.0880000000000001</v>
      </c>
      <c r="K434">
        <v>577506.80000000005</v>
      </c>
      <c r="L434">
        <v>0</v>
      </c>
      <c r="M434">
        <v>0</v>
      </c>
      <c r="N434">
        <v>2022</v>
      </c>
      <c r="O434">
        <v>5</v>
      </c>
    </row>
    <row r="435" spans="1:15" x14ac:dyDescent="0.3">
      <c r="A435">
        <v>38264</v>
      </c>
      <c r="B435">
        <v>3203304</v>
      </c>
      <c r="C435" t="s">
        <v>58</v>
      </c>
      <c r="D435">
        <v>0.216</v>
      </c>
      <c r="E435">
        <v>745679.69</v>
      </c>
      <c r="F435">
        <v>44241</v>
      </c>
      <c r="G435">
        <v>789920.69</v>
      </c>
      <c r="H435">
        <v>6476.75</v>
      </c>
      <c r="I435">
        <v>231142.61</v>
      </c>
      <c r="J435">
        <v>0.57599999999999996</v>
      </c>
      <c r="K435">
        <v>23100.27</v>
      </c>
      <c r="L435">
        <v>0</v>
      </c>
      <c r="M435">
        <v>0</v>
      </c>
      <c r="N435">
        <v>2022</v>
      </c>
      <c r="O435">
        <v>5</v>
      </c>
    </row>
    <row r="436" spans="1:15" x14ac:dyDescent="0.3">
      <c r="A436">
        <v>38265</v>
      </c>
      <c r="B436">
        <v>3203320</v>
      </c>
      <c r="C436" t="s">
        <v>59</v>
      </c>
      <c r="D436">
        <v>0.60899999999999999</v>
      </c>
      <c r="E436">
        <v>2102402.46</v>
      </c>
      <c r="F436">
        <v>124735.05</v>
      </c>
      <c r="G436">
        <v>2227137.5099999998</v>
      </c>
      <c r="H436">
        <v>18260.82</v>
      </c>
      <c r="I436">
        <v>588256.37</v>
      </c>
      <c r="J436">
        <v>1.171</v>
      </c>
      <c r="K436">
        <v>65129.93</v>
      </c>
      <c r="L436">
        <v>0</v>
      </c>
      <c r="M436">
        <v>0</v>
      </c>
      <c r="N436">
        <v>2022</v>
      </c>
      <c r="O436">
        <v>5</v>
      </c>
    </row>
    <row r="437" spans="1:15" x14ac:dyDescent="0.3">
      <c r="A437">
        <v>38266</v>
      </c>
      <c r="B437">
        <v>3203346</v>
      </c>
      <c r="C437" t="s">
        <v>60</v>
      </c>
      <c r="D437">
        <v>0.64500000000000002</v>
      </c>
      <c r="E437">
        <v>2226682.4300000002</v>
      </c>
      <c r="F437">
        <v>132108.54</v>
      </c>
      <c r="G437">
        <v>2358790.9700000002</v>
      </c>
      <c r="H437">
        <v>19340.28</v>
      </c>
      <c r="I437">
        <v>400514.4</v>
      </c>
      <c r="J437">
        <v>0.67100000000000004</v>
      </c>
      <c r="K437">
        <v>68979.98</v>
      </c>
      <c r="L437">
        <v>0</v>
      </c>
      <c r="M437">
        <v>0</v>
      </c>
      <c r="N437">
        <v>2022</v>
      </c>
      <c r="O437">
        <v>5</v>
      </c>
    </row>
    <row r="438" spans="1:15" x14ac:dyDescent="0.3">
      <c r="A438">
        <v>38267</v>
      </c>
      <c r="B438">
        <v>3203353</v>
      </c>
      <c r="C438" t="s">
        <v>61</v>
      </c>
      <c r="D438">
        <v>0.45200000000000001</v>
      </c>
      <c r="E438">
        <v>1560403.82</v>
      </c>
      <c r="F438">
        <v>92578.39</v>
      </c>
      <c r="G438">
        <v>1652982.21</v>
      </c>
      <c r="H438">
        <v>13553.19</v>
      </c>
      <c r="I438">
        <v>210399.8</v>
      </c>
      <c r="J438">
        <v>0.46700000000000003</v>
      </c>
      <c r="K438">
        <v>48339.46</v>
      </c>
      <c r="L438">
        <v>0</v>
      </c>
      <c r="M438">
        <v>0</v>
      </c>
      <c r="N438">
        <v>2022</v>
      </c>
      <c r="O438">
        <v>5</v>
      </c>
    </row>
    <row r="439" spans="1:15" x14ac:dyDescent="0.3">
      <c r="A439">
        <v>38268</v>
      </c>
      <c r="B439">
        <v>3203403</v>
      </c>
      <c r="C439" t="s">
        <v>62</v>
      </c>
      <c r="D439">
        <v>0.51400000000000001</v>
      </c>
      <c r="E439">
        <v>1774441.5</v>
      </c>
      <c r="F439">
        <v>105277.2</v>
      </c>
      <c r="G439">
        <v>1879718.7</v>
      </c>
      <c r="H439">
        <v>15412.25</v>
      </c>
      <c r="I439">
        <v>272585.17</v>
      </c>
      <c r="J439">
        <v>0.85599999999999998</v>
      </c>
      <c r="K439">
        <v>54970.1</v>
      </c>
      <c r="L439">
        <v>0</v>
      </c>
      <c r="M439">
        <v>0</v>
      </c>
      <c r="N439">
        <v>2022</v>
      </c>
      <c r="O439">
        <v>5</v>
      </c>
    </row>
    <row r="440" spans="1:15" x14ac:dyDescent="0.3">
      <c r="A440">
        <v>38269</v>
      </c>
      <c r="B440">
        <v>3203502</v>
      </c>
      <c r="C440" t="s">
        <v>63</v>
      </c>
      <c r="D440">
        <v>0.53600000000000003</v>
      </c>
      <c r="E440">
        <v>1850390.36</v>
      </c>
      <c r="F440">
        <v>109783.2</v>
      </c>
      <c r="G440">
        <v>1960173.56</v>
      </c>
      <c r="H440">
        <v>16071.92</v>
      </c>
      <c r="I440">
        <v>253586.42</v>
      </c>
      <c r="J440">
        <v>0.69299999999999995</v>
      </c>
      <c r="K440">
        <v>57322.89</v>
      </c>
      <c r="L440">
        <v>0</v>
      </c>
      <c r="M440">
        <v>0</v>
      </c>
      <c r="N440">
        <v>2022</v>
      </c>
      <c r="O440">
        <v>5</v>
      </c>
    </row>
    <row r="441" spans="1:15" x14ac:dyDescent="0.3">
      <c r="A441">
        <v>38270</v>
      </c>
      <c r="B441">
        <v>3203601</v>
      </c>
      <c r="C441" t="s">
        <v>64</v>
      </c>
      <c r="D441">
        <v>0.27800000000000002</v>
      </c>
      <c r="E441">
        <v>959717.4</v>
      </c>
      <c r="F441">
        <v>56939.81</v>
      </c>
      <c r="G441">
        <v>1016657.21</v>
      </c>
      <c r="H441">
        <v>8335.81</v>
      </c>
      <c r="I441">
        <v>56558.74</v>
      </c>
      <c r="J441">
        <v>0.29799999999999999</v>
      </c>
      <c r="K441">
        <v>29730.9</v>
      </c>
      <c r="L441">
        <v>0</v>
      </c>
      <c r="M441">
        <v>0</v>
      </c>
      <c r="N441">
        <v>2022</v>
      </c>
      <c r="O441">
        <v>5</v>
      </c>
    </row>
    <row r="442" spans="1:15" x14ac:dyDescent="0.3">
      <c r="A442">
        <v>38271</v>
      </c>
      <c r="B442">
        <v>3203700</v>
      </c>
      <c r="C442" t="s">
        <v>65</v>
      </c>
      <c r="D442">
        <v>0.55000000000000004</v>
      </c>
      <c r="E442">
        <v>1898721.47</v>
      </c>
      <c r="F442">
        <v>112650.67</v>
      </c>
      <c r="G442">
        <v>2011372.14</v>
      </c>
      <c r="H442">
        <v>16491.71</v>
      </c>
      <c r="I442">
        <v>172386.29</v>
      </c>
      <c r="J442">
        <v>0.67100000000000004</v>
      </c>
      <c r="K442">
        <v>58820.13</v>
      </c>
      <c r="L442">
        <v>0</v>
      </c>
      <c r="M442">
        <v>0</v>
      </c>
      <c r="N442">
        <v>2022</v>
      </c>
      <c r="O442">
        <v>5</v>
      </c>
    </row>
    <row r="443" spans="1:15" x14ac:dyDescent="0.3">
      <c r="A443">
        <v>38272</v>
      </c>
      <c r="B443">
        <v>3203809</v>
      </c>
      <c r="C443" t="s">
        <v>66</v>
      </c>
      <c r="D443">
        <v>0.29599999999999999</v>
      </c>
      <c r="E443">
        <v>1021857.38</v>
      </c>
      <c r="F443">
        <v>60626.559999999998</v>
      </c>
      <c r="G443">
        <v>1082483.94</v>
      </c>
      <c r="H443">
        <v>8875.5400000000009</v>
      </c>
      <c r="I443">
        <v>147747.87</v>
      </c>
      <c r="J443">
        <v>0.57499999999999996</v>
      </c>
      <c r="K443">
        <v>31655.919999999998</v>
      </c>
      <c r="L443">
        <v>0</v>
      </c>
      <c r="M443">
        <v>0</v>
      </c>
      <c r="N443">
        <v>2022</v>
      </c>
      <c r="O443">
        <v>5</v>
      </c>
    </row>
    <row r="444" spans="1:15" x14ac:dyDescent="0.3">
      <c r="A444">
        <v>38273</v>
      </c>
      <c r="B444">
        <v>3203908</v>
      </c>
      <c r="C444" t="s">
        <v>67</v>
      </c>
      <c r="D444">
        <v>1.268</v>
      </c>
      <c r="E444">
        <v>4377416.03</v>
      </c>
      <c r="F444">
        <v>259711.05</v>
      </c>
      <c r="G444">
        <v>4637127.08</v>
      </c>
      <c r="H444">
        <v>38020.89</v>
      </c>
      <c r="I444">
        <v>778832.67</v>
      </c>
      <c r="J444">
        <v>1.4650000000000001</v>
      </c>
      <c r="K444">
        <v>135607.15</v>
      </c>
      <c r="L444">
        <v>0</v>
      </c>
      <c r="M444">
        <v>0</v>
      </c>
      <c r="N444">
        <v>2022</v>
      </c>
      <c r="O444">
        <v>5</v>
      </c>
    </row>
    <row r="445" spans="1:15" x14ac:dyDescent="0.3">
      <c r="A445">
        <v>38274</v>
      </c>
      <c r="B445">
        <v>3204005</v>
      </c>
      <c r="C445" t="s">
        <v>68</v>
      </c>
      <c r="D445">
        <v>0.47099999999999997</v>
      </c>
      <c r="E445">
        <v>1625996</v>
      </c>
      <c r="F445">
        <v>96469.94</v>
      </c>
      <c r="G445">
        <v>1722465.94</v>
      </c>
      <c r="H445">
        <v>14122.9</v>
      </c>
      <c r="I445">
        <v>191323.98</v>
      </c>
      <c r="J445">
        <v>0.747</v>
      </c>
      <c r="K445">
        <v>50371.43</v>
      </c>
      <c r="L445">
        <v>0</v>
      </c>
      <c r="M445">
        <v>0</v>
      </c>
      <c r="N445">
        <v>2022</v>
      </c>
      <c r="O445">
        <v>5</v>
      </c>
    </row>
    <row r="446" spans="1:15" x14ac:dyDescent="0.3">
      <c r="A446">
        <v>38275</v>
      </c>
      <c r="B446">
        <v>3204054</v>
      </c>
      <c r="C446" t="s">
        <v>69</v>
      </c>
      <c r="D446">
        <v>0.313</v>
      </c>
      <c r="E446">
        <v>1080545.1200000001</v>
      </c>
      <c r="F446">
        <v>64108.480000000003</v>
      </c>
      <c r="G446">
        <v>1144653.6000000001</v>
      </c>
      <c r="H446">
        <v>9385.2800000000007</v>
      </c>
      <c r="I446">
        <v>260275.07</v>
      </c>
      <c r="J446">
        <v>0.86199999999999999</v>
      </c>
      <c r="K446">
        <v>33474.01</v>
      </c>
      <c r="L446">
        <v>0</v>
      </c>
      <c r="M446">
        <v>0</v>
      </c>
      <c r="N446">
        <v>2022</v>
      </c>
      <c r="O446">
        <v>5</v>
      </c>
    </row>
    <row r="447" spans="1:15" x14ac:dyDescent="0.3">
      <c r="A447">
        <v>38276</v>
      </c>
      <c r="B447">
        <v>3204104</v>
      </c>
      <c r="C447" t="s">
        <v>70</v>
      </c>
      <c r="D447">
        <v>0.72599999999999998</v>
      </c>
      <c r="E447">
        <v>2506312.33</v>
      </c>
      <c r="F447">
        <v>148698.91</v>
      </c>
      <c r="G447">
        <v>2655011.2400000002</v>
      </c>
      <c r="H447">
        <v>21769.06</v>
      </c>
      <c r="I447">
        <v>227862.47</v>
      </c>
      <c r="J447">
        <v>0.875</v>
      </c>
      <c r="K447">
        <v>77642.58</v>
      </c>
      <c r="L447">
        <v>0</v>
      </c>
      <c r="M447">
        <v>0</v>
      </c>
      <c r="N447">
        <v>2022</v>
      </c>
      <c r="O447">
        <v>5</v>
      </c>
    </row>
    <row r="448" spans="1:15" x14ac:dyDescent="0.3">
      <c r="A448">
        <v>38277</v>
      </c>
      <c r="B448">
        <v>3204203</v>
      </c>
      <c r="C448" t="s">
        <v>71</v>
      </c>
      <c r="D448">
        <v>0.14599999999999999</v>
      </c>
      <c r="E448">
        <v>504024.22</v>
      </c>
      <c r="F448">
        <v>29903.65</v>
      </c>
      <c r="G448">
        <v>533927.87</v>
      </c>
      <c r="H448">
        <v>4377.8</v>
      </c>
      <c r="I448">
        <v>357226.48</v>
      </c>
      <c r="J448">
        <v>0.73399999999999999</v>
      </c>
      <c r="K448">
        <v>15614.07</v>
      </c>
      <c r="L448">
        <v>0</v>
      </c>
      <c r="M448">
        <v>0</v>
      </c>
      <c r="N448">
        <v>2022</v>
      </c>
      <c r="O448">
        <v>5</v>
      </c>
    </row>
    <row r="449" spans="1:15" x14ac:dyDescent="0.3">
      <c r="A449">
        <v>38278</v>
      </c>
      <c r="B449">
        <v>3204252</v>
      </c>
      <c r="C449" t="s">
        <v>72</v>
      </c>
      <c r="D449">
        <v>0.221</v>
      </c>
      <c r="E449">
        <v>762940.82</v>
      </c>
      <c r="F449">
        <v>45265.08</v>
      </c>
      <c r="G449">
        <v>808205.9</v>
      </c>
      <c r="H449">
        <v>6626.67</v>
      </c>
      <c r="I449">
        <v>67525.960000000006</v>
      </c>
      <c r="J449">
        <v>0.32900000000000001</v>
      </c>
      <c r="K449">
        <v>23635</v>
      </c>
      <c r="L449">
        <v>0</v>
      </c>
      <c r="M449">
        <v>0</v>
      </c>
      <c r="N449">
        <v>2022</v>
      </c>
      <c r="O449">
        <v>5</v>
      </c>
    </row>
    <row r="450" spans="1:15" x14ac:dyDescent="0.3">
      <c r="A450">
        <v>38279</v>
      </c>
      <c r="B450">
        <v>1718402</v>
      </c>
      <c r="C450" t="s">
        <v>73</v>
      </c>
      <c r="D450">
        <v>0.33800000000000002</v>
      </c>
      <c r="E450">
        <v>1166850.6399999999</v>
      </c>
      <c r="F450">
        <v>69229</v>
      </c>
      <c r="G450">
        <v>1236079.6399999999</v>
      </c>
      <c r="H450">
        <v>10134.91</v>
      </c>
      <c r="I450">
        <v>226374.57</v>
      </c>
      <c r="J450">
        <v>0.45100000000000001</v>
      </c>
      <c r="K450">
        <v>36147.65</v>
      </c>
      <c r="L450">
        <v>0</v>
      </c>
      <c r="M450">
        <v>0</v>
      </c>
      <c r="N450">
        <v>2022</v>
      </c>
      <c r="O450">
        <v>5</v>
      </c>
    </row>
    <row r="451" spans="1:15" x14ac:dyDescent="0.3">
      <c r="A451">
        <v>38280</v>
      </c>
      <c r="B451">
        <v>3204351</v>
      </c>
      <c r="C451" t="s">
        <v>74</v>
      </c>
      <c r="D451">
        <v>0.79700000000000004</v>
      </c>
      <c r="E451">
        <v>2751419.99</v>
      </c>
      <c r="F451">
        <v>163241.10999999999</v>
      </c>
      <c r="G451">
        <v>2914661.1</v>
      </c>
      <c r="H451">
        <v>23897.99</v>
      </c>
      <c r="I451">
        <v>343550.11</v>
      </c>
      <c r="J451">
        <v>0.69799999999999995</v>
      </c>
      <c r="K451">
        <v>85235.72</v>
      </c>
      <c r="L451">
        <v>0</v>
      </c>
      <c r="M451">
        <v>0</v>
      </c>
      <c r="N451">
        <v>2022</v>
      </c>
      <c r="O451">
        <v>5</v>
      </c>
    </row>
    <row r="452" spans="1:15" x14ac:dyDescent="0.3">
      <c r="A452">
        <v>38281</v>
      </c>
      <c r="B452">
        <v>3204401</v>
      </c>
      <c r="C452" t="s">
        <v>75</v>
      </c>
      <c r="D452">
        <v>0.27500000000000002</v>
      </c>
      <c r="E452">
        <v>949360.73</v>
      </c>
      <c r="F452">
        <v>56325.33</v>
      </c>
      <c r="G452">
        <v>1005686.06</v>
      </c>
      <c r="H452">
        <v>8245.86</v>
      </c>
      <c r="I452">
        <v>163471.88</v>
      </c>
      <c r="J452">
        <v>0.45</v>
      </c>
      <c r="K452">
        <v>29410.07</v>
      </c>
      <c r="L452">
        <v>0</v>
      </c>
      <c r="M452">
        <v>0</v>
      </c>
      <c r="N452">
        <v>2022</v>
      </c>
      <c r="O452">
        <v>5</v>
      </c>
    </row>
    <row r="453" spans="1:15" x14ac:dyDescent="0.3">
      <c r="A453">
        <v>38282</v>
      </c>
      <c r="B453">
        <v>3204500</v>
      </c>
      <c r="C453" t="s">
        <v>76</v>
      </c>
      <c r="D453">
        <v>0.53800000000000003</v>
      </c>
      <c r="E453">
        <v>1857294.8</v>
      </c>
      <c r="F453">
        <v>110192.84</v>
      </c>
      <c r="G453">
        <v>1967487.64</v>
      </c>
      <c r="H453">
        <v>16131.89</v>
      </c>
      <c r="I453">
        <v>148057.57</v>
      </c>
      <c r="J453">
        <v>0.45600000000000002</v>
      </c>
      <c r="K453">
        <v>57536.79</v>
      </c>
      <c r="L453">
        <v>0</v>
      </c>
      <c r="M453">
        <v>0</v>
      </c>
      <c r="N453">
        <v>2022</v>
      </c>
      <c r="O453">
        <v>5</v>
      </c>
    </row>
    <row r="454" spans="1:15" x14ac:dyDescent="0.3">
      <c r="A454">
        <v>38283</v>
      </c>
      <c r="B454">
        <v>3204559</v>
      </c>
      <c r="C454" t="s">
        <v>77</v>
      </c>
      <c r="D454">
        <v>2.1160000000000001</v>
      </c>
      <c r="E454">
        <v>7304899.2300000004</v>
      </c>
      <c r="F454">
        <v>433397.94</v>
      </c>
      <c r="G454">
        <v>7738297.1699999999</v>
      </c>
      <c r="H454">
        <v>63448.12</v>
      </c>
      <c r="I454">
        <v>947224.44</v>
      </c>
      <c r="J454">
        <v>1.1990000000000001</v>
      </c>
      <c r="K454">
        <v>226297.11</v>
      </c>
      <c r="L454">
        <v>0</v>
      </c>
      <c r="M454">
        <v>0</v>
      </c>
      <c r="N454">
        <v>2022</v>
      </c>
      <c r="O454">
        <v>5</v>
      </c>
    </row>
    <row r="455" spans="1:15" x14ac:dyDescent="0.3">
      <c r="A455">
        <v>38284</v>
      </c>
      <c r="B455">
        <v>3204609</v>
      </c>
      <c r="C455" t="s">
        <v>78</v>
      </c>
      <c r="D455">
        <v>0.68799999999999994</v>
      </c>
      <c r="E455">
        <v>2375127.92</v>
      </c>
      <c r="F455">
        <v>140915.76</v>
      </c>
      <c r="G455">
        <v>2516043.6800000002</v>
      </c>
      <c r="H455">
        <v>20629.63</v>
      </c>
      <c r="I455">
        <v>442291.14</v>
      </c>
      <c r="J455">
        <v>0.82899999999999996</v>
      </c>
      <c r="K455">
        <v>73578.649999999994</v>
      </c>
      <c r="L455">
        <v>0</v>
      </c>
      <c r="M455">
        <v>0</v>
      </c>
      <c r="N455">
        <v>2022</v>
      </c>
      <c r="O455">
        <v>5</v>
      </c>
    </row>
    <row r="456" spans="1:15" x14ac:dyDescent="0.3">
      <c r="A456">
        <v>38285</v>
      </c>
      <c r="B456">
        <v>3204658</v>
      </c>
      <c r="C456" t="s">
        <v>79</v>
      </c>
      <c r="D456">
        <v>0.42399999999999999</v>
      </c>
      <c r="E456">
        <v>1463741.64</v>
      </c>
      <c r="F456">
        <v>86843.45</v>
      </c>
      <c r="G456">
        <v>1550585.09</v>
      </c>
      <c r="H456">
        <v>12713.61</v>
      </c>
      <c r="I456">
        <v>129760.75</v>
      </c>
      <c r="J456">
        <v>0.33700000000000002</v>
      </c>
      <c r="K456">
        <v>45344.98</v>
      </c>
      <c r="L456">
        <v>0</v>
      </c>
      <c r="M456">
        <v>0</v>
      </c>
      <c r="N456">
        <v>2022</v>
      </c>
      <c r="O456">
        <v>5</v>
      </c>
    </row>
    <row r="457" spans="1:15" x14ac:dyDescent="0.3">
      <c r="A457">
        <v>38286</v>
      </c>
      <c r="B457">
        <v>3204708</v>
      </c>
      <c r="C457" t="s">
        <v>80</v>
      </c>
      <c r="D457">
        <v>0.81499999999999995</v>
      </c>
      <c r="E457">
        <v>2813559.99</v>
      </c>
      <c r="F457">
        <v>166927.84</v>
      </c>
      <c r="G457">
        <v>2980487.83</v>
      </c>
      <c r="H457">
        <v>24437.72</v>
      </c>
      <c r="I457">
        <v>505378.61</v>
      </c>
      <c r="J457">
        <v>1.169</v>
      </c>
      <c r="K457">
        <v>87160.75</v>
      </c>
      <c r="L457">
        <v>0</v>
      </c>
      <c r="M457">
        <v>0</v>
      </c>
      <c r="N457">
        <v>2022</v>
      </c>
      <c r="O457">
        <v>5</v>
      </c>
    </row>
    <row r="458" spans="1:15" x14ac:dyDescent="0.3">
      <c r="A458">
        <v>38287</v>
      </c>
      <c r="B458">
        <v>3204807</v>
      </c>
      <c r="C458" t="s">
        <v>81</v>
      </c>
      <c r="D458">
        <v>0.23</v>
      </c>
      <c r="E458">
        <v>794010.8</v>
      </c>
      <c r="F458">
        <v>47108.46</v>
      </c>
      <c r="G458">
        <v>841119.26</v>
      </c>
      <c r="H458">
        <v>6896.53</v>
      </c>
      <c r="I458">
        <v>122111.07</v>
      </c>
      <c r="J458">
        <v>0.436</v>
      </c>
      <c r="K458">
        <v>24597.52</v>
      </c>
      <c r="L458">
        <v>0</v>
      </c>
      <c r="M458">
        <v>0</v>
      </c>
      <c r="N458">
        <v>2022</v>
      </c>
      <c r="O458">
        <v>5</v>
      </c>
    </row>
    <row r="459" spans="1:15" x14ac:dyDescent="0.3">
      <c r="A459">
        <v>38288</v>
      </c>
      <c r="B459">
        <v>3204906</v>
      </c>
      <c r="C459" t="s">
        <v>82</v>
      </c>
      <c r="D459">
        <v>1.8839999999999999</v>
      </c>
      <c r="E459">
        <v>6503984</v>
      </c>
      <c r="F459">
        <v>385879.85</v>
      </c>
      <c r="G459">
        <v>6889863.8499999996</v>
      </c>
      <c r="H459">
        <v>56491.61</v>
      </c>
      <c r="I459">
        <v>1743568.05</v>
      </c>
      <c r="J459">
        <v>3.024</v>
      </c>
      <c r="K459">
        <v>201485.7</v>
      </c>
      <c r="L459">
        <v>0</v>
      </c>
      <c r="M459">
        <v>0</v>
      </c>
      <c r="N459">
        <v>2022</v>
      </c>
      <c r="O459">
        <v>5</v>
      </c>
    </row>
    <row r="460" spans="1:15" x14ac:dyDescent="0.3">
      <c r="A460">
        <v>38289</v>
      </c>
      <c r="B460">
        <v>3204955</v>
      </c>
      <c r="C460" t="s">
        <v>83</v>
      </c>
      <c r="D460">
        <v>0.32600000000000001</v>
      </c>
      <c r="E460">
        <v>1125423.97</v>
      </c>
      <c r="F460">
        <v>66771.16</v>
      </c>
      <c r="G460">
        <v>1192195.1299999999</v>
      </c>
      <c r="H460">
        <v>9775.09</v>
      </c>
      <c r="I460">
        <v>146835.06</v>
      </c>
      <c r="J460">
        <v>0.46100000000000002</v>
      </c>
      <c r="K460">
        <v>34864.29</v>
      </c>
      <c r="L460">
        <v>0</v>
      </c>
      <c r="M460">
        <v>0</v>
      </c>
      <c r="N460">
        <v>2022</v>
      </c>
      <c r="O460">
        <v>5</v>
      </c>
    </row>
    <row r="461" spans="1:15" x14ac:dyDescent="0.3">
      <c r="A461">
        <v>38290</v>
      </c>
      <c r="B461">
        <v>3205002</v>
      </c>
      <c r="C461" t="s">
        <v>84</v>
      </c>
      <c r="D461">
        <v>14.176</v>
      </c>
      <c r="E461">
        <v>48938682.43</v>
      </c>
      <c r="F461">
        <v>2903520.44</v>
      </c>
      <c r="G461">
        <v>51842202.869999997</v>
      </c>
      <c r="H461">
        <v>425066.39</v>
      </c>
      <c r="I461">
        <v>7156972.6200000001</v>
      </c>
      <c r="J461">
        <v>8.4320000000000004</v>
      </c>
      <c r="K461">
        <v>1516062.31</v>
      </c>
      <c r="L461">
        <v>0</v>
      </c>
      <c r="M461">
        <v>0</v>
      </c>
      <c r="N461">
        <v>2022</v>
      </c>
      <c r="O461">
        <v>5</v>
      </c>
    </row>
    <row r="462" spans="1:15" x14ac:dyDescent="0.3">
      <c r="A462">
        <v>38291</v>
      </c>
      <c r="B462">
        <v>3205010</v>
      </c>
      <c r="C462" t="s">
        <v>85</v>
      </c>
      <c r="D462">
        <v>0.72199999999999998</v>
      </c>
      <c r="E462">
        <v>2492503.42</v>
      </c>
      <c r="F462">
        <v>147879.63</v>
      </c>
      <c r="G462">
        <v>2640383.0499999998</v>
      </c>
      <c r="H462">
        <v>21649.119999999999</v>
      </c>
      <c r="I462">
        <v>271903.26</v>
      </c>
      <c r="J462">
        <v>0.997</v>
      </c>
      <c r="K462">
        <v>77214.8</v>
      </c>
      <c r="L462">
        <v>0</v>
      </c>
      <c r="M462">
        <v>0</v>
      </c>
      <c r="N462">
        <v>2022</v>
      </c>
      <c r="O462">
        <v>5</v>
      </c>
    </row>
    <row r="463" spans="1:15" x14ac:dyDescent="0.3">
      <c r="A463">
        <v>38292</v>
      </c>
      <c r="B463">
        <v>3205036</v>
      </c>
      <c r="C463" t="s">
        <v>86</v>
      </c>
      <c r="D463">
        <v>0.498</v>
      </c>
      <c r="E463">
        <v>1719205.98</v>
      </c>
      <c r="F463">
        <v>102000.09</v>
      </c>
      <c r="G463">
        <v>1821206.07</v>
      </c>
      <c r="H463">
        <v>14932.5</v>
      </c>
      <c r="I463">
        <v>307835.07</v>
      </c>
      <c r="J463">
        <v>0.72699999999999998</v>
      </c>
      <c r="K463">
        <v>53258.96</v>
      </c>
      <c r="L463">
        <v>0</v>
      </c>
      <c r="M463">
        <v>0</v>
      </c>
      <c r="N463">
        <v>2022</v>
      </c>
      <c r="O463">
        <v>5</v>
      </c>
    </row>
    <row r="464" spans="1:15" x14ac:dyDescent="0.3">
      <c r="A464">
        <v>38293</v>
      </c>
      <c r="B464">
        <v>3205069</v>
      </c>
      <c r="C464" t="s">
        <v>87</v>
      </c>
      <c r="D464">
        <v>0.75800000000000001</v>
      </c>
      <c r="E464">
        <v>2616783.39</v>
      </c>
      <c r="F464">
        <v>155253.13</v>
      </c>
      <c r="G464">
        <v>2772036.52</v>
      </c>
      <c r="H464">
        <v>22728.58</v>
      </c>
      <c r="I464">
        <v>508956.25</v>
      </c>
      <c r="J464">
        <v>0.85799999999999998</v>
      </c>
      <c r="K464">
        <v>81064.84</v>
      </c>
      <c r="L464">
        <v>0</v>
      </c>
      <c r="M464">
        <v>0</v>
      </c>
      <c r="N464">
        <v>2022</v>
      </c>
      <c r="O464">
        <v>5</v>
      </c>
    </row>
    <row r="465" spans="1:15" x14ac:dyDescent="0.3">
      <c r="A465">
        <v>38294</v>
      </c>
      <c r="B465">
        <v>2112803</v>
      </c>
      <c r="C465" t="s">
        <v>88</v>
      </c>
      <c r="D465">
        <v>2.9929999999999999</v>
      </c>
      <c r="E465">
        <v>10332496.92</v>
      </c>
      <c r="F465">
        <v>613024.57999999996</v>
      </c>
      <c r="G465">
        <v>10945521.5</v>
      </c>
      <c r="H465">
        <v>89744.9</v>
      </c>
      <c r="I465">
        <v>1025444.11</v>
      </c>
      <c r="J465">
        <v>1.984</v>
      </c>
      <c r="K465">
        <v>320088.49</v>
      </c>
      <c r="L465">
        <v>0</v>
      </c>
      <c r="M465">
        <v>0</v>
      </c>
      <c r="N465">
        <v>2022</v>
      </c>
      <c r="O465">
        <v>5</v>
      </c>
    </row>
    <row r="466" spans="1:15" x14ac:dyDescent="0.3">
      <c r="A466">
        <v>38295</v>
      </c>
      <c r="B466">
        <v>3205150</v>
      </c>
      <c r="C466" t="s">
        <v>89</v>
      </c>
      <c r="D466">
        <v>0.32800000000000001</v>
      </c>
      <c r="E466">
        <v>1132328.42</v>
      </c>
      <c r="F466">
        <v>67180.759999999995</v>
      </c>
      <c r="G466">
        <v>1199509.18</v>
      </c>
      <c r="H466">
        <v>9835.06</v>
      </c>
      <c r="I466">
        <v>109744.86</v>
      </c>
      <c r="J466">
        <v>0.34399999999999997</v>
      </c>
      <c r="K466">
        <v>35078.19</v>
      </c>
      <c r="L466">
        <v>0</v>
      </c>
      <c r="M466">
        <v>0</v>
      </c>
      <c r="N466">
        <v>2022</v>
      </c>
      <c r="O466">
        <v>5</v>
      </c>
    </row>
    <row r="467" spans="1:15" x14ac:dyDescent="0.3">
      <c r="A467">
        <v>38296</v>
      </c>
      <c r="B467">
        <v>3205176</v>
      </c>
      <c r="C467" t="s">
        <v>90</v>
      </c>
      <c r="D467">
        <v>0.623</v>
      </c>
      <c r="E467">
        <v>2150733.58</v>
      </c>
      <c r="F467">
        <v>127602.53</v>
      </c>
      <c r="G467">
        <v>2278336.11</v>
      </c>
      <c r="H467">
        <v>18680.61</v>
      </c>
      <c r="I467">
        <v>291751.21999999997</v>
      </c>
      <c r="J467">
        <v>0.55600000000000005</v>
      </c>
      <c r="K467">
        <v>66627.17</v>
      </c>
      <c r="L467">
        <v>0</v>
      </c>
      <c r="M467">
        <v>0</v>
      </c>
      <c r="N467">
        <v>2022</v>
      </c>
      <c r="O467">
        <v>5</v>
      </c>
    </row>
    <row r="468" spans="1:15" x14ac:dyDescent="0.3">
      <c r="A468">
        <v>38297</v>
      </c>
      <c r="B468">
        <v>3205200</v>
      </c>
      <c r="C468" t="s">
        <v>91</v>
      </c>
      <c r="D468">
        <v>5.3819999999999997</v>
      </c>
      <c r="E468">
        <v>18579852.48</v>
      </c>
      <c r="F468">
        <v>1102338.24</v>
      </c>
      <c r="G468">
        <v>19682190.719999999</v>
      </c>
      <c r="H468">
        <v>161378.9</v>
      </c>
      <c r="I468">
        <v>8066836.1699999999</v>
      </c>
      <c r="J468">
        <v>8.09</v>
      </c>
      <c r="K468">
        <v>575581.78</v>
      </c>
      <c r="L468">
        <v>0</v>
      </c>
      <c r="M468">
        <v>0</v>
      </c>
      <c r="N468">
        <v>2022</v>
      </c>
      <c r="O468">
        <v>5</v>
      </c>
    </row>
    <row r="469" spans="1:15" x14ac:dyDescent="0.3">
      <c r="A469">
        <v>38298</v>
      </c>
      <c r="B469">
        <v>3205309</v>
      </c>
      <c r="C469" t="s">
        <v>92</v>
      </c>
      <c r="D469">
        <v>14.535</v>
      </c>
      <c r="E469">
        <v>50178029.619999997</v>
      </c>
      <c r="F469">
        <v>2977050.8</v>
      </c>
      <c r="G469">
        <v>53155080.420000002</v>
      </c>
      <c r="H469">
        <v>435830.99</v>
      </c>
      <c r="I469">
        <v>7817881</v>
      </c>
      <c r="J469">
        <v>9.4969999999999999</v>
      </c>
      <c r="K469">
        <v>1554455.83</v>
      </c>
      <c r="L469">
        <v>0</v>
      </c>
      <c r="M469">
        <v>0</v>
      </c>
      <c r="N469">
        <v>2022</v>
      </c>
      <c r="O469">
        <v>5</v>
      </c>
    </row>
    <row r="470" spans="1:15" x14ac:dyDescent="0.3">
      <c r="A470">
        <v>38299</v>
      </c>
      <c r="B470">
        <v>3200102</v>
      </c>
      <c r="C470" t="s">
        <v>15</v>
      </c>
      <c r="D470">
        <v>0.8</v>
      </c>
      <c r="E470">
        <v>2955921.71</v>
      </c>
      <c r="F470">
        <v>34404.019999999997</v>
      </c>
      <c r="G470">
        <v>2990325.73</v>
      </c>
      <c r="H470">
        <v>25964.080000000002</v>
      </c>
      <c r="I470">
        <v>320813.34999999998</v>
      </c>
      <c r="J470">
        <v>0.98499999999999999</v>
      </c>
      <c r="K470">
        <v>67231.509999999995</v>
      </c>
      <c r="L470">
        <v>0</v>
      </c>
      <c r="M470">
        <v>0</v>
      </c>
      <c r="N470">
        <v>2022</v>
      </c>
      <c r="O470">
        <v>6</v>
      </c>
    </row>
    <row r="471" spans="1:15" x14ac:dyDescent="0.3">
      <c r="A471">
        <v>38300</v>
      </c>
      <c r="B471">
        <v>3200169</v>
      </c>
      <c r="C471" t="s">
        <v>16</v>
      </c>
      <c r="D471">
        <v>0.30099999999999999</v>
      </c>
      <c r="E471">
        <v>1112165.55</v>
      </c>
      <c r="F471">
        <v>12944.51</v>
      </c>
      <c r="G471">
        <v>1125110.06</v>
      </c>
      <c r="H471">
        <v>9768.99</v>
      </c>
      <c r="I471">
        <v>116564.55</v>
      </c>
      <c r="J471">
        <v>0.439</v>
      </c>
      <c r="K471">
        <v>25295.85</v>
      </c>
      <c r="L471">
        <v>0</v>
      </c>
      <c r="M471">
        <v>0</v>
      </c>
      <c r="N471">
        <v>2022</v>
      </c>
      <c r="O471">
        <v>6</v>
      </c>
    </row>
    <row r="472" spans="1:15" x14ac:dyDescent="0.3">
      <c r="A472">
        <v>38301</v>
      </c>
      <c r="B472">
        <v>3200136</v>
      </c>
      <c r="C472" t="s">
        <v>17</v>
      </c>
      <c r="D472">
        <v>0.41599999999999998</v>
      </c>
      <c r="E472">
        <v>1537079.31</v>
      </c>
      <c r="F472">
        <v>17890.060000000001</v>
      </c>
      <c r="G472">
        <v>1554969.37</v>
      </c>
      <c r="H472">
        <v>13501.32</v>
      </c>
      <c r="I472">
        <v>118849.21</v>
      </c>
      <c r="J472">
        <v>0.34799999999999998</v>
      </c>
      <c r="K472">
        <v>34960.379999999997</v>
      </c>
      <c r="L472">
        <v>0</v>
      </c>
      <c r="M472">
        <v>0</v>
      </c>
      <c r="N472">
        <v>2022</v>
      </c>
      <c r="O472">
        <v>6</v>
      </c>
    </row>
    <row r="473" spans="1:15" x14ac:dyDescent="0.3">
      <c r="A473">
        <v>38302</v>
      </c>
      <c r="B473">
        <v>3200201</v>
      </c>
      <c r="C473" t="s">
        <v>18</v>
      </c>
      <c r="D473">
        <v>0.51</v>
      </c>
      <c r="E473">
        <v>1884400.09</v>
      </c>
      <c r="F473">
        <v>21932.57</v>
      </c>
      <c r="G473">
        <v>1906332.66</v>
      </c>
      <c r="H473">
        <v>16552.099999999999</v>
      </c>
      <c r="I473">
        <v>293226.67</v>
      </c>
      <c r="J473">
        <v>0.98</v>
      </c>
      <c r="K473">
        <v>42860.09</v>
      </c>
      <c r="L473">
        <v>0</v>
      </c>
      <c r="M473">
        <v>0</v>
      </c>
      <c r="N473">
        <v>2022</v>
      </c>
      <c r="O473">
        <v>6</v>
      </c>
    </row>
    <row r="474" spans="1:15" x14ac:dyDescent="0.3">
      <c r="A474">
        <v>38303</v>
      </c>
      <c r="B474">
        <v>3200300</v>
      </c>
      <c r="C474" t="s">
        <v>19</v>
      </c>
      <c r="D474">
        <v>0.49</v>
      </c>
      <c r="E474">
        <v>1810502.07</v>
      </c>
      <c r="F474">
        <v>21072.47</v>
      </c>
      <c r="G474">
        <v>1831574.54</v>
      </c>
      <c r="H474">
        <v>15903</v>
      </c>
      <c r="I474">
        <v>253328.76</v>
      </c>
      <c r="J474">
        <v>0.56399999999999995</v>
      </c>
      <c r="K474">
        <v>41179.300000000003</v>
      </c>
      <c r="L474">
        <v>0</v>
      </c>
      <c r="M474">
        <v>0</v>
      </c>
      <c r="N474">
        <v>2022</v>
      </c>
      <c r="O474">
        <v>6</v>
      </c>
    </row>
    <row r="475" spans="1:15" x14ac:dyDescent="0.3">
      <c r="A475">
        <v>38304</v>
      </c>
      <c r="B475">
        <v>3200359</v>
      </c>
      <c r="C475" t="s">
        <v>20</v>
      </c>
      <c r="D475">
        <v>0.23100000000000001</v>
      </c>
      <c r="E475">
        <v>853522.43</v>
      </c>
      <c r="F475">
        <v>9934.15</v>
      </c>
      <c r="G475">
        <v>863456.58</v>
      </c>
      <c r="H475">
        <v>7497.13</v>
      </c>
      <c r="I475">
        <v>75849.72</v>
      </c>
      <c r="J475">
        <v>0.32700000000000001</v>
      </c>
      <c r="K475">
        <v>19413.099999999999</v>
      </c>
      <c r="L475">
        <v>0</v>
      </c>
      <c r="M475">
        <v>0</v>
      </c>
      <c r="N475">
        <v>2022</v>
      </c>
      <c r="O475">
        <v>6</v>
      </c>
    </row>
    <row r="476" spans="1:15" x14ac:dyDescent="0.3">
      <c r="A476">
        <v>38305</v>
      </c>
      <c r="B476">
        <v>3200409</v>
      </c>
      <c r="C476" t="s">
        <v>21</v>
      </c>
      <c r="D476">
        <v>1.766</v>
      </c>
      <c r="E476">
        <v>6525197.2300000004</v>
      </c>
      <c r="F476">
        <v>75946.91</v>
      </c>
      <c r="G476">
        <v>6601144.1399999997</v>
      </c>
      <c r="H476">
        <v>57315.71</v>
      </c>
      <c r="I476">
        <v>375826.91</v>
      </c>
      <c r="J476">
        <v>0.90800000000000003</v>
      </c>
      <c r="K476">
        <v>148413.56</v>
      </c>
      <c r="L476">
        <v>0</v>
      </c>
      <c r="M476">
        <v>0</v>
      </c>
      <c r="N476">
        <v>2022</v>
      </c>
      <c r="O476">
        <v>6</v>
      </c>
    </row>
    <row r="477" spans="1:15" x14ac:dyDescent="0.3">
      <c r="A477">
        <v>38306</v>
      </c>
      <c r="B477">
        <v>3200508</v>
      </c>
      <c r="C477" t="s">
        <v>22</v>
      </c>
      <c r="D477">
        <v>0.185</v>
      </c>
      <c r="E477">
        <v>683556.9</v>
      </c>
      <c r="F477">
        <v>7955.94</v>
      </c>
      <c r="G477">
        <v>691512.84</v>
      </c>
      <c r="H477">
        <v>6004.19</v>
      </c>
      <c r="I477">
        <v>138453.07</v>
      </c>
      <c r="J477">
        <v>0.32300000000000001</v>
      </c>
      <c r="K477">
        <v>15547.28</v>
      </c>
      <c r="L477">
        <v>0</v>
      </c>
      <c r="M477">
        <v>0</v>
      </c>
      <c r="N477">
        <v>2022</v>
      </c>
      <c r="O477">
        <v>6</v>
      </c>
    </row>
    <row r="478" spans="1:15" x14ac:dyDescent="0.3">
      <c r="A478">
        <v>38307</v>
      </c>
      <c r="B478">
        <v>3200607</v>
      </c>
      <c r="C478" t="s">
        <v>23</v>
      </c>
      <c r="D478">
        <v>4.9909999999999997</v>
      </c>
      <c r="E478">
        <v>18441256.73</v>
      </c>
      <c r="F478">
        <v>214638.09</v>
      </c>
      <c r="G478">
        <v>18655894.82</v>
      </c>
      <c r="H478">
        <v>161983.43</v>
      </c>
      <c r="I478">
        <v>1380460.44</v>
      </c>
      <c r="J478">
        <v>2.5089999999999999</v>
      </c>
      <c r="K478">
        <v>419440.58</v>
      </c>
      <c r="L478">
        <v>0</v>
      </c>
      <c r="M478">
        <v>0</v>
      </c>
      <c r="N478">
        <v>2022</v>
      </c>
      <c r="O478">
        <v>6</v>
      </c>
    </row>
    <row r="479" spans="1:15" x14ac:dyDescent="0.3">
      <c r="A479">
        <v>38308</v>
      </c>
      <c r="B479">
        <v>3200706</v>
      </c>
      <c r="C479" t="s">
        <v>24</v>
      </c>
      <c r="D479">
        <v>0.373</v>
      </c>
      <c r="E479">
        <v>1378198.51</v>
      </c>
      <c r="F479">
        <v>16040.87</v>
      </c>
      <c r="G479">
        <v>1394239.38</v>
      </c>
      <c r="H479">
        <v>12105.75</v>
      </c>
      <c r="I479">
        <v>138649.06</v>
      </c>
      <c r="J479">
        <v>0.45700000000000002</v>
      </c>
      <c r="K479">
        <v>31346.69</v>
      </c>
      <c r="L479">
        <v>0</v>
      </c>
      <c r="M479">
        <v>0</v>
      </c>
      <c r="N479">
        <v>2022</v>
      </c>
      <c r="O479">
        <v>6</v>
      </c>
    </row>
    <row r="480" spans="1:15" x14ac:dyDescent="0.3">
      <c r="A480">
        <v>38309</v>
      </c>
      <c r="B480">
        <v>3200805</v>
      </c>
      <c r="C480" t="s">
        <v>25</v>
      </c>
      <c r="D480">
        <v>0.64300000000000002</v>
      </c>
      <c r="E480">
        <v>2375822.12</v>
      </c>
      <c r="F480">
        <v>27652.23</v>
      </c>
      <c r="G480">
        <v>2403474.35</v>
      </c>
      <c r="H480">
        <v>20868.63</v>
      </c>
      <c r="I480">
        <v>565436.51</v>
      </c>
      <c r="J480">
        <v>0.996</v>
      </c>
      <c r="K480">
        <v>54037.33</v>
      </c>
      <c r="L480">
        <v>0</v>
      </c>
      <c r="M480">
        <v>0</v>
      </c>
      <c r="N480">
        <v>2022</v>
      </c>
      <c r="O480">
        <v>6</v>
      </c>
    </row>
    <row r="481" spans="1:15" x14ac:dyDescent="0.3">
      <c r="A481">
        <v>38310</v>
      </c>
      <c r="B481">
        <v>3200904</v>
      </c>
      <c r="C481" t="s">
        <v>26</v>
      </c>
      <c r="D481">
        <v>1.036</v>
      </c>
      <c r="E481">
        <v>3827918.66</v>
      </c>
      <c r="F481">
        <v>44553.2</v>
      </c>
      <c r="G481">
        <v>3872471.86</v>
      </c>
      <c r="H481">
        <v>33623.49</v>
      </c>
      <c r="I481">
        <v>620638.81999999995</v>
      </c>
      <c r="J481">
        <v>1.321</v>
      </c>
      <c r="K481">
        <v>87064.81</v>
      </c>
      <c r="L481">
        <v>0</v>
      </c>
      <c r="M481">
        <v>0</v>
      </c>
      <c r="N481">
        <v>2022</v>
      </c>
      <c r="O481">
        <v>6</v>
      </c>
    </row>
    <row r="482" spans="1:15" x14ac:dyDescent="0.3">
      <c r="A482">
        <v>38311</v>
      </c>
      <c r="B482">
        <v>3107109</v>
      </c>
      <c r="C482" t="s">
        <v>27</v>
      </c>
      <c r="D482">
        <v>0.39900000000000002</v>
      </c>
      <c r="E482">
        <v>1474265.98</v>
      </c>
      <c r="F482">
        <v>17159</v>
      </c>
      <c r="G482">
        <v>1491424.98</v>
      </c>
      <c r="H482">
        <v>12949.59</v>
      </c>
      <c r="I482">
        <v>159476.92000000001</v>
      </c>
      <c r="J482">
        <v>0.56899999999999995</v>
      </c>
      <c r="K482">
        <v>33531.71</v>
      </c>
      <c r="L482">
        <v>0</v>
      </c>
      <c r="M482">
        <v>0</v>
      </c>
      <c r="N482">
        <v>2022</v>
      </c>
      <c r="O482">
        <v>6</v>
      </c>
    </row>
    <row r="483" spans="1:15" x14ac:dyDescent="0.3">
      <c r="A483">
        <v>38312</v>
      </c>
      <c r="B483">
        <v>3201100</v>
      </c>
      <c r="C483" t="s">
        <v>28</v>
      </c>
      <c r="D483">
        <v>0.17599999999999999</v>
      </c>
      <c r="E483">
        <v>650302.80000000005</v>
      </c>
      <c r="F483">
        <v>7568.87</v>
      </c>
      <c r="G483">
        <v>657871.67000000004</v>
      </c>
      <c r="H483">
        <v>5712.1</v>
      </c>
      <c r="I483">
        <v>289910.92</v>
      </c>
      <c r="J483">
        <v>0.43</v>
      </c>
      <c r="K483">
        <v>14790.93</v>
      </c>
      <c r="L483">
        <v>0</v>
      </c>
      <c r="M483">
        <v>0</v>
      </c>
      <c r="N483">
        <v>2022</v>
      </c>
      <c r="O483">
        <v>6</v>
      </c>
    </row>
    <row r="484" spans="1:15" x14ac:dyDescent="0.3">
      <c r="A484">
        <v>38313</v>
      </c>
      <c r="B484">
        <v>3201159</v>
      </c>
      <c r="C484" t="s">
        <v>29</v>
      </c>
      <c r="D484">
        <v>0.42099999999999999</v>
      </c>
      <c r="E484">
        <v>1555553.82</v>
      </c>
      <c r="F484">
        <v>18105.11</v>
      </c>
      <c r="G484">
        <v>1573658.93</v>
      </c>
      <c r="H484">
        <v>13663.6</v>
      </c>
      <c r="I484">
        <v>136793.19</v>
      </c>
      <c r="J484">
        <v>0.46</v>
      </c>
      <c r="K484">
        <v>35380.58</v>
      </c>
      <c r="L484">
        <v>0</v>
      </c>
      <c r="M484">
        <v>0</v>
      </c>
      <c r="N484">
        <v>2022</v>
      </c>
      <c r="O484">
        <v>6</v>
      </c>
    </row>
    <row r="485" spans="1:15" x14ac:dyDescent="0.3">
      <c r="A485">
        <v>38314</v>
      </c>
      <c r="B485">
        <v>3201209</v>
      </c>
      <c r="C485" t="s">
        <v>30</v>
      </c>
      <c r="D485">
        <v>3.234</v>
      </c>
      <c r="E485">
        <v>11949313.59</v>
      </c>
      <c r="F485">
        <v>139078.25</v>
      </c>
      <c r="G485">
        <v>12088391.84</v>
      </c>
      <c r="H485">
        <v>104959.81</v>
      </c>
      <c r="I485">
        <v>2880875.87</v>
      </c>
      <c r="J485">
        <v>4.4820000000000002</v>
      </c>
      <c r="K485">
        <v>271783.38</v>
      </c>
      <c r="L485">
        <v>0</v>
      </c>
      <c r="M485">
        <v>0</v>
      </c>
      <c r="N485">
        <v>2022</v>
      </c>
      <c r="O485">
        <v>6</v>
      </c>
    </row>
    <row r="486" spans="1:15" x14ac:dyDescent="0.3">
      <c r="A486">
        <v>38315</v>
      </c>
      <c r="B486">
        <v>3201308</v>
      </c>
      <c r="C486" t="s">
        <v>31</v>
      </c>
      <c r="D486">
        <v>7.4969999999999999</v>
      </c>
      <c r="E486">
        <v>27700681.550000001</v>
      </c>
      <c r="F486">
        <v>322408.73</v>
      </c>
      <c r="G486">
        <v>28023090.280000001</v>
      </c>
      <c r="H486">
        <v>243315.92</v>
      </c>
      <c r="I486">
        <v>4024992.78</v>
      </c>
      <c r="J486">
        <v>6.6040000000000001</v>
      </c>
      <c r="K486">
        <v>630043.28</v>
      </c>
      <c r="L486">
        <v>0</v>
      </c>
      <c r="M486">
        <v>0</v>
      </c>
      <c r="N486">
        <v>2022</v>
      </c>
      <c r="O486">
        <v>6</v>
      </c>
    </row>
    <row r="487" spans="1:15" x14ac:dyDescent="0.3">
      <c r="A487">
        <v>38316</v>
      </c>
      <c r="B487">
        <v>3201407</v>
      </c>
      <c r="C487" t="s">
        <v>32</v>
      </c>
      <c r="D487">
        <v>0.96499999999999997</v>
      </c>
      <c r="E487">
        <v>3565580.56</v>
      </c>
      <c r="F487">
        <v>41499.82</v>
      </c>
      <c r="G487">
        <v>3607080.38</v>
      </c>
      <c r="H487">
        <v>31319.18</v>
      </c>
      <c r="I487">
        <v>612072.89</v>
      </c>
      <c r="J487">
        <v>1.155</v>
      </c>
      <c r="K487">
        <v>81098.009999999995</v>
      </c>
      <c r="L487">
        <v>0</v>
      </c>
      <c r="M487">
        <v>0</v>
      </c>
      <c r="N487">
        <v>2022</v>
      </c>
      <c r="O487">
        <v>6</v>
      </c>
    </row>
    <row r="488" spans="1:15" x14ac:dyDescent="0.3">
      <c r="A488">
        <v>38317</v>
      </c>
      <c r="B488">
        <v>3201506</v>
      </c>
      <c r="C488" t="s">
        <v>33</v>
      </c>
      <c r="D488">
        <v>2.1739999999999999</v>
      </c>
      <c r="E488">
        <v>8032717.2800000003</v>
      </c>
      <c r="F488">
        <v>93492.94</v>
      </c>
      <c r="G488">
        <v>8126210.2199999997</v>
      </c>
      <c r="H488">
        <v>70557.399999999994</v>
      </c>
      <c r="I488">
        <v>1891034.07</v>
      </c>
      <c r="J488">
        <v>2.8220000000000001</v>
      </c>
      <c r="K488">
        <v>182701.62</v>
      </c>
      <c r="L488">
        <v>0</v>
      </c>
      <c r="M488">
        <v>0</v>
      </c>
      <c r="N488">
        <v>2022</v>
      </c>
      <c r="O488">
        <v>6</v>
      </c>
    </row>
    <row r="489" spans="1:15" x14ac:dyDescent="0.3">
      <c r="A489">
        <v>38318</v>
      </c>
      <c r="B489">
        <v>3201605</v>
      </c>
      <c r="C489" t="s">
        <v>34</v>
      </c>
      <c r="D489">
        <v>0.65200000000000002</v>
      </c>
      <c r="E489">
        <v>2409076.2200000002</v>
      </c>
      <c r="F489">
        <v>28039.29</v>
      </c>
      <c r="G489">
        <v>2437115.5099999998</v>
      </c>
      <c r="H489">
        <v>21160.73</v>
      </c>
      <c r="I489">
        <v>235060.96</v>
      </c>
      <c r="J489">
        <v>0.999</v>
      </c>
      <c r="K489">
        <v>54793.68</v>
      </c>
      <c r="L489">
        <v>0</v>
      </c>
      <c r="M489">
        <v>0</v>
      </c>
      <c r="N489">
        <v>2022</v>
      </c>
      <c r="O489">
        <v>6</v>
      </c>
    </row>
    <row r="490" spans="1:15" x14ac:dyDescent="0.3">
      <c r="A490">
        <v>38319</v>
      </c>
      <c r="B490">
        <v>3201704</v>
      </c>
      <c r="C490" t="s">
        <v>35</v>
      </c>
      <c r="D490">
        <v>0.47499999999999998</v>
      </c>
      <c r="E490">
        <v>1755078.55</v>
      </c>
      <c r="F490">
        <v>20427.37</v>
      </c>
      <c r="G490">
        <v>1775505.92</v>
      </c>
      <c r="H490">
        <v>15416.17</v>
      </c>
      <c r="I490">
        <v>148030.85999999999</v>
      </c>
      <c r="J490">
        <v>0.46500000000000002</v>
      </c>
      <c r="K490">
        <v>39918.699999999997</v>
      </c>
      <c r="L490">
        <v>0</v>
      </c>
      <c r="M490">
        <v>0</v>
      </c>
      <c r="N490">
        <v>2022</v>
      </c>
      <c r="O490">
        <v>6</v>
      </c>
    </row>
    <row r="491" spans="1:15" x14ac:dyDescent="0.3">
      <c r="A491">
        <v>38320</v>
      </c>
      <c r="B491">
        <v>3201803</v>
      </c>
      <c r="C491" t="s">
        <v>36</v>
      </c>
      <c r="D491">
        <v>0.186</v>
      </c>
      <c r="E491">
        <v>687251.81</v>
      </c>
      <c r="F491">
        <v>7998.95</v>
      </c>
      <c r="G491">
        <v>695250.76</v>
      </c>
      <c r="H491">
        <v>6036.65</v>
      </c>
      <c r="I491">
        <v>43808.52</v>
      </c>
      <c r="J491">
        <v>0.28299999999999997</v>
      </c>
      <c r="K491">
        <v>15631.33</v>
      </c>
      <c r="L491">
        <v>0</v>
      </c>
      <c r="M491">
        <v>0</v>
      </c>
      <c r="N491">
        <v>2022</v>
      </c>
      <c r="O491">
        <v>6</v>
      </c>
    </row>
    <row r="492" spans="1:15" x14ac:dyDescent="0.3">
      <c r="A492">
        <v>38321</v>
      </c>
      <c r="B492">
        <v>3201902</v>
      </c>
      <c r="C492" t="s">
        <v>37</v>
      </c>
      <c r="D492">
        <v>1.3140000000000001</v>
      </c>
      <c r="E492">
        <v>4855101.45</v>
      </c>
      <c r="F492">
        <v>56508.6</v>
      </c>
      <c r="G492">
        <v>4911610.05</v>
      </c>
      <c r="H492">
        <v>42646.01</v>
      </c>
      <c r="I492">
        <v>537237.99</v>
      </c>
      <c r="J492">
        <v>1.0309999999999999</v>
      </c>
      <c r="K492">
        <v>110427.75</v>
      </c>
      <c r="L492">
        <v>0</v>
      </c>
      <c r="M492">
        <v>0</v>
      </c>
      <c r="N492">
        <v>2022</v>
      </c>
      <c r="O492">
        <v>6</v>
      </c>
    </row>
    <row r="493" spans="1:15" x14ac:dyDescent="0.3">
      <c r="A493">
        <v>38322</v>
      </c>
      <c r="B493">
        <v>3202009</v>
      </c>
      <c r="C493" t="s">
        <v>38</v>
      </c>
      <c r="D493">
        <v>0.26</v>
      </c>
      <c r="E493">
        <v>960674.56</v>
      </c>
      <c r="F493">
        <v>11181.3</v>
      </c>
      <c r="G493">
        <v>971855.86</v>
      </c>
      <c r="H493">
        <v>8438.33</v>
      </c>
      <c r="I493">
        <v>132598.32</v>
      </c>
      <c r="J493">
        <v>0.314</v>
      </c>
      <c r="K493">
        <v>21850.240000000002</v>
      </c>
      <c r="L493">
        <v>0</v>
      </c>
      <c r="M493">
        <v>0</v>
      </c>
      <c r="N493">
        <v>2022</v>
      </c>
      <c r="O493">
        <v>6</v>
      </c>
    </row>
    <row r="494" spans="1:15" x14ac:dyDescent="0.3">
      <c r="A494">
        <v>38323</v>
      </c>
      <c r="B494">
        <v>3202108</v>
      </c>
      <c r="C494" t="s">
        <v>39</v>
      </c>
      <c r="D494">
        <v>0.69899999999999995</v>
      </c>
      <c r="E494">
        <v>2582736.62</v>
      </c>
      <c r="F494">
        <v>30060.52</v>
      </c>
      <c r="G494">
        <v>2612797.14</v>
      </c>
      <c r="H494">
        <v>22686.12</v>
      </c>
      <c r="I494">
        <v>213395.04</v>
      </c>
      <c r="J494">
        <v>0.81599999999999995</v>
      </c>
      <c r="K494">
        <v>58743.53</v>
      </c>
      <c r="L494">
        <v>0</v>
      </c>
      <c r="M494">
        <v>0</v>
      </c>
      <c r="N494">
        <v>2022</v>
      </c>
      <c r="O494">
        <v>6</v>
      </c>
    </row>
    <row r="495" spans="1:15" x14ac:dyDescent="0.3">
      <c r="A495">
        <v>38324</v>
      </c>
      <c r="B495">
        <v>3202207</v>
      </c>
      <c r="C495" t="s">
        <v>40</v>
      </c>
      <c r="D495">
        <v>0.313</v>
      </c>
      <c r="E495">
        <v>1156504.3700000001</v>
      </c>
      <c r="F495">
        <v>13460.58</v>
      </c>
      <c r="G495">
        <v>1169964.95</v>
      </c>
      <c r="H495">
        <v>10158.450000000001</v>
      </c>
      <c r="I495">
        <v>191095</v>
      </c>
      <c r="J495">
        <v>0.73399999999999999</v>
      </c>
      <c r="K495">
        <v>26304.33</v>
      </c>
      <c r="L495">
        <v>0</v>
      </c>
      <c r="M495">
        <v>0</v>
      </c>
      <c r="N495">
        <v>2022</v>
      </c>
      <c r="O495">
        <v>6</v>
      </c>
    </row>
    <row r="496" spans="1:15" x14ac:dyDescent="0.3">
      <c r="A496">
        <v>38325</v>
      </c>
      <c r="B496">
        <v>3202256</v>
      </c>
      <c r="C496" t="s">
        <v>41</v>
      </c>
      <c r="D496">
        <v>0.43</v>
      </c>
      <c r="E496">
        <v>1588807.93</v>
      </c>
      <c r="F496">
        <v>18492.2</v>
      </c>
      <c r="G496">
        <v>1607300.13</v>
      </c>
      <c r="H496">
        <v>13955.69</v>
      </c>
      <c r="I496">
        <v>136359.89000000001</v>
      </c>
      <c r="J496">
        <v>0.46700000000000003</v>
      </c>
      <c r="K496">
        <v>36136.94</v>
      </c>
      <c r="L496">
        <v>0</v>
      </c>
      <c r="M496">
        <v>0</v>
      </c>
      <c r="N496">
        <v>2022</v>
      </c>
      <c r="O496">
        <v>6</v>
      </c>
    </row>
    <row r="497" spans="1:15" x14ac:dyDescent="0.3">
      <c r="A497">
        <v>38326</v>
      </c>
      <c r="B497">
        <v>3202306</v>
      </c>
      <c r="C497" t="s">
        <v>42</v>
      </c>
      <c r="D497">
        <v>0.378</v>
      </c>
      <c r="E497">
        <v>1396673.04</v>
      </c>
      <c r="F497">
        <v>16255.9</v>
      </c>
      <c r="G497">
        <v>1412928.94</v>
      </c>
      <c r="H497">
        <v>12268.03</v>
      </c>
      <c r="I497">
        <v>440657.3</v>
      </c>
      <c r="J497">
        <v>0.998</v>
      </c>
      <c r="K497">
        <v>31766.89</v>
      </c>
      <c r="L497">
        <v>0</v>
      </c>
      <c r="M497">
        <v>0</v>
      </c>
      <c r="N497">
        <v>2022</v>
      </c>
      <c r="O497">
        <v>6</v>
      </c>
    </row>
    <row r="498" spans="1:15" x14ac:dyDescent="0.3">
      <c r="A498">
        <v>38327</v>
      </c>
      <c r="B498">
        <v>3202405</v>
      </c>
      <c r="C498" t="s">
        <v>43</v>
      </c>
      <c r="D498">
        <v>0.90900000000000003</v>
      </c>
      <c r="E498">
        <v>3358666.06</v>
      </c>
      <c r="F498">
        <v>39091.57</v>
      </c>
      <c r="G498">
        <v>3397757.63</v>
      </c>
      <c r="H498">
        <v>29501.69</v>
      </c>
      <c r="I498">
        <v>2576977.86</v>
      </c>
      <c r="J498">
        <v>2.8730000000000002</v>
      </c>
      <c r="K498">
        <v>76391.8</v>
      </c>
      <c r="L498">
        <v>0</v>
      </c>
      <c r="M498">
        <v>0</v>
      </c>
      <c r="N498">
        <v>2022</v>
      </c>
      <c r="O498">
        <v>6</v>
      </c>
    </row>
    <row r="499" spans="1:15" x14ac:dyDescent="0.3">
      <c r="A499">
        <v>38328</v>
      </c>
      <c r="B499">
        <v>3202454</v>
      </c>
      <c r="C499" t="s">
        <v>44</v>
      </c>
      <c r="D499">
        <v>0.35099999999999998</v>
      </c>
      <c r="E499">
        <v>1296910.6599999999</v>
      </c>
      <c r="F499">
        <v>15094.77</v>
      </c>
      <c r="G499">
        <v>1312005.43</v>
      </c>
      <c r="H499">
        <v>11391.74</v>
      </c>
      <c r="I499">
        <v>358529.9</v>
      </c>
      <c r="J499">
        <v>0.86499999999999999</v>
      </c>
      <c r="K499">
        <v>29497.82</v>
      </c>
      <c r="L499">
        <v>0</v>
      </c>
      <c r="M499">
        <v>0</v>
      </c>
      <c r="N499">
        <v>2022</v>
      </c>
      <c r="O499">
        <v>6</v>
      </c>
    </row>
    <row r="500" spans="1:15" x14ac:dyDescent="0.3">
      <c r="A500">
        <v>38329</v>
      </c>
      <c r="B500">
        <v>3202504</v>
      </c>
      <c r="C500" t="s">
        <v>45</v>
      </c>
      <c r="D500">
        <v>0.26700000000000002</v>
      </c>
      <c r="E500">
        <v>986538.88</v>
      </c>
      <c r="F500">
        <v>11482.35</v>
      </c>
      <c r="G500">
        <v>998021.23</v>
      </c>
      <c r="H500">
        <v>8665.51</v>
      </c>
      <c r="I500">
        <v>163939.51</v>
      </c>
      <c r="J500">
        <v>0.46300000000000002</v>
      </c>
      <c r="K500">
        <v>22438.51</v>
      </c>
      <c r="L500">
        <v>0</v>
      </c>
      <c r="M500">
        <v>0</v>
      </c>
      <c r="N500">
        <v>2022</v>
      </c>
      <c r="O500">
        <v>6</v>
      </c>
    </row>
    <row r="501" spans="1:15" x14ac:dyDescent="0.3">
      <c r="A501">
        <v>38330</v>
      </c>
      <c r="B501">
        <v>3202553</v>
      </c>
      <c r="C501" t="s">
        <v>46</v>
      </c>
      <c r="D501">
        <v>0.248</v>
      </c>
      <c r="E501">
        <v>916335.75</v>
      </c>
      <c r="F501">
        <v>10665.27</v>
      </c>
      <c r="G501">
        <v>927001.02</v>
      </c>
      <c r="H501">
        <v>8048.87</v>
      </c>
      <c r="I501">
        <v>89659.08</v>
      </c>
      <c r="J501">
        <v>0.33800000000000002</v>
      </c>
      <c r="K501">
        <v>20841.77</v>
      </c>
      <c r="L501">
        <v>0</v>
      </c>
      <c r="M501">
        <v>0</v>
      </c>
      <c r="N501">
        <v>2022</v>
      </c>
      <c r="O501">
        <v>6</v>
      </c>
    </row>
    <row r="502" spans="1:15" x14ac:dyDescent="0.3">
      <c r="A502">
        <v>38331</v>
      </c>
      <c r="B502">
        <v>3202603</v>
      </c>
      <c r="C502" t="s">
        <v>47</v>
      </c>
      <c r="D502">
        <v>0.34399999999999997</v>
      </c>
      <c r="E502">
        <v>1271046.3400000001</v>
      </c>
      <c r="F502">
        <v>14793.74</v>
      </c>
      <c r="G502">
        <v>1285840.08</v>
      </c>
      <c r="H502">
        <v>11164.56</v>
      </c>
      <c r="I502">
        <v>324123.53000000003</v>
      </c>
      <c r="J502">
        <v>0.55600000000000005</v>
      </c>
      <c r="K502">
        <v>28909.55</v>
      </c>
      <c r="L502">
        <v>0</v>
      </c>
      <c r="M502">
        <v>0</v>
      </c>
      <c r="N502">
        <v>2022</v>
      </c>
      <c r="O502">
        <v>6</v>
      </c>
    </row>
    <row r="503" spans="1:15" x14ac:dyDescent="0.3">
      <c r="A503">
        <v>38332</v>
      </c>
      <c r="B503">
        <v>3202652</v>
      </c>
      <c r="C503" t="s">
        <v>48</v>
      </c>
      <c r="D503">
        <v>0.308</v>
      </c>
      <c r="E503">
        <v>1138029.8799999999</v>
      </c>
      <c r="F503">
        <v>13245.56</v>
      </c>
      <c r="G503">
        <v>1151275.44</v>
      </c>
      <c r="H503">
        <v>9996.17</v>
      </c>
      <c r="I503">
        <v>179611.15</v>
      </c>
      <c r="J503">
        <v>0.55100000000000005</v>
      </c>
      <c r="K503">
        <v>25884.13</v>
      </c>
      <c r="L503">
        <v>0</v>
      </c>
      <c r="M503">
        <v>0</v>
      </c>
      <c r="N503">
        <v>2022</v>
      </c>
      <c r="O503">
        <v>6</v>
      </c>
    </row>
    <row r="504" spans="1:15" x14ac:dyDescent="0.3">
      <c r="A504">
        <v>38333</v>
      </c>
      <c r="B504">
        <v>3202702</v>
      </c>
      <c r="C504" t="s">
        <v>49</v>
      </c>
      <c r="D504">
        <v>0.35499999999999998</v>
      </c>
      <c r="E504">
        <v>1311690.28</v>
      </c>
      <c r="F504">
        <v>15266.78</v>
      </c>
      <c r="G504">
        <v>1326957.06</v>
      </c>
      <c r="H504">
        <v>11521.56</v>
      </c>
      <c r="I504">
        <v>121842.46</v>
      </c>
      <c r="J504">
        <v>0.55500000000000005</v>
      </c>
      <c r="K504">
        <v>29833.98</v>
      </c>
      <c r="L504">
        <v>0</v>
      </c>
      <c r="M504">
        <v>0</v>
      </c>
      <c r="N504">
        <v>2022</v>
      </c>
      <c r="O504">
        <v>6</v>
      </c>
    </row>
    <row r="505" spans="1:15" x14ac:dyDescent="0.3">
      <c r="A505">
        <v>38334</v>
      </c>
      <c r="B505">
        <v>3202801</v>
      </c>
      <c r="C505" t="s">
        <v>50</v>
      </c>
      <c r="D505">
        <v>2.262</v>
      </c>
      <c r="E505">
        <v>8357868.6900000004</v>
      </c>
      <c r="F505">
        <v>97277.36</v>
      </c>
      <c r="G505">
        <v>8455146.0500000007</v>
      </c>
      <c r="H505">
        <v>73413.45</v>
      </c>
      <c r="I505">
        <v>394752.33</v>
      </c>
      <c r="J505">
        <v>1.042</v>
      </c>
      <c r="K505">
        <v>190097.09</v>
      </c>
      <c r="L505">
        <v>0</v>
      </c>
      <c r="M505">
        <v>0</v>
      </c>
      <c r="N505">
        <v>2022</v>
      </c>
      <c r="O505">
        <v>6</v>
      </c>
    </row>
    <row r="506" spans="1:15" x14ac:dyDescent="0.3">
      <c r="A506">
        <v>38335</v>
      </c>
      <c r="B506">
        <v>3202900</v>
      </c>
      <c r="C506" t="s">
        <v>51</v>
      </c>
      <c r="D506">
        <v>0.34599999999999997</v>
      </c>
      <c r="E506">
        <v>1278436.1499999999</v>
      </c>
      <c r="F506">
        <v>14879.74</v>
      </c>
      <c r="G506">
        <v>1293315.8899999999</v>
      </c>
      <c r="H506">
        <v>11229.47</v>
      </c>
      <c r="I506">
        <v>171739.47</v>
      </c>
      <c r="J506">
        <v>0.435</v>
      </c>
      <c r="K506">
        <v>29077.63</v>
      </c>
      <c r="L506">
        <v>0</v>
      </c>
      <c r="M506">
        <v>0</v>
      </c>
      <c r="N506">
        <v>2022</v>
      </c>
      <c r="O506">
        <v>6</v>
      </c>
    </row>
    <row r="507" spans="1:15" x14ac:dyDescent="0.3">
      <c r="A507">
        <v>38336</v>
      </c>
      <c r="B507">
        <v>3203007</v>
      </c>
      <c r="C507" t="s">
        <v>52</v>
      </c>
      <c r="D507">
        <v>0.438</v>
      </c>
      <c r="E507">
        <v>1618367.16</v>
      </c>
      <c r="F507">
        <v>18836.2</v>
      </c>
      <c r="G507">
        <v>1637203.36</v>
      </c>
      <c r="H507">
        <v>14215.34</v>
      </c>
      <c r="I507">
        <v>326005.65999999997</v>
      </c>
      <c r="J507">
        <v>0.89700000000000002</v>
      </c>
      <c r="K507">
        <v>36809.25</v>
      </c>
      <c r="L507">
        <v>0</v>
      </c>
      <c r="M507">
        <v>0</v>
      </c>
      <c r="N507">
        <v>2022</v>
      </c>
      <c r="O507">
        <v>6</v>
      </c>
    </row>
    <row r="508" spans="1:15" x14ac:dyDescent="0.3">
      <c r="A508">
        <v>38337</v>
      </c>
      <c r="B508">
        <v>3203056</v>
      </c>
      <c r="C508" t="s">
        <v>53</v>
      </c>
      <c r="D508">
        <v>0.8</v>
      </c>
      <c r="E508">
        <v>2955921.71</v>
      </c>
      <c r="F508">
        <v>34404.019999999997</v>
      </c>
      <c r="G508">
        <v>2990325.73</v>
      </c>
      <c r="H508">
        <v>25964.080000000002</v>
      </c>
      <c r="I508">
        <v>341834.75</v>
      </c>
      <c r="J508">
        <v>1</v>
      </c>
      <c r="K508">
        <v>67231.509999999995</v>
      </c>
      <c r="L508">
        <v>0</v>
      </c>
      <c r="M508">
        <v>0</v>
      </c>
      <c r="N508">
        <v>2022</v>
      </c>
      <c r="O508">
        <v>6</v>
      </c>
    </row>
    <row r="509" spans="1:15" x14ac:dyDescent="0.3">
      <c r="A509">
        <v>38338</v>
      </c>
      <c r="B509">
        <v>3203106</v>
      </c>
      <c r="C509" t="s">
        <v>54</v>
      </c>
      <c r="D509">
        <v>0.21199999999999999</v>
      </c>
      <c r="E509">
        <v>783319.25</v>
      </c>
      <c r="F509">
        <v>9117.07</v>
      </c>
      <c r="G509">
        <v>792436.32</v>
      </c>
      <c r="H509">
        <v>6880.48</v>
      </c>
      <c r="I509">
        <v>98511.25</v>
      </c>
      <c r="J509">
        <v>0.45800000000000002</v>
      </c>
      <c r="K509">
        <v>17816.349999999999</v>
      </c>
      <c r="L509">
        <v>0</v>
      </c>
      <c r="M509">
        <v>0</v>
      </c>
      <c r="N509">
        <v>2022</v>
      </c>
      <c r="O509">
        <v>6</v>
      </c>
    </row>
    <row r="510" spans="1:15" x14ac:dyDescent="0.3">
      <c r="A510">
        <v>38339</v>
      </c>
      <c r="B510">
        <v>3203130</v>
      </c>
      <c r="C510" t="s">
        <v>55</v>
      </c>
      <c r="D510">
        <v>0.38600000000000001</v>
      </c>
      <c r="E510">
        <v>1426232.24</v>
      </c>
      <c r="F510">
        <v>16599.939999999999</v>
      </c>
      <c r="G510">
        <v>1442832.18</v>
      </c>
      <c r="H510">
        <v>12527.67</v>
      </c>
      <c r="I510">
        <v>207079.54</v>
      </c>
      <c r="J510">
        <v>0.66600000000000004</v>
      </c>
      <c r="K510">
        <v>32439.200000000001</v>
      </c>
      <c r="L510">
        <v>0</v>
      </c>
      <c r="M510">
        <v>0</v>
      </c>
      <c r="N510">
        <v>2022</v>
      </c>
      <c r="O510">
        <v>6</v>
      </c>
    </row>
    <row r="511" spans="1:15" x14ac:dyDescent="0.3">
      <c r="A511">
        <v>38340</v>
      </c>
      <c r="B511">
        <v>3203163</v>
      </c>
      <c r="C511" t="s">
        <v>56</v>
      </c>
      <c r="D511">
        <v>0.372</v>
      </c>
      <c r="E511">
        <v>1374503.62</v>
      </c>
      <c r="F511">
        <v>15997.86</v>
      </c>
      <c r="G511">
        <v>1390501.48</v>
      </c>
      <c r="H511">
        <v>12073.3</v>
      </c>
      <c r="I511">
        <v>90138.02</v>
      </c>
      <c r="J511">
        <v>0.441</v>
      </c>
      <c r="K511">
        <v>31262.65</v>
      </c>
      <c r="L511">
        <v>0</v>
      </c>
      <c r="M511">
        <v>0</v>
      </c>
      <c r="N511">
        <v>2022</v>
      </c>
      <c r="O511">
        <v>6</v>
      </c>
    </row>
    <row r="512" spans="1:15" x14ac:dyDescent="0.3">
      <c r="A512">
        <v>38341</v>
      </c>
      <c r="B512">
        <v>3203205</v>
      </c>
      <c r="C512" t="s">
        <v>57</v>
      </c>
      <c r="D512">
        <v>5.4</v>
      </c>
      <c r="E512">
        <v>19952471.710000001</v>
      </c>
      <c r="F512">
        <v>232227.17</v>
      </c>
      <c r="G512">
        <v>20184698.879999999</v>
      </c>
      <c r="H512">
        <v>175257.56</v>
      </c>
      <c r="I512">
        <v>2446270.7999999998</v>
      </c>
      <c r="J512">
        <v>4.0880000000000001</v>
      </c>
      <c r="K512">
        <v>453812.69</v>
      </c>
      <c r="L512">
        <v>0</v>
      </c>
      <c r="M512">
        <v>0</v>
      </c>
      <c r="N512">
        <v>2022</v>
      </c>
      <c r="O512">
        <v>6</v>
      </c>
    </row>
    <row r="513" spans="1:15" x14ac:dyDescent="0.3">
      <c r="A513">
        <v>38342</v>
      </c>
      <c r="B513">
        <v>3203304</v>
      </c>
      <c r="C513" t="s">
        <v>58</v>
      </c>
      <c r="D513">
        <v>0.216</v>
      </c>
      <c r="E513">
        <v>798098.86</v>
      </c>
      <c r="F513">
        <v>9289.1</v>
      </c>
      <c r="G513">
        <v>807387.96</v>
      </c>
      <c r="H513">
        <v>7010.3</v>
      </c>
      <c r="I513">
        <v>212323.57</v>
      </c>
      <c r="J513">
        <v>0.57599999999999996</v>
      </c>
      <c r="K513">
        <v>18152.509999999998</v>
      </c>
      <c r="L513">
        <v>0</v>
      </c>
      <c r="M513">
        <v>0</v>
      </c>
      <c r="N513">
        <v>2022</v>
      </c>
      <c r="O513">
        <v>6</v>
      </c>
    </row>
    <row r="514" spans="1:15" x14ac:dyDescent="0.3">
      <c r="A514">
        <v>38343</v>
      </c>
      <c r="B514">
        <v>3203320</v>
      </c>
      <c r="C514" t="s">
        <v>59</v>
      </c>
      <c r="D514">
        <v>0.60899999999999999</v>
      </c>
      <c r="E514">
        <v>2250195.42</v>
      </c>
      <c r="F514">
        <v>26190.07</v>
      </c>
      <c r="G514">
        <v>2276385.4900000002</v>
      </c>
      <c r="H514">
        <v>19765.16</v>
      </c>
      <c r="I514">
        <v>534679.74</v>
      </c>
      <c r="J514">
        <v>1.171</v>
      </c>
      <c r="K514">
        <v>51179.98</v>
      </c>
      <c r="L514">
        <v>0</v>
      </c>
      <c r="M514">
        <v>0</v>
      </c>
      <c r="N514">
        <v>2022</v>
      </c>
      <c r="O514">
        <v>6</v>
      </c>
    </row>
    <row r="515" spans="1:15" x14ac:dyDescent="0.3">
      <c r="A515">
        <v>38344</v>
      </c>
      <c r="B515">
        <v>3203346</v>
      </c>
      <c r="C515" t="s">
        <v>60</v>
      </c>
      <c r="D515">
        <v>0.64500000000000002</v>
      </c>
      <c r="E515">
        <v>2383211.9</v>
      </c>
      <c r="F515">
        <v>27738.25</v>
      </c>
      <c r="G515">
        <v>2410950.15</v>
      </c>
      <c r="H515">
        <v>20933.54</v>
      </c>
      <c r="I515">
        <v>303672.83</v>
      </c>
      <c r="J515">
        <v>0.67100000000000004</v>
      </c>
      <c r="K515">
        <v>54205.4</v>
      </c>
      <c r="L515">
        <v>0</v>
      </c>
      <c r="M515">
        <v>0</v>
      </c>
      <c r="N515">
        <v>2022</v>
      </c>
      <c r="O515">
        <v>6</v>
      </c>
    </row>
    <row r="516" spans="1:15" x14ac:dyDescent="0.3">
      <c r="A516">
        <v>38345</v>
      </c>
      <c r="B516">
        <v>3203353</v>
      </c>
      <c r="C516" t="s">
        <v>61</v>
      </c>
      <c r="D516">
        <v>0.45200000000000001</v>
      </c>
      <c r="E516">
        <v>1670095.79</v>
      </c>
      <c r="F516">
        <v>19438.259999999998</v>
      </c>
      <c r="G516">
        <v>1689534.05</v>
      </c>
      <c r="H516">
        <v>14669.71</v>
      </c>
      <c r="I516">
        <v>143458.31</v>
      </c>
      <c r="J516">
        <v>0.46700000000000003</v>
      </c>
      <c r="K516">
        <v>37985.800000000003</v>
      </c>
      <c r="L516">
        <v>0</v>
      </c>
      <c r="M516">
        <v>0</v>
      </c>
      <c r="N516">
        <v>2022</v>
      </c>
      <c r="O516">
        <v>6</v>
      </c>
    </row>
    <row r="517" spans="1:15" x14ac:dyDescent="0.3">
      <c r="A517">
        <v>38346</v>
      </c>
      <c r="B517">
        <v>3203403</v>
      </c>
      <c r="C517" t="s">
        <v>62</v>
      </c>
      <c r="D517">
        <v>0.51400000000000001</v>
      </c>
      <c r="E517">
        <v>1899179.71</v>
      </c>
      <c r="F517">
        <v>22104.58</v>
      </c>
      <c r="G517">
        <v>1921284.29</v>
      </c>
      <c r="H517">
        <v>16681.919999999998</v>
      </c>
      <c r="I517">
        <v>247223.09</v>
      </c>
      <c r="J517">
        <v>0.85599999999999998</v>
      </c>
      <c r="K517">
        <v>43196.24</v>
      </c>
      <c r="L517">
        <v>0</v>
      </c>
      <c r="M517">
        <v>0</v>
      </c>
      <c r="N517">
        <v>2022</v>
      </c>
      <c r="O517">
        <v>6</v>
      </c>
    </row>
    <row r="518" spans="1:15" x14ac:dyDescent="0.3">
      <c r="A518">
        <v>38347</v>
      </c>
      <c r="B518">
        <v>3203502</v>
      </c>
      <c r="C518" t="s">
        <v>63</v>
      </c>
      <c r="D518">
        <v>0.53600000000000003</v>
      </c>
      <c r="E518">
        <v>1980467.56</v>
      </c>
      <c r="F518">
        <v>23050.68</v>
      </c>
      <c r="G518">
        <v>2003518.24</v>
      </c>
      <c r="H518">
        <v>17395.939999999999</v>
      </c>
      <c r="I518">
        <v>234595.75</v>
      </c>
      <c r="J518">
        <v>0.69299999999999995</v>
      </c>
      <c r="K518">
        <v>45045.120000000003</v>
      </c>
      <c r="L518">
        <v>0</v>
      </c>
      <c r="M518">
        <v>0</v>
      </c>
      <c r="N518">
        <v>2022</v>
      </c>
      <c r="O518">
        <v>6</v>
      </c>
    </row>
    <row r="519" spans="1:15" x14ac:dyDescent="0.3">
      <c r="A519">
        <v>38348</v>
      </c>
      <c r="B519">
        <v>3203601</v>
      </c>
      <c r="C519" t="s">
        <v>64</v>
      </c>
      <c r="D519">
        <v>0.27800000000000002</v>
      </c>
      <c r="E519">
        <v>1027182.82</v>
      </c>
      <c r="F519">
        <v>11955.41</v>
      </c>
      <c r="G519">
        <v>1039138.23</v>
      </c>
      <c r="H519">
        <v>9022.52</v>
      </c>
      <c r="I519">
        <v>45954.59</v>
      </c>
      <c r="J519">
        <v>0.29799999999999999</v>
      </c>
      <c r="K519">
        <v>23362.95</v>
      </c>
      <c r="L519">
        <v>0</v>
      </c>
      <c r="M519">
        <v>0</v>
      </c>
      <c r="N519">
        <v>2022</v>
      </c>
      <c r="O519">
        <v>6</v>
      </c>
    </row>
    <row r="520" spans="1:15" x14ac:dyDescent="0.3">
      <c r="A520">
        <v>38349</v>
      </c>
      <c r="B520">
        <v>3203700</v>
      </c>
      <c r="C520" t="s">
        <v>65</v>
      </c>
      <c r="D520">
        <v>0.55000000000000004</v>
      </c>
      <c r="E520">
        <v>2032196.21</v>
      </c>
      <c r="F520">
        <v>23652.78</v>
      </c>
      <c r="G520">
        <v>2055848.99</v>
      </c>
      <c r="H520">
        <v>17850.310000000001</v>
      </c>
      <c r="I520">
        <v>159313.14000000001</v>
      </c>
      <c r="J520">
        <v>0.67100000000000004</v>
      </c>
      <c r="K520">
        <v>46221.66</v>
      </c>
      <c r="L520">
        <v>0</v>
      </c>
      <c r="M520">
        <v>0</v>
      </c>
      <c r="N520">
        <v>2022</v>
      </c>
      <c r="O520">
        <v>6</v>
      </c>
    </row>
    <row r="521" spans="1:15" x14ac:dyDescent="0.3">
      <c r="A521">
        <v>38350</v>
      </c>
      <c r="B521">
        <v>3203809</v>
      </c>
      <c r="C521" t="s">
        <v>66</v>
      </c>
      <c r="D521">
        <v>0.29599999999999999</v>
      </c>
      <c r="E521">
        <v>1093691.03</v>
      </c>
      <c r="F521">
        <v>12729.47</v>
      </c>
      <c r="G521">
        <v>1106420.5</v>
      </c>
      <c r="H521">
        <v>9606.7099999999991</v>
      </c>
      <c r="I521">
        <v>119860.49</v>
      </c>
      <c r="J521">
        <v>0.57499999999999996</v>
      </c>
      <c r="K521">
        <v>24875.66</v>
      </c>
      <c r="L521">
        <v>0</v>
      </c>
      <c r="M521">
        <v>0</v>
      </c>
      <c r="N521">
        <v>2022</v>
      </c>
      <c r="O521">
        <v>6</v>
      </c>
    </row>
    <row r="522" spans="1:15" x14ac:dyDescent="0.3">
      <c r="A522">
        <v>38351</v>
      </c>
      <c r="B522">
        <v>3203908</v>
      </c>
      <c r="C522" t="s">
        <v>67</v>
      </c>
      <c r="D522">
        <v>1.268</v>
      </c>
      <c r="E522">
        <v>4685135.9400000004</v>
      </c>
      <c r="F522">
        <v>54530.36</v>
      </c>
      <c r="G522">
        <v>4739666.3</v>
      </c>
      <c r="H522">
        <v>41153.07</v>
      </c>
      <c r="I522">
        <v>662074</v>
      </c>
      <c r="J522">
        <v>1.4650000000000001</v>
      </c>
      <c r="K522">
        <v>106561.94</v>
      </c>
      <c r="L522">
        <v>0</v>
      </c>
      <c r="M522">
        <v>0</v>
      </c>
      <c r="N522">
        <v>2022</v>
      </c>
      <c r="O522">
        <v>6</v>
      </c>
    </row>
    <row r="523" spans="1:15" x14ac:dyDescent="0.3">
      <c r="A523">
        <v>38352</v>
      </c>
      <c r="B523">
        <v>3204005</v>
      </c>
      <c r="C523" t="s">
        <v>68</v>
      </c>
      <c r="D523">
        <v>0.47099999999999997</v>
      </c>
      <c r="E523">
        <v>1740298.94</v>
      </c>
      <c r="F523">
        <v>20255.38</v>
      </c>
      <c r="G523">
        <v>1760554.32</v>
      </c>
      <c r="H523">
        <v>15286.35</v>
      </c>
      <c r="I523">
        <v>154461.92000000001</v>
      </c>
      <c r="J523">
        <v>0.747</v>
      </c>
      <c r="K523">
        <v>39582.559999999998</v>
      </c>
      <c r="L523">
        <v>0</v>
      </c>
      <c r="M523">
        <v>0</v>
      </c>
      <c r="N523">
        <v>2022</v>
      </c>
      <c r="O523">
        <v>6</v>
      </c>
    </row>
    <row r="524" spans="1:15" x14ac:dyDescent="0.3">
      <c r="A524">
        <v>38353</v>
      </c>
      <c r="B524">
        <v>3204054</v>
      </c>
      <c r="C524" t="s">
        <v>69</v>
      </c>
      <c r="D524">
        <v>0.313</v>
      </c>
      <c r="E524">
        <v>1156504.3700000001</v>
      </c>
      <c r="F524">
        <v>13460.58</v>
      </c>
      <c r="G524">
        <v>1169964.95</v>
      </c>
      <c r="H524">
        <v>10158.450000000001</v>
      </c>
      <c r="I524">
        <v>239150.59</v>
      </c>
      <c r="J524">
        <v>0.86199999999999999</v>
      </c>
      <c r="K524">
        <v>26304.33</v>
      </c>
      <c r="L524">
        <v>0</v>
      </c>
      <c r="M524">
        <v>0</v>
      </c>
      <c r="N524">
        <v>2022</v>
      </c>
      <c r="O524">
        <v>6</v>
      </c>
    </row>
    <row r="525" spans="1:15" x14ac:dyDescent="0.3">
      <c r="A525">
        <v>38354</v>
      </c>
      <c r="B525">
        <v>3204104</v>
      </c>
      <c r="C525" t="s">
        <v>70</v>
      </c>
      <c r="D525">
        <v>0.72599999999999998</v>
      </c>
      <c r="E525">
        <v>2682498.9700000002</v>
      </c>
      <c r="F525">
        <v>31221.65</v>
      </c>
      <c r="G525">
        <v>2713720.62</v>
      </c>
      <c r="H525">
        <v>23562.41</v>
      </c>
      <c r="I525">
        <v>216684.26</v>
      </c>
      <c r="J525">
        <v>0.875</v>
      </c>
      <c r="K525">
        <v>61012.59</v>
      </c>
      <c r="L525">
        <v>0</v>
      </c>
      <c r="M525">
        <v>0</v>
      </c>
      <c r="N525">
        <v>2022</v>
      </c>
      <c r="O525">
        <v>6</v>
      </c>
    </row>
    <row r="526" spans="1:15" x14ac:dyDescent="0.3">
      <c r="A526">
        <v>38355</v>
      </c>
      <c r="B526">
        <v>3204203</v>
      </c>
      <c r="C526" t="s">
        <v>71</v>
      </c>
      <c r="D526">
        <v>0.14599999999999999</v>
      </c>
      <c r="E526">
        <v>539455.72</v>
      </c>
      <c r="F526">
        <v>6278.75</v>
      </c>
      <c r="G526">
        <v>545734.47</v>
      </c>
      <c r="H526">
        <v>4738.45</v>
      </c>
      <c r="I526">
        <v>311476.44</v>
      </c>
      <c r="J526">
        <v>0.73399999999999999</v>
      </c>
      <c r="K526">
        <v>12269.75</v>
      </c>
      <c r="L526">
        <v>0</v>
      </c>
      <c r="M526">
        <v>0</v>
      </c>
      <c r="N526">
        <v>2022</v>
      </c>
      <c r="O526">
        <v>6</v>
      </c>
    </row>
    <row r="527" spans="1:15" x14ac:dyDescent="0.3">
      <c r="A527">
        <v>38356</v>
      </c>
      <c r="B527">
        <v>3204252</v>
      </c>
      <c r="C527" t="s">
        <v>72</v>
      </c>
      <c r="D527">
        <v>0.221</v>
      </c>
      <c r="E527">
        <v>816573.35</v>
      </c>
      <c r="F527">
        <v>9504.11</v>
      </c>
      <c r="G527">
        <v>826077.46</v>
      </c>
      <c r="H527">
        <v>7172.58</v>
      </c>
      <c r="I527">
        <v>67605.45</v>
      </c>
      <c r="J527">
        <v>0.32900000000000001</v>
      </c>
      <c r="K527">
        <v>18572.7</v>
      </c>
      <c r="L527">
        <v>0</v>
      </c>
      <c r="M527">
        <v>0</v>
      </c>
      <c r="N527">
        <v>2022</v>
      </c>
      <c r="O527">
        <v>6</v>
      </c>
    </row>
    <row r="528" spans="1:15" x14ac:dyDescent="0.3">
      <c r="A528">
        <v>38357</v>
      </c>
      <c r="B528">
        <v>1718402</v>
      </c>
      <c r="C528" t="s">
        <v>73</v>
      </c>
      <c r="D528">
        <v>0.33800000000000002</v>
      </c>
      <c r="E528">
        <v>1248876.93</v>
      </c>
      <c r="F528">
        <v>14535.7</v>
      </c>
      <c r="G528">
        <v>1263412.6299999999</v>
      </c>
      <c r="H528">
        <v>10969.83</v>
      </c>
      <c r="I528">
        <v>289870.61</v>
      </c>
      <c r="J528">
        <v>0.45100000000000001</v>
      </c>
      <c r="K528">
        <v>28405.31</v>
      </c>
      <c r="L528">
        <v>0</v>
      </c>
      <c r="M528">
        <v>0</v>
      </c>
      <c r="N528">
        <v>2022</v>
      </c>
      <c r="O528">
        <v>6</v>
      </c>
    </row>
    <row r="529" spans="1:15" x14ac:dyDescent="0.3">
      <c r="A529">
        <v>38358</v>
      </c>
      <c r="B529">
        <v>3204351</v>
      </c>
      <c r="C529" t="s">
        <v>74</v>
      </c>
      <c r="D529">
        <v>0.79700000000000004</v>
      </c>
      <c r="E529">
        <v>2944837.05</v>
      </c>
      <c r="F529">
        <v>34275.019999999997</v>
      </c>
      <c r="G529">
        <v>2979112.07</v>
      </c>
      <c r="H529">
        <v>25866.720000000001</v>
      </c>
      <c r="I529">
        <v>282683.32</v>
      </c>
      <c r="J529">
        <v>0.69799999999999995</v>
      </c>
      <c r="K529">
        <v>66979.39</v>
      </c>
      <c r="L529">
        <v>0</v>
      </c>
      <c r="M529">
        <v>0</v>
      </c>
      <c r="N529">
        <v>2022</v>
      </c>
      <c r="O529">
        <v>6</v>
      </c>
    </row>
    <row r="530" spans="1:15" x14ac:dyDescent="0.3">
      <c r="A530">
        <v>38359</v>
      </c>
      <c r="B530">
        <v>3204401</v>
      </c>
      <c r="C530" t="s">
        <v>75</v>
      </c>
      <c r="D530">
        <v>0.27500000000000002</v>
      </c>
      <c r="E530">
        <v>1016098.09</v>
      </c>
      <c r="F530">
        <v>11826.38</v>
      </c>
      <c r="G530">
        <v>1027924.47</v>
      </c>
      <c r="H530">
        <v>8925.15</v>
      </c>
      <c r="I530">
        <v>158784.29999999999</v>
      </c>
      <c r="J530">
        <v>0.45</v>
      </c>
      <c r="K530">
        <v>23110.83</v>
      </c>
      <c r="L530">
        <v>0</v>
      </c>
      <c r="M530">
        <v>0</v>
      </c>
      <c r="N530">
        <v>2022</v>
      </c>
      <c r="O530">
        <v>6</v>
      </c>
    </row>
    <row r="531" spans="1:15" x14ac:dyDescent="0.3">
      <c r="A531">
        <v>38360</v>
      </c>
      <c r="B531">
        <v>3204500</v>
      </c>
      <c r="C531" t="s">
        <v>76</v>
      </c>
      <c r="D531">
        <v>0.53800000000000003</v>
      </c>
      <c r="E531">
        <v>1987857.38</v>
      </c>
      <c r="F531">
        <v>23136.67</v>
      </c>
      <c r="G531">
        <v>2010994.05</v>
      </c>
      <c r="H531">
        <v>17460.849999999999</v>
      </c>
      <c r="I531">
        <v>102698.44</v>
      </c>
      <c r="J531">
        <v>0.45600000000000002</v>
      </c>
      <c r="K531">
        <v>45213.19</v>
      </c>
      <c r="L531">
        <v>0</v>
      </c>
      <c r="M531">
        <v>0</v>
      </c>
      <c r="N531">
        <v>2022</v>
      </c>
      <c r="O531">
        <v>6</v>
      </c>
    </row>
    <row r="532" spans="1:15" x14ac:dyDescent="0.3">
      <c r="A532">
        <v>38361</v>
      </c>
      <c r="B532">
        <v>3204559</v>
      </c>
      <c r="C532" t="s">
        <v>77</v>
      </c>
      <c r="D532">
        <v>2.1160000000000001</v>
      </c>
      <c r="E532">
        <v>7818412.9800000004</v>
      </c>
      <c r="F532">
        <v>90998.64</v>
      </c>
      <c r="G532">
        <v>7909411.6200000001</v>
      </c>
      <c r="H532">
        <v>68675</v>
      </c>
      <c r="I532">
        <v>731651.19</v>
      </c>
      <c r="J532">
        <v>1.1990000000000001</v>
      </c>
      <c r="K532">
        <v>177827.35</v>
      </c>
      <c r="L532">
        <v>0</v>
      </c>
      <c r="M532">
        <v>0</v>
      </c>
      <c r="N532">
        <v>2022</v>
      </c>
      <c r="O532">
        <v>6</v>
      </c>
    </row>
    <row r="533" spans="1:15" x14ac:dyDescent="0.3">
      <c r="A533">
        <v>38362</v>
      </c>
      <c r="B533">
        <v>3204609</v>
      </c>
      <c r="C533" t="s">
        <v>78</v>
      </c>
      <c r="D533">
        <v>0.68799999999999994</v>
      </c>
      <c r="E533">
        <v>2542092.69</v>
      </c>
      <c r="F533">
        <v>29587.46</v>
      </c>
      <c r="G533">
        <v>2571680.15</v>
      </c>
      <c r="H533">
        <v>22329.11</v>
      </c>
      <c r="I533">
        <v>336908.4</v>
      </c>
      <c r="J533">
        <v>0.82899999999999996</v>
      </c>
      <c r="K533">
        <v>57819.1</v>
      </c>
      <c r="L533">
        <v>0</v>
      </c>
      <c r="M533">
        <v>0</v>
      </c>
      <c r="N533">
        <v>2022</v>
      </c>
      <c r="O533">
        <v>6</v>
      </c>
    </row>
    <row r="534" spans="1:15" x14ac:dyDescent="0.3">
      <c r="A534">
        <v>38363</v>
      </c>
      <c r="B534">
        <v>3204658</v>
      </c>
      <c r="C534" t="s">
        <v>79</v>
      </c>
      <c r="D534">
        <v>0.42399999999999999</v>
      </c>
      <c r="E534">
        <v>1566638.51</v>
      </c>
      <c r="F534">
        <v>18234.11</v>
      </c>
      <c r="G534">
        <v>1584872.62</v>
      </c>
      <c r="H534">
        <v>13760.96</v>
      </c>
      <c r="I534">
        <v>125538.35</v>
      </c>
      <c r="J534">
        <v>0.33700000000000002</v>
      </c>
      <c r="K534">
        <v>35632.699999999997</v>
      </c>
      <c r="L534">
        <v>0</v>
      </c>
      <c r="M534">
        <v>0</v>
      </c>
      <c r="N534">
        <v>2022</v>
      </c>
      <c r="O534">
        <v>6</v>
      </c>
    </row>
    <row r="535" spans="1:15" x14ac:dyDescent="0.3">
      <c r="A535">
        <v>38364</v>
      </c>
      <c r="B535">
        <v>3204708</v>
      </c>
      <c r="C535" t="s">
        <v>80</v>
      </c>
      <c r="D535">
        <v>0.81499999999999995</v>
      </c>
      <c r="E535">
        <v>3011345.28</v>
      </c>
      <c r="F535">
        <v>35049.11</v>
      </c>
      <c r="G535">
        <v>3046394.39</v>
      </c>
      <c r="H535">
        <v>26450.91</v>
      </c>
      <c r="I535">
        <v>461605.39</v>
      </c>
      <c r="J535">
        <v>1.169</v>
      </c>
      <c r="K535">
        <v>68492.11</v>
      </c>
      <c r="L535">
        <v>0</v>
      </c>
      <c r="M535">
        <v>0</v>
      </c>
      <c r="N535">
        <v>2022</v>
      </c>
      <c r="O535">
        <v>6</v>
      </c>
    </row>
    <row r="536" spans="1:15" x14ac:dyDescent="0.3">
      <c r="A536">
        <v>38365</v>
      </c>
      <c r="B536">
        <v>3204807</v>
      </c>
      <c r="C536" t="s">
        <v>81</v>
      </c>
      <c r="D536">
        <v>0.23</v>
      </c>
      <c r="E536">
        <v>849827.47</v>
      </c>
      <c r="F536">
        <v>9891.17</v>
      </c>
      <c r="G536">
        <v>859718.64</v>
      </c>
      <c r="H536">
        <v>7464.67</v>
      </c>
      <c r="I536">
        <v>100217.11</v>
      </c>
      <c r="J536">
        <v>0.436</v>
      </c>
      <c r="K536">
        <v>19329.060000000001</v>
      </c>
      <c r="L536">
        <v>0</v>
      </c>
      <c r="M536">
        <v>0</v>
      </c>
      <c r="N536">
        <v>2022</v>
      </c>
      <c r="O536">
        <v>6</v>
      </c>
    </row>
    <row r="537" spans="1:15" x14ac:dyDescent="0.3">
      <c r="A537">
        <v>38366</v>
      </c>
      <c r="B537">
        <v>3204906</v>
      </c>
      <c r="C537" t="s">
        <v>82</v>
      </c>
      <c r="D537">
        <v>1.8839999999999999</v>
      </c>
      <c r="E537">
        <v>6961195.6600000001</v>
      </c>
      <c r="F537">
        <v>81021.47</v>
      </c>
      <c r="G537">
        <v>7042217.1299999999</v>
      </c>
      <c r="H537">
        <v>61145.42</v>
      </c>
      <c r="I537">
        <v>1574301.2</v>
      </c>
      <c r="J537">
        <v>3.024</v>
      </c>
      <c r="K537">
        <v>158330.20000000001</v>
      </c>
      <c r="L537">
        <v>0</v>
      </c>
      <c r="M537">
        <v>0</v>
      </c>
      <c r="N537">
        <v>2022</v>
      </c>
      <c r="O537">
        <v>6</v>
      </c>
    </row>
    <row r="538" spans="1:15" x14ac:dyDescent="0.3">
      <c r="A538">
        <v>38367</v>
      </c>
      <c r="B538">
        <v>3204955</v>
      </c>
      <c r="C538" t="s">
        <v>83</v>
      </c>
      <c r="D538">
        <v>0.32600000000000001</v>
      </c>
      <c r="E538">
        <v>1204538.1200000001</v>
      </c>
      <c r="F538">
        <v>14019.65</v>
      </c>
      <c r="G538">
        <v>1218557.77</v>
      </c>
      <c r="H538">
        <v>10580.36</v>
      </c>
      <c r="I538">
        <v>129169.94</v>
      </c>
      <c r="J538">
        <v>0.46100000000000002</v>
      </c>
      <c r="K538">
        <v>27396.84</v>
      </c>
      <c r="L538">
        <v>0</v>
      </c>
      <c r="M538">
        <v>0</v>
      </c>
      <c r="N538">
        <v>2022</v>
      </c>
      <c r="O538">
        <v>6</v>
      </c>
    </row>
    <row r="539" spans="1:15" x14ac:dyDescent="0.3">
      <c r="A539">
        <v>38368</v>
      </c>
      <c r="B539">
        <v>3205002</v>
      </c>
      <c r="C539" t="s">
        <v>84</v>
      </c>
      <c r="D539">
        <v>14.176</v>
      </c>
      <c r="E539">
        <v>52378933.130000003</v>
      </c>
      <c r="F539">
        <v>609639.30000000005</v>
      </c>
      <c r="G539">
        <v>52988572.43</v>
      </c>
      <c r="H539">
        <v>460083.56</v>
      </c>
      <c r="I539">
        <v>6673435.0700000003</v>
      </c>
      <c r="J539">
        <v>8.4320000000000004</v>
      </c>
      <c r="K539">
        <v>1191342.3500000001</v>
      </c>
      <c r="L539">
        <v>0</v>
      </c>
      <c r="M539">
        <v>0</v>
      </c>
      <c r="N539">
        <v>2022</v>
      </c>
      <c r="O539">
        <v>6</v>
      </c>
    </row>
    <row r="540" spans="1:15" x14ac:dyDescent="0.3">
      <c r="A540">
        <v>38369</v>
      </c>
      <c r="B540">
        <v>3205010</v>
      </c>
      <c r="C540" t="s">
        <v>85</v>
      </c>
      <c r="D540">
        <v>0.72199999999999998</v>
      </c>
      <c r="E540">
        <v>2667719.36</v>
      </c>
      <c r="F540">
        <v>31049.64</v>
      </c>
      <c r="G540">
        <v>2698769</v>
      </c>
      <c r="H540">
        <v>23432.59</v>
      </c>
      <c r="I540">
        <v>261614.29</v>
      </c>
      <c r="J540">
        <v>0.997</v>
      </c>
      <c r="K540">
        <v>60676.44</v>
      </c>
      <c r="L540">
        <v>0</v>
      </c>
      <c r="M540">
        <v>0</v>
      </c>
      <c r="N540">
        <v>2022</v>
      </c>
      <c r="O540">
        <v>6</v>
      </c>
    </row>
    <row r="541" spans="1:15" x14ac:dyDescent="0.3">
      <c r="A541">
        <v>38370</v>
      </c>
      <c r="B541">
        <v>3205036</v>
      </c>
      <c r="C541" t="s">
        <v>86</v>
      </c>
      <c r="D541">
        <v>0.498</v>
      </c>
      <c r="E541">
        <v>1840061.29</v>
      </c>
      <c r="F541">
        <v>21416.5</v>
      </c>
      <c r="G541">
        <v>1861477.79</v>
      </c>
      <c r="H541">
        <v>16162.64</v>
      </c>
      <c r="I541">
        <v>251950.95</v>
      </c>
      <c r="J541">
        <v>0.72699999999999998</v>
      </c>
      <c r="K541">
        <v>41851.61</v>
      </c>
      <c r="L541">
        <v>0</v>
      </c>
      <c r="M541">
        <v>0</v>
      </c>
      <c r="N541">
        <v>2022</v>
      </c>
      <c r="O541">
        <v>6</v>
      </c>
    </row>
    <row r="542" spans="1:15" x14ac:dyDescent="0.3">
      <c r="A542">
        <v>38371</v>
      </c>
      <c r="B542">
        <v>3205069</v>
      </c>
      <c r="C542" t="s">
        <v>87</v>
      </c>
      <c r="D542">
        <v>0.75800000000000001</v>
      </c>
      <c r="E542">
        <v>2800735.85</v>
      </c>
      <c r="F542">
        <v>32597.8</v>
      </c>
      <c r="G542">
        <v>2833333.65</v>
      </c>
      <c r="H542">
        <v>24600.97</v>
      </c>
      <c r="I542">
        <v>406324.88</v>
      </c>
      <c r="J542">
        <v>0.85799999999999998</v>
      </c>
      <c r="K542">
        <v>63701.85</v>
      </c>
      <c r="L542">
        <v>0</v>
      </c>
      <c r="M542">
        <v>0</v>
      </c>
      <c r="N542">
        <v>2022</v>
      </c>
      <c r="O542">
        <v>6</v>
      </c>
    </row>
    <row r="543" spans="1:15" x14ac:dyDescent="0.3">
      <c r="A543">
        <v>38372</v>
      </c>
      <c r="B543">
        <v>2112803</v>
      </c>
      <c r="C543" t="s">
        <v>88</v>
      </c>
      <c r="D543">
        <v>2.9929999999999999</v>
      </c>
      <c r="E543">
        <v>11058842.189999999</v>
      </c>
      <c r="F543">
        <v>128714.07</v>
      </c>
      <c r="G543">
        <v>11187556.26</v>
      </c>
      <c r="H543">
        <v>97138.13</v>
      </c>
      <c r="I543">
        <v>892809.99</v>
      </c>
      <c r="J543">
        <v>1.984</v>
      </c>
      <c r="K543">
        <v>251529.89</v>
      </c>
      <c r="L543">
        <v>0</v>
      </c>
      <c r="M543">
        <v>0</v>
      </c>
      <c r="N543">
        <v>2022</v>
      </c>
      <c r="O543">
        <v>6</v>
      </c>
    </row>
    <row r="544" spans="1:15" x14ac:dyDescent="0.3">
      <c r="A544">
        <v>38373</v>
      </c>
      <c r="B544">
        <v>3205150</v>
      </c>
      <c r="C544" t="s">
        <v>89</v>
      </c>
      <c r="D544">
        <v>0.32800000000000001</v>
      </c>
      <c r="E544">
        <v>1211927.8999999999</v>
      </c>
      <c r="F544">
        <v>14105.64</v>
      </c>
      <c r="G544">
        <v>1226033.54</v>
      </c>
      <c r="H544">
        <v>10645.27</v>
      </c>
      <c r="I544">
        <v>99451.17</v>
      </c>
      <c r="J544">
        <v>0.34399999999999997</v>
      </c>
      <c r="K544">
        <v>27564.92</v>
      </c>
      <c r="L544">
        <v>0</v>
      </c>
      <c r="M544">
        <v>0</v>
      </c>
      <c r="N544">
        <v>2022</v>
      </c>
      <c r="O544">
        <v>6</v>
      </c>
    </row>
    <row r="545" spans="1:15" x14ac:dyDescent="0.3">
      <c r="A545">
        <v>38374</v>
      </c>
      <c r="B545">
        <v>3205176</v>
      </c>
      <c r="C545" t="s">
        <v>90</v>
      </c>
      <c r="D545">
        <v>0.623</v>
      </c>
      <c r="E545">
        <v>2301924.04</v>
      </c>
      <c r="F545">
        <v>26792.15</v>
      </c>
      <c r="G545">
        <v>2328716.19</v>
      </c>
      <c r="H545">
        <v>20219.53</v>
      </c>
      <c r="I545">
        <v>255248.02</v>
      </c>
      <c r="J545">
        <v>0.55600000000000005</v>
      </c>
      <c r="K545">
        <v>52356.54</v>
      </c>
      <c r="L545">
        <v>0</v>
      </c>
      <c r="M545">
        <v>0</v>
      </c>
      <c r="N545">
        <v>2022</v>
      </c>
      <c r="O545">
        <v>6</v>
      </c>
    </row>
    <row r="546" spans="1:15" x14ac:dyDescent="0.3">
      <c r="A546">
        <v>38375</v>
      </c>
      <c r="B546">
        <v>3205200</v>
      </c>
      <c r="C546" t="s">
        <v>91</v>
      </c>
      <c r="D546">
        <v>5.3819999999999997</v>
      </c>
      <c r="E546">
        <v>19885963.449999999</v>
      </c>
      <c r="F546">
        <v>231453.08</v>
      </c>
      <c r="G546">
        <v>20117416.530000001</v>
      </c>
      <c r="H546">
        <v>174673.37</v>
      </c>
      <c r="I546">
        <v>7571039.5899999999</v>
      </c>
      <c r="J546">
        <v>8.09</v>
      </c>
      <c r="K546">
        <v>452299.98</v>
      </c>
      <c r="L546">
        <v>0</v>
      </c>
      <c r="M546">
        <v>0</v>
      </c>
      <c r="N546">
        <v>2022</v>
      </c>
      <c r="O546">
        <v>6</v>
      </c>
    </row>
    <row r="547" spans="1:15" x14ac:dyDescent="0.3">
      <c r="A547">
        <v>38376</v>
      </c>
      <c r="B547">
        <v>3205309</v>
      </c>
      <c r="C547" t="s">
        <v>92</v>
      </c>
      <c r="D547">
        <v>14.535</v>
      </c>
      <c r="E547">
        <v>53705402.969999999</v>
      </c>
      <c r="F547">
        <v>625078.23</v>
      </c>
      <c r="G547">
        <v>54330481.200000003</v>
      </c>
      <c r="H547">
        <v>471734.94</v>
      </c>
      <c r="I547">
        <v>7053599.96</v>
      </c>
      <c r="J547">
        <v>9.4969999999999999</v>
      </c>
      <c r="K547">
        <v>1221512.5</v>
      </c>
      <c r="L547">
        <v>0</v>
      </c>
      <c r="M547">
        <v>0</v>
      </c>
      <c r="N547">
        <v>2022</v>
      </c>
      <c r="O547">
        <v>6</v>
      </c>
    </row>
    <row r="548" spans="1:15" x14ac:dyDescent="0.3">
      <c r="A548">
        <v>38377</v>
      </c>
      <c r="B548">
        <v>3200102</v>
      </c>
      <c r="C548" t="s">
        <v>15</v>
      </c>
      <c r="D548">
        <v>0.8</v>
      </c>
      <c r="E548">
        <v>2482465.02</v>
      </c>
      <c r="F548">
        <v>370340.75</v>
      </c>
      <c r="G548">
        <v>2852805.77</v>
      </c>
      <c r="H548">
        <v>26762.66</v>
      </c>
      <c r="I548">
        <v>281593.59999999998</v>
      </c>
      <c r="J548">
        <v>0.98499999999999999</v>
      </c>
      <c r="K548">
        <v>71919.78</v>
      </c>
      <c r="L548">
        <v>10617.86</v>
      </c>
      <c r="M548">
        <v>0</v>
      </c>
      <c r="N548">
        <v>2022</v>
      </c>
      <c r="O548">
        <v>7</v>
      </c>
    </row>
    <row r="549" spans="1:15" x14ac:dyDescent="0.3">
      <c r="A549">
        <v>38378</v>
      </c>
      <c r="B549">
        <v>3200169</v>
      </c>
      <c r="C549" t="s">
        <v>16</v>
      </c>
      <c r="D549">
        <v>0.30099999999999999</v>
      </c>
      <c r="E549">
        <v>934027.44</v>
      </c>
      <c r="F549">
        <v>139340.69</v>
      </c>
      <c r="G549">
        <v>1073368.1299999999</v>
      </c>
      <c r="H549">
        <v>10069.450000000001</v>
      </c>
      <c r="I549">
        <v>111157.11</v>
      </c>
      <c r="J549">
        <v>0.439</v>
      </c>
      <c r="K549">
        <v>27059.82</v>
      </c>
      <c r="L549">
        <v>4736.76</v>
      </c>
      <c r="M549">
        <v>0</v>
      </c>
      <c r="N549">
        <v>2022</v>
      </c>
      <c r="O549">
        <v>7</v>
      </c>
    </row>
    <row r="550" spans="1:15" x14ac:dyDescent="0.3">
      <c r="A550">
        <v>38379</v>
      </c>
      <c r="B550">
        <v>3200136</v>
      </c>
      <c r="C550" t="s">
        <v>17</v>
      </c>
      <c r="D550">
        <v>0.41599999999999998</v>
      </c>
      <c r="E550">
        <v>1290881.82</v>
      </c>
      <c r="F550">
        <v>192577.18</v>
      </c>
      <c r="G550">
        <v>1483459</v>
      </c>
      <c r="H550">
        <v>13916.58</v>
      </c>
      <c r="I550">
        <v>109859.23</v>
      </c>
      <c r="J550">
        <v>0.34799999999999998</v>
      </c>
      <c r="K550">
        <v>37398.29</v>
      </c>
      <c r="L550">
        <v>3751.98</v>
      </c>
      <c r="M550">
        <v>0</v>
      </c>
      <c r="N550">
        <v>2022</v>
      </c>
      <c r="O550">
        <v>7</v>
      </c>
    </row>
    <row r="551" spans="1:15" x14ac:dyDescent="0.3">
      <c r="A551">
        <v>38380</v>
      </c>
      <c r="B551">
        <v>3200201</v>
      </c>
      <c r="C551" t="s">
        <v>18</v>
      </c>
      <c r="D551">
        <v>0.51</v>
      </c>
      <c r="E551">
        <v>1582571.48</v>
      </c>
      <c r="F551">
        <v>236092.25</v>
      </c>
      <c r="G551">
        <v>1818663.73</v>
      </c>
      <c r="H551">
        <v>17061.189999999999</v>
      </c>
      <c r="I551">
        <v>263013.53999999998</v>
      </c>
      <c r="J551">
        <v>0.98</v>
      </c>
      <c r="K551">
        <v>45848.86</v>
      </c>
      <c r="L551">
        <v>10557.92</v>
      </c>
      <c r="M551">
        <v>0</v>
      </c>
      <c r="N551">
        <v>2022</v>
      </c>
      <c r="O551">
        <v>7</v>
      </c>
    </row>
    <row r="552" spans="1:15" x14ac:dyDescent="0.3">
      <c r="A552">
        <v>38381</v>
      </c>
      <c r="B552">
        <v>3200300</v>
      </c>
      <c r="C552" t="s">
        <v>19</v>
      </c>
      <c r="D552">
        <v>0.49</v>
      </c>
      <c r="E552">
        <v>1520509.83</v>
      </c>
      <c r="F552">
        <v>226833.7</v>
      </c>
      <c r="G552">
        <v>1747343.53</v>
      </c>
      <c r="H552">
        <v>16392.13</v>
      </c>
      <c r="I552">
        <v>252695.56</v>
      </c>
      <c r="J552">
        <v>0.56399999999999995</v>
      </c>
      <c r="K552">
        <v>44050.87</v>
      </c>
      <c r="L552">
        <v>6074.26</v>
      </c>
      <c r="M552">
        <v>0</v>
      </c>
      <c r="N552">
        <v>2022</v>
      </c>
      <c r="O552">
        <v>7</v>
      </c>
    </row>
    <row r="553" spans="1:15" x14ac:dyDescent="0.3">
      <c r="A553">
        <v>38382</v>
      </c>
      <c r="B553">
        <v>3200359</v>
      </c>
      <c r="C553" t="s">
        <v>20</v>
      </c>
      <c r="D553">
        <v>0.23100000000000001</v>
      </c>
      <c r="E553">
        <v>716811.78</v>
      </c>
      <c r="F553">
        <v>106935.9</v>
      </c>
      <c r="G553">
        <v>823747.68</v>
      </c>
      <c r="H553">
        <v>7727.72</v>
      </c>
      <c r="I553">
        <v>74409.259999999995</v>
      </c>
      <c r="J553">
        <v>0.32700000000000001</v>
      </c>
      <c r="K553">
        <v>20766.84</v>
      </c>
      <c r="L553">
        <v>3527.68</v>
      </c>
      <c r="M553">
        <v>0</v>
      </c>
      <c r="N553">
        <v>2022</v>
      </c>
      <c r="O553">
        <v>7</v>
      </c>
    </row>
    <row r="554" spans="1:15" x14ac:dyDescent="0.3">
      <c r="A554">
        <v>38383</v>
      </c>
      <c r="B554">
        <v>3200409</v>
      </c>
      <c r="C554" t="s">
        <v>21</v>
      </c>
      <c r="D554">
        <v>1.766</v>
      </c>
      <c r="E554">
        <v>5480041.5300000003</v>
      </c>
      <c r="F554">
        <v>817527.24</v>
      </c>
      <c r="G554">
        <v>6297568.7699999996</v>
      </c>
      <c r="H554">
        <v>59078.559999999998</v>
      </c>
      <c r="I554">
        <v>317545.56</v>
      </c>
      <c r="J554">
        <v>0.90800000000000003</v>
      </c>
      <c r="K554">
        <v>158762.91</v>
      </c>
      <c r="L554">
        <v>9782.49</v>
      </c>
      <c r="M554">
        <v>0</v>
      </c>
      <c r="N554">
        <v>2022</v>
      </c>
      <c r="O554">
        <v>7</v>
      </c>
    </row>
    <row r="555" spans="1:15" x14ac:dyDescent="0.3">
      <c r="A555">
        <v>38384</v>
      </c>
      <c r="B555">
        <v>3200508</v>
      </c>
      <c r="C555" t="s">
        <v>22</v>
      </c>
      <c r="D555">
        <v>0.185</v>
      </c>
      <c r="E555">
        <v>574070.05000000005</v>
      </c>
      <c r="F555">
        <v>85641.3</v>
      </c>
      <c r="G555">
        <v>659711.35</v>
      </c>
      <c r="H555">
        <v>6188.86</v>
      </c>
      <c r="I555">
        <v>121398.63</v>
      </c>
      <c r="J555">
        <v>0.32300000000000001</v>
      </c>
      <c r="K555">
        <v>16631.45</v>
      </c>
      <c r="L555">
        <v>3479.27</v>
      </c>
      <c r="M555">
        <v>0</v>
      </c>
      <c r="N555">
        <v>2022</v>
      </c>
      <c r="O555">
        <v>7</v>
      </c>
    </row>
    <row r="556" spans="1:15" x14ac:dyDescent="0.3">
      <c r="A556">
        <v>38385</v>
      </c>
      <c r="B556">
        <v>3200607</v>
      </c>
      <c r="C556" t="s">
        <v>23</v>
      </c>
      <c r="D556">
        <v>4.9909999999999997</v>
      </c>
      <c r="E556">
        <v>15487478.699999999</v>
      </c>
      <c r="F556">
        <v>2310463.37</v>
      </c>
      <c r="G556">
        <v>17797942.07</v>
      </c>
      <c r="H556">
        <v>166965.51999999999</v>
      </c>
      <c r="I556">
        <v>1321734.1200000001</v>
      </c>
      <c r="J556">
        <v>2.5089999999999999</v>
      </c>
      <c r="K556">
        <v>448689.53</v>
      </c>
      <c r="L556">
        <v>27045.31</v>
      </c>
      <c r="M556">
        <v>0</v>
      </c>
      <c r="N556">
        <v>2022</v>
      </c>
      <c r="O556">
        <v>7</v>
      </c>
    </row>
    <row r="557" spans="1:15" x14ac:dyDescent="0.3">
      <c r="A557">
        <v>38386</v>
      </c>
      <c r="B557">
        <v>3200706</v>
      </c>
      <c r="C557" t="s">
        <v>24</v>
      </c>
      <c r="D557">
        <v>0.373</v>
      </c>
      <c r="E557">
        <v>1157449.3400000001</v>
      </c>
      <c r="F557">
        <v>172671.35999999999</v>
      </c>
      <c r="G557">
        <v>1330120.7</v>
      </c>
      <c r="H557">
        <v>12478.09</v>
      </c>
      <c r="I557">
        <v>76917.59</v>
      </c>
      <c r="J557">
        <v>0.45700000000000002</v>
      </c>
      <c r="K557">
        <v>33532.6</v>
      </c>
      <c r="L557">
        <v>4929.4399999999996</v>
      </c>
      <c r="M557">
        <v>0</v>
      </c>
      <c r="N557">
        <v>2022</v>
      </c>
      <c r="O557">
        <v>7</v>
      </c>
    </row>
    <row r="558" spans="1:15" x14ac:dyDescent="0.3">
      <c r="A558">
        <v>38387</v>
      </c>
      <c r="B558">
        <v>3200805</v>
      </c>
      <c r="C558" t="s">
        <v>25</v>
      </c>
      <c r="D558">
        <v>0.64300000000000002</v>
      </c>
      <c r="E558">
        <v>1995281.26</v>
      </c>
      <c r="F558">
        <v>297661.38</v>
      </c>
      <c r="G558">
        <v>2292942.64</v>
      </c>
      <c r="H558">
        <v>21510.49</v>
      </c>
      <c r="I558">
        <v>525309.18000000005</v>
      </c>
      <c r="J558">
        <v>0.996</v>
      </c>
      <c r="K558">
        <v>57805.52</v>
      </c>
      <c r="L558">
        <v>10740.76</v>
      </c>
      <c r="M558">
        <v>0</v>
      </c>
      <c r="N558">
        <v>2022</v>
      </c>
      <c r="O558">
        <v>7</v>
      </c>
    </row>
    <row r="559" spans="1:15" x14ac:dyDescent="0.3">
      <c r="A559">
        <v>38388</v>
      </c>
      <c r="B559">
        <v>3200904</v>
      </c>
      <c r="C559" t="s">
        <v>26</v>
      </c>
      <c r="D559">
        <v>1.036</v>
      </c>
      <c r="E559">
        <v>3214792.19</v>
      </c>
      <c r="F559">
        <v>479591.28</v>
      </c>
      <c r="G559">
        <v>3694383.47</v>
      </c>
      <c r="H559">
        <v>34657.64</v>
      </c>
      <c r="I559">
        <v>623189.01</v>
      </c>
      <c r="J559">
        <v>1.321</v>
      </c>
      <c r="K559">
        <v>93136.12</v>
      </c>
      <c r="L559">
        <v>14242.14</v>
      </c>
      <c r="M559">
        <v>0</v>
      </c>
      <c r="N559">
        <v>2022</v>
      </c>
      <c r="O559">
        <v>7</v>
      </c>
    </row>
    <row r="560" spans="1:15" x14ac:dyDescent="0.3">
      <c r="A560">
        <v>38389</v>
      </c>
      <c r="B560">
        <v>3107109</v>
      </c>
      <c r="C560" t="s">
        <v>27</v>
      </c>
      <c r="D560">
        <v>0.39900000000000002</v>
      </c>
      <c r="E560">
        <v>1238129.42</v>
      </c>
      <c r="F560">
        <v>184707.44</v>
      </c>
      <c r="G560">
        <v>1422836.86</v>
      </c>
      <c r="H560">
        <v>13347.87</v>
      </c>
      <c r="I560">
        <v>135630.09</v>
      </c>
      <c r="J560">
        <v>0.56899999999999995</v>
      </c>
      <c r="K560">
        <v>35869.99</v>
      </c>
      <c r="L560">
        <v>6136.7</v>
      </c>
      <c r="M560">
        <v>0</v>
      </c>
      <c r="N560">
        <v>2022</v>
      </c>
      <c r="O560">
        <v>7</v>
      </c>
    </row>
    <row r="561" spans="1:15" x14ac:dyDescent="0.3">
      <c r="A561">
        <v>38390</v>
      </c>
      <c r="B561">
        <v>3201100</v>
      </c>
      <c r="C561" t="s">
        <v>28</v>
      </c>
      <c r="D561">
        <v>0.17599999999999999</v>
      </c>
      <c r="E561">
        <v>546142.29</v>
      </c>
      <c r="F561">
        <v>81474.95</v>
      </c>
      <c r="G561">
        <v>627617.24</v>
      </c>
      <c r="H561">
        <v>5887.78</v>
      </c>
      <c r="I561">
        <v>280139.46000000002</v>
      </c>
      <c r="J561">
        <v>0.43</v>
      </c>
      <c r="K561">
        <v>15822.35</v>
      </c>
      <c r="L561">
        <v>4630.12</v>
      </c>
      <c r="M561">
        <v>0</v>
      </c>
      <c r="N561">
        <v>2022</v>
      </c>
      <c r="O561">
        <v>7</v>
      </c>
    </row>
    <row r="562" spans="1:15" x14ac:dyDescent="0.3">
      <c r="A562">
        <v>38391</v>
      </c>
      <c r="B562">
        <v>3201159</v>
      </c>
      <c r="C562" t="s">
        <v>29</v>
      </c>
      <c r="D562">
        <v>0.42099999999999999</v>
      </c>
      <c r="E562">
        <v>1306397.23</v>
      </c>
      <c r="F562">
        <v>194891.83</v>
      </c>
      <c r="G562">
        <v>1501289.06</v>
      </c>
      <c r="H562">
        <v>14083.85</v>
      </c>
      <c r="I562">
        <v>128665.16</v>
      </c>
      <c r="J562">
        <v>0.46</v>
      </c>
      <c r="K562">
        <v>37847.79</v>
      </c>
      <c r="L562">
        <v>4953.0600000000004</v>
      </c>
      <c r="M562">
        <v>0</v>
      </c>
      <c r="N562">
        <v>2022</v>
      </c>
      <c r="O562">
        <v>7</v>
      </c>
    </row>
    <row r="563" spans="1:15" x14ac:dyDescent="0.3">
      <c r="A563">
        <v>38392</v>
      </c>
      <c r="B563">
        <v>3201209</v>
      </c>
      <c r="C563" t="s">
        <v>30</v>
      </c>
      <c r="D563">
        <v>3.234</v>
      </c>
      <c r="E563">
        <v>10035364.880000001</v>
      </c>
      <c r="F563">
        <v>1497102.5</v>
      </c>
      <c r="G563">
        <v>11532467.380000001</v>
      </c>
      <c r="H563">
        <v>108188.04</v>
      </c>
      <c r="I563">
        <v>2693718.44</v>
      </c>
      <c r="J563">
        <v>4.4820000000000002</v>
      </c>
      <c r="K563">
        <v>290735.71000000002</v>
      </c>
      <c r="L563">
        <v>48311.02</v>
      </c>
      <c r="M563">
        <v>0</v>
      </c>
      <c r="N563">
        <v>2022</v>
      </c>
      <c r="O563">
        <v>7</v>
      </c>
    </row>
    <row r="564" spans="1:15" x14ac:dyDescent="0.3">
      <c r="A564">
        <v>38393</v>
      </c>
      <c r="B564">
        <v>3201308</v>
      </c>
      <c r="C564" t="s">
        <v>31</v>
      </c>
      <c r="D564">
        <v>7.4969999999999999</v>
      </c>
      <c r="E564">
        <v>23263800.399999999</v>
      </c>
      <c r="F564">
        <v>3470555.79</v>
      </c>
      <c r="G564">
        <v>26734356.190000001</v>
      </c>
      <c r="H564">
        <v>250799.54</v>
      </c>
      <c r="I564">
        <v>4042088.57</v>
      </c>
      <c r="J564">
        <v>6.6040000000000001</v>
      </c>
      <c r="K564">
        <v>673978.24</v>
      </c>
      <c r="L564">
        <v>71177.240000000005</v>
      </c>
      <c r="M564">
        <v>0</v>
      </c>
      <c r="N564">
        <v>2022</v>
      </c>
      <c r="O564">
        <v>7</v>
      </c>
    </row>
    <row r="565" spans="1:15" x14ac:dyDescent="0.3">
      <c r="A565">
        <v>38394</v>
      </c>
      <c r="B565">
        <v>3201407</v>
      </c>
      <c r="C565" t="s">
        <v>32</v>
      </c>
      <c r="D565">
        <v>0.96499999999999997</v>
      </c>
      <c r="E565">
        <v>2994473.43</v>
      </c>
      <c r="F565">
        <v>446723.53</v>
      </c>
      <c r="G565">
        <v>3441196.96</v>
      </c>
      <c r="H565">
        <v>32282.45</v>
      </c>
      <c r="I565">
        <v>696327.55</v>
      </c>
      <c r="J565">
        <v>1.155</v>
      </c>
      <c r="K565">
        <v>86753.24</v>
      </c>
      <c r="L565">
        <v>12448.69</v>
      </c>
      <c r="M565">
        <v>0</v>
      </c>
      <c r="N565">
        <v>2022</v>
      </c>
      <c r="O565">
        <v>7</v>
      </c>
    </row>
    <row r="566" spans="1:15" x14ac:dyDescent="0.3">
      <c r="A566">
        <v>38395</v>
      </c>
      <c r="B566">
        <v>3201506</v>
      </c>
      <c r="C566" t="s">
        <v>33</v>
      </c>
      <c r="D566">
        <v>2.1739999999999999</v>
      </c>
      <c r="E566">
        <v>6746098.7199999997</v>
      </c>
      <c r="F566">
        <v>1006401.01</v>
      </c>
      <c r="G566">
        <v>7752499.7300000004</v>
      </c>
      <c r="H566">
        <v>72727.520000000004</v>
      </c>
      <c r="I566">
        <v>1872849.28</v>
      </c>
      <c r="J566">
        <v>2.8220000000000001</v>
      </c>
      <c r="K566">
        <v>195442</v>
      </c>
      <c r="L566">
        <v>30412.29</v>
      </c>
      <c r="M566">
        <v>0</v>
      </c>
      <c r="N566">
        <v>2022</v>
      </c>
      <c r="O566">
        <v>7</v>
      </c>
    </row>
    <row r="567" spans="1:15" x14ac:dyDescent="0.3">
      <c r="A567">
        <v>38396</v>
      </c>
      <c r="B567">
        <v>3201605</v>
      </c>
      <c r="C567" t="s">
        <v>34</v>
      </c>
      <c r="D567">
        <v>0.65200000000000002</v>
      </c>
      <c r="E567">
        <v>2023209</v>
      </c>
      <c r="F567">
        <v>301827.68</v>
      </c>
      <c r="G567">
        <v>2325036.6800000002</v>
      </c>
      <c r="H567">
        <v>21811.57</v>
      </c>
      <c r="I567">
        <v>249066.94</v>
      </c>
      <c r="J567">
        <v>0.999</v>
      </c>
      <c r="K567">
        <v>58614.63</v>
      </c>
      <c r="L567">
        <v>10769.1</v>
      </c>
      <c r="M567">
        <v>0</v>
      </c>
      <c r="N567">
        <v>2022</v>
      </c>
      <c r="O567">
        <v>7</v>
      </c>
    </row>
    <row r="568" spans="1:15" x14ac:dyDescent="0.3">
      <c r="A568">
        <v>38397</v>
      </c>
      <c r="B568">
        <v>3201704</v>
      </c>
      <c r="C568" t="s">
        <v>35</v>
      </c>
      <c r="D568">
        <v>0.47499999999999998</v>
      </c>
      <c r="E568">
        <v>1473963.6</v>
      </c>
      <c r="F568">
        <v>219889.82</v>
      </c>
      <c r="G568">
        <v>1693853.42</v>
      </c>
      <c r="H568">
        <v>15890.33</v>
      </c>
      <c r="I568">
        <v>126434.75</v>
      </c>
      <c r="J568">
        <v>0.46500000000000002</v>
      </c>
      <c r="K568">
        <v>42702.37</v>
      </c>
      <c r="L568">
        <v>5010.38</v>
      </c>
      <c r="M568">
        <v>0</v>
      </c>
      <c r="N568">
        <v>2022</v>
      </c>
      <c r="O568">
        <v>7</v>
      </c>
    </row>
    <row r="569" spans="1:15" x14ac:dyDescent="0.3">
      <c r="A569">
        <v>38398</v>
      </c>
      <c r="B569">
        <v>3201803</v>
      </c>
      <c r="C569" t="s">
        <v>36</v>
      </c>
      <c r="D569">
        <v>0.186</v>
      </c>
      <c r="E569">
        <v>577173.1</v>
      </c>
      <c r="F569">
        <v>86104.23</v>
      </c>
      <c r="G569">
        <v>663277.32999999996</v>
      </c>
      <c r="H569">
        <v>6222.32</v>
      </c>
      <c r="I569">
        <v>41182.980000000003</v>
      </c>
      <c r="J569">
        <v>0.28299999999999997</v>
      </c>
      <c r="K569">
        <v>16721.349999999999</v>
      </c>
      <c r="L569">
        <v>3045.62</v>
      </c>
      <c r="M569">
        <v>0</v>
      </c>
      <c r="N569">
        <v>2022</v>
      </c>
      <c r="O569">
        <v>7</v>
      </c>
    </row>
    <row r="570" spans="1:15" x14ac:dyDescent="0.3">
      <c r="A570">
        <v>38399</v>
      </c>
      <c r="B570">
        <v>3201902</v>
      </c>
      <c r="C570" t="s">
        <v>37</v>
      </c>
      <c r="D570">
        <v>1.3140000000000001</v>
      </c>
      <c r="E570">
        <v>4077448.81</v>
      </c>
      <c r="F570">
        <v>608284.69999999995</v>
      </c>
      <c r="G570">
        <v>4685733.51</v>
      </c>
      <c r="H570">
        <v>43957.66</v>
      </c>
      <c r="I570">
        <v>443460.86</v>
      </c>
      <c r="J570">
        <v>1.0309999999999999</v>
      </c>
      <c r="K570">
        <v>118128.24</v>
      </c>
      <c r="L570">
        <v>11115.53</v>
      </c>
      <c r="M570">
        <v>0</v>
      </c>
      <c r="N570">
        <v>2022</v>
      </c>
      <c r="O570">
        <v>7</v>
      </c>
    </row>
    <row r="571" spans="1:15" x14ac:dyDescent="0.3">
      <c r="A571">
        <v>38400</v>
      </c>
      <c r="B571">
        <v>3202009</v>
      </c>
      <c r="C571" t="s">
        <v>38</v>
      </c>
      <c r="D571">
        <v>0.26</v>
      </c>
      <c r="E571">
        <v>806801.13</v>
      </c>
      <c r="F571">
        <v>120360.73</v>
      </c>
      <c r="G571">
        <v>927161.86</v>
      </c>
      <c r="H571">
        <v>8697.86</v>
      </c>
      <c r="I571">
        <v>117189.98</v>
      </c>
      <c r="J571">
        <v>0.314</v>
      </c>
      <c r="K571">
        <v>23373.93</v>
      </c>
      <c r="L571">
        <v>3381.03</v>
      </c>
      <c r="M571">
        <v>0</v>
      </c>
      <c r="N571">
        <v>2022</v>
      </c>
      <c r="O571">
        <v>7</v>
      </c>
    </row>
    <row r="572" spans="1:15" x14ac:dyDescent="0.3">
      <c r="A572">
        <v>38401</v>
      </c>
      <c r="B572">
        <v>3202108</v>
      </c>
      <c r="C572" t="s">
        <v>39</v>
      </c>
      <c r="D572">
        <v>0.69899999999999995</v>
      </c>
      <c r="E572">
        <v>2169053.8199999998</v>
      </c>
      <c r="F572">
        <v>323585.27</v>
      </c>
      <c r="G572">
        <v>2492639.09</v>
      </c>
      <c r="H572">
        <v>23383.87</v>
      </c>
      <c r="I572">
        <v>184929.85</v>
      </c>
      <c r="J572">
        <v>0.81599999999999995</v>
      </c>
      <c r="K572">
        <v>62839.91</v>
      </c>
      <c r="L572">
        <v>8793.85</v>
      </c>
      <c r="M572">
        <v>0</v>
      </c>
      <c r="N572">
        <v>2022</v>
      </c>
      <c r="O572">
        <v>7</v>
      </c>
    </row>
    <row r="573" spans="1:15" x14ac:dyDescent="0.3">
      <c r="A573">
        <v>38402</v>
      </c>
      <c r="B573">
        <v>3202207</v>
      </c>
      <c r="C573" t="s">
        <v>40</v>
      </c>
      <c r="D573">
        <v>0.313</v>
      </c>
      <c r="E573">
        <v>971264.44</v>
      </c>
      <c r="F573">
        <v>144895.82</v>
      </c>
      <c r="G573">
        <v>1116160.26</v>
      </c>
      <c r="H573">
        <v>10470.89</v>
      </c>
      <c r="I573">
        <v>177974.83</v>
      </c>
      <c r="J573">
        <v>0.73399999999999999</v>
      </c>
      <c r="K573">
        <v>28138.61</v>
      </c>
      <c r="L573">
        <v>7915.45</v>
      </c>
      <c r="M573">
        <v>0</v>
      </c>
      <c r="N573">
        <v>2022</v>
      </c>
      <c r="O573">
        <v>7</v>
      </c>
    </row>
    <row r="574" spans="1:15" x14ac:dyDescent="0.3">
      <c r="A574">
        <v>38403</v>
      </c>
      <c r="B574">
        <v>3202256</v>
      </c>
      <c r="C574" t="s">
        <v>41</v>
      </c>
      <c r="D574">
        <v>0.43</v>
      </c>
      <c r="E574">
        <v>1334324.96</v>
      </c>
      <c r="F574">
        <v>199058.15</v>
      </c>
      <c r="G574">
        <v>1533383.11</v>
      </c>
      <c r="H574">
        <v>14384.93</v>
      </c>
      <c r="I574">
        <v>144695.67999999999</v>
      </c>
      <c r="J574">
        <v>0.46700000000000003</v>
      </c>
      <c r="K574">
        <v>38656.879999999997</v>
      </c>
      <c r="L574">
        <v>5031.3599999999997</v>
      </c>
      <c r="M574">
        <v>0</v>
      </c>
      <c r="N574">
        <v>2022</v>
      </c>
      <c r="O574">
        <v>7</v>
      </c>
    </row>
    <row r="575" spans="1:15" x14ac:dyDescent="0.3">
      <c r="A575">
        <v>38404</v>
      </c>
      <c r="B575">
        <v>3202306</v>
      </c>
      <c r="C575" t="s">
        <v>42</v>
      </c>
      <c r="D575">
        <v>0.378</v>
      </c>
      <c r="E575">
        <v>1172964.73</v>
      </c>
      <c r="F575">
        <v>174986.01</v>
      </c>
      <c r="G575">
        <v>1347950.74</v>
      </c>
      <c r="H575">
        <v>12645.36</v>
      </c>
      <c r="I575">
        <v>393340.88</v>
      </c>
      <c r="J575">
        <v>0.998</v>
      </c>
      <c r="K575">
        <v>33982.1</v>
      </c>
      <c r="L575">
        <v>10755.06</v>
      </c>
      <c r="M575">
        <v>0</v>
      </c>
      <c r="N575">
        <v>2022</v>
      </c>
      <c r="O575">
        <v>7</v>
      </c>
    </row>
    <row r="576" spans="1:15" x14ac:dyDescent="0.3">
      <c r="A576">
        <v>38405</v>
      </c>
      <c r="B576">
        <v>3202405</v>
      </c>
      <c r="C576" t="s">
        <v>43</v>
      </c>
      <c r="D576">
        <v>0.90900000000000003</v>
      </c>
      <c r="E576">
        <v>2820700.89</v>
      </c>
      <c r="F576">
        <v>420799.69</v>
      </c>
      <c r="G576">
        <v>3241500.58</v>
      </c>
      <c r="H576">
        <v>30409.07</v>
      </c>
      <c r="I576">
        <v>2447775.85</v>
      </c>
      <c r="J576">
        <v>2.8730000000000002</v>
      </c>
      <c r="K576">
        <v>81718.850000000006</v>
      </c>
      <c r="L576">
        <v>30965.97</v>
      </c>
      <c r="M576">
        <v>0</v>
      </c>
      <c r="N576">
        <v>2022</v>
      </c>
      <c r="O576">
        <v>7</v>
      </c>
    </row>
    <row r="577" spans="1:15" x14ac:dyDescent="0.3">
      <c r="A577">
        <v>38406</v>
      </c>
      <c r="B577">
        <v>3202454</v>
      </c>
      <c r="C577" t="s">
        <v>44</v>
      </c>
      <c r="D577">
        <v>0.35099999999999998</v>
      </c>
      <c r="E577">
        <v>1089181.53</v>
      </c>
      <c r="F577">
        <v>162487</v>
      </c>
      <c r="G577">
        <v>1251668.53</v>
      </c>
      <c r="H577">
        <v>11742.12</v>
      </c>
      <c r="I577">
        <v>312328.98</v>
      </c>
      <c r="J577">
        <v>0.86499999999999999</v>
      </c>
      <c r="K577">
        <v>31554.81</v>
      </c>
      <c r="L577">
        <v>9320.3700000000008</v>
      </c>
      <c r="M577">
        <v>0</v>
      </c>
      <c r="N577">
        <v>2022</v>
      </c>
      <c r="O577">
        <v>7</v>
      </c>
    </row>
    <row r="578" spans="1:15" x14ac:dyDescent="0.3">
      <c r="A578">
        <v>38407</v>
      </c>
      <c r="B578">
        <v>3202504</v>
      </c>
      <c r="C578" t="s">
        <v>45</v>
      </c>
      <c r="D578">
        <v>0.26700000000000002</v>
      </c>
      <c r="E578">
        <v>828522.7</v>
      </c>
      <c r="F578">
        <v>123601.23</v>
      </c>
      <c r="G578">
        <v>952123.93</v>
      </c>
      <c r="H578">
        <v>8932.0400000000009</v>
      </c>
      <c r="I578">
        <v>169393.09</v>
      </c>
      <c r="J578">
        <v>0.46300000000000002</v>
      </c>
      <c r="K578">
        <v>24003.23</v>
      </c>
      <c r="L578">
        <v>4985.99</v>
      </c>
      <c r="M578">
        <v>0</v>
      </c>
      <c r="N578">
        <v>2022</v>
      </c>
      <c r="O578">
        <v>7</v>
      </c>
    </row>
    <row r="579" spans="1:15" x14ac:dyDescent="0.3">
      <c r="A579">
        <v>38408</v>
      </c>
      <c r="B579">
        <v>3202553</v>
      </c>
      <c r="C579" t="s">
        <v>46</v>
      </c>
      <c r="D579">
        <v>0.248</v>
      </c>
      <c r="E579">
        <v>769564.17</v>
      </c>
      <c r="F579">
        <v>114805.61</v>
      </c>
      <c r="G579">
        <v>884369.78</v>
      </c>
      <c r="H579">
        <v>8296.42</v>
      </c>
      <c r="I579">
        <v>71920.160000000003</v>
      </c>
      <c r="J579">
        <v>0.33800000000000002</v>
      </c>
      <c r="K579">
        <v>22295.13</v>
      </c>
      <c r="L579">
        <v>3648.23</v>
      </c>
      <c r="M579">
        <v>0</v>
      </c>
      <c r="N579">
        <v>2022</v>
      </c>
      <c r="O579">
        <v>7</v>
      </c>
    </row>
    <row r="580" spans="1:15" x14ac:dyDescent="0.3">
      <c r="A580">
        <v>38409</v>
      </c>
      <c r="B580">
        <v>3202603</v>
      </c>
      <c r="C580" t="s">
        <v>47</v>
      </c>
      <c r="D580">
        <v>0.34399999999999997</v>
      </c>
      <c r="E580">
        <v>1067459.97</v>
      </c>
      <c r="F580">
        <v>159246.53</v>
      </c>
      <c r="G580">
        <v>1226706.5</v>
      </c>
      <c r="H580">
        <v>11507.94</v>
      </c>
      <c r="I580">
        <v>251097.91</v>
      </c>
      <c r="J580">
        <v>0.55600000000000005</v>
      </c>
      <c r="K580">
        <v>30925.51</v>
      </c>
      <c r="L580">
        <v>5997.26</v>
      </c>
      <c r="M580">
        <v>0</v>
      </c>
      <c r="N580">
        <v>2022</v>
      </c>
      <c r="O580">
        <v>7</v>
      </c>
    </row>
    <row r="581" spans="1:15" x14ac:dyDescent="0.3">
      <c r="A581">
        <v>38410</v>
      </c>
      <c r="B581">
        <v>3202652</v>
      </c>
      <c r="C581" t="s">
        <v>48</v>
      </c>
      <c r="D581">
        <v>0.308</v>
      </c>
      <c r="E581">
        <v>955749.04</v>
      </c>
      <c r="F581">
        <v>142581.17000000001</v>
      </c>
      <c r="G581">
        <v>1098330.21</v>
      </c>
      <c r="H581">
        <v>10303.620000000001</v>
      </c>
      <c r="I581">
        <v>153408.63</v>
      </c>
      <c r="J581">
        <v>0.55100000000000005</v>
      </c>
      <c r="K581">
        <v>27689.119999999999</v>
      </c>
      <c r="L581">
        <v>5943.34</v>
      </c>
      <c r="M581">
        <v>0</v>
      </c>
      <c r="N581">
        <v>2022</v>
      </c>
      <c r="O581">
        <v>7</v>
      </c>
    </row>
    <row r="582" spans="1:15" x14ac:dyDescent="0.3">
      <c r="A582">
        <v>38411</v>
      </c>
      <c r="B582">
        <v>3202702</v>
      </c>
      <c r="C582" t="s">
        <v>49</v>
      </c>
      <c r="D582">
        <v>0.35499999999999998</v>
      </c>
      <c r="E582">
        <v>1101593.8500000001</v>
      </c>
      <c r="F582">
        <v>164338.73000000001</v>
      </c>
      <c r="G582">
        <v>1265932.58</v>
      </c>
      <c r="H582">
        <v>11875.93</v>
      </c>
      <c r="I582">
        <v>113337.97</v>
      </c>
      <c r="J582">
        <v>0.55500000000000005</v>
      </c>
      <c r="K582">
        <v>31914.400000000001</v>
      </c>
      <c r="L582">
        <v>5984.01</v>
      </c>
      <c r="M582">
        <v>0</v>
      </c>
      <c r="N582">
        <v>2022</v>
      </c>
      <c r="O582">
        <v>7</v>
      </c>
    </row>
    <row r="583" spans="1:15" x14ac:dyDescent="0.3">
      <c r="A583">
        <v>38412</v>
      </c>
      <c r="B583">
        <v>3202801</v>
      </c>
      <c r="C583" t="s">
        <v>50</v>
      </c>
      <c r="D583">
        <v>2.262</v>
      </c>
      <c r="E583">
        <v>7019169.8700000001</v>
      </c>
      <c r="F583">
        <v>1047138.46</v>
      </c>
      <c r="G583">
        <v>8066308.3300000001</v>
      </c>
      <c r="H583">
        <v>75671.41</v>
      </c>
      <c r="I583">
        <v>389097.18</v>
      </c>
      <c r="J583">
        <v>1.042</v>
      </c>
      <c r="K583">
        <v>203353.18</v>
      </c>
      <c r="L583">
        <v>11225.32</v>
      </c>
      <c r="M583">
        <v>0</v>
      </c>
      <c r="N583">
        <v>2022</v>
      </c>
      <c r="O583">
        <v>7</v>
      </c>
    </row>
    <row r="584" spans="1:15" x14ac:dyDescent="0.3">
      <c r="A584">
        <v>38413</v>
      </c>
      <c r="B584">
        <v>3202900</v>
      </c>
      <c r="C584" t="s">
        <v>51</v>
      </c>
      <c r="D584">
        <v>0.34599999999999997</v>
      </c>
      <c r="E584">
        <v>1073666.1200000001</v>
      </c>
      <c r="F584">
        <v>160172.35</v>
      </c>
      <c r="G584">
        <v>1233838.47</v>
      </c>
      <c r="H584">
        <v>11574.85</v>
      </c>
      <c r="I584">
        <v>148719.38</v>
      </c>
      <c r="J584">
        <v>0.435</v>
      </c>
      <c r="K584">
        <v>31105.31</v>
      </c>
      <c r="L584">
        <v>4688.4799999999996</v>
      </c>
      <c r="M584">
        <v>0</v>
      </c>
      <c r="N584">
        <v>2022</v>
      </c>
      <c r="O584">
        <v>7</v>
      </c>
    </row>
    <row r="585" spans="1:15" x14ac:dyDescent="0.3">
      <c r="A585">
        <v>38414</v>
      </c>
      <c r="B585">
        <v>3203007</v>
      </c>
      <c r="C585" t="s">
        <v>52</v>
      </c>
      <c r="D585">
        <v>0.438</v>
      </c>
      <c r="E585">
        <v>1359149.61</v>
      </c>
      <c r="F585">
        <v>202761.56</v>
      </c>
      <c r="G585">
        <v>1561911.17</v>
      </c>
      <c r="H585">
        <v>14652.55</v>
      </c>
      <c r="I585">
        <v>325843.42</v>
      </c>
      <c r="J585">
        <v>0.89700000000000002</v>
      </c>
      <c r="K585">
        <v>39376.080000000002</v>
      </c>
      <c r="L585">
        <v>9668.64</v>
      </c>
      <c r="M585">
        <v>0</v>
      </c>
      <c r="N585">
        <v>2022</v>
      </c>
      <c r="O585">
        <v>7</v>
      </c>
    </row>
    <row r="586" spans="1:15" x14ac:dyDescent="0.3">
      <c r="A586">
        <v>38415</v>
      </c>
      <c r="B586">
        <v>3203056</v>
      </c>
      <c r="C586" t="s">
        <v>53</v>
      </c>
      <c r="D586">
        <v>0.8</v>
      </c>
      <c r="E586">
        <v>2482465.02</v>
      </c>
      <c r="F586">
        <v>370340.75</v>
      </c>
      <c r="G586">
        <v>2852805.77</v>
      </c>
      <c r="H586">
        <v>26762.66</v>
      </c>
      <c r="I586">
        <v>371087.7</v>
      </c>
      <c r="J586">
        <v>1</v>
      </c>
      <c r="K586">
        <v>71919.78</v>
      </c>
      <c r="L586">
        <v>10783.53</v>
      </c>
      <c r="M586">
        <v>0</v>
      </c>
      <c r="N586">
        <v>2022</v>
      </c>
      <c r="O586">
        <v>7</v>
      </c>
    </row>
    <row r="587" spans="1:15" x14ac:dyDescent="0.3">
      <c r="A587">
        <v>38416</v>
      </c>
      <c r="B587">
        <v>3203106</v>
      </c>
      <c r="C587" t="s">
        <v>54</v>
      </c>
      <c r="D587">
        <v>0.21199999999999999</v>
      </c>
      <c r="E587">
        <v>657853.22</v>
      </c>
      <c r="F587">
        <v>98140.3</v>
      </c>
      <c r="G587">
        <v>755993.52</v>
      </c>
      <c r="H587">
        <v>7092.1</v>
      </c>
      <c r="I587">
        <v>91824.72</v>
      </c>
      <c r="J587">
        <v>0.45800000000000002</v>
      </c>
      <c r="K587">
        <v>19058.75</v>
      </c>
      <c r="L587">
        <v>4938.1099999999997</v>
      </c>
      <c r="M587">
        <v>0</v>
      </c>
      <c r="N587">
        <v>2022</v>
      </c>
      <c r="O587">
        <v>7</v>
      </c>
    </row>
    <row r="588" spans="1:15" x14ac:dyDescent="0.3">
      <c r="A588">
        <v>38417</v>
      </c>
      <c r="B588">
        <v>3203130</v>
      </c>
      <c r="C588" t="s">
        <v>55</v>
      </c>
      <c r="D588">
        <v>0.38600000000000001</v>
      </c>
      <c r="E588">
        <v>1197789.4099999999</v>
      </c>
      <c r="F588">
        <v>178689.43</v>
      </c>
      <c r="G588">
        <v>1376478.84</v>
      </c>
      <c r="H588">
        <v>12912.98</v>
      </c>
      <c r="I588">
        <v>206806.43</v>
      </c>
      <c r="J588">
        <v>0.66600000000000004</v>
      </c>
      <c r="K588">
        <v>34701.300000000003</v>
      </c>
      <c r="L588">
        <v>7180.24</v>
      </c>
      <c r="M588">
        <v>0</v>
      </c>
      <c r="N588">
        <v>2022</v>
      </c>
      <c r="O588">
        <v>7</v>
      </c>
    </row>
    <row r="589" spans="1:15" x14ac:dyDescent="0.3">
      <c r="A589">
        <v>38418</v>
      </c>
      <c r="B589">
        <v>3203163</v>
      </c>
      <c r="C589" t="s">
        <v>56</v>
      </c>
      <c r="D589">
        <v>0.372</v>
      </c>
      <c r="E589">
        <v>1154346.24</v>
      </c>
      <c r="F589">
        <v>172208.45</v>
      </c>
      <c r="G589">
        <v>1326554.69</v>
      </c>
      <c r="H589">
        <v>12444.64</v>
      </c>
      <c r="I589">
        <v>93027.32</v>
      </c>
      <c r="J589">
        <v>0.441</v>
      </c>
      <c r="K589">
        <v>33442.699999999997</v>
      </c>
      <c r="L589">
        <v>4752.2299999999996</v>
      </c>
      <c r="M589">
        <v>0</v>
      </c>
      <c r="N589">
        <v>2022</v>
      </c>
      <c r="O589">
        <v>7</v>
      </c>
    </row>
    <row r="590" spans="1:15" x14ac:dyDescent="0.3">
      <c r="A590">
        <v>38419</v>
      </c>
      <c r="B590">
        <v>3203205</v>
      </c>
      <c r="C590" t="s">
        <v>57</v>
      </c>
      <c r="D590">
        <v>5.4</v>
      </c>
      <c r="E590">
        <v>16756638.949999999</v>
      </c>
      <c r="F590">
        <v>2499800.08</v>
      </c>
      <c r="G590">
        <v>19256439.030000001</v>
      </c>
      <c r="H590">
        <v>180647.93</v>
      </c>
      <c r="I590">
        <v>2399927.96</v>
      </c>
      <c r="J590">
        <v>4.0880000000000001</v>
      </c>
      <c r="K590">
        <v>485458.52</v>
      </c>
      <c r="L590">
        <v>44058.83</v>
      </c>
      <c r="M590">
        <v>0</v>
      </c>
      <c r="N590">
        <v>2022</v>
      </c>
      <c r="O590">
        <v>7</v>
      </c>
    </row>
    <row r="591" spans="1:15" x14ac:dyDescent="0.3">
      <c r="A591">
        <v>38420</v>
      </c>
      <c r="B591">
        <v>3203304</v>
      </c>
      <c r="C591" t="s">
        <v>58</v>
      </c>
      <c r="D591">
        <v>0.216</v>
      </c>
      <c r="E591">
        <v>670265.56000000006</v>
      </c>
      <c r="F591">
        <v>99992.01</v>
      </c>
      <c r="G591">
        <v>770257.57</v>
      </c>
      <c r="H591">
        <v>7225.92</v>
      </c>
      <c r="I591">
        <v>166403.85</v>
      </c>
      <c r="J591">
        <v>0.57599999999999996</v>
      </c>
      <c r="K591">
        <v>19418.34</v>
      </c>
      <c r="L591">
        <v>6203.2</v>
      </c>
      <c r="M591">
        <v>0</v>
      </c>
      <c r="N591">
        <v>2022</v>
      </c>
      <c r="O591">
        <v>7</v>
      </c>
    </row>
    <row r="592" spans="1:15" x14ac:dyDescent="0.3">
      <c r="A592">
        <v>38421</v>
      </c>
      <c r="B592">
        <v>3203320</v>
      </c>
      <c r="C592" t="s">
        <v>59</v>
      </c>
      <c r="D592">
        <v>0.60899999999999999</v>
      </c>
      <c r="E592">
        <v>1889776.48</v>
      </c>
      <c r="F592">
        <v>281921.90000000002</v>
      </c>
      <c r="G592">
        <v>2171698.38</v>
      </c>
      <c r="H592">
        <v>20373.07</v>
      </c>
      <c r="I592">
        <v>542851.43000000005</v>
      </c>
      <c r="J592">
        <v>1.171</v>
      </c>
      <c r="K592">
        <v>54748.93</v>
      </c>
      <c r="L592">
        <v>12619.61</v>
      </c>
      <c r="M592">
        <v>0</v>
      </c>
      <c r="N592">
        <v>2022</v>
      </c>
      <c r="O592">
        <v>7</v>
      </c>
    </row>
    <row r="593" spans="1:15" x14ac:dyDescent="0.3">
      <c r="A593">
        <v>38422</v>
      </c>
      <c r="B593">
        <v>3203346</v>
      </c>
      <c r="C593" t="s">
        <v>60</v>
      </c>
      <c r="D593">
        <v>0.64500000000000002</v>
      </c>
      <c r="E593">
        <v>2001487.45</v>
      </c>
      <c r="F593">
        <v>298587.23</v>
      </c>
      <c r="G593">
        <v>2300074.6800000002</v>
      </c>
      <c r="H593">
        <v>21577.39</v>
      </c>
      <c r="I593">
        <v>263877.27</v>
      </c>
      <c r="J593">
        <v>0.67100000000000004</v>
      </c>
      <c r="K593">
        <v>57985.32</v>
      </c>
      <c r="L593">
        <v>7228.38</v>
      </c>
      <c r="M593">
        <v>0</v>
      </c>
      <c r="N593">
        <v>2022</v>
      </c>
      <c r="O593">
        <v>7</v>
      </c>
    </row>
    <row r="594" spans="1:15" x14ac:dyDescent="0.3">
      <c r="A594">
        <v>38423</v>
      </c>
      <c r="B594">
        <v>3203353</v>
      </c>
      <c r="C594" t="s">
        <v>61</v>
      </c>
      <c r="D594">
        <v>0.45200000000000001</v>
      </c>
      <c r="E594">
        <v>1402592.74</v>
      </c>
      <c r="F594">
        <v>209242.5</v>
      </c>
      <c r="G594">
        <v>1611835.24</v>
      </c>
      <c r="H594">
        <v>15120.9</v>
      </c>
      <c r="I594">
        <v>145296.26</v>
      </c>
      <c r="J594">
        <v>0.46700000000000003</v>
      </c>
      <c r="K594">
        <v>40634.68</v>
      </c>
      <c r="L594">
        <v>5037.1400000000003</v>
      </c>
      <c r="M594">
        <v>0</v>
      </c>
      <c r="N594">
        <v>2022</v>
      </c>
      <c r="O594">
        <v>7</v>
      </c>
    </row>
    <row r="595" spans="1:15" x14ac:dyDescent="0.3">
      <c r="A595">
        <v>38424</v>
      </c>
      <c r="B595">
        <v>3203403</v>
      </c>
      <c r="C595" t="s">
        <v>62</v>
      </c>
      <c r="D595">
        <v>0.51400000000000001</v>
      </c>
      <c r="E595">
        <v>1594983.79</v>
      </c>
      <c r="F595">
        <v>237943.93</v>
      </c>
      <c r="G595">
        <v>1832927.72</v>
      </c>
      <c r="H595">
        <v>17195.009999999998</v>
      </c>
      <c r="I595">
        <v>211183.26</v>
      </c>
      <c r="J595">
        <v>0.85599999999999998</v>
      </c>
      <c r="K595">
        <v>46208.46</v>
      </c>
      <c r="L595">
        <v>9230.77</v>
      </c>
      <c r="M595">
        <v>0</v>
      </c>
      <c r="N595">
        <v>2022</v>
      </c>
      <c r="O595">
        <v>7</v>
      </c>
    </row>
    <row r="596" spans="1:15" x14ac:dyDescent="0.3">
      <c r="A596">
        <v>38425</v>
      </c>
      <c r="B596">
        <v>3203502</v>
      </c>
      <c r="C596" t="s">
        <v>63</v>
      </c>
      <c r="D596">
        <v>0.53600000000000003</v>
      </c>
      <c r="E596">
        <v>1663251.57</v>
      </c>
      <c r="F596">
        <v>248128.32</v>
      </c>
      <c r="G596">
        <v>1911379.89</v>
      </c>
      <c r="H596">
        <v>17930.98</v>
      </c>
      <c r="I596">
        <v>205426.39</v>
      </c>
      <c r="J596">
        <v>0.69299999999999995</v>
      </c>
      <c r="K596">
        <v>48186.25</v>
      </c>
      <c r="L596">
        <v>7466.19</v>
      </c>
      <c r="M596">
        <v>0</v>
      </c>
      <c r="N596">
        <v>2022</v>
      </c>
      <c r="O596">
        <v>7</v>
      </c>
    </row>
    <row r="597" spans="1:15" x14ac:dyDescent="0.3">
      <c r="A597">
        <v>38426</v>
      </c>
      <c r="B597">
        <v>3203601</v>
      </c>
      <c r="C597" t="s">
        <v>64</v>
      </c>
      <c r="D597">
        <v>0.27800000000000002</v>
      </c>
      <c r="E597">
        <v>862656.6</v>
      </c>
      <c r="F597">
        <v>128693.39</v>
      </c>
      <c r="G597">
        <v>991349.99</v>
      </c>
      <c r="H597">
        <v>9300.02</v>
      </c>
      <c r="I597">
        <v>50372.639999999999</v>
      </c>
      <c r="J597">
        <v>0.29799999999999999</v>
      </c>
      <c r="K597">
        <v>24992.12</v>
      </c>
      <c r="L597">
        <v>3207.23</v>
      </c>
      <c r="M597">
        <v>0</v>
      </c>
      <c r="N597">
        <v>2022</v>
      </c>
      <c r="O597">
        <v>7</v>
      </c>
    </row>
    <row r="598" spans="1:15" x14ac:dyDescent="0.3">
      <c r="A598">
        <v>38427</v>
      </c>
      <c r="B598">
        <v>3203700</v>
      </c>
      <c r="C598" t="s">
        <v>65</v>
      </c>
      <c r="D598">
        <v>0.55000000000000004</v>
      </c>
      <c r="E598">
        <v>1706694.73</v>
      </c>
      <c r="F598">
        <v>254609.27</v>
      </c>
      <c r="G598">
        <v>1961304</v>
      </c>
      <c r="H598">
        <v>18399.330000000002</v>
      </c>
      <c r="I598">
        <v>133425.62</v>
      </c>
      <c r="J598">
        <v>0.67100000000000004</v>
      </c>
      <c r="K598">
        <v>49444.85</v>
      </c>
      <c r="L598">
        <v>7232.97</v>
      </c>
      <c r="M598">
        <v>0</v>
      </c>
      <c r="N598">
        <v>2022</v>
      </c>
      <c r="O598">
        <v>7</v>
      </c>
    </row>
    <row r="599" spans="1:15" x14ac:dyDescent="0.3">
      <c r="A599">
        <v>38428</v>
      </c>
      <c r="B599">
        <v>3203809</v>
      </c>
      <c r="C599" t="s">
        <v>66</v>
      </c>
      <c r="D599">
        <v>0.29599999999999999</v>
      </c>
      <c r="E599">
        <v>918512.07</v>
      </c>
      <c r="F599">
        <v>137026.1</v>
      </c>
      <c r="G599">
        <v>1055538.17</v>
      </c>
      <c r="H599">
        <v>9902.18</v>
      </c>
      <c r="I599">
        <v>117075.17</v>
      </c>
      <c r="J599">
        <v>0.57499999999999996</v>
      </c>
      <c r="K599">
        <v>26610.32</v>
      </c>
      <c r="L599">
        <v>6196.51</v>
      </c>
      <c r="M599">
        <v>0</v>
      </c>
      <c r="N599">
        <v>2022</v>
      </c>
      <c r="O599">
        <v>7</v>
      </c>
    </row>
    <row r="600" spans="1:15" x14ac:dyDescent="0.3">
      <c r="A600">
        <v>38429</v>
      </c>
      <c r="B600">
        <v>3203908</v>
      </c>
      <c r="C600" t="s">
        <v>67</v>
      </c>
      <c r="D600">
        <v>1.268</v>
      </c>
      <c r="E600">
        <v>3934707.07</v>
      </c>
      <c r="F600">
        <v>586990.09</v>
      </c>
      <c r="G600">
        <v>4521697.16</v>
      </c>
      <c r="H600">
        <v>42418.81</v>
      </c>
      <c r="I600">
        <v>678633.97</v>
      </c>
      <c r="J600">
        <v>1.4650000000000001</v>
      </c>
      <c r="K600">
        <v>113992.86</v>
      </c>
      <c r="L600">
        <v>15787.02</v>
      </c>
      <c r="M600">
        <v>0</v>
      </c>
      <c r="N600">
        <v>2022</v>
      </c>
      <c r="O600">
        <v>7</v>
      </c>
    </row>
    <row r="601" spans="1:15" x14ac:dyDescent="0.3">
      <c r="A601">
        <v>38430</v>
      </c>
      <c r="B601">
        <v>3204005</v>
      </c>
      <c r="C601" t="s">
        <v>68</v>
      </c>
      <c r="D601">
        <v>0.47099999999999997</v>
      </c>
      <c r="E601">
        <v>1461551.28</v>
      </c>
      <c r="F601">
        <v>218038.13</v>
      </c>
      <c r="G601">
        <v>1679589.41</v>
      </c>
      <c r="H601">
        <v>15756.51</v>
      </c>
      <c r="I601">
        <v>176713.28</v>
      </c>
      <c r="J601">
        <v>0.747</v>
      </c>
      <c r="K601">
        <v>42342.77</v>
      </c>
      <c r="L601">
        <v>8052.79</v>
      </c>
      <c r="M601">
        <v>0</v>
      </c>
      <c r="N601">
        <v>2022</v>
      </c>
      <c r="O601">
        <v>7</v>
      </c>
    </row>
    <row r="602" spans="1:15" x14ac:dyDescent="0.3">
      <c r="A602">
        <v>38431</v>
      </c>
      <c r="B602">
        <v>3204054</v>
      </c>
      <c r="C602" t="s">
        <v>69</v>
      </c>
      <c r="D602">
        <v>0.313</v>
      </c>
      <c r="E602">
        <v>971264.44</v>
      </c>
      <c r="F602">
        <v>144895.82</v>
      </c>
      <c r="G602">
        <v>1116160.26</v>
      </c>
      <c r="H602">
        <v>10470.89</v>
      </c>
      <c r="I602">
        <v>269454.49</v>
      </c>
      <c r="J602">
        <v>0.86199999999999999</v>
      </c>
      <c r="K602">
        <v>28138.61</v>
      </c>
      <c r="L602">
        <v>9295.84</v>
      </c>
      <c r="M602">
        <v>0</v>
      </c>
      <c r="N602">
        <v>2022</v>
      </c>
      <c r="O602">
        <v>7</v>
      </c>
    </row>
    <row r="603" spans="1:15" x14ac:dyDescent="0.3">
      <c r="A603">
        <v>38432</v>
      </c>
      <c r="B603">
        <v>3204104</v>
      </c>
      <c r="C603" t="s">
        <v>70</v>
      </c>
      <c r="D603">
        <v>0.72599999999999998</v>
      </c>
      <c r="E603">
        <v>2252837.0099999998</v>
      </c>
      <c r="F603">
        <v>336084.22</v>
      </c>
      <c r="G603">
        <v>2588921.23</v>
      </c>
      <c r="H603">
        <v>24287.11</v>
      </c>
      <c r="I603">
        <v>216589.83</v>
      </c>
      <c r="J603">
        <v>0.875</v>
      </c>
      <c r="K603">
        <v>65267.199999999997</v>
      </c>
      <c r="L603">
        <v>9430.42</v>
      </c>
      <c r="M603">
        <v>0</v>
      </c>
      <c r="N603">
        <v>2022</v>
      </c>
      <c r="O603">
        <v>7</v>
      </c>
    </row>
    <row r="604" spans="1:15" x14ac:dyDescent="0.3">
      <c r="A604">
        <v>38433</v>
      </c>
      <c r="B604">
        <v>3204203</v>
      </c>
      <c r="C604" t="s">
        <v>71</v>
      </c>
      <c r="D604">
        <v>0.14599999999999999</v>
      </c>
      <c r="E604">
        <v>453049.86</v>
      </c>
      <c r="F604">
        <v>67587.19</v>
      </c>
      <c r="G604">
        <v>520637.05</v>
      </c>
      <c r="H604">
        <v>4884.18</v>
      </c>
      <c r="I604">
        <v>289945.09000000003</v>
      </c>
      <c r="J604">
        <v>0.73399999999999999</v>
      </c>
      <c r="K604">
        <v>13125.36</v>
      </c>
      <c r="L604">
        <v>7916.63</v>
      </c>
      <c r="M604">
        <v>0</v>
      </c>
      <c r="N604">
        <v>2022</v>
      </c>
      <c r="O604">
        <v>7</v>
      </c>
    </row>
    <row r="605" spans="1:15" x14ac:dyDescent="0.3">
      <c r="A605">
        <v>38434</v>
      </c>
      <c r="B605">
        <v>3204252</v>
      </c>
      <c r="C605" t="s">
        <v>72</v>
      </c>
      <c r="D605">
        <v>0.221</v>
      </c>
      <c r="E605">
        <v>685780.95</v>
      </c>
      <c r="F605">
        <v>102306.64</v>
      </c>
      <c r="G605">
        <v>788087.59</v>
      </c>
      <c r="H605">
        <v>7393.18</v>
      </c>
      <c r="I605">
        <v>75832.69</v>
      </c>
      <c r="J605">
        <v>0.32900000000000001</v>
      </c>
      <c r="K605">
        <v>19867.84</v>
      </c>
      <c r="L605">
        <v>3541.46</v>
      </c>
      <c r="M605">
        <v>0</v>
      </c>
      <c r="N605">
        <v>2022</v>
      </c>
      <c r="O605">
        <v>7</v>
      </c>
    </row>
    <row r="606" spans="1:15" x14ac:dyDescent="0.3">
      <c r="A606">
        <v>38435</v>
      </c>
      <c r="B606">
        <v>1718402</v>
      </c>
      <c r="C606" t="s">
        <v>73</v>
      </c>
      <c r="D606">
        <v>0.33800000000000002</v>
      </c>
      <c r="E606">
        <v>1048841.47</v>
      </c>
      <c r="F606">
        <v>156468.95000000001</v>
      </c>
      <c r="G606">
        <v>1205310.42</v>
      </c>
      <c r="H606">
        <v>11307.22</v>
      </c>
      <c r="I606">
        <v>221482.18</v>
      </c>
      <c r="J606">
        <v>0.45100000000000001</v>
      </c>
      <c r="K606">
        <v>30386.11</v>
      </c>
      <c r="L606">
        <v>4860.0600000000004</v>
      </c>
      <c r="M606">
        <v>0</v>
      </c>
      <c r="N606">
        <v>2022</v>
      </c>
      <c r="O606">
        <v>7</v>
      </c>
    </row>
    <row r="607" spans="1:15" x14ac:dyDescent="0.3">
      <c r="A607">
        <v>38436</v>
      </c>
      <c r="B607">
        <v>3204351</v>
      </c>
      <c r="C607" t="s">
        <v>74</v>
      </c>
      <c r="D607">
        <v>0.79700000000000004</v>
      </c>
      <c r="E607">
        <v>2473155.81</v>
      </c>
      <c r="F607">
        <v>368951.99</v>
      </c>
      <c r="G607">
        <v>2842107.8</v>
      </c>
      <c r="H607">
        <v>26662.3</v>
      </c>
      <c r="I607">
        <v>291793.09000000003</v>
      </c>
      <c r="J607">
        <v>0.69799999999999995</v>
      </c>
      <c r="K607">
        <v>71650.080000000002</v>
      </c>
      <c r="L607">
        <v>7524.43</v>
      </c>
      <c r="M607">
        <v>0</v>
      </c>
      <c r="N607">
        <v>2022</v>
      </c>
      <c r="O607">
        <v>7</v>
      </c>
    </row>
    <row r="608" spans="1:15" x14ac:dyDescent="0.3">
      <c r="A608">
        <v>38437</v>
      </c>
      <c r="B608">
        <v>3204401</v>
      </c>
      <c r="C608" t="s">
        <v>75</v>
      </c>
      <c r="D608">
        <v>0.27500000000000002</v>
      </c>
      <c r="E608">
        <v>853347.33</v>
      </c>
      <c r="F608">
        <v>127304.64</v>
      </c>
      <c r="G608">
        <v>980651.97</v>
      </c>
      <c r="H608">
        <v>9199.66</v>
      </c>
      <c r="I608">
        <v>126056.07</v>
      </c>
      <c r="J608">
        <v>0.45</v>
      </c>
      <c r="K608">
        <v>24722.42</v>
      </c>
      <c r="L608">
        <v>4845.5</v>
      </c>
      <c r="M608">
        <v>0</v>
      </c>
      <c r="N608">
        <v>2022</v>
      </c>
      <c r="O608">
        <v>7</v>
      </c>
    </row>
    <row r="609" spans="1:15" x14ac:dyDescent="0.3">
      <c r="A609">
        <v>38438</v>
      </c>
      <c r="B609">
        <v>3204500</v>
      </c>
      <c r="C609" t="s">
        <v>76</v>
      </c>
      <c r="D609">
        <v>0.53800000000000003</v>
      </c>
      <c r="E609">
        <v>1669457.74</v>
      </c>
      <c r="F609">
        <v>249054.16</v>
      </c>
      <c r="G609">
        <v>1918511.9</v>
      </c>
      <c r="H609">
        <v>17997.89</v>
      </c>
      <c r="I609">
        <v>99117.36</v>
      </c>
      <c r="J609">
        <v>0.45600000000000002</v>
      </c>
      <c r="K609">
        <v>48366.05</v>
      </c>
      <c r="L609">
        <v>4916.47</v>
      </c>
      <c r="M609">
        <v>0</v>
      </c>
      <c r="N609">
        <v>2022</v>
      </c>
      <c r="O609">
        <v>7</v>
      </c>
    </row>
    <row r="610" spans="1:15" x14ac:dyDescent="0.3">
      <c r="A610">
        <v>38439</v>
      </c>
      <c r="B610">
        <v>3204559</v>
      </c>
      <c r="C610" t="s">
        <v>77</v>
      </c>
      <c r="D610">
        <v>2.1160000000000001</v>
      </c>
      <c r="E610">
        <v>6566120.0300000003</v>
      </c>
      <c r="F610">
        <v>979551.29</v>
      </c>
      <c r="G610">
        <v>7545671.3200000003</v>
      </c>
      <c r="H610">
        <v>70787.23</v>
      </c>
      <c r="I610">
        <v>589229.9</v>
      </c>
      <c r="J610">
        <v>1.1990000000000001</v>
      </c>
      <c r="K610">
        <v>190227.82</v>
      </c>
      <c r="L610">
        <v>12925.11</v>
      </c>
      <c r="M610">
        <v>0</v>
      </c>
      <c r="N610">
        <v>2022</v>
      </c>
      <c r="O610">
        <v>7</v>
      </c>
    </row>
    <row r="611" spans="1:15" x14ac:dyDescent="0.3">
      <c r="A611">
        <v>38440</v>
      </c>
      <c r="B611">
        <v>3204609</v>
      </c>
      <c r="C611" t="s">
        <v>78</v>
      </c>
      <c r="D611">
        <v>0.68799999999999994</v>
      </c>
      <c r="E611">
        <v>2134919.92</v>
      </c>
      <c r="F611">
        <v>318493.03000000003</v>
      </c>
      <c r="G611">
        <v>2453412.9500000002</v>
      </c>
      <c r="H611">
        <v>23015.88</v>
      </c>
      <c r="I611">
        <v>359772.89</v>
      </c>
      <c r="J611">
        <v>0.82899999999999996</v>
      </c>
      <c r="K611">
        <v>61851.01</v>
      </c>
      <c r="L611">
        <v>8938.7900000000009</v>
      </c>
      <c r="M611">
        <v>0</v>
      </c>
      <c r="N611">
        <v>2022</v>
      </c>
      <c r="O611">
        <v>7</v>
      </c>
    </row>
    <row r="612" spans="1:15" x14ac:dyDescent="0.3">
      <c r="A612">
        <v>38441</v>
      </c>
      <c r="B612">
        <v>3204658</v>
      </c>
      <c r="C612" t="s">
        <v>79</v>
      </c>
      <c r="D612">
        <v>0.42399999999999999</v>
      </c>
      <c r="E612">
        <v>1315706.45</v>
      </c>
      <c r="F612">
        <v>196280.61</v>
      </c>
      <c r="G612">
        <v>1511987.06</v>
      </c>
      <c r="H612">
        <v>14184.21</v>
      </c>
      <c r="I612">
        <v>130551.47</v>
      </c>
      <c r="J612">
        <v>0.33700000000000002</v>
      </c>
      <c r="K612">
        <v>38117.480000000003</v>
      </c>
      <c r="L612">
        <v>3635.77</v>
      </c>
      <c r="M612">
        <v>0</v>
      </c>
      <c r="N612">
        <v>2022</v>
      </c>
      <c r="O612">
        <v>7</v>
      </c>
    </row>
    <row r="613" spans="1:15" x14ac:dyDescent="0.3">
      <c r="A613">
        <v>38442</v>
      </c>
      <c r="B613">
        <v>3204708</v>
      </c>
      <c r="C613" t="s">
        <v>80</v>
      </c>
      <c r="D613">
        <v>0.81499999999999995</v>
      </c>
      <c r="E613">
        <v>2529011.2400000002</v>
      </c>
      <c r="F613">
        <v>377284.65</v>
      </c>
      <c r="G613">
        <v>2906295.89</v>
      </c>
      <c r="H613">
        <v>27264.46</v>
      </c>
      <c r="I613">
        <v>417292.56</v>
      </c>
      <c r="J613">
        <v>1.169</v>
      </c>
      <c r="K613">
        <v>73268.28</v>
      </c>
      <c r="L613">
        <v>12596.78</v>
      </c>
      <c r="M613">
        <v>0</v>
      </c>
      <c r="N613">
        <v>2022</v>
      </c>
      <c r="O613">
        <v>7</v>
      </c>
    </row>
    <row r="614" spans="1:15" x14ac:dyDescent="0.3">
      <c r="A614">
        <v>38443</v>
      </c>
      <c r="B614">
        <v>3204807</v>
      </c>
      <c r="C614" t="s">
        <v>81</v>
      </c>
      <c r="D614">
        <v>0.23</v>
      </c>
      <c r="E614">
        <v>713708.69</v>
      </c>
      <c r="F614">
        <v>106472.95</v>
      </c>
      <c r="G614">
        <v>820181.64</v>
      </c>
      <c r="H614">
        <v>7694.26</v>
      </c>
      <c r="I614">
        <v>85993.01</v>
      </c>
      <c r="J614">
        <v>0.436</v>
      </c>
      <c r="K614">
        <v>20676.93</v>
      </c>
      <c r="L614">
        <v>4702</v>
      </c>
      <c r="M614">
        <v>0</v>
      </c>
      <c r="N614">
        <v>2022</v>
      </c>
      <c r="O614">
        <v>7</v>
      </c>
    </row>
    <row r="615" spans="1:15" x14ac:dyDescent="0.3">
      <c r="A615">
        <v>38444</v>
      </c>
      <c r="B615">
        <v>3204906</v>
      </c>
      <c r="C615" t="s">
        <v>82</v>
      </c>
      <c r="D615">
        <v>1.8839999999999999</v>
      </c>
      <c r="E615">
        <v>5846205.1500000004</v>
      </c>
      <c r="F615">
        <v>872152.48</v>
      </c>
      <c r="G615">
        <v>6718357.6299999999</v>
      </c>
      <c r="H615">
        <v>63026.06</v>
      </c>
      <c r="I615">
        <v>1555767.37</v>
      </c>
      <c r="J615">
        <v>3.024</v>
      </c>
      <c r="K615">
        <v>169371.09</v>
      </c>
      <c r="L615">
        <v>32599.39</v>
      </c>
      <c r="M615">
        <v>0</v>
      </c>
      <c r="N615">
        <v>2022</v>
      </c>
      <c r="O615">
        <v>7</v>
      </c>
    </row>
    <row r="616" spans="1:15" x14ac:dyDescent="0.3">
      <c r="A616">
        <v>38445</v>
      </c>
      <c r="B616">
        <v>3204955</v>
      </c>
      <c r="C616" t="s">
        <v>83</v>
      </c>
      <c r="D616">
        <v>0.32600000000000001</v>
      </c>
      <c r="E616">
        <v>1011604.52</v>
      </c>
      <c r="F616">
        <v>150913.85999999999</v>
      </c>
      <c r="G616">
        <v>1162518.3799999999</v>
      </c>
      <c r="H616">
        <v>10905.78</v>
      </c>
      <c r="I616">
        <v>95872.08</v>
      </c>
      <c r="J616">
        <v>0.46100000000000002</v>
      </c>
      <c r="K616">
        <v>29307.31</v>
      </c>
      <c r="L616">
        <v>4973</v>
      </c>
      <c r="M616">
        <v>0</v>
      </c>
      <c r="N616">
        <v>2022</v>
      </c>
      <c r="O616">
        <v>7</v>
      </c>
    </row>
    <row r="617" spans="1:15" x14ac:dyDescent="0.3">
      <c r="A617">
        <v>38446</v>
      </c>
      <c r="B617">
        <v>3205002</v>
      </c>
      <c r="C617" t="s">
        <v>84</v>
      </c>
      <c r="D617">
        <v>14.176</v>
      </c>
      <c r="E617">
        <v>43989280.329999998</v>
      </c>
      <c r="F617">
        <v>6562438.1399999997</v>
      </c>
      <c r="G617">
        <v>50551718.469999999</v>
      </c>
      <c r="H617">
        <v>474234.27</v>
      </c>
      <c r="I617">
        <v>6518721.4299999997</v>
      </c>
      <c r="J617">
        <v>8.4320000000000004</v>
      </c>
      <c r="K617">
        <v>1274418.51</v>
      </c>
      <c r="L617">
        <v>90888.39</v>
      </c>
      <c r="M617">
        <v>0</v>
      </c>
      <c r="N617">
        <v>2022</v>
      </c>
      <c r="O617">
        <v>7</v>
      </c>
    </row>
    <row r="618" spans="1:15" x14ac:dyDescent="0.3">
      <c r="A618">
        <v>38447</v>
      </c>
      <c r="B618">
        <v>3205010</v>
      </c>
      <c r="C618" t="s">
        <v>85</v>
      </c>
      <c r="D618">
        <v>0.72199999999999998</v>
      </c>
      <c r="E618">
        <v>2240424.69</v>
      </c>
      <c r="F618">
        <v>334232.53000000003</v>
      </c>
      <c r="G618">
        <v>2574657.2200000002</v>
      </c>
      <c r="H618">
        <v>24153.3</v>
      </c>
      <c r="I618">
        <v>241889.73</v>
      </c>
      <c r="J618">
        <v>0.997</v>
      </c>
      <c r="K618">
        <v>64907.6</v>
      </c>
      <c r="L618">
        <v>10742.73</v>
      </c>
      <c r="M618">
        <v>0</v>
      </c>
      <c r="N618">
        <v>2022</v>
      </c>
      <c r="O618">
        <v>7</v>
      </c>
    </row>
    <row r="619" spans="1:15" x14ac:dyDescent="0.3">
      <c r="A619">
        <v>38448</v>
      </c>
      <c r="B619">
        <v>3205036</v>
      </c>
      <c r="C619" t="s">
        <v>86</v>
      </c>
      <c r="D619">
        <v>0.498</v>
      </c>
      <c r="E619">
        <v>1545334.49</v>
      </c>
      <c r="F619">
        <v>230537.13</v>
      </c>
      <c r="G619">
        <v>1775871.62</v>
      </c>
      <c r="H619">
        <v>16659.75</v>
      </c>
      <c r="I619">
        <v>223199.74</v>
      </c>
      <c r="J619">
        <v>0.72699999999999998</v>
      </c>
      <c r="K619">
        <v>44770.07</v>
      </c>
      <c r="L619">
        <v>7836.62</v>
      </c>
      <c r="M619">
        <v>0</v>
      </c>
      <c r="N619">
        <v>2022</v>
      </c>
      <c r="O619">
        <v>7</v>
      </c>
    </row>
    <row r="620" spans="1:15" x14ac:dyDescent="0.3">
      <c r="A620">
        <v>38449</v>
      </c>
      <c r="B620">
        <v>3205069</v>
      </c>
      <c r="C620" t="s">
        <v>87</v>
      </c>
      <c r="D620">
        <v>0.75800000000000001</v>
      </c>
      <c r="E620">
        <v>2352135.59</v>
      </c>
      <c r="F620">
        <v>350897.86</v>
      </c>
      <c r="G620">
        <v>2703033.45</v>
      </c>
      <c r="H620">
        <v>25357.62</v>
      </c>
      <c r="I620">
        <v>396793.2</v>
      </c>
      <c r="J620">
        <v>0.85799999999999998</v>
      </c>
      <c r="K620">
        <v>68143.990000000005</v>
      </c>
      <c r="L620">
        <v>9247.18</v>
      </c>
      <c r="M620">
        <v>0</v>
      </c>
      <c r="N620">
        <v>2022</v>
      </c>
      <c r="O620">
        <v>7</v>
      </c>
    </row>
    <row r="621" spans="1:15" x14ac:dyDescent="0.3">
      <c r="A621">
        <v>38450</v>
      </c>
      <c r="B621">
        <v>2112803</v>
      </c>
      <c r="C621" t="s">
        <v>88</v>
      </c>
      <c r="D621">
        <v>2.9929999999999999</v>
      </c>
      <c r="E621">
        <v>9287522.2799999993</v>
      </c>
      <c r="F621">
        <v>1385537.35</v>
      </c>
      <c r="G621">
        <v>10673059.630000001</v>
      </c>
      <c r="H621">
        <v>100125.79</v>
      </c>
      <c r="I621">
        <v>948190.64</v>
      </c>
      <c r="J621">
        <v>1.984</v>
      </c>
      <c r="K621">
        <v>269069.87</v>
      </c>
      <c r="L621">
        <v>21380.06</v>
      </c>
      <c r="M621">
        <v>0</v>
      </c>
      <c r="N621">
        <v>2022</v>
      </c>
      <c r="O621">
        <v>7</v>
      </c>
    </row>
    <row r="622" spans="1:15" x14ac:dyDescent="0.3">
      <c r="A622">
        <v>38451</v>
      </c>
      <c r="B622">
        <v>3205150</v>
      </c>
      <c r="C622" t="s">
        <v>89</v>
      </c>
      <c r="D622">
        <v>0.32800000000000001</v>
      </c>
      <c r="E622">
        <v>1017810.66</v>
      </c>
      <c r="F622">
        <v>151839.70000000001</v>
      </c>
      <c r="G622">
        <v>1169650.3600000001</v>
      </c>
      <c r="H622">
        <v>10972.69</v>
      </c>
      <c r="I622">
        <v>90726.67</v>
      </c>
      <c r="J622">
        <v>0.34399999999999997</v>
      </c>
      <c r="K622">
        <v>29487.11</v>
      </c>
      <c r="L622">
        <v>3707.25</v>
      </c>
      <c r="M622">
        <v>0</v>
      </c>
      <c r="N622">
        <v>2022</v>
      </c>
      <c r="O622">
        <v>7</v>
      </c>
    </row>
    <row r="623" spans="1:15" x14ac:dyDescent="0.3">
      <c r="A623">
        <v>38452</v>
      </c>
      <c r="B623">
        <v>3205176</v>
      </c>
      <c r="C623" t="s">
        <v>90</v>
      </c>
      <c r="D623">
        <v>0.623</v>
      </c>
      <c r="E623">
        <v>1933219.62</v>
      </c>
      <c r="F623">
        <v>288402.88</v>
      </c>
      <c r="G623">
        <v>2221622.5</v>
      </c>
      <c r="H623">
        <v>20841.419999999998</v>
      </c>
      <c r="I623">
        <v>227732.37</v>
      </c>
      <c r="J623">
        <v>0.55600000000000005</v>
      </c>
      <c r="K623">
        <v>56007.53</v>
      </c>
      <c r="L623">
        <v>5994.9</v>
      </c>
      <c r="M623">
        <v>0</v>
      </c>
      <c r="N623">
        <v>2022</v>
      </c>
      <c r="O623">
        <v>7</v>
      </c>
    </row>
    <row r="624" spans="1:15" x14ac:dyDescent="0.3">
      <c r="A624">
        <v>38453</v>
      </c>
      <c r="B624">
        <v>3205200</v>
      </c>
      <c r="C624" t="s">
        <v>91</v>
      </c>
      <c r="D624">
        <v>5.3819999999999997</v>
      </c>
      <c r="E624">
        <v>16700783.51</v>
      </c>
      <c r="F624">
        <v>2491467.42</v>
      </c>
      <c r="G624">
        <v>19192250.93</v>
      </c>
      <c r="H624">
        <v>180045.77</v>
      </c>
      <c r="I624">
        <v>7258418.1799999997</v>
      </c>
      <c r="J624">
        <v>8.09</v>
      </c>
      <c r="K624">
        <v>483840.32</v>
      </c>
      <c r="L624">
        <v>87201.16</v>
      </c>
      <c r="M624">
        <v>0</v>
      </c>
      <c r="N624">
        <v>2022</v>
      </c>
      <c r="O624">
        <v>7</v>
      </c>
    </row>
    <row r="625" spans="1:15" x14ac:dyDescent="0.3">
      <c r="A625">
        <v>38454</v>
      </c>
      <c r="B625">
        <v>3205309</v>
      </c>
      <c r="C625" t="s">
        <v>92</v>
      </c>
      <c r="D625">
        <v>14.535</v>
      </c>
      <c r="E625">
        <v>45103286.649999999</v>
      </c>
      <c r="F625">
        <v>6728628.5999999996</v>
      </c>
      <c r="G625">
        <v>51831915.25</v>
      </c>
      <c r="H625">
        <v>486244.01</v>
      </c>
      <c r="I625">
        <v>6927762.3200000003</v>
      </c>
      <c r="J625">
        <v>9.4969999999999999</v>
      </c>
      <c r="K625">
        <v>1306692.46</v>
      </c>
      <c r="L625">
        <v>102364.24</v>
      </c>
      <c r="M625">
        <v>0</v>
      </c>
      <c r="N625">
        <v>2022</v>
      </c>
      <c r="O625">
        <v>7</v>
      </c>
    </row>
    <row r="626" spans="1:15" x14ac:dyDescent="0.3">
      <c r="A626">
        <v>38455</v>
      </c>
      <c r="B626">
        <v>3200102</v>
      </c>
      <c r="C626" t="s">
        <v>15</v>
      </c>
      <c r="D626">
        <v>0.8</v>
      </c>
      <c r="E626">
        <v>2360688.7000000002</v>
      </c>
      <c r="F626">
        <v>175391.9</v>
      </c>
      <c r="G626">
        <v>2536080.6</v>
      </c>
      <c r="H626">
        <v>21317.25</v>
      </c>
      <c r="I626">
        <v>206981.16</v>
      </c>
      <c r="J626">
        <v>0.98499999999999999</v>
      </c>
      <c r="K626">
        <v>67640.78</v>
      </c>
      <c r="L626">
        <v>0</v>
      </c>
      <c r="M626">
        <v>0</v>
      </c>
      <c r="N626">
        <v>2022</v>
      </c>
      <c r="O626">
        <v>8</v>
      </c>
    </row>
    <row r="627" spans="1:15" x14ac:dyDescent="0.3">
      <c r="A627">
        <v>38456</v>
      </c>
      <c r="B627">
        <v>3200169</v>
      </c>
      <c r="C627" t="s">
        <v>16</v>
      </c>
      <c r="D627">
        <v>0.30099999999999999</v>
      </c>
      <c r="E627">
        <v>888209.12</v>
      </c>
      <c r="F627">
        <v>65991.199999999997</v>
      </c>
      <c r="G627">
        <v>954200.32</v>
      </c>
      <c r="H627">
        <v>8020.62</v>
      </c>
      <c r="I627">
        <v>62124.27</v>
      </c>
      <c r="J627">
        <v>0.439</v>
      </c>
      <c r="K627">
        <v>25449.84</v>
      </c>
      <c r="L627">
        <v>0</v>
      </c>
      <c r="M627">
        <v>0</v>
      </c>
      <c r="N627">
        <v>2022</v>
      </c>
      <c r="O627">
        <v>8</v>
      </c>
    </row>
    <row r="628" spans="1:15" x14ac:dyDescent="0.3">
      <c r="A628">
        <v>38457</v>
      </c>
      <c r="B628">
        <v>3200136</v>
      </c>
      <c r="C628" t="s">
        <v>17</v>
      </c>
      <c r="D628">
        <v>0.41599999999999998</v>
      </c>
      <c r="E628">
        <v>1227558.1399999999</v>
      </c>
      <c r="F628">
        <v>91203.77</v>
      </c>
      <c r="G628">
        <v>1318761.9099999999</v>
      </c>
      <c r="H628">
        <v>11084.97</v>
      </c>
      <c r="I628">
        <v>54041.919999999998</v>
      </c>
      <c r="J628">
        <v>0.34799999999999998</v>
      </c>
      <c r="K628">
        <v>35173.21</v>
      </c>
      <c r="L628">
        <v>0</v>
      </c>
      <c r="M628">
        <v>0</v>
      </c>
      <c r="N628">
        <v>2022</v>
      </c>
      <c r="O628">
        <v>8</v>
      </c>
    </row>
    <row r="629" spans="1:15" x14ac:dyDescent="0.3">
      <c r="A629">
        <v>38458</v>
      </c>
      <c r="B629">
        <v>3200201</v>
      </c>
      <c r="C629" t="s">
        <v>18</v>
      </c>
      <c r="D629">
        <v>0.51</v>
      </c>
      <c r="E629">
        <v>1504939.05</v>
      </c>
      <c r="F629">
        <v>111812.32</v>
      </c>
      <c r="G629">
        <v>1616751.37</v>
      </c>
      <c r="H629">
        <v>13589.75</v>
      </c>
      <c r="I629">
        <v>155385.76999999999</v>
      </c>
      <c r="J629">
        <v>0.98</v>
      </c>
      <c r="K629">
        <v>43121</v>
      </c>
      <c r="L629">
        <v>0</v>
      </c>
      <c r="M629">
        <v>0</v>
      </c>
      <c r="N629">
        <v>2022</v>
      </c>
      <c r="O629">
        <v>8</v>
      </c>
    </row>
    <row r="630" spans="1:15" x14ac:dyDescent="0.3">
      <c r="A630">
        <v>38459</v>
      </c>
      <c r="B630">
        <v>3200300</v>
      </c>
      <c r="C630" t="s">
        <v>19</v>
      </c>
      <c r="D630">
        <v>0.49</v>
      </c>
      <c r="E630">
        <v>1445921.82</v>
      </c>
      <c r="F630">
        <v>107427.52</v>
      </c>
      <c r="G630">
        <v>1553349.34</v>
      </c>
      <c r="H630">
        <v>13056.82</v>
      </c>
      <c r="I630">
        <v>132145.49</v>
      </c>
      <c r="J630">
        <v>0.56399999999999995</v>
      </c>
      <c r="K630">
        <v>41429.980000000003</v>
      </c>
      <c r="L630">
        <v>0</v>
      </c>
      <c r="M630">
        <v>0</v>
      </c>
      <c r="N630">
        <v>2022</v>
      </c>
      <c r="O630">
        <v>8</v>
      </c>
    </row>
    <row r="631" spans="1:15" x14ac:dyDescent="0.3">
      <c r="A631">
        <v>38460</v>
      </c>
      <c r="B631">
        <v>3200359</v>
      </c>
      <c r="C631" t="s">
        <v>20</v>
      </c>
      <c r="D631">
        <v>0.23100000000000001</v>
      </c>
      <c r="E631">
        <v>681648.87</v>
      </c>
      <c r="F631">
        <v>50644.41</v>
      </c>
      <c r="G631">
        <v>732293.28</v>
      </c>
      <c r="H631">
        <v>6155.36</v>
      </c>
      <c r="I631">
        <v>45301.27</v>
      </c>
      <c r="J631">
        <v>0.32700000000000001</v>
      </c>
      <c r="K631">
        <v>19531.28</v>
      </c>
      <c r="L631">
        <v>0</v>
      </c>
      <c r="M631">
        <v>0</v>
      </c>
      <c r="N631">
        <v>2022</v>
      </c>
      <c r="O631">
        <v>8</v>
      </c>
    </row>
    <row r="632" spans="1:15" x14ac:dyDescent="0.3">
      <c r="A632">
        <v>38461</v>
      </c>
      <c r="B632">
        <v>3200409</v>
      </c>
      <c r="C632" t="s">
        <v>21</v>
      </c>
      <c r="D632">
        <v>1.766</v>
      </c>
      <c r="E632">
        <v>5211220.34</v>
      </c>
      <c r="F632">
        <v>387177.61</v>
      </c>
      <c r="G632">
        <v>5598397.9500000002</v>
      </c>
      <c r="H632">
        <v>47057.83</v>
      </c>
      <c r="I632">
        <v>239191.02</v>
      </c>
      <c r="J632">
        <v>0.90800000000000003</v>
      </c>
      <c r="K632">
        <v>149317.01999999999</v>
      </c>
      <c r="L632">
        <v>0</v>
      </c>
      <c r="M632">
        <v>0</v>
      </c>
      <c r="N632">
        <v>2022</v>
      </c>
      <c r="O632">
        <v>8</v>
      </c>
    </row>
    <row r="633" spans="1:15" x14ac:dyDescent="0.3">
      <c r="A633">
        <v>38462</v>
      </c>
      <c r="B633">
        <v>3200508</v>
      </c>
      <c r="C633" t="s">
        <v>22</v>
      </c>
      <c r="D633">
        <v>0.185</v>
      </c>
      <c r="E633">
        <v>545909.28</v>
      </c>
      <c r="F633">
        <v>40559.370000000003</v>
      </c>
      <c r="G633">
        <v>586468.65</v>
      </c>
      <c r="H633">
        <v>4929.6099999999997</v>
      </c>
      <c r="I633">
        <v>78385.990000000005</v>
      </c>
      <c r="J633">
        <v>0.32300000000000001</v>
      </c>
      <c r="K633">
        <v>15641.93</v>
      </c>
      <c r="L633">
        <v>0</v>
      </c>
      <c r="M633">
        <v>0</v>
      </c>
      <c r="N633">
        <v>2022</v>
      </c>
      <c r="O633">
        <v>8</v>
      </c>
    </row>
    <row r="634" spans="1:15" x14ac:dyDescent="0.3">
      <c r="A634">
        <v>38463</v>
      </c>
      <c r="B634">
        <v>3200607</v>
      </c>
      <c r="C634" t="s">
        <v>23</v>
      </c>
      <c r="D634">
        <v>4.9909999999999997</v>
      </c>
      <c r="E634">
        <v>14727746.74</v>
      </c>
      <c r="F634">
        <v>1094226.08</v>
      </c>
      <c r="G634">
        <v>15821972.82</v>
      </c>
      <c r="H634">
        <v>132993</v>
      </c>
      <c r="I634">
        <v>803125.13</v>
      </c>
      <c r="J634">
        <v>2.5089999999999999</v>
      </c>
      <c r="K634">
        <v>421993.92</v>
      </c>
      <c r="L634">
        <v>0</v>
      </c>
      <c r="M634">
        <v>0</v>
      </c>
      <c r="N634">
        <v>2022</v>
      </c>
      <c r="O634">
        <v>8</v>
      </c>
    </row>
    <row r="635" spans="1:15" x14ac:dyDescent="0.3">
      <c r="A635">
        <v>38464</v>
      </c>
      <c r="B635">
        <v>3200706</v>
      </c>
      <c r="C635" t="s">
        <v>24</v>
      </c>
      <c r="D635">
        <v>0.373</v>
      </c>
      <c r="E635">
        <v>1100671.1100000001</v>
      </c>
      <c r="F635">
        <v>81776.479999999996</v>
      </c>
      <c r="G635">
        <v>1182447.5900000001</v>
      </c>
      <c r="H635">
        <v>9939.17</v>
      </c>
      <c r="I635">
        <v>56730.97</v>
      </c>
      <c r="J635">
        <v>0.45700000000000002</v>
      </c>
      <c r="K635">
        <v>31537.51</v>
      </c>
      <c r="L635">
        <v>0</v>
      </c>
      <c r="M635">
        <v>0</v>
      </c>
      <c r="N635">
        <v>2022</v>
      </c>
      <c r="O635">
        <v>8</v>
      </c>
    </row>
    <row r="636" spans="1:15" x14ac:dyDescent="0.3">
      <c r="A636">
        <v>38465</v>
      </c>
      <c r="B636">
        <v>3200805</v>
      </c>
      <c r="C636" t="s">
        <v>25</v>
      </c>
      <c r="D636">
        <v>0.64300000000000002</v>
      </c>
      <c r="E636">
        <v>1897403.54</v>
      </c>
      <c r="F636">
        <v>140971.22</v>
      </c>
      <c r="G636">
        <v>2038374.76</v>
      </c>
      <c r="H636">
        <v>17133.740000000002</v>
      </c>
      <c r="I636">
        <v>324379.74</v>
      </c>
      <c r="J636">
        <v>0.996</v>
      </c>
      <c r="K636">
        <v>54366.28</v>
      </c>
      <c r="L636">
        <v>0</v>
      </c>
      <c r="M636">
        <v>0</v>
      </c>
      <c r="N636">
        <v>2022</v>
      </c>
      <c r="O636">
        <v>8</v>
      </c>
    </row>
    <row r="637" spans="1:15" x14ac:dyDescent="0.3">
      <c r="A637">
        <v>38466</v>
      </c>
      <c r="B637">
        <v>3200904</v>
      </c>
      <c r="C637" t="s">
        <v>26</v>
      </c>
      <c r="D637">
        <v>1.036</v>
      </c>
      <c r="E637">
        <v>3057091.89</v>
      </c>
      <c r="F637">
        <v>227132.5</v>
      </c>
      <c r="G637">
        <v>3284224.39</v>
      </c>
      <c r="H637">
        <v>27605.84</v>
      </c>
      <c r="I637">
        <v>315879.21000000002</v>
      </c>
      <c r="J637">
        <v>1.321</v>
      </c>
      <c r="K637">
        <v>87594.81</v>
      </c>
      <c r="L637">
        <v>0</v>
      </c>
      <c r="M637">
        <v>0</v>
      </c>
      <c r="N637">
        <v>2022</v>
      </c>
      <c r="O637">
        <v>8</v>
      </c>
    </row>
    <row r="638" spans="1:15" x14ac:dyDescent="0.3">
      <c r="A638">
        <v>38467</v>
      </c>
      <c r="B638">
        <v>3107109</v>
      </c>
      <c r="C638" t="s">
        <v>27</v>
      </c>
      <c r="D638">
        <v>0.39900000000000002</v>
      </c>
      <c r="E638">
        <v>1177393.5</v>
      </c>
      <c r="F638">
        <v>87476.72</v>
      </c>
      <c r="G638">
        <v>1264870.22</v>
      </c>
      <c r="H638">
        <v>10631.98</v>
      </c>
      <c r="I638">
        <v>87506.39</v>
      </c>
      <c r="J638">
        <v>0.56899999999999995</v>
      </c>
      <c r="K638">
        <v>33735.839999999997</v>
      </c>
      <c r="L638">
        <v>0</v>
      </c>
      <c r="M638">
        <v>0</v>
      </c>
      <c r="N638">
        <v>2022</v>
      </c>
      <c r="O638">
        <v>8</v>
      </c>
    </row>
    <row r="639" spans="1:15" x14ac:dyDescent="0.3">
      <c r="A639">
        <v>38468</v>
      </c>
      <c r="B639">
        <v>3201100</v>
      </c>
      <c r="C639" t="s">
        <v>28</v>
      </c>
      <c r="D639">
        <v>0.17599999999999999</v>
      </c>
      <c r="E639">
        <v>519351.54</v>
      </c>
      <c r="F639">
        <v>38586.21</v>
      </c>
      <c r="G639">
        <v>557937.75</v>
      </c>
      <c r="H639">
        <v>4689.8</v>
      </c>
      <c r="I639">
        <v>165547.54999999999</v>
      </c>
      <c r="J639">
        <v>0.43</v>
      </c>
      <c r="K639">
        <v>14880.97</v>
      </c>
      <c r="L639">
        <v>0</v>
      </c>
      <c r="M639">
        <v>0</v>
      </c>
      <c r="N639">
        <v>2022</v>
      </c>
      <c r="O639">
        <v>8</v>
      </c>
    </row>
    <row r="640" spans="1:15" x14ac:dyDescent="0.3">
      <c r="A640">
        <v>38469</v>
      </c>
      <c r="B640">
        <v>3201159</v>
      </c>
      <c r="C640" t="s">
        <v>29</v>
      </c>
      <c r="D640">
        <v>0.42099999999999999</v>
      </c>
      <c r="E640">
        <v>1242312.46</v>
      </c>
      <c r="F640">
        <v>92299.97</v>
      </c>
      <c r="G640">
        <v>1334612.43</v>
      </c>
      <c r="H640">
        <v>11218.2</v>
      </c>
      <c r="I640">
        <v>68783.210000000006</v>
      </c>
      <c r="J640">
        <v>0.46</v>
      </c>
      <c r="K640">
        <v>35595.96</v>
      </c>
      <c r="L640">
        <v>0</v>
      </c>
      <c r="M640">
        <v>0</v>
      </c>
      <c r="N640">
        <v>2022</v>
      </c>
      <c r="O640">
        <v>8</v>
      </c>
    </row>
    <row r="641" spans="1:15" x14ac:dyDescent="0.3">
      <c r="A641">
        <v>38470</v>
      </c>
      <c r="B641">
        <v>3201209</v>
      </c>
      <c r="C641" t="s">
        <v>30</v>
      </c>
      <c r="D641">
        <v>3.234</v>
      </c>
      <c r="E641">
        <v>9543084.1400000006</v>
      </c>
      <c r="F641">
        <v>709021.67</v>
      </c>
      <c r="G641">
        <v>10252105.810000001</v>
      </c>
      <c r="H641">
        <v>86174.99</v>
      </c>
      <c r="I641">
        <v>1518226.18</v>
      </c>
      <c r="J641">
        <v>4.4820000000000002</v>
      </c>
      <c r="K641">
        <v>273437.86</v>
      </c>
      <c r="L641">
        <v>0</v>
      </c>
      <c r="M641">
        <v>0</v>
      </c>
      <c r="N641">
        <v>2022</v>
      </c>
      <c r="O641">
        <v>8</v>
      </c>
    </row>
    <row r="642" spans="1:15" x14ac:dyDescent="0.3">
      <c r="A642">
        <v>38471</v>
      </c>
      <c r="B642">
        <v>3201308</v>
      </c>
      <c r="C642" t="s">
        <v>31</v>
      </c>
      <c r="D642">
        <v>7.4969999999999999</v>
      </c>
      <c r="E642">
        <v>22122604.109999999</v>
      </c>
      <c r="F642">
        <v>1643641.15</v>
      </c>
      <c r="G642">
        <v>23766245.260000002</v>
      </c>
      <c r="H642">
        <v>199769.29</v>
      </c>
      <c r="I642">
        <v>2357732.31</v>
      </c>
      <c r="J642">
        <v>6.6040000000000001</v>
      </c>
      <c r="K642">
        <v>633878.67000000004</v>
      </c>
      <c r="L642">
        <v>0</v>
      </c>
      <c r="M642">
        <v>0</v>
      </c>
      <c r="N642">
        <v>2022</v>
      </c>
      <c r="O642">
        <v>8</v>
      </c>
    </row>
    <row r="643" spans="1:15" x14ac:dyDescent="0.3">
      <c r="A643">
        <v>38472</v>
      </c>
      <c r="B643">
        <v>3201407</v>
      </c>
      <c r="C643" t="s">
        <v>32</v>
      </c>
      <c r="D643">
        <v>0.96499999999999997</v>
      </c>
      <c r="E643">
        <v>2847580.78</v>
      </c>
      <c r="F643">
        <v>211566.44</v>
      </c>
      <c r="G643">
        <v>3059147.22</v>
      </c>
      <c r="H643">
        <v>25713.93</v>
      </c>
      <c r="I643">
        <v>383613.77</v>
      </c>
      <c r="J643">
        <v>1.155</v>
      </c>
      <c r="K643">
        <v>81591.69</v>
      </c>
      <c r="L643">
        <v>0</v>
      </c>
      <c r="M643">
        <v>0</v>
      </c>
      <c r="N643">
        <v>2022</v>
      </c>
      <c r="O643">
        <v>8</v>
      </c>
    </row>
    <row r="644" spans="1:15" x14ac:dyDescent="0.3">
      <c r="A644">
        <v>38473</v>
      </c>
      <c r="B644">
        <v>3201506</v>
      </c>
      <c r="C644" t="s">
        <v>33</v>
      </c>
      <c r="D644">
        <v>2.1739999999999999</v>
      </c>
      <c r="E644">
        <v>6415171.5899999999</v>
      </c>
      <c r="F644">
        <v>476627.44</v>
      </c>
      <c r="G644">
        <v>6891799.0300000003</v>
      </c>
      <c r="H644">
        <v>57929.63</v>
      </c>
      <c r="I644">
        <v>1166752.79</v>
      </c>
      <c r="J644">
        <v>2.8220000000000001</v>
      </c>
      <c r="K644">
        <v>183813.82</v>
      </c>
      <c r="L644">
        <v>0</v>
      </c>
      <c r="M644">
        <v>0</v>
      </c>
      <c r="N644">
        <v>2022</v>
      </c>
      <c r="O644">
        <v>8</v>
      </c>
    </row>
    <row r="645" spans="1:15" x14ac:dyDescent="0.3">
      <c r="A645">
        <v>38474</v>
      </c>
      <c r="B645">
        <v>3201605</v>
      </c>
      <c r="C645" t="s">
        <v>34</v>
      </c>
      <c r="D645">
        <v>0.65200000000000002</v>
      </c>
      <c r="E645">
        <v>1923961.31</v>
      </c>
      <c r="F645">
        <v>142944.35</v>
      </c>
      <c r="G645">
        <v>2066905.66</v>
      </c>
      <c r="H645">
        <v>17373.560000000001</v>
      </c>
      <c r="I645">
        <v>150093.66</v>
      </c>
      <c r="J645">
        <v>0.999</v>
      </c>
      <c r="K645">
        <v>55127.24</v>
      </c>
      <c r="L645">
        <v>0</v>
      </c>
      <c r="M645">
        <v>0</v>
      </c>
      <c r="N645">
        <v>2022</v>
      </c>
      <c r="O645">
        <v>8</v>
      </c>
    </row>
    <row r="646" spans="1:15" x14ac:dyDescent="0.3">
      <c r="A646">
        <v>38475</v>
      </c>
      <c r="B646">
        <v>3201704</v>
      </c>
      <c r="C646" t="s">
        <v>35</v>
      </c>
      <c r="D646">
        <v>0.47499999999999998</v>
      </c>
      <c r="E646">
        <v>1401658.91</v>
      </c>
      <c r="F646">
        <v>104138.92</v>
      </c>
      <c r="G646">
        <v>1505797.83</v>
      </c>
      <c r="H646">
        <v>12657.12</v>
      </c>
      <c r="I646">
        <v>79487.44</v>
      </c>
      <c r="J646">
        <v>0.46500000000000002</v>
      </c>
      <c r="K646">
        <v>40161.71</v>
      </c>
      <c r="L646">
        <v>0</v>
      </c>
      <c r="M646">
        <v>0</v>
      </c>
      <c r="N646">
        <v>2022</v>
      </c>
      <c r="O646">
        <v>8</v>
      </c>
    </row>
    <row r="647" spans="1:15" x14ac:dyDescent="0.3">
      <c r="A647">
        <v>38476</v>
      </c>
      <c r="B647">
        <v>3201803</v>
      </c>
      <c r="C647" t="s">
        <v>36</v>
      </c>
      <c r="D647">
        <v>0.186</v>
      </c>
      <c r="E647">
        <v>548860.12</v>
      </c>
      <c r="F647">
        <v>40778.6</v>
      </c>
      <c r="G647">
        <v>589638.72</v>
      </c>
      <c r="H647">
        <v>4956.26</v>
      </c>
      <c r="I647">
        <v>23763.82</v>
      </c>
      <c r="J647">
        <v>0.28299999999999997</v>
      </c>
      <c r="K647">
        <v>15726.48</v>
      </c>
      <c r="L647">
        <v>0</v>
      </c>
      <c r="M647">
        <v>0</v>
      </c>
      <c r="N647">
        <v>2022</v>
      </c>
      <c r="O647">
        <v>8</v>
      </c>
    </row>
    <row r="648" spans="1:15" x14ac:dyDescent="0.3">
      <c r="A648">
        <v>38477</v>
      </c>
      <c r="B648">
        <v>3201902</v>
      </c>
      <c r="C648" t="s">
        <v>37</v>
      </c>
      <c r="D648">
        <v>1.3140000000000001</v>
      </c>
      <c r="E648">
        <v>3877431.2</v>
      </c>
      <c r="F648">
        <v>288081.15999999997</v>
      </c>
      <c r="G648">
        <v>4165512.36</v>
      </c>
      <c r="H648">
        <v>35013.589999999997</v>
      </c>
      <c r="I648">
        <v>291935.93</v>
      </c>
      <c r="J648">
        <v>1.0309999999999999</v>
      </c>
      <c r="K648">
        <v>111099.98</v>
      </c>
      <c r="L648">
        <v>0</v>
      </c>
      <c r="M648">
        <v>0</v>
      </c>
      <c r="N648">
        <v>2022</v>
      </c>
      <c r="O648">
        <v>8</v>
      </c>
    </row>
    <row r="649" spans="1:15" x14ac:dyDescent="0.3">
      <c r="A649">
        <v>38478</v>
      </c>
      <c r="B649">
        <v>3202009</v>
      </c>
      <c r="C649" t="s">
        <v>38</v>
      </c>
      <c r="D649">
        <v>0.26</v>
      </c>
      <c r="E649">
        <v>767223.83</v>
      </c>
      <c r="F649">
        <v>57002.35</v>
      </c>
      <c r="G649">
        <v>824226.18</v>
      </c>
      <c r="H649">
        <v>6928.11</v>
      </c>
      <c r="I649">
        <v>67730.179999999993</v>
      </c>
      <c r="J649">
        <v>0.314</v>
      </c>
      <c r="K649">
        <v>21983.25</v>
      </c>
      <c r="L649">
        <v>0</v>
      </c>
      <c r="M649">
        <v>0</v>
      </c>
      <c r="N649">
        <v>2022</v>
      </c>
      <c r="O649">
        <v>8</v>
      </c>
    </row>
    <row r="650" spans="1:15" x14ac:dyDescent="0.3">
      <c r="A650">
        <v>38479</v>
      </c>
      <c r="B650">
        <v>3202108</v>
      </c>
      <c r="C650" t="s">
        <v>39</v>
      </c>
      <c r="D650">
        <v>0.69899999999999995</v>
      </c>
      <c r="E650">
        <v>2062651.77</v>
      </c>
      <c r="F650">
        <v>153248.67000000001</v>
      </c>
      <c r="G650">
        <v>2215900.44</v>
      </c>
      <c r="H650">
        <v>18625.95</v>
      </c>
      <c r="I650">
        <v>118882.24000000001</v>
      </c>
      <c r="J650">
        <v>0.81599999999999995</v>
      </c>
      <c r="K650">
        <v>59101.13</v>
      </c>
      <c r="L650">
        <v>0</v>
      </c>
      <c r="M650">
        <v>0</v>
      </c>
      <c r="N650">
        <v>2022</v>
      </c>
      <c r="O650">
        <v>8</v>
      </c>
    </row>
    <row r="651" spans="1:15" x14ac:dyDescent="0.3">
      <c r="A651">
        <v>38480</v>
      </c>
      <c r="B651">
        <v>3202207</v>
      </c>
      <c r="C651" t="s">
        <v>40</v>
      </c>
      <c r="D651">
        <v>0.313</v>
      </c>
      <c r="E651">
        <v>923619.45</v>
      </c>
      <c r="F651">
        <v>68622.070000000007</v>
      </c>
      <c r="G651">
        <v>992241.52</v>
      </c>
      <c r="H651">
        <v>8340.3700000000008</v>
      </c>
      <c r="I651">
        <v>116591.3</v>
      </c>
      <c r="J651">
        <v>0.73399999999999999</v>
      </c>
      <c r="K651">
        <v>26464.46</v>
      </c>
      <c r="L651">
        <v>0</v>
      </c>
      <c r="M651">
        <v>0</v>
      </c>
      <c r="N651">
        <v>2022</v>
      </c>
      <c r="O651">
        <v>8</v>
      </c>
    </row>
    <row r="652" spans="1:15" x14ac:dyDescent="0.3">
      <c r="A652">
        <v>38481</v>
      </c>
      <c r="B652">
        <v>3202256</v>
      </c>
      <c r="C652" t="s">
        <v>41</v>
      </c>
      <c r="D652">
        <v>0.43</v>
      </c>
      <c r="E652">
        <v>1268870.17</v>
      </c>
      <c r="F652">
        <v>94273.13</v>
      </c>
      <c r="G652">
        <v>1363143.3</v>
      </c>
      <c r="H652">
        <v>11458.02</v>
      </c>
      <c r="I652">
        <v>123293.77</v>
      </c>
      <c r="J652">
        <v>0.46700000000000003</v>
      </c>
      <c r="K652">
        <v>36356.92</v>
      </c>
      <c r="L652">
        <v>0</v>
      </c>
      <c r="M652">
        <v>0</v>
      </c>
      <c r="N652">
        <v>2022</v>
      </c>
      <c r="O652">
        <v>8</v>
      </c>
    </row>
    <row r="653" spans="1:15" x14ac:dyDescent="0.3">
      <c r="A653">
        <v>38482</v>
      </c>
      <c r="B653">
        <v>3202306</v>
      </c>
      <c r="C653" t="s">
        <v>42</v>
      </c>
      <c r="D653">
        <v>0.378</v>
      </c>
      <c r="E653">
        <v>1115425.42</v>
      </c>
      <c r="F653">
        <v>82872.649999999994</v>
      </c>
      <c r="G653">
        <v>1198298.07</v>
      </c>
      <c r="H653">
        <v>10072.4</v>
      </c>
      <c r="I653">
        <v>202374.62</v>
      </c>
      <c r="J653">
        <v>0.998</v>
      </c>
      <c r="K653">
        <v>31960.27</v>
      </c>
      <c r="L653">
        <v>0</v>
      </c>
      <c r="M653">
        <v>0</v>
      </c>
      <c r="N653">
        <v>2022</v>
      </c>
      <c r="O653">
        <v>8</v>
      </c>
    </row>
    <row r="654" spans="1:15" x14ac:dyDescent="0.3">
      <c r="A654">
        <v>38483</v>
      </c>
      <c r="B654">
        <v>3202405</v>
      </c>
      <c r="C654" t="s">
        <v>43</v>
      </c>
      <c r="D654">
        <v>0.90900000000000003</v>
      </c>
      <c r="E654">
        <v>2682332.5699999998</v>
      </c>
      <c r="F654">
        <v>199289.05</v>
      </c>
      <c r="G654">
        <v>2881621.62</v>
      </c>
      <c r="H654">
        <v>24221.73</v>
      </c>
      <c r="I654">
        <v>1361603.14</v>
      </c>
      <c r="J654">
        <v>2.8730000000000002</v>
      </c>
      <c r="K654">
        <v>76856.84</v>
      </c>
      <c r="L654">
        <v>0</v>
      </c>
      <c r="M654">
        <v>0</v>
      </c>
      <c r="N654">
        <v>2022</v>
      </c>
      <c r="O654">
        <v>8</v>
      </c>
    </row>
    <row r="655" spans="1:15" x14ac:dyDescent="0.3">
      <c r="A655">
        <v>38484</v>
      </c>
      <c r="B655">
        <v>3202454</v>
      </c>
      <c r="C655" t="s">
        <v>44</v>
      </c>
      <c r="D655">
        <v>0.35099999999999998</v>
      </c>
      <c r="E655">
        <v>1035752.16</v>
      </c>
      <c r="F655">
        <v>76953.19</v>
      </c>
      <c r="G655">
        <v>1112705.3500000001</v>
      </c>
      <c r="H655">
        <v>9352.94</v>
      </c>
      <c r="I655">
        <v>208017.54</v>
      </c>
      <c r="J655">
        <v>0.86499999999999999</v>
      </c>
      <c r="K655">
        <v>29677.39</v>
      </c>
      <c r="L655">
        <v>0</v>
      </c>
      <c r="M655">
        <v>0</v>
      </c>
      <c r="N655">
        <v>2022</v>
      </c>
      <c r="O655">
        <v>8</v>
      </c>
    </row>
    <row r="656" spans="1:15" x14ac:dyDescent="0.3">
      <c r="A656">
        <v>38485</v>
      </c>
      <c r="B656">
        <v>3202504</v>
      </c>
      <c r="C656" t="s">
        <v>45</v>
      </c>
      <c r="D656">
        <v>0.26700000000000002</v>
      </c>
      <c r="E656">
        <v>787879.86</v>
      </c>
      <c r="F656">
        <v>58537.06</v>
      </c>
      <c r="G656">
        <v>846416.92</v>
      </c>
      <c r="H656">
        <v>7114.63</v>
      </c>
      <c r="I656">
        <v>74846.179999999993</v>
      </c>
      <c r="J656">
        <v>0.46300000000000002</v>
      </c>
      <c r="K656">
        <v>22575.11</v>
      </c>
      <c r="L656">
        <v>0</v>
      </c>
      <c r="M656">
        <v>0</v>
      </c>
      <c r="N656">
        <v>2022</v>
      </c>
      <c r="O656">
        <v>8</v>
      </c>
    </row>
    <row r="657" spans="1:15" x14ac:dyDescent="0.3">
      <c r="A657">
        <v>38486</v>
      </c>
      <c r="B657">
        <v>3202553</v>
      </c>
      <c r="C657" t="s">
        <v>46</v>
      </c>
      <c r="D657">
        <v>0.248</v>
      </c>
      <c r="E657">
        <v>731813.5</v>
      </c>
      <c r="F657">
        <v>54371.48</v>
      </c>
      <c r="G657">
        <v>786184.98</v>
      </c>
      <c r="H657">
        <v>6608.35</v>
      </c>
      <c r="I657">
        <v>54360.24</v>
      </c>
      <c r="J657">
        <v>0.33800000000000002</v>
      </c>
      <c r="K657">
        <v>20968.64</v>
      </c>
      <c r="L657">
        <v>0</v>
      </c>
      <c r="M657">
        <v>0</v>
      </c>
      <c r="N657">
        <v>2022</v>
      </c>
      <c r="O657">
        <v>8</v>
      </c>
    </row>
    <row r="658" spans="1:15" x14ac:dyDescent="0.3">
      <c r="A658">
        <v>38487</v>
      </c>
      <c r="B658">
        <v>3202603</v>
      </c>
      <c r="C658" t="s">
        <v>47</v>
      </c>
      <c r="D658">
        <v>0.34399999999999997</v>
      </c>
      <c r="E658">
        <v>1015096.16</v>
      </c>
      <c r="F658">
        <v>75418.52</v>
      </c>
      <c r="G658">
        <v>1090514.68</v>
      </c>
      <c r="H658">
        <v>9166.42</v>
      </c>
      <c r="I658">
        <v>123053.53</v>
      </c>
      <c r="J658">
        <v>0.55600000000000005</v>
      </c>
      <c r="K658">
        <v>29085.54</v>
      </c>
      <c r="L658">
        <v>0</v>
      </c>
      <c r="M658">
        <v>0</v>
      </c>
      <c r="N658">
        <v>2022</v>
      </c>
      <c r="O658">
        <v>8</v>
      </c>
    </row>
    <row r="659" spans="1:15" x14ac:dyDescent="0.3">
      <c r="A659">
        <v>38488</v>
      </c>
      <c r="B659">
        <v>3202652</v>
      </c>
      <c r="C659" t="s">
        <v>48</v>
      </c>
      <c r="D659">
        <v>0.308</v>
      </c>
      <c r="E659">
        <v>908865.17</v>
      </c>
      <c r="F659">
        <v>67525.86</v>
      </c>
      <c r="G659">
        <v>976391.03</v>
      </c>
      <c r="H659">
        <v>8207.14</v>
      </c>
      <c r="I659">
        <v>107562.79</v>
      </c>
      <c r="J659">
        <v>0.55100000000000005</v>
      </c>
      <c r="K659">
        <v>26041.7</v>
      </c>
      <c r="L659">
        <v>0</v>
      </c>
      <c r="M659">
        <v>0</v>
      </c>
      <c r="N659">
        <v>2022</v>
      </c>
      <c r="O659">
        <v>8</v>
      </c>
    </row>
    <row r="660" spans="1:15" x14ac:dyDescent="0.3">
      <c r="A660">
        <v>38489</v>
      </c>
      <c r="B660">
        <v>3202702</v>
      </c>
      <c r="C660" t="s">
        <v>49</v>
      </c>
      <c r="D660">
        <v>0.35499999999999998</v>
      </c>
      <c r="E660">
        <v>1047555.61</v>
      </c>
      <c r="F660">
        <v>77830.14</v>
      </c>
      <c r="G660">
        <v>1125385.75</v>
      </c>
      <c r="H660">
        <v>9459.5300000000007</v>
      </c>
      <c r="I660">
        <v>73487.8</v>
      </c>
      <c r="J660">
        <v>0.55500000000000005</v>
      </c>
      <c r="K660">
        <v>30015.599999999999</v>
      </c>
      <c r="L660">
        <v>0</v>
      </c>
      <c r="M660">
        <v>0</v>
      </c>
      <c r="N660">
        <v>2022</v>
      </c>
      <c r="O660">
        <v>8</v>
      </c>
    </row>
    <row r="661" spans="1:15" x14ac:dyDescent="0.3">
      <c r="A661">
        <v>38490</v>
      </c>
      <c r="B661">
        <v>3202801</v>
      </c>
      <c r="C661" t="s">
        <v>50</v>
      </c>
      <c r="D661">
        <v>2.262</v>
      </c>
      <c r="E661">
        <v>6674847.3300000001</v>
      </c>
      <c r="F661">
        <v>495920.53</v>
      </c>
      <c r="G661">
        <v>7170767.8600000003</v>
      </c>
      <c r="H661">
        <v>60274.53</v>
      </c>
      <c r="I661">
        <v>288517.56</v>
      </c>
      <c r="J661">
        <v>1.042</v>
      </c>
      <c r="K661">
        <v>191254.31</v>
      </c>
      <c r="L661">
        <v>0</v>
      </c>
      <c r="M661">
        <v>0</v>
      </c>
      <c r="N661">
        <v>2022</v>
      </c>
      <c r="O661">
        <v>8</v>
      </c>
    </row>
    <row r="662" spans="1:15" x14ac:dyDescent="0.3">
      <c r="A662">
        <v>38491</v>
      </c>
      <c r="B662">
        <v>3202900</v>
      </c>
      <c r="C662" t="s">
        <v>51</v>
      </c>
      <c r="D662">
        <v>0.34599999999999997</v>
      </c>
      <c r="E662">
        <v>1020997.88</v>
      </c>
      <c r="F662">
        <v>75856.97</v>
      </c>
      <c r="G662">
        <v>1096854.8500000001</v>
      </c>
      <c r="H662">
        <v>9219.7099999999991</v>
      </c>
      <c r="I662">
        <v>66634.240000000005</v>
      </c>
      <c r="J662">
        <v>0.435</v>
      </c>
      <c r="K662">
        <v>29254.639999999999</v>
      </c>
      <c r="L662">
        <v>0</v>
      </c>
      <c r="M662">
        <v>0</v>
      </c>
      <c r="N662">
        <v>2022</v>
      </c>
      <c r="O662">
        <v>8</v>
      </c>
    </row>
    <row r="663" spans="1:15" x14ac:dyDescent="0.3">
      <c r="A663">
        <v>38492</v>
      </c>
      <c r="B663">
        <v>3203007</v>
      </c>
      <c r="C663" t="s">
        <v>52</v>
      </c>
      <c r="D663">
        <v>0.438</v>
      </c>
      <c r="E663">
        <v>1292477.0900000001</v>
      </c>
      <c r="F663">
        <v>96027.05</v>
      </c>
      <c r="G663">
        <v>1388504.14</v>
      </c>
      <c r="H663">
        <v>11671.2</v>
      </c>
      <c r="I663">
        <v>213788.85</v>
      </c>
      <c r="J663">
        <v>0.89700000000000002</v>
      </c>
      <c r="K663">
        <v>37033.33</v>
      </c>
      <c r="L663">
        <v>0</v>
      </c>
      <c r="M663">
        <v>0</v>
      </c>
      <c r="N663">
        <v>2022</v>
      </c>
      <c r="O663">
        <v>8</v>
      </c>
    </row>
    <row r="664" spans="1:15" x14ac:dyDescent="0.3">
      <c r="A664">
        <v>38493</v>
      </c>
      <c r="B664">
        <v>3203056</v>
      </c>
      <c r="C664" t="s">
        <v>53</v>
      </c>
      <c r="D664">
        <v>0.8</v>
      </c>
      <c r="E664">
        <v>2360688.7000000002</v>
      </c>
      <c r="F664">
        <v>175391.9</v>
      </c>
      <c r="G664">
        <v>2536080.6</v>
      </c>
      <c r="H664">
        <v>21317.25</v>
      </c>
      <c r="I664">
        <v>236065.85</v>
      </c>
      <c r="J664">
        <v>1</v>
      </c>
      <c r="K664">
        <v>67640.78</v>
      </c>
      <c r="L664">
        <v>0</v>
      </c>
      <c r="M664">
        <v>0</v>
      </c>
      <c r="N664">
        <v>2022</v>
      </c>
      <c r="O664">
        <v>8</v>
      </c>
    </row>
    <row r="665" spans="1:15" x14ac:dyDescent="0.3">
      <c r="A665">
        <v>38494</v>
      </c>
      <c r="B665">
        <v>3203106</v>
      </c>
      <c r="C665" t="s">
        <v>54</v>
      </c>
      <c r="D665">
        <v>0.21199999999999999</v>
      </c>
      <c r="E665">
        <v>625582.5</v>
      </c>
      <c r="F665">
        <v>46478.84</v>
      </c>
      <c r="G665">
        <v>672061.34</v>
      </c>
      <c r="H665">
        <v>5649.07</v>
      </c>
      <c r="I665">
        <v>56166.71</v>
      </c>
      <c r="J665">
        <v>0.45800000000000002</v>
      </c>
      <c r="K665">
        <v>17924.810000000001</v>
      </c>
      <c r="L665">
        <v>0</v>
      </c>
      <c r="M665">
        <v>0</v>
      </c>
      <c r="N665">
        <v>2022</v>
      </c>
      <c r="O665">
        <v>8</v>
      </c>
    </row>
    <row r="666" spans="1:15" x14ac:dyDescent="0.3">
      <c r="A666">
        <v>38495</v>
      </c>
      <c r="B666">
        <v>3203130</v>
      </c>
      <c r="C666" t="s">
        <v>55</v>
      </c>
      <c r="D666">
        <v>0.38600000000000001</v>
      </c>
      <c r="E666">
        <v>1139032.28</v>
      </c>
      <c r="F666">
        <v>84626.57</v>
      </c>
      <c r="G666">
        <v>1223658.8500000001</v>
      </c>
      <c r="H666">
        <v>10285.57</v>
      </c>
      <c r="I666">
        <v>102824.97</v>
      </c>
      <c r="J666">
        <v>0.66600000000000004</v>
      </c>
      <c r="K666">
        <v>32636.68</v>
      </c>
      <c r="L666">
        <v>0</v>
      </c>
      <c r="M666">
        <v>0</v>
      </c>
      <c r="N666">
        <v>2022</v>
      </c>
      <c r="O666">
        <v>8</v>
      </c>
    </row>
    <row r="667" spans="1:15" x14ac:dyDescent="0.3">
      <c r="A667">
        <v>38496</v>
      </c>
      <c r="B667">
        <v>3203163</v>
      </c>
      <c r="C667" t="s">
        <v>56</v>
      </c>
      <c r="D667">
        <v>0.372</v>
      </c>
      <c r="E667">
        <v>1097720.28</v>
      </c>
      <c r="F667">
        <v>81557.23</v>
      </c>
      <c r="G667">
        <v>1179277.51</v>
      </c>
      <c r="H667">
        <v>9912.52</v>
      </c>
      <c r="I667">
        <v>55900.6</v>
      </c>
      <c r="J667">
        <v>0.441</v>
      </c>
      <c r="K667">
        <v>31452.959999999999</v>
      </c>
      <c r="L667">
        <v>0</v>
      </c>
      <c r="M667">
        <v>0</v>
      </c>
      <c r="N667">
        <v>2022</v>
      </c>
      <c r="O667">
        <v>8</v>
      </c>
    </row>
    <row r="668" spans="1:15" x14ac:dyDescent="0.3">
      <c r="A668">
        <v>38497</v>
      </c>
      <c r="B668">
        <v>3203205</v>
      </c>
      <c r="C668" t="s">
        <v>57</v>
      </c>
      <c r="D668">
        <v>5.4</v>
      </c>
      <c r="E668">
        <v>15934648.84</v>
      </c>
      <c r="F668">
        <v>1183895.19</v>
      </c>
      <c r="G668">
        <v>17118544.030000001</v>
      </c>
      <c r="H668">
        <v>143891.45000000001</v>
      </c>
      <c r="I668">
        <v>1424929.56</v>
      </c>
      <c r="J668">
        <v>4.0880000000000001</v>
      </c>
      <c r="K668">
        <v>456575.27</v>
      </c>
      <c r="L668">
        <v>0</v>
      </c>
      <c r="M668">
        <v>0</v>
      </c>
      <c r="N668">
        <v>2022</v>
      </c>
      <c r="O668">
        <v>8</v>
      </c>
    </row>
    <row r="669" spans="1:15" x14ac:dyDescent="0.3">
      <c r="A669">
        <v>38498</v>
      </c>
      <c r="B669">
        <v>3203304</v>
      </c>
      <c r="C669" t="s">
        <v>58</v>
      </c>
      <c r="D669">
        <v>0.216</v>
      </c>
      <c r="E669">
        <v>637385.96</v>
      </c>
      <c r="F669">
        <v>47355.81</v>
      </c>
      <c r="G669">
        <v>684741.77</v>
      </c>
      <c r="H669">
        <v>5755.66</v>
      </c>
      <c r="I669">
        <v>105981.65</v>
      </c>
      <c r="J669">
        <v>0.57599999999999996</v>
      </c>
      <c r="K669">
        <v>18263.009999999998</v>
      </c>
      <c r="L669">
        <v>0</v>
      </c>
      <c r="M669">
        <v>0</v>
      </c>
      <c r="N669">
        <v>2022</v>
      </c>
      <c r="O669">
        <v>8</v>
      </c>
    </row>
    <row r="670" spans="1:15" x14ac:dyDescent="0.3">
      <c r="A670">
        <v>38499</v>
      </c>
      <c r="B670">
        <v>3203320</v>
      </c>
      <c r="C670" t="s">
        <v>59</v>
      </c>
      <c r="D670">
        <v>0.60899999999999999</v>
      </c>
      <c r="E670">
        <v>1797074.29</v>
      </c>
      <c r="F670">
        <v>133517.07</v>
      </c>
      <c r="G670">
        <v>1930591.36</v>
      </c>
      <c r="H670">
        <v>16227.76</v>
      </c>
      <c r="I670">
        <v>359132.11</v>
      </c>
      <c r="J670">
        <v>1.171</v>
      </c>
      <c r="K670">
        <v>51491.54</v>
      </c>
      <c r="L670">
        <v>0</v>
      </c>
      <c r="M670">
        <v>0</v>
      </c>
      <c r="N670">
        <v>2022</v>
      </c>
      <c r="O670">
        <v>8</v>
      </c>
    </row>
    <row r="671" spans="1:15" x14ac:dyDescent="0.3">
      <c r="A671">
        <v>38500</v>
      </c>
      <c r="B671">
        <v>3203346</v>
      </c>
      <c r="C671" t="s">
        <v>60</v>
      </c>
      <c r="D671">
        <v>0.64500000000000002</v>
      </c>
      <c r="E671">
        <v>1903305.28</v>
      </c>
      <c r="F671">
        <v>141409.69</v>
      </c>
      <c r="G671">
        <v>2044714.97</v>
      </c>
      <c r="H671">
        <v>17187.03</v>
      </c>
      <c r="I671">
        <v>134897.60999999999</v>
      </c>
      <c r="J671">
        <v>0.67100000000000004</v>
      </c>
      <c r="K671">
        <v>54535.38</v>
      </c>
      <c r="L671">
        <v>0</v>
      </c>
      <c r="M671">
        <v>0</v>
      </c>
      <c r="N671">
        <v>2022</v>
      </c>
      <c r="O671">
        <v>8</v>
      </c>
    </row>
    <row r="672" spans="1:15" x14ac:dyDescent="0.3">
      <c r="A672">
        <v>38501</v>
      </c>
      <c r="B672">
        <v>3203353</v>
      </c>
      <c r="C672" t="s">
        <v>61</v>
      </c>
      <c r="D672">
        <v>0.45200000000000001</v>
      </c>
      <c r="E672">
        <v>1333789.1200000001</v>
      </c>
      <c r="F672">
        <v>99096.43</v>
      </c>
      <c r="G672">
        <v>1432885.55</v>
      </c>
      <c r="H672">
        <v>12044.25</v>
      </c>
      <c r="I672">
        <v>99704.24</v>
      </c>
      <c r="J672">
        <v>0.46700000000000003</v>
      </c>
      <c r="K672">
        <v>38217.040000000001</v>
      </c>
      <c r="L672">
        <v>0</v>
      </c>
      <c r="M672">
        <v>0</v>
      </c>
      <c r="N672">
        <v>2022</v>
      </c>
      <c r="O672">
        <v>8</v>
      </c>
    </row>
    <row r="673" spans="1:15" x14ac:dyDescent="0.3">
      <c r="A673">
        <v>38502</v>
      </c>
      <c r="B673">
        <v>3203403</v>
      </c>
      <c r="C673" t="s">
        <v>62</v>
      </c>
      <c r="D673">
        <v>0.51400000000000001</v>
      </c>
      <c r="E673">
        <v>1516742.5</v>
      </c>
      <c r="F673">
        <v>112689.29</v>
      </c>
      <c r="G673">
        <v>1629431.79</v>
      </c>
      <c r="H673">
        <v>13696.33</v>
      </c>
      <c r="I673">
        <v>147117.98000000001</v>
      </c>
      <c r="J673">
        <v>0.85599999999999998</v>
      </c>
      <c r="K673">
        <v>43459.199999999997</v>
      </c>
      <c r="L673">
        <v>0</v>
      </c>
      <c r="M673">
        <v>0</v>
      </c>
      <c r="N673">
        <v>2022</v>
      </c>
      <c r="O673">
        <v>8</v>
      </c>
    </row>
    <row r="674" spans="1:15" x14ac:dyDescent="0.3">
      <c r="A674">
        <v>38503</v>
      </c>
      <c r="B674">
        <v>3203502</v>
      </c>
      <c r="C674" t="s">
        <v>63</v>
      </c>
      <c r="D674">
        <v>0.53600000000000003</v>
      </c>
      <c r="E674">
        <v>1581661.44</v>
      </c>
      <c r="F674">
        <v>117512.58</v>
      </c>
      <c r="G674">
        <v>1699174.02</v>
      </c>
      <c r="H674">
        <v>14282.56</v>
      </c>
      <c r="I674">
        <v>146446.14000000001</v>
      </c>
      <c r="J674">
        <v>0.69299999999999995</v>
      </c>
      <c r="K674">
        <v>45319.32</v>
      </c>
      <c r="L674">
        <v>0</v>
      </c>
      <c r="M674">
        <v>0</v>
      </c>
      <c r="N674">
        <v>2022</v>
      </c>
      <c r="O674">
        <v>8</v>
      </c>
    </row>
    <row r="675" spans="1:15" x14ac:dyDescent="0.3">
      <c r="A675">
        <v>38504</v>
      </c>
      <c r="B675">
        <v>3203601</v>
      </c>
      <c r="C675" t="s">
        <v>64</v>
      </c>
      <c r="D675">
        <v>0.27800000000000002</v>
      </c>
      <c r="E675">
        <v>820339.31</v>
      </c>
      <c r="F675">
        <v>60948.68</v>
      </c>
      <c r="G675">
        <v>881287.99</v>
      </c>
      <c r="H675">
        <v>7407.74</v>
      </c>
      <c r="I675">
        <v>36484.879999999997</v>
      </c>
      <c r="J675">
        <v>0.29799999999999999</v>
      </c>
      <c r="K675">
        <v>23505.17</v>
      </c>
      <c r="L675">
        <v>0</v>
      </c>
      <c r="M675">
        <v>0</v>
      </c>
      <c r="N675">
        <v>2022</v>
      </c>
      <c r="O675">
        <v>8</v>
      </c>
    </row>
    <row r="676" spans="1:15" x14ac:dyDescent="0.3">
      <c r="A676">
        <v>38505</v>
      </c>
      <c r="B676">
        <v>3203700</v>
      </c>
      <c r="C676" t="s">
        <v>65</v>
      </c>
      <c r="D676">
        <v>0.55000000000000004</v>
      </c>
      <c r="E676">
        <v>1622973.51</v>
      </c>
      <c r="F676">
        <v>120581.9</v>
      </c>
      <c r="G676">
        <v>1743555.41</v>
      </c>
      <c r="H676">
        <v>14655.61</v>
      </c>
      <c r="I676">
        <v>97985.41</v>
      </c>
      <c r="J676">
        <v>0.67100000000000004</v>
      </c>
      <c r="K676">
        <v>46503.040000000001</v>
      </c>
      <c r="L676">
        <v>0</v>
      </c>
      <c r="M676">
        <v>0</v>
      </c>
      <c r="N676">
        <v>2022</v>
      </c>
      <c r="O676">
        <v>8</v>
      </c>
    </row>
    <row r="677" spans="1:15" x14ac:dyDescent="0.3">
      <c r="A677">
        <v>38506</v>
      </c>
      <c r="B677">
        <v>3203809</v>
      </c>
      <c r="C677" t="s">
        <v>66</v>
      </c>
      <c r="D677">
        <v>0.29599999999999999</v>
      </c>
      <c r="E677">
        <v>873454.83</v>
      </c>
      <c r="F677">
        <v>64894.99</v>
      </c>
      <c r="G677">
        <v>938349.82</v>
      </c>
      <c r="H677">
        <v>7887.38</v>
      </c>
      <c r="I677">
        <v>85984.94</v>
      </c>
      <c r="J677">
        <v>0.57499999999999996</v>
      </c>
      <c r="K677">
        <v>25027.09</v>
      </c>
      <c r="L677">
        <v>0</v>
      </c>
      <c r="M677">
        <v>0</v>
      </c>
      <c r="N677">
        <v>2022</v>
      </c>
      <c r="O677">
        <v>8</v>
      </c>
    </row>
    <row r="678" spans="1:15" x14ac:dyDescent="0.3">
      <c r="A678">
        <v>38507</v>
      </c>
      <c r="B678">
        <v>3203908</v>
      </c>
      <c r="C678" t="s">
        <v>67</v>
      </c>
      <c r="D678">
        <v>1.268</v>
      </c>
      <c r="E678">
        <v>3741691.6</v>
      </c>
      <c r="F678">
        <v>277996.14</v>
      </c>
      <c r="G678">
        <v>4019687.74</v>
      </c>
      <c r="H678">
        <v>33787.839999999997</v>
      </c>
      <c r="I678">
        <v>422058.42</v>
      </c>
      <c r="J678">
        <v>1.4650000000000001</v>
      </c>
      <c r="K678">
        <v>107210.64</v>
      </c>
      <c r="L678">
        <v>0</v>
      </c>
      <c r="M678">
        <v>0</v>
      </c>
      <c r="N678">
        <v>2022</v>
      </c>
      <c r="O678">
        <v>8</v>
      </c>
    </row>
    <row r="679" spans="1:15" x14ac:dyDescent="0.3">
      <c r="A679">
        <v>38508</v>
      </c>
      <c r="B679">
        <v>3204005</v>
      </c>
      <c r="C679" t="s">
        <v>68</v>
      </c>
      <c r="D679">
        <v>0.47099999999999997</v>
      </c>
      <c r="E679">
        <v>1389855.49</v>
      </c>
      <c r="F679">
        <v>103261.97</v>
      </c>
      <c r="G679">
        <v>1493117.46</v>
      </c>
      <c r="H679">
        <v>12550.53</v>
      </c>
      <c r="I679">
        <v>107775.39</v>
      </c>
      <c r="J679">
        <v>0.747</v>
      </c>
      <c r="K679">
        <v>39823.51</v>
      </c>
      <c r="L679">
        <v>0</v>
      </c>
      <c r="M679">
        <v>0</v>
      </c>
      <c r="N679">
        <v>2022</v>
      </c>
      <c r="O679">
        <v>8</v>
      </c>
    </row>
    <row r="680" spans="1:15" x14ac:dyDescent="0.3">
      <c r="A680">
        <v>38509</v>
      </c>
      <c r="B680">
        <v>3204054</v>
      </c>
      <c r="C680" t="s">
        <v>69</v>
      </c>
      <c r="D680">
        <v>0.313</v>
      </c>
      <c r="E680">
        <v>923619.45</v>
      </c>
      <c r="F680">
        <v>68622.070000000007</v>
      </c>
      <c r="G680">
        <v>992241.52</v>
      </c>
      <c r="H680">
        <v>8340.3700000000008</v>
      </c>
      <c r="I680">
        <v>173542.8</v>
      </c>
      <c r="J680">
        <v>0.86199999999999999</v>
      </c>
      <c r="K680">
        <v>26464.46</v>
      </c>
      <c r="L680">
        <v>0</v>
      </c>
      <c r="M680">
        <v>0</v>
      </c>
      <c r="N680">
        <v>2022</v>
      </c>
      <c r="O680">
        <v>8</v>
      </c>
    </row>
    <row r="681" spans="1:15" x14ac:dyDescent="0.3">
      <c r="A681">
        <v>38510</v>
      </c>
      <c r="B681">
        <v>3204104</v>
      </c>
      <c r="C681" t="s">
        <v>70</v>
      </c>
      <c r="D681">
        <v>0.72599999999999998</v>
      </c>
      <c r="E681">
        <v>2142325.0099999998</v>
      </c>
      <c r="F681">
        <v>159168.13</v>
      </c>
      <c r="G681">
        <v>2301493.14</v>
      </c>
      <c r="H681">
        <v>19345.41</v>
      </c>
      <c r="I681">
        <v>137053.46</v>
      </c>
      <c r="J681">
        <v>0.875</v>
      </c>
      <c r="K681">
        <v>61384.01</v>
      </c>
      <c r="L681">
        <v>0</v>
      </c>
      <c r="M681">
        <v>0</v>
      </c>
      <c r="N681">
        <v>2022</v>
      </c>
      <c r="O681">
        <v>8</v>
      </c>
    </row>
    <row r="682" spans="1:15" x14ac:dyDescent="0.3">
      <c r="A682">
        <v>38511</v>
      </c>
      <c r="B682">
        <v>3204203</v>
      </c>
      <c r="C682" t="s">
        <v>71</v>
      </c>
      <c r="D682">
        <v>0.14599999999999999</v>
      </c>
      <c r="E682">
        <v>430825.71</v>
      </c>
      <c r="F682">
        <v>32009.02</v>
      </c>
      <c r="G682">
        <v>462834.73</v>
      </c>
      <c r="H682">
        <v>3890.4</v>
      </c>
      <c r="I682">
        <v>179697.64</v>
      </c>
      <c r="J682">
        <v>0.73399999999999999</v>
      </c>
      <c r="K682">
        <v>12344.44</v>
      </c>
      <c r="L682">
        <v>0</v>
      </c>
      <c r="M682">
        <v>0</v>
      </c>
      <c r="N682">
        <v>2022</v>
      </c>
      <c r="O682">
        <v>8</v>
      </c>
    </row>
    <row r="683" spans="1:15" x14ac:dyDescent="0.3">
      <c r="A683">
        <v>38512</v>
      </c>
      <c r="B683">
        <v>3204252</v>
      </c>
      <c r="C683" t="s">
        <v>72</v>
      </c>
      <c r="D683">
        <v>0.221</v>
      </c>
      <c r="E683">
        <v>652140.23</v>
      </c>
      <c r="F683">
        <v>48452</v>
      </c>
      <c r="G683">
        <v>700592.23</v>
      </c>
      <c r="H683">
        <v>5888.89</v>
      </c>
      <c r="I683">
        <v>35449.69</v>
      </c>
      <c r="J683">
        <v>0.32900000000000001</v>
      </c>
      <c r="K683">
        <v>18685.77</v>
      </c>
      <c r="L683">
        <v>0</v>
      </c>
      <c r="M683">
        <v>0</v>
      </c>
      <c r="N683">
        <v>2022</v>
      </c>
      <c r="O683">
        <v>8</v>
      </c>
    </row>
    <row r="684" spans="1:15" x14ac:dyDescent="0.3">
      <c r="A684">
        <v>38513</v>
      </c>
      <c r="B684">
        <v>1718402</v>
      </c>
      <c r="C684" t="s">
        <v>73</v>
      </c>
      <c r="D684">
        <v>0.33800000000000002</v>
      </c>
      <c r="E684">
        <v>997390.99</v>
      </c>
      <c r="F684">
        <v>74103.08</v>
      </c>
      <c r="G684">
        <v>1071494.07</v>
      </c>
      <c r="H684">
        <v>9006.5400000000009</v>
      </c>
      <c r="I684">
        <v>161088.29</v>
      </c>
      <c r="J684">
        <v>0.45100000000000001</v>
      </c>
      <c r="K684">
        <v>28578.23</v>
      </c>
      <c r="L684">
        <v>0</v>
      </c>
      <c r="M684">
        <v>0</v>
      </c>
      <c r="N684">
        <v>2022</v>
      </c>
      <c r="O684">
        <v>8</v>
      </c>
    </row>
    <row r="685" spans="1:15" x14ac:dyDescent="0.3">
      <c r="A685">
        <v>38514</v>
      </c>
      <c r="B685">
        <v>3204351</v>
      </c>
      <c r="C685" t="s">
        <v>74</v>
      </c>
      <c r="D685">
        <v>0.79700000000000004</v>
      </c>
      <c r="E685">
        <v>2351836.13</v>
      </c>
      <c r="F685">
        <v>174734.11</v>
      </c>
      <c r="G685">
        <v>2526570.2400000002</v>
      </c>
      <c r="H685">
        <v>21237.31</v>
      </c>
      <c r="I685">
        <v>152427.46</v>
      </c>
      <c r="J685">
        <v>0.69799999999999995</v>
      </c>
      <c r="K685">
        <v>67387.13</v>
      </c>
      <c r="L685">
        <v>0</v>
      </c>
      <c r="M685">
        <v>0</v>
      </c>
      <c r="N685">
        <v>2022</v>
      </c>
      <c r="O685">
        <v>8</v>
      </c>
    </row>
    <row r="686" spans="1:15" x14ac:dyDescent="0.3">
      <c r="A686">
        <v>38515</v>
      </c>
      <c r="B686">
        <v>3204401</v>
      </c>
      <c r="C686" t="s">
        <v>75</v>
      </c>
      <c r="D686">
        <v>0.27500000000000002</v>
      </c>
      <c r="E686">
        <v>811486.73</v>
      </c>
      <c r="F686">
        <v>60290.97</v>
      </c>
      <c r="G686">
        <v>871777.7</v>
      </c>
      <c r="H686">
        <v>7327.81</v>
      </c>
      <c r="I686">
        <v>78213.05</v>
      </c>
      <c r="J686">
        <v>0.45</v>
      </c>
      <c r="K686">
        <v>23251.52</v>
      </c>
      <c r="L686">
        <v>0</v>
      </c>
      <c r="M686">
        <v>0</v>
      </c>
      <c r="N686">
        <v>2022</v>
      </c>
      <c r="O686">
        <v>8</v>
      </c>
    </row>
    <row r="687" spans="1:15" x14ac:dyDescent="0.3">
      <c r="A687">
        <v>38516</v>
      </c>
      <c r="B687">
        <v>3204500</v>
      </c>
      <c r="C687" t="s">
        <v>76</v>
      </c>
      <c r="D687">
        <v>0.53800000000000003</v>
      </c>
      <c r="E687">
        <v>1587563.16</v>
      </c>
      <c r="F687">
        <v>117951.05</v>
      </c>
      <c r="G687">
        <v>1705514.21</v>
      </c>
      <c r="H687">
        <v>14335.85</v>
      </c>
      <c r="I687">
        <v>69759.570000000007</v>
      </c>
      <c r="J687">
        <v>0.45600000000000002</v>
      </c>
      <c r="K687">
        <v>45488.43</v>
      </c>
      <c r="L687">
        <v>0</v>
      </c>
      <c r="M687">
        <v>0</v>
      </c>
      <c r="N687">
        <v>2022</v>
      </c>
      <c r="O687">
        <v>8</v>
      </c>
    </row>
    <row r="688" spans="1:15" x14ac:dyDescent="0.3">
      <c r="A688">
        <v>38517</v>
      </c>
      <c r="B688">
        <v>3204559</v>
      </c>
      <c r="C688" t="s">
        <v>77</v>
      </c>
      <c r="D688">
        <v>2.1160000000000001</v>
      </c>
      <c r="E688">
        <v>6244021.6500000004</v>
      </c>
      <c r="F688">
        <v>463911.53</v>
      </c>
      <c r="G688">
        <v>6707933.1799999997</v>
      </c>
      <c r="H688">
        <v>56384.13</v>
      </c>
      <c r="I688">
        <v>419370.21</v>
      </c>
      <c r="J688">
        <v>1.1990000000000001</v>
      </c>
      <c r="K688">
        <v>178909.87</v>
      </c>
      <c r="L688">
        <v>0</v>
      </c>
      <c r="M688">
        <v>0</v>
      </c>
      <c r="N688">
        <v>2022</v>
      </c>
      <c r="O688">
        <v>8</v>
      </c>
    </row>
    <row r="689" spans="1:15" x14ac:dyDescent="0.3">
      <c r="A689">
        <v>38518</v>
      </c>
      <c r="B689">
        <v>3204609</v>
      </c>
      <c r="C689" t="s">
        <v>78</v>
      </c>
      <c r="D689">
        <v>0.68799999999999994</v>
      </c>
      <c r="E689">
        <v>2030192.31</v>
      </c>
      <c r="F689">
        <v>150837.01999999999</v>
      </c>
      <c r="G689">
        <v>2181029.33</v>
      </c>
      <c r="H689">
        <v>18332.84</v>
      </c>
      <c r="I689">
        <v>222612.45</v>
      </c>
      <c r="J689">
        <v>0.82899999999999996</v>
      </c>
      <c r="K689">
        <v>58171.07</v>
      </c>
      <c r="L689">
        <v>0</v>
      </c>
      <c r="M689">
        <v>0</v>
      </c>
      <c r="N689">
        <v>2022</v>
      </c>
      <c r="O689">
        <v>8</v>
      </c>
    </row>
    <row r="690" spans="1:15" x14ac:dyDescent="0.3">
      <c r="A690">
        <v>38519</v>
      </c>
      <c r="B690">
        <v>3204658</v>
      </c>
      <c r="C690" t="s">
        <v>79</v>
      </c>
      <c r="D690">
        <v>0.42399999999999999</v>
      </c>
      <c r="E690">
        <v>1251165.01</v>
      </c>
      <c r="F690">
        <v>92957.7</v>
      </c>
      <c r="G690">
        <v>1344122.71</v>
      </c>
      <c r="H690">
        <v>11298.14</v>
      </c>
      <c r="I690">
        <v>81175.460000000006</v>
      </c>
      <c r="J690">
        <v>0.33700000000000002</v>
      </c>
      <c r="K690">
        <v>35849.61</v>
      </c>
      <c r="L690">
        <v>0</v>
      </c>
      <c r="M690">
        <v>0</v>
      </c>
      <c r="N690">
        <v>2022</v>
      </c>
      <c r="O690">
        <v>8</v>
      </c>
    </row>
    <row r="691" spans="1:15" x14ac:dyDescent="0.3">
      <c r="A691">
        <v>38520</v>
      </c>
      <c r="B691">
        <v>3204708</v>
      </c>
      <c r="C691" t="s">
        <v>80</v>
      </c>
      <c r="D691">
        <v>0.81499999999999995</v>
      </c>
      <c r="E691">
        <v>2404951.61</v>
      </c>
      <c r="F691">
        <v>178680.48</v>
      </c>
      <c r="G691">
        <v>2583632.09</v>
      </c>
      <c r="H691">
        <v>21716.95</v>
      </c>
      <c r="I691">
        <v>277526.46999999997</v>
      </c>
      <c r="J691">
        <v>1.169</v>
      </c>
      <c r="K691">
        <v>68909.05</v>
      </c>
      <c r="L691">
        <v>0</v>
      </c>
      <c r="M691">
        <v>0</v>
      </c>
      <c r="N691">
        <v>2022</v>
      </c>
      <c r="O691">
        <v>8</v>
      </c>
    </row>
    <row r="692" spans="1:15" x14ac:dyDescent="0.3">
      <c r="A692">
        <v>38521</v>
      </c>
      <c r="B692">
        <v>3204807</v>
      </c>
      <c r="C692" t="s">
        <v>81</v>
      </c>
      <c r="D692">
        <v>0.23</v>
      </c>
      <c r="E692">
        <v>678698</v>
      </c>
      <c r="F692">
        <v>50425.17</v>
      </c>
      <c r="G692">
        <v>729123.17</v>
      </c>
      <c r="H692">
        <v>6128.71</v>
      </c>
      <c r="I692">
        <v>76952.81</v>
      </c>
      <c r="J692">
        <v>0.436</v>
      </c>
      <c r="K692">
        <v>19446.72</v>
      </c>
      <c r="L692">
        <v>0</v>
      </c>
      <c r="M692">
        <v>0</v>
      </c>
      <c r="N692">
        <v>2022</v>
      </c>
      <c r="O692">
        <v>8</v>
      </c>
    </row>
    <row r="693" spans="1:15" x14ac:dyDescent="0.3">
      <c r="A693">
        <v>38522</v>
      </c>
      <c r="B693">
        <v>3204906</v>
      </c>
      <c r="C693" t="s">
        <v>82</v>
      </c>
      <c r="D693">
        <v>1.8839999999999999</v>
      </c>
      <c r="E693">
        <v>5559421.9100000001</v>
      </c>
      <c r="F693">
        <v>413047.89</v>
      </c>
      <c r="G693">
        <v>5972469.7999999998</v>
      </c>
      <c r="H693">
        <v>50202.13</v>
      </c>
      <c r="I693">
        <v>1006211.1</v>
      </c>
      <c r="J693">
        <v>3.024</v>
      </c>
      <c r="K693">
        <v>159294.04</v>
      </c>
      <c r="L693">
        <v>0</v>
      </c>
      <c r="M693">
        <v>0</v>
      </c>
      <c r="N693">
        <v>2022</v>
      </c>
      <c r="O693">
        <v>8</v>
      </c>
    </row>
    <row r="694" spans="1:15" x14ac:dyDescent="0.3">
      <c r="A694">
        <v>38523</v>
      </c>
      <c r="B694">
        <v>3204955</v>
      </c>
      <c r="C694" t="s">
        <v>83</v>
      </c>
      <c r="D694">
        <v>0.32600000000000001</v>
      </c>
      <c r="E694">
        <v>961980.65</v>
      </c>
      <c r="F694">
        <v>71472.22</v>
      </c>
      <c r="G694">
        <v>1033452.87</v>
      </c>
      <c r="H694">
        <v>8686.7800000000007</v>
      </c>
      <c r="I694">
        <v>65635.83</v>
      </c>
      <c r="J694">
        <v>0.46100000000000002</v>
      </c>
      <c r="K694">
        <v>27563.62</v>
      </c>
      <c r="L694">
        <v>0</v>
      </c>
      <c r="M694">
        <v>0</v>
      </c>
      <c r="N694">
        <v>2022</v>
      </c>
      <c r="O694">
        <v>8</v>
      </c>
    </row>
    <row r="695" spans="1:15" x14ac:dyDescent="0.3">
      <c r="A695">
        <v>38524</v>
      </c>
      <c r="B695">
        <v>3205002</v>
      </c>
      <c r="C695" t="s">
        <v>84</v>
      </c>
      <c r="D695">
        <v>14.176</v>
      </c>
      <c r="E695">
        <v>41831404.060000002</v>
      </c>
      <c r="F695">
        <v>3107944.12</v>
      </c>
      <c r="G695">
        <v>44939348.18</v>
      </c>
      <c r="H695">
        <v>377741.7</v>
      </c>
      <c r="I695">
        <v>3868150.02</v>
      </c>
      <c r="J695">
        <v>8.4320000000000004</v>
      </c>
      <c r="K695">
        <v>1198594.6399999999</v>
      </c>
      <c r="L695">
        <v>0</v>
      </c>
      <c r="M695">
        <v>0</v>
      </c>
      <c r="N695">
        <v>2022</v>
      </c>
      <c r="O695">
        <v>8</v>
      </c>
    </row>
    <row r="696" spans="1:15" x14ac:dyDescent="0.3">
      <c r="A696">
        <v>38525</v>
      </c>
      <c r="B696">
        <v>3205010</v>
      </c>
      <c r="C696" t="s">
        <v>85</v>
      </c>
      <c r="D696">
        <v>0.72199999999999998</v>
      </c>
      <c r="E696">
        <v>2130521.54</v>
      </c>
      <c r="F696">
        <v>158291.16</v>
      </c>
      <c r="G696">
        <v>2288812.7000000002</v>
      </c>
      <c r="H696">
        <v>19238.82</v>
      </c>
      <c r="I696">
        <v>153321.69</v>
      </c>
      <c r="J696">
        <v>0.997</v>
      </c>
      <c r="K696">
        <v>61045.81</v>
      </c>
      <c r="L696">
        <v>0</v>
      </c>
      <c r="M696">
        <v>0</v>
      </c>
      <c r="N696">
        <v>2022</v>
      </c>
      <c r="O696">
        <v>8</v>
      </c>
    </row>
    <row r="697" spans="1:15" x14ac:dyDescent="0.3">
      <c r="A697">
        <v>38526</v>
      </c>
      <c r="B697">
        <v>3205036</v>
      </c>
      <c r="C697" t="s">
        <v>86</v>
      </c>
      <c r="D697">
        <v>0.498</v>
      </c>
      <c r="E697">
        <v>1469528.73</v>
      </c>
      <c r="F697">
        <v>109181.45</v>
      </c>
      <c r="G697">
        <v>1578710.18</v>
      </c>
      <c r="H697">
        <v>13269.99</v>
      </c>
      <c r="I697">
        <v>120667.52</v>
      </c>
      <c r="J697">
        <v>0.72699999999999998</v>
      </c>
      <c r="K697">
        <v>42106.39</v>
      </c>
      <c r="L697">
        <v>0</v>
      </c>
      <c r="M697">
        <v>0</v>
      </c>
      <c r="N697">
        <v>2022</v>
      </c>
      <c r="O697">
        <v>8</v>
      </c>
    </row>
    <row r="698" spans="1:15" x14ac:dyDescent="0.3">
      <c r="A698">
        <v>38527</v>
      </c>
      <c r="B698">
        <v>3205069</v>
      </c>
      <c r="C698" t="s">
        <v>87</v>
      </c>
      <c r="D698">
        <v>0.75800000000000001</v>
      </c>
      <c r="E698">
        <v>2236752.56</v>
      </c>
      <c r="F698">
        <v>166183.79999999999</v>
      </c>
      <c r="G698">
        <v>2402936.36</v>
      </c>
      <c r="H698">
        <v>20198.099999999999</v>
      </c>
      <c r="I698">
        <v>236948.66</v>
      </c>
      <c r="J698">
        <v>0.85799999999999998</v>
      </c>
      <c r="K698">
        <v>64089.64</v>
      </c>
      <c r="L698">
        <v>0</v>
      </c>
      <c r="M698">
        <v>0</v>
      </c>
      <c r="N698">
        <v>2022</v>
      </c>
      <c r="O698">
        <v>8</v>
      </c>
    </row>
    <row r="699" spans="1:15" x14ac:dyDescent="0.3">
      <c r="A699">
        <v>38528</v>
      </c>
      <c r="B699">
        <v>2112803</v>
      </c>
      <c r="C699" t="s">
        <v>88</v>
      </c>
      <c r="D699">
        <v>2.9929999999999999</v>
      </c>
      <c r="E699">
        <v>8831926.6799999997</v>
      </c>
      <c r="F699">
        <v>656184.87</v>
      </c>
      <c r="G699">
        <v>9488111.5500000007</v>
      </c>
      <c r="H699">
        <v>79753.17</v>
      </c>
      <c r="I699">
        <v>418090.26</v>
      </c>
      <c r="J699">
        <v>1.984</v>
      </c>
      <c r="K699">
        <v>253061.07</v>
      </c>
      <c r="L699">
        <v>0</v>
      </c>
      <c r="M699">
        <v>0</v>
      </c>
      <c r="N699">
        <v>2022</v>
      </c>
      <c r="O699">
        <v>8</v>
      </c>
    </row>
    <row r="700" spans="1:15" x14ac:dyDescent="0.3">
      <c r="A700">
        <v>38529</v>
      </c>
      <c r="B700">
        <v>3205150</v>
      </c>
      <c r="C700" t="s">
        <v>89</v>
      </c>
      <c r="D700">
        <v>0.32800000000000001</v>
      </c>
      <c r="E700">
        <v>967882.37</v>
      </c>
      <c r="F700">
        <v>71910.66</v>
      </c>
      <c r="G700">
        <v>1039793.03</v>
      </c>
      <c r="H700">
        <v>8740.07</v>
      </c>
      <c r="I700">
        <v>46273.3</v>
      </c>
      <c r="J700">
        <v>0.34399999999999997</v>
      </c>
      <c r="K700">
        <v>27732.720000000001</v>
      </c>
      <c r="L700">
        <v>0</v>
      </c>
      <c r="M700">
        <v>0</v>
      </c>
      <c r="N700">
        <v>2022</v>
      </c>
      <c r="O700">
        <v>8</v>
      </c>
    </row>
    <row r="701" spans="1:15" x14ac:dyDescent="0.3">
      <c r="A701">
        <v>38530</v>
      </c>
      <c r="B701">
        <v>3205176</v>
      </c>
      <c r="C701" t="s">
        <v>90</v>
      </c>
      <c r="D701">
        <v>0.623</v>
      </c>
      <c r="E701">
        <v>1838386.34</v>
      </c>
      <c r="F701">
        <v>136586.42000000001</v>
      </c>
      <c r="G701">
        <v>1974972.76</v>
      </c>
      <c r="H701">
        <v>16600.810000000001</v>
      </c>
      <c r="I701">
        <v>162712.54</v>
      </c>
      <c r="J701">
        <v>0.55600000000000005</v>
      </c>
      <c r="K701">
        <v>52675.26</v>
      </c>
      <c r="L701">
        <v>0</v>
      </c>
      <c r="M701">
        <v>0</v>
      </c>
      <c r="N701">
        <v>2022</v>
      </c>
      <c r="O701">
        <v>8</v>
      </c>
    </row>
    <row r="702" spans="1:15" x14ac:dyDescent="0.3">
      <c r="A702">
        <v>38531</v>
      </c>
      <c r="B702">
        <v>3205200</v>
      </c>
      <c r="C702" t="s">
        <v>91</v>
      </c>
      <c r="D702">
        <v>5.3819999999999997</v>
      </c>
      <c r="E702">
        <v>15881533.33</v>
      </c>
      <c r="F702">
        <v>1179948.8600000001</v>
      </c>
      <c r="G702">
        <v>17061482.190000001</v>
      </c>
      <c r="H702">
        <v>143411.81</v>
      </c>
      <c r="I702">
        <v>4042947.5</v>
      </c>
      <c r="J702">
        <v>8.09</v>
      </c>
      <c r="K702">
        <v>455053.36</v>
      </c>
      <c r="L702">
        <v>0</v>
      </c>
      <c r="M702">
        <v>0</v>
      </c>
      <c r="N702">
        <v>2022</v>
      </c>
      <c r="O702">
        <v>8</v>
      </c>
    </row>
    <row r="703" spans="1:15" x14ac:dyDescent="0.3">
      <c r="A703">
        <v>38532</v>
      </c>
      <c r="B703">
        <v>3205309</v>
      </c>
      <c r="C703" t="s">
        <v>92</v>
      </c>
      <c r="D703">
        <v>14.535</v>
      </c>
      <c r="E703">
        <v>42890763.100000001</v>
      </c>
      <c r="F703">
        <v>3186651.17</v>
      </c>
      <c r="G703">
        <v>46077414.270000003</v>
      </c>
      <c r="H703">
        <v>387307.81</v>
      </c>
      <c r="I703">
        <v>3985341.9</v>
      </c>
      <c r="J703">
        <v>9.4969999999999999</v>
      </c>
      <c r="K703">
        <v>1228948.44</v>
      </c>
      <c r="L703">
        <v>0</v>
      </c>
      <c r="M703">
        <v>0</v>
      </c>
      <c r="N703">
        <v>2022</v>
      </c>
      <c r="O703">
        <v>8</v>
      </c>
    </row>
    <row r="704" spans="1:15" x14ac:dyDescent="0.3">
      <c r="A704">
        <v>38533</v>
      </c>
      <c r="B704">
        <v>3200102</v>
      </c>
      <c r="C704" t="s">
        <v>15</v>
      </c>
      <c r="D704">
        <v>0.8</v>
      </c>
      <c r="E704">
        <v>2336313.11</v>
      </c>
      <c r="F704">
        <v>206557.82</v>
      </c>
      <c r="G704">
        <v>2542870.9300000002</v>
      </c>
      <c r="H704">
        <v>28122.12</v>
      </c>
      <c r="I704">
        <v>109409.08</v>
      </c>
      <c r="J704">
        <v>0.98499999999999999</v>
      </c>
      <c r="K704">
        <v>45065.13</v>
      </c>
      <c r="L704">
        <v>0</v>
      </c>
      <c r="M704">
        <v>0</v>
      </c>
      <c r="N704">
        <v>2022</v>
      </c>
      <c r="O704">
        <v>9</v>
      </c>
    </row>
    <row r="705" spans="1:15" x14ac:dyDescent="0.3">
      <c r="A705">
        <v>38534</v>
      </c>
      <c r="B705">
        <v>3200169</v>
      </c>
      <c r="C705" t="s">
        <v>16</v>
      </c>
      <c r="D705">
        <v>0.30099999999999999</v>
      </c>
      <c r="E705">
        <v>879037.81</v>
      </c>
      <c r="F705">
        <v>77717.37</v>
      </c>
      <c r="G705">
        <v>956755.18</v>
      </c>
      <c r="H705">
        <v>10580.95</v>
      </c>
      <c r="I705">
        <v>39780.239999999998</v>
      </c>
      <c r="J705">
        <v>0.439</v>
      </c>
      <c r="K705">
        <v>16955.759999999998</v>
      </c>
      <c r="L705">
        <v>0</v>
      </c>
      <c r="M705">
        <v>0</v>
      </c>
      <c r="N705">
        <v>2022</v>
      </c>
      <c r="O705">
        <v>9</v>
      </c>
    </row>
    <row r="706" spans="1:15" x14ac:dyDescent="0.3">
      <c r="A706">
        <v>38535</v>
      </c>
      <c r="B706">
        <v>3200136</v>
      </c>
      <c r="C706" t="s">
        <v>17</v>
      </c>
      <c r="D706">
        <v>0.41599999999999998</v>
      </c>
      <c r="E706">
        <v>1214882.82</v>
      </c>
      <c r="F706">
        <v>107410.06</v>
      </c>
      <c r="G706">
        <v>1322292.8799999999</v>
      </c>
      <c r="H706">
        <v>14623.5</v>
      </c>
      <c r="I706">
        <v>41234.269999999997</v>
      </c>
      <c r="J706">
        <v>0.34799999999999998</v>
      </c>
      <c r="K706">
        <v>23433.87</v>
      </c>
      <c r="L706">
        <v>0</v>
      </c>
      <c r="M706">
        <v>0</v>
      </c>
      <c r="N706">
        <v>2022</v>
      </c>
      <c r="O706">
        <v>9</v>
      </c>
    </row>
    <row r="707" spans="1:15" x14ac:dyDescent="0.3">
      <c r="A707">
        <v>38536</v>
      </c>
      <c r="B707">
        <v>3200201</v>
      </c>
      <c r="C707" t="s">
        <v>18</v>
      </c>
      <c r="D707">
        <v>0.51</v>
      </c>
      <c r="E707">
        <v>1489399.6</v>
      </c>
      <c r="F707">
        <v>131680.60999999999</v>
      </c>
      <c r="G707">
        <v>1621080.21</v>
      </c>
      <c r="H707">
        <v>17927.849999999999</v>
      </c>
      <c r="I707">
        <v>83581.740000000005</v>
      </c>
      <c r="J707">
        <v>0.98</v>
      </c>
      <c r="K707">
        <v>28729.02</v>
      </c>
      <c r="L707">
        <v>0</v>
      </c>
      <c r="M707">
        <v>0</v>
      </c>
      <c r="N707">
        <v>2022</v>
      </c>
      <c r="O707">
        <v>9</v>
      </c>
    </row>
    <row r="708" spans="1:15" x14ac:dyDescent="0.3">
      <c r="A708">
        <v>38537</v>
      </c>
      <c r="B708">
        <v>3200300</v>
      </c>
      <c r="C708" t="s">
        <v>19</v>
      </c>
      <c r="D708">
        <v>0.49</v>
      </c>
      <c r="E708">
        <v>1430991.78</v>
      </c>
      <c r="F708">
        <v>126516.67</v>
      </c>
      <c r="G708">
        <v>1557508.45</v>
      </c>
      <c r="H708">
        <v>17224.8</v>
      </c>
      <c r="I708">
        <v>72577.88</v>
      </c>
      <c r="J708">
        <v>0.56399999999999995</v>
      </c>
      <c r="K708">
        <v>27602.39</v>
      </c>
      <c r="L708">
        <v>0</v>
      </c>
      <c r="M708">
        <v>0</v>
      </c>
      <c r="N708">
        <v>2022</v>
      </c>
      <c r="O708">
        <v>9</v>
      </c>
    </row>
    <row r="709" spans="1:15" x14ac:dyDescent="0.3">
      <c r="A709">
        <v>38538</v>
      </c>
      <c r="B709">
        <v>3200359</v>
      </c>
      <c r="C709" t="s">
        <v>20</v>
      </c>
      <c r="D709">
        <v>0.23100000000000001</v>
      </c>
      <c r="E709">
        <v>674610.41</v>
      </c>
      <c r="F709">
        <v>59643.59</v>
      </c>
      <c r="G709">
        <v>734254</v>
      </c>
      <c r="H709">
        <v>8120.26</v>
      </c>
      <c r="I709">
        <v>31935.57</v>
      </c>
      <c r="J709">
        <v>0.32700000000000001</v>
      </c>
      <c r="K709">
        <v>13012.56</v>
      </c>
      <c r="L709">
        <v>0</v>
      </c>
      <c r="M709">
        <v>0</v>
      </c>
      <c r="N709">
        <v>2022</v>
      </c>
      <c r="O709">
        <v>9</v>
      </c>
    </row>
    <row r="710" spans="1:15" x14ac:dyDescent="0.3">
      <c r="A710">
        <v>38539</v>
      </c>
      <c r="B710">
        <v>3200409</v>
      </c>
      <c r="C710" t="s">
        <v>21</v>
      </c>
      <c r="D710">
        <v>1.766</v>
      </c>
      <c r="E710">
        <v>5157411.1900000004</v>
      </c>
      <c r="F710">
        <v>455976.44</v>
      </c>
      <c r="G710">
        <v>5613387.6299999999</v>
      </c>
      <c r="H710">
        <v>62079.58</v>
      </c>
      <c r="I710">
        <v>124483.28</v>
      </c>
      <c r="J710">
        <v>0.90800000000000003</v>
      </c>
      <c r="K710">
        <v>99481.279999999999</v>
      </c>
      <c r="L710">
        <v>0</v>
      </c>
      <c r="M710">
        <v>0</v>
      </c>
      <c r="N710">
        <v>2022</v>
      </c>
      <c r="O710">
        <v>9</v>
      </c>
    </row>
    <row r="711" spans="1:15" x14ac:dyDescent="0.3">
      <c r="A711">
        <v>38540</v>
      </c>
      <c r="B711">
        <v>3200508</v>
      </c>
      <c r="C711" t="s">
        <v>22</v>
      </c>
      <c r="D711">
        <v>0.185</v>
      </c>
      <c r="E711">
        <v>540272.41</v>
      </c>
      <c r="F711">
        <v>47766.48</v>
      </c>
      <c r="G711">
        <v>588038.89</v>
      </c>
      <c r="H711">
        <v>6503.24</v>
      </c>
      <c r="I711">
        <v>49922.07</v>
      </c>
      <c r="J711">
        <v>0.32300000000000001</v>
      </c>
      <c r="K711">
        <v>10421.31</v>
      </c>
      <c r="L711">
        <v>0</v>
      </c>
      <c r="M711">
        <v>0</v>
      </c>
      <c r="N711">
        <v>2022</v>
      </c>
      <c r="O711">
        <v>9</v>
      </c>
    </row>
    <row r="712" spans="1:15" x14ac:dyDescent="0.3">
      <c r="A712">
        <v>38541</v>
      </c>
      <c r="B712">
        <v>3200607</v>
      </c>
      <c r="C712" t="s">
        <v>23</v>
      </c>
      <c r="D712">
        <v>4.9909999999999997</v>
      </c>
      <c r="E712">
        <v>14575673.43</v>
      </c>
      <c r="F712">
        <v>1288662.7</v>
      </c>
      <c r="G712">
        <v>15864336.130000001</v>
      </c>
      <c r="H712">
        <v>175446.88</v>
      </c>
      <c r="I712">
        <v>515040.82</v>
      </c>
      <c r="J712">
        <v>2.5089999999999999</v>
      </c>
      <c r="K712">
        <v>281150.09999999998</v>
      </c>
      <c r="L712">
        <v>0</v>
      </c>
      <c r="M712">
        <v>0</v>
      </c>
      <c r="N712">
        <v>2022</v>
      </c>
      <c r="O712">
        <v>9</v>
      </c>
    </row>
    <row r="713" spans="1:15" x14ac:dyDescent="0.3">
      <c r="A713">
        <v>38542</v>
      </c>
      <c r="B713">
        <v>3200706</v>
      </c>
      <c r="C713" t="s">
        <v>24</v>
      </c>
      <c r="D713">
        <v>0.373</v>
      </c>
      <c r="E713">
        <v>1089306</v>
      </c>
      <c r="F713">
        <v>96307.58</v>
      </c>
      <c r="G713">
        <v>1185613.58</v>
      </c>
      <c r="H713">
        <v>13111.94</v>
      </c>
      <c r="I713">
        <v>34368.379999999997</v>
      </c>
      <c r="J713">
        <v>0.45700000000000002</v>
      </c>
      <c r="K713">
        <v>21011.62</v>
      </c>
      <c r="L713">
        <v>0</v>
      </c>
      <c r="M713">
        <v>0</v>
      </c>
      <c r="N713">
        <v>2022</v>
      </c>
      <c r="O713">
        <v>9</v>
      </c>
    </row>
    <row r="714" spans="1:15" x14ac:dyDescent="0.3">
      <c r="A714">
        <v>38543</v>
      </c>
      <c r="B714">
        <v>3200805</v>
      </c>
      <c r="C714" t="s">
        <v>25</v>
      </c>
      <c r="D714">
        <v>0.64300000000000002</v>
      </c>
      <c r="E714">
        <v>1877811.65</v>
      </c>
      <c r="F714">
        <v>166020.87</v>
      </c>
      <c r="G714">
        <v>2043832.52</v>
      </c>
      <c r="H714">
        <v>22603.15</v>
      </c>
      <c r="I714">
        <v>184313.05</v>
      </c>
      <c r="J714">
        <v>0.996</v>
      </c>
      <c r="K714">
        <v>36221.1</v>
      </c>
      <c r="L714">
        <v>0</v>
      </c>
      <c r="M714">
        <v>0</v>
      </c>
      <c r="N714">
        <v>2022</v>
      </c>
      <c r="O714">
        <v>9</v>
      </c>
    </row>
    <row r="715" spans="1:15" x14ac:dyDescent="0.3">
      <c r="A715">
        <v>38544</v>
      </c>
      <c r="B715">
        <v>3200904</v>
      </c>
      <c r="C715" t="s">
        <v>26</v>
      </c>
      <c r="D715">
        <v>1.036</v>
      </c>
      <c r="E715">
        <v>3025525.48</v>
      </c>
      <c r="F715">
        <v>267492.39</v>
      </c>
      <c r="G715">
        <v>3293017.87</v>
      </c>
      <c r="H715">
        <v>36418.15</v>
      </c>
      <c r="I715">
        <v>238133.67</v>
      </c>
      <c r="J715">
        <v>1.321</v>
      </c>
      <c r="K715">
        <v>58359.35</v>
      </c>
      <c r="L715">
        <v>0</v>
      </c>
      <c r="M715">
        <v>0</v>
      </c>
      <c r="N715">
        <v>2022</v>
      </c>
      <c r="O715">
        <v>9</v>
      </c>
    </row>
    <row r="716" spans="1:15" x14ac:dyDescent="0.3">
      <c r="A716">
        <v>38545</v>
      </c>
      <c r="B716">
        <v>3107109</v>
      </c>
      <c r="C716" t="s">
        <v>27</v>
      </c>
      <c r="D716">
        <v>0.39900000000000002</v>
      </c>
      <c r="E716">
        <v>1165236.1599999999</v>
      </c>
      <c r="F716">
        <v>103020.72</v>
      </c>
      <c r="G716">
        <v>1268256.8799999999</v>
      </c>
      <c r="H716">
        <v>14025.91</v>
      </c>
      <c r="I716">
        <v>59962.26</v>
      </c>
      <c r="J716">
        <v>0.56899999999999995</v>
      </c>
      <c r="K716">
        <v>22476.240000000002</v>
      </c>
      <c r="L716">
        <v>0</v>
      </c>
      <c r="M716">
        <v>0</v>
      </c>
      <c r="N716">
        <v>2022</v>
      </c>
      <c r="O716">
        <v>9</v>
      </c>
    </row>
    <row r="717" spans="1:15" x14ac:dyDescent="0.3">
      <c r="A717">
        <v>38546</v>
      </c>
      <c r="B717">
        <v>3201100</v>
      </c>
      <c r="C717" t="s">
        <v>28</v>
      </c>
      <c r="D717">
        <v>0.17599999999999999</v>
      </c>
      <c r="E717">
        <v>513988.9</v>
      </c>
      <c r="F717">
        <v>45442.73</v>
      </c>
      <c r="G717">
        <v>559431.63</v>
      </c>
      <c r="H717">
        <v>6186.87</v>
      </c>
      <c r="I717">
        <v>94685.46</v>
      </c>
      <c r="J717">
        <v>0.43</v>
      </c>
      <c r="K717">
        <v>9914.33</v>
      </c>
      <c r="L717">
        <v>0</v>
      </c>
      <c r="M717">
        <v>0</v>
      </c>
      <c r="N717">
        <v>2022</v>
      </c>
      <c r="O717">
        <v>9</v>
      </c>
    </row>
    <row r="718" spans="1:15" x14ac:dyDescent="0.3">
      <c r="A718">
        <v>38547</v>
      </c>
      <c r="B718">
        <v>3201159</v>
      </c>
      <c r="C718" t="s">
        <v>29</v>
      </c>
      <c r="D718">
        <v>0.42099999999999999</v>
      </c>
      <c r="E718">
        <v>1229484.76</v>
      </c>
      <c r="F718">
        <v>108701.05</v>
      </c>
      <c r="G718">
        <v>1338185.81</v>
      </c>
      <c r="H718">
        <v>14799.27</v>
      </c>
      <c r="I718">
        <v>71623.179999999993</v>
      </c>
      <c r="J718">
        <v>0.46</v>
      </c>
      <c r="K718">
        <v>23715.53</v>
      </c>
      <c r="L718">
        <v>0</v>
      </c>
      <c r="M718">
        <v>0</v>
      </c>
      <c r="N718">
        <v>2022</v>
      </c>
      <c r="O718">
        <v>9</v>
      </c>
    </row>
    <row r="719" spans="1:15" x14ac:dyDescent="0.3">
      <c r="A719">
        <v>38548</v>
      </c>
      <c r="B719">
        <v>3201209</v>
      </c>
      <c r="C719" t="s">
        <v>30</v>
      </c>
      <c r="D719">
        <v>3.234</v>
      </c>
      <c r="E719">
        <v>9444545.7599999998</v>
      </c>
      <c r="F719">
        <v>835010.06</v>
      </c>
      <c r="G719">
        <v>10279555.82</v>
      </c>
      <c r="H719">
        <v>113683.67</v>
      </c>
      <c r="I719">
        <v>1007260.86</v>
      </c>
      <c r="J719">
        <v>4.4820000000000002</v>
      </c>
      <c r="K719">
        <v>182175.8</v>
      </c>
      <c r="L719">
        <v>0</v>
      </c>
      <c r="M719">
        <v>0</v>
      </c>
      <c r="N719">
        <v>2022</v>
      </c>
      <c r="O719">
        <v>9</v>
      </c>
    </row>
    <row r="720" spans="1:15" x14ac:dyDescent="0.3">
      <c r="A720">
        <v>38549</v>
      </c>
      <c r="B720">
        <v>3201308</v>
      </c>
      <c r="C720" t="s">
        <v>31</v>
      </c>
      <c r="D720">
        <v>7.4969999999999999</v>
      </c>
      <c r="E720">
        <v>21894174.260000002</v>
      </c>
      <c r="F720">
        <v>1935705.12</v>
      </c>
      <c r="G720">
        <v>23829879.379999999</v>
      </c>
      <c r="H720">
        <v>263539.42</v>
      </c>
      <c r="I720">
        <v>1310516.8700000001</v>
      </c>
      <c r="J720">
        <v>6.6040000000000001</v>
      </c>
      <c r="K720">
        <v>422316.63</v>
      </c>
      <c r="L720">
        <v>0</v>
      </c>
      <c r="M720">
        <v>0</v>
      </c>
      <c r="N720">
        <v>2022</v>
      </c>
      <c r="O720">
        <v>9</v>
      </c>
    </row>
    <row r="721" spans="1:15" x14ac:dyDescent="0.3">
      <c r="A721">
        <v>38550</v>
      </c>
      <c r="B721">
        <v>3201407</v>
      </c>
      <c r="C721" t="s">
        <v>32</v>
      </c>
      <c r="D721">
        <v>0.96499999999999997</v>
      </c>
      <c r="E721">
        <v>2818177.71</v>
      </c>
      <c r="F721">
        <v>249160.39</v>
      </c>
      <c r="G721">
        <v>3067338.1</v>
      </c>
      <c r="H721">
        <v>33922.31</v>
      </c>
      <c r="I721">
        <v>343950.3</v>
      </c>
      <c r="J721">
        <v>1.155</v>
      </c>
      <c r="K721">
        <v>54359.82</v>
      </c>
      <c r="L721">
        <v>0</v>
      </c>
      <c r="M721">
        <v>0</v>
      </c>
      <c r="N721">
        <v>2022</v>
      </c>
      <c r="O721">
        <v>9</v>
      </c>
    </row>
    <row r="722" spans="1:15" x14ac:dyDescent="0.3">
      <c r="A722">
        <v>38551</v>
      </c>
      <c r="B722">
        <v>3201506</v>
      </c>
      <c r="C722" t="s">
        <v>33</v>
      </c>
      <c r="D722">
        <v>2.1739999999999999</v>
      </c>
      <c r="E722">
        <v>6348930.8799999999</v>
      </c>
      <c r="F722">
        <v>561320.9</v>
      </c>
      <c r="G722">
        <v>6910251.7800000003</v>
      </c>
      <c r="H722">
        <v>76421.86</v>
      </c>
      <c r="I722">
        <v>606600.31000000006</v>
      </c>
      <c r="J722">
        <v>2.8220000000000001</v>
      </c>
      <c r="K722">
        <v>122464.5</v>
      </c>
      <c r="L722">
        <v>0</v>
      </c>
      <c r="M722">
        <v>0</v>
      </c>
      <c r="N722">
        <v>2022</v>
      </c>
      <c r="O722">
        <v>9</v>
      </c>
    </row>
    <row r="723" spans="1:15" x14ac:dyDescent="0.3">
      <c r="A723">
        <v>38552</v>
      </c>
      <c r="B723">
        <v>3201605</v>
      </c>
      <c r="C723" t="s">
        <v>34</v>
      </c>
      <c r="D723">
        <v>0.65200000000000002</v>
      </c>
      <c r="E723">
        <v>1904095.18</v>
      </c>
      <c r="F723">
        <v>168344.63</v>
      </c>
      <c r="G723">
        <v>2072439.81</v>
      </c>
      <c r="H723">
        <v>22919.53</v>
      </c>
      <c r="I723">
        <v>82518.31</v>
      </c>
      <c r="J723">
        <v>0.999</v>
      </c>
      <c r="K723">
        <v>36728.080000000002</v>
      </c>
      <c r="L723">
        <v>0</v>
      </c>
      <c r="M723">
        <v>0</v>
      </c>
      <c r="N723">
        <v>2022</v>
      </c>
      <c r="O723">
        <v>9</v>
      </c>
    </row>
    <row r="724" spans="1:15" x14ac:dyDescent="0.3">
      <c r="A724">
        <v>38553</v>
      </c>
      <c r="B724">
        <v>3201704</v>
      </c>
      <c r="C724" t="s">
        <v>35</v>
      </c>
      <c r="D724">
        <v>0.47499999999999998</v>
      </c>
      <c r="E724">
        <v>1387185.91</v>
      </c>
      <c r="F724">
        <v>122643.72</v>
      </c>
      <c r="G724">
        <v>1509829.63</v>
      </c>
      <c r="H724">
        <v>16697.509999999998</v>
      </c>
      <c r="I724">
        <v>58226.46</v>
      </c>
      <c r="J724">
        <v>0.46500000000000002</v>
      </c>
      <c r="K724">
        <v>26757.42</v>
      </c>
      <c r="L724">
        <v>0</v>
      </c>
      <c r="M724">
        <v>0</v>
      </c>
      <c r="N724">
        <v>2022</v>
      </c>
      <c r="O724">
        <v>9</v>
      </c>
    </row>
    <row r="725" spans="1:15" x14ac:dyDescent="0.3">
      <c r="A725">
        <v>38554</v>
      </c>
      <c r="B725">
        <v>3201803</v>
      </c>
      <c r="C725" t="s">
        <v>36</v>
      </c>
      <c r="D725">
        <v>0.186</v>
      </c>
      <c r="E725">
        <v>543192.80000000005</v>
      </c>
      <c r="F725">
        <v>48024.69</v>
      </c>
      <c r="G725">
        <v>591217.49</v>
      </c>
      <c r="H725">
        <v>6538.39</v>
      </c>
      <c r="I725">
        <v>13418.05</v>
      </c>
      <c r="J725">
        <v>0.28299999999999997</v>
      </c>
      <c r="K725">
        <v>10477.64</v>
      </c>
      <c r="L725">
        <v>0</v>
      </c>
      <c r="M725">
        <v>0</v>
      </c>
      <c r="N725">
        <v>2022</v>
      </c>
      <c r="O725">
        <v>9</v>
      </c>
    </row>
    <row r="726" spans="1:15" x14ac:dyDescent="0.3">
      <c r="A726">
        <v>38555</v>
      </c>
      <c r="B726">
        <v>3201902</v>
      </c>
      <c r="C726" t="s">
        <v>37</v>
      </c>
      <c r="D726">
        <v>1.3140000000000001</v>
      </c>
      <c r="E726">
        <v>3837394.3</v>
      </c>
      <c r="F726">
        <v>339271.25</v>
      </c>
      <c r="G726">
        <v>4176665.55</v>
      </c>
      <c r="H726">
        <v>46190.58</v>
      </c>
      <c r="I726">
        <v>157036.73000000001</v>
      </c>
      <c r="J726">
        <v>1.0309999999999999</v>
      </c>
      <c r="K726">
        <v>74019.48</v>
      </c>
      <c r="L726">
        <v>0</v>
      </c>
      <c r="M726">
        <v>0</v>
      </c>
      <c r="N726">
        <v>2022</v>
      </c>
      <c r="O726">
        <v>9</v>
      </c>
    </row>
    <row r="727" spans="1:15" x14ac:dyDescent="0.3">
      <c r="A727">
        <v>38556</v>
      </c>
      <c r="B727">
        <v>3202009</v>
      </c>
      <c r="C727" t="s">
        <v>38</v>
      </c>
      <c r="D727">
        <v>0.26</v>
      </c>
      <c r="E727">
        <v>759301.79</v>
      </c>
      <c r="F727">
        <v>67131.289999999994</v>
      </c>
      <c r="G727">
        <v>826433.08</v>
      </c>
      <c r="H727">
        <v>9139.69</v>
      </c>
      <c r="I727">
        <v>44543.57</v>
      </c>
      <c r="J727">
        <v>0.314</v>
      </c>
      <c r="K727">
        <v>14646.17</v>
      </c>
      <c r="L727">
        <v>0</v>
      </c>
      <c r="M727">
        <v>0</v>
      </c>
      <c r="N727">
        <v>2022</v>
      </c>
      <c r="O727">
        <v>9</v>
      </c>
    </row>
    <row r="728" spans="1:15" x14ac:dyDescent="0.3">
      <c r="A728">
        <v>38557</v>
      </c>
      <c r="B728">
        <v>3202108</v>
      </c>
      <c r="C728" t="s">
        <v>39</v>
      </c>
      <c r="D728">
        <v>0.69899999999999995</v>
      </c>
      <c r="E728">
        <v>2041353.56</v>
      </c>
      <c r="F728">
        <v>180479.9</v>
      </c>
      <c r="G728">
        <v>2221833.46</v>
      </c>
      <c r="H728">
        <v>24571.7</v>
      </c>
      <c r="I728">
        <v>80793.08</v>
      </c>
      <c r="J728">
        <v>0.81599999999999995</v>
      </c>
      <c r="K728">
        <v>39375.660000000003</v>
      </c>
      <c r="L728">
        <v>0</v>
      </c>
      <c r="M728">
        <v>0</v>
      </c>
      <c r="N728">
        <v>2022</v>
      </c>
      <c r="O728">
        <v>9</v>
      </c>
    </row>
    <row r="729" spans="1:15" x14ac:dyDescent="0.3">
      <c r="A729">
        <v>38558</v>
      </c>
      <c r="B729">
        <v>3202207</v>
      </c>
      <c r="C729" t="s">
        <v>40</v>
      </c>
      <c r="D729">
        <v>0.313</v>
      </c>
      <c r="E729">
        <v>914082.5</v>
      </c>
      <c r="F729">
        <v>80815.75</v>
      </c>
      <c r="G729">
        <v>994898.25</v>
      </c>
      <c r="H729">
        <v>11002.78</v>
      </c>
      <c r="I729">
        <v>71859.33</v>
      </c>
      <c r="J729">
        <v>0.73399999999999999</v>
      </c>
      <c r="K729">
        <v>17631.73</v>
      </c>
      <c r="L729">
        <v>0</v>
      </c>
      <c r="M729">
        <v>0</v>
      </c>
      <c r="N729">
        <v>2022</v>
      </c>
      <c r="O729">
        <v>9</v>
      </c>
    </row>
    <row r="730" spans="1:15" x14ac:dyDescent="0.3">
      <c r="A730">
        <v>38559</v>
      </c>
      <c r="B730">
        <v>3202256</v>
      </c>
      <c r="C730" t="s">
        <v>41</v>
      </c>
      <c r="D730">
        <v>0.43</v>
      </c>
      <c r="E730">
        <v>1255768.29</v>
      </c>
      <c r="F730">
        <v>111024.84</v>
      </c>
      <c r="G730">
        <v>1366793.13</v>
      </c>
      <c r="H730">
        <v>15115.64</v>
      </c>
      <c r="I730">
        <v>53244.92</v>
      </c>
      <c r="J730">
        <v>0.46700000000000003</v>
      </c>
      <c r="K730">
        <v>24222.51</v>
      </c>
      <c r="L730">
        <v>0</v>
      </c>
      <c r="M730">
        <v>0</v>
      </c>
      <c r="N730">
        <v>2022</v>
      </c>
      <c r="O730">
        <v>9</v>
      </c>
    </row>
    <row r="731" spans="1:15" x14ac:dyDescent="0.3">
      <c r="A731">
        <v>38560</v>
      </c>
      <c r="B731">
        <v>3202306</v>
      </c>
      <c r="C731" t="s">
        <v>42</v>
      </c>
      <c r="D731">
        <v>0.378</v>
      </c>
      <c r="E731">
        <v>1103907.99</v>
      </c>
      <c r="F731">
        <v>97598.59</v>
      </c>
      <c r="G731">
        <v>1201506.58</v>
      </c>
      <c r="H731">
        <v>13287.7</v>
      </c>
      <c r="I731">
        <v>141244.24</v>
      </c>
      <c r="J731">
        <v>0.998</v>
      </c>
      <c r="K731">
        <v>21293.279999999999</v>
      </c>
      <c r="L731">
        <v>0</v>
      </c>
      <c r="M731">
        <v>0</v>
      </c>
      <c r="N731">
        <v>2022</v>
      </c>
      <c r="O731">
        <v>9</v>
      </c>
    </row>
    <row r="732" spans="1:15" x14ac:dyDescent="0.3">
      <c r="A732">
        <v>38561</v>
      </c>
      <c r="B732">
        <v>3202405</v>
      </c>
      <c r="C732" t="s">
        <v>43</v>
      </c>
      <c r="D732">
        <v>0.90900000000000003</v>
      </c>
      <c r="E732">
        <v>2654635.7599999998</v>
      </c>
      <c r="F732">
        <v>234701.33</v>
      </c>
      <c r="G732">
        <v>2889337.09</v>
      </c>
      <c r="H732">
        <v>31953.759999999998</v>
      </c>
      <c r="I732">
        <v>973974.51</v>
      </c>
      <c r="J732">
        <v>2.8730000000000002</v>
      </c>
      <c r="K732">
        <v>51205.26</v>
      </c>
      <c r="L732">
        <v>0</v>
      </c>
      <c r="M732">
        <v>0</v>
      </c>
      <c r="N732">
        <v>2022</v>
      </c>
      <c r="O732">
        <v>9</v>
      </c>
    </row>
    <row r="733" spans="1:15" x14ac:dyDescent="0.3">
      <c r="A733">
        <v>38562</v>
      </c>
      <c r="B733">
        <v>3202454</v>
      </c>
      <c r="C733" t="s">
        <v>44</v>
      </c>
      <c r="D733">
        <v>0.35099999999999998</v>
      </c>
      <c r="E733">
        <v>1025057.37</v>
      </c>
      <c r="F733">
        <v>90627.26</v>
      </c>
      <c r="G733">
        <v>1115684.6299999999</v>
      </c>
      <c r="H733">
        <v>12338.58</v>
      </c>
      <c r="I733">
        <v>138270.9</v>
      </c>
      <c r="J733">
        <v>0.86499999999999999</v>
      </c>
      <c r="K733">
        <v>19772.330000000002</v>
      </c>
      <c r="L733">
        <v>0</v>
      </c>
      <c r="M733">
        <v>0</v>
      </c>
      <c r="N733">
        <v>2022</v>
      </c>
      <c r="O733">
        <v>9</v>
      </c>
    </row>
    <row r="734" spans="1:15" x14ac:dyDescent="0.3">
      <c r="A734">
        <v>38563</v>
      </c>
      <c r="B734">
        <v>3202504</v>
      </c>
      <c r="C734" t="s">
        <v>45</v>
      </c>
      <c r="D734">
        <v>0.26700000000000002</v>
      </c>
      <c r="E734">
        <v>779744.52</v>
      </c>
      <c r="F734">
        <v>68938.7</v>
      </c>
      <c r="G734">
        <v>848683.22</v>
      </c>
      <c r="H734">
        <v>9385.76</v>
      </c>
      <c r="I734">
        <v>47549.5</v>
      </c>
      <c r="J734">
        <v>0.46300000000000002</v>
      </c>
      <c r="K734">
        <v>15040.49</v>
      </c>
      <c r="L734">
        <v>0</v>
      </c>
      <c r="M734">
        <v>0</v>
      </c>
      <c r="N734">
        <v>2022</v>
      </c>
      <c r="O734">
        <v>9</v>
      </c>
    </row>
    <row r="735" spans="1:15" x14ac:dyDescent="0.3">
      <c r="A735">
        <v>38564</v>
      </c>
      <c r="B735">
        <v>3202553</v>
      </c>
      <c r="C735" t="s">
        <v>46</v>
      </c>
      <c r="D735">
        <v>0.248</v>
      </c>
      <c r="E735">
        <v>724257.06</v>
      </c>
      <c r="F735">
        <v>64032.92</v>
      </c>
      <c r="G735">
        <v>788289.98</v>
      </c>
      <c r="H735">
        <v>8717.86</v>
      </c>
      <c r="I735">
        <v>25905.21</v>
      </c>
      <c r="J735">
        <v>0.33800000000000002</v>
      </c>
      <c r="K735">
        <v>13970.19</v>
      </c>
      <c r="L735">
        <v>0</v>
      </c>
      <c r="M735">
        <v>0</v>
      </c>
      <c r="N735">
        <v>2022</v>
      </c>
      <c r="O735">
        <v>9</v>
      </c>
    </row>
    <row r="736" spans="1:15" x14ac:dyDescent="0.3">
      <c r="A736">
        <v>38565</v>
      </c>
      <c r="B736">
        <v>3202603</v>
      </c>
      <c r="C736" t="s">
        <v>47</v>
      </c>
      <c r="D736">
        <v>0.34399999999999997</v>
      </c>
      <c r="E736">
        <v>1004614.65</v>
      </c>
      <c r="F736">
        <v>88819.86</v>
      </c>
      <c r="G736">
        <v>1093434.51</v>
      </c>
      <c r="H736">
        <v>12092.51</v>
      </c>
      <c r="I736">
        <v>64510.23</v>
      </c>
      <c r="J736">
        <v>0.55600000000000005</v>
      </c>
      <c r="K736">
        <v>19378.009999999998</v>
      </c>
      <c r="L736">
        <v>0</v>
      </c>
      <c r="M736">
        <v>0</v>
      </c>
      <c r="N736">
        <v>2022</v>
      </c>
      <c r="O736">
        <v>9</v>
      </c>
    </row>
    <row r="737" spans="1:15" x14ac:dyDescent="0.3">
      <c r="A737">
        <v>38566</v>
      </c>
      <c r="B737">
        <v>3202652</v>
      </c>
      <c r="C737" t="s">
        <v>48</v>
      </c>
      <c r="D737">
        <v>0.308</v>
      </c>
      <c r="E737">
        <v>899480.55</v>
      </c>
      <c r="F737">
        <v>79524.77</v>
      </c>
      <c r="G737">
        <v>979005.32</v>
      </c>
      <c r="H737">
        <v>10827.02</v>
      </c>
      <c r="I737">
        <v>80395.240000000005</v>
      </c>
      <c r="J737">
        <v>0.55100000000000005</v>
      </c>
      <c r="K737">
        <v>17350.080000000002</v>
      </c>
      <c r="L737">
        <v>0</v>
      </c>
      <c r="M737">
        <v>0</v>
      </c>
      <c r="N737">
        <v>2022</v>
      </c>
      <c r="O737">
        <v>9</v>
      </c>
    </row>
    <row r="738" spans="1:15" x14ac:dyDescent="0.3">
      <c r="A738">
        <v>38567</v>
      </c>
      <c r="B738">
        <v>3202702</v>
      </c>
      <c r="C738" t="s">
        <v>49</v>
      </c>
      <c r="D738">
        <v>0.35499999999999998</v>
      </c>
      <c r="E738">
        <v>1036738.95</v>
      </c>
      <c r="F738">
        <v>91660.03</v>
      </c>
      <c r="G738">
        <v>1128398.98</v>
      </c>
      <c r="H738">
        <v>12479.19</v>
      </c>
      <c r="I738">
        <v>35824.57</v>
      </c>
      <c r="J738">
        <v>0.55500000000000005</v>
      </c>
      <c r="K738">
        <v>19997.650000000001</v>
      </c>
      <c r="L738">
        <v>0</v>
      </c>
      <c r="M738">
        <v>0</v>
      </c>
      <c r="N738">
        <v>2022</v>
      </c>
      <c r="O738">
        <v>9</v>
      </c>
    </row>
    <row r="739" spans="1:15" x14ac:dyDescent="0.3">
      <c r="A739">
        <v>38568</v>
      </c>
      <c r="B739">
        <v>3202801</v>
      </c>
      <c r="C739" t="s">
        <v>50</v>
      </c>
      <c r="D739">
        <v>2.262</v>
      </c>
      <c r="E739">
        <v>6605925.3099999996</v>
      </c>
      <c r="F739">
        <v>584042.29</v>
      </c>
      <c r="G739">
        <v>7189967.5999999996</v>
      </c>
      <c r="H739">
        <v>79515.3</v>
      </c>
      <c r="I739">
        <v>172467.8</v>
      </c>
      <c r="J739">
        <v>1.042</v>
      </c>
      <c r="K739">
        <v>127421.66</v>
      </c>
      <c r="L739">
        <v>0</v>
      </c>
      <c r="M739">
        <v>0</v>
      </c>
      <c r="N739">
        <v>2022</v>
      </c>
      <c r="O739">
        <v>9</v>
      </c>
    </row>
    <row r="740" spans="1:15" x14ac:dyDescent="0.3">
      <c r="A740">
        <v>38569</v>
      </c>
      <c r="B740">
        <v>3202900</v>
      </c>
      <c r="C740" t="s">
        <v>51</v>
      </c>
      <c r="D740">
        <v>0.34599999999999997</v>
      </c>
      <c r="E740">
        <v>1010455.41</v>
      </c>
      <c r="F740">
        <v>89336.23</v>
      </c>
      <c r="G740">
        <v>1099791.6399999999</v>
      </c>
      <c r="H740">
        <v>12162.82</v>
      </c>
      <c r="I740">
        <v>50732.63</v>
      </c>
      <c r="J740">
        <v>0.435</v>
      </c>
      <c r="K740">
        <v>19490.669999999998</v>
      </c>
      <c r="L740">
        <v>0</v>
      </c>
      <c r="M740">
        <v>0</v>
      </c>
      <c r="N740">
        <v>2022</v>
      </c>
      <c r="O740">
        <v>9</v>
      </c>
    </row>
    <row r="741" spans="1:15" x14ac:dyDescent="0.3">
      <c r="A741">
        <v>38570</v>
      </c>
      <c r="B741">
        <v>3203007</v>
      </c>
      <c r="C741" t="s">
        <v>52</v>
      </c>
      <c r="D741">
        <v>0.438</v>
      </c>
      <c r="E741">
        <v>1279131.45</v>
      </c>
      <c r="F741">
        <v>113090.42</v>
      </c>
      <c r="G741">
        <v>1392221.87</v>
      </c>
      <c r="H741">
        <v>15396.86</v>
      </c>
      <c r="I741">
        <v>171744</v>
      </c>
      <c r="J741">
        <v>0.89700000000000002</v>
      </c>
      <c r="K741">
        <v>24673.16</v>
      </c>
      <c r="L741">
        <v>0</v>
      </c>
      <c r="M741">
        <v>0</v>
      </c>
      <c r="N741">
        <v>2022</v>
      </c>
      <c r="O741">
        <v>9</v>
      </c>
    </row>
    <row r="742" spans="1:15" x14ac:dyDescent="0.3">
      <c r="A742">
        <v>38571</v>
      </c>
      <c r="B742">
        <v>3203056</v>
      </c>
      <c r="C742" t="s">
        <v>53</v>
      </c>
      <c r="D742">
        <v>0.8</v>
      </c>
      <c r="E742">
        <v>2336313.11</v>
      </c>
      <c r="F742">
        <v>206557.82</v>
      </c>
      <c r="G742">
        <v>2542870.9300000002</v>
      </c>
      <c r="H742">
        <v>28122.12</v>
      </c>
      <c r="I742">
        <v>152423.31</v>
      </c>
      <c r="J742">
        <v>1</v>
      </c>
      <c r="K742">
        <v>45065.13</v>
      </c>
      <c r="L742">
        <v>0</v>
      </c>
      <c r="M742">
        <v>0</v>
      </c>
      <c r="N742">
        <v>2022</v>
      </c>
      <c r="O742">
        <v>9</v>
      </c>
    </row>
    <row r="743" spans="1:15" x14ac:dyDescent="0.3">
      <c r="A743">
        <v>38572</v>
      </c>
      <c r="B743">
        <v>3203106</v>
      </c>
      <c r="C743" t="s">
        <v>54</v>
      </c>
      <c r="D743">
        <v>0.21199999999999999</v>
      </c>
      <c r="E743">
        <v>619122.94999999995</v>
      </c>
      <c r="F743">
        <v>54737.8</v>
      </c>
      <c r="G743">
        <v>673860.75</v>
      </c>
      <c r="H743">
        <v>7452.36</v>
      </c>
      <c r="I743">
        <v>28863.62</v>
      </c>
      <c r="J743">
        <v>0.45800000000000002</v>
      </c>
      <c r="K743">
        <v>11942.26</v>
      </c>
      <c r="L743">
        <v>0</v>
      </c>
      <c r="M743">
        <v>0</v>
      </c>
      <c r="N743">
        <v>2022</v>
      </c>
      <c r="O743">
        <v>9</v>
      </c>
    </row>
    <row r="744" spans="1:15" x14ac:dyDescent="0.3">
      <c r="A744">
        <v>38573</v>
      </c>
      <c r="B744">
        <v>3203130</v>
      </c>
      <c r="C744" t="s">
        <v>55</v>
      </c>
      <c r="D744">
        <v>0.38600000000000001</v>
      </c>
      <c r="E744">
        <v>1127271.07</v>
      </c>
      <c r="F744">
        <v>99664.16</v>
      </c>
      <c r="G744">
        <v>1226935.23</v>
      </c>
      <c r="H744">
        <v>13568.92</v>
      </c>
      <c r="I744">
        <v>68919.570000000007</v>
      </c>
      <c r="J744">
        <v>0.66600000000000004</v>
      </c>
      <c r="K744">
        <v>21743.93</v>
      </c>
      <c r="L744">
        <v>0</v>
      </c>
      <c r="M744">
        <v>0</v>
      </c>
      <c r="N744">
        <v>2022</v>
      </c>
      <c r="O744">
        <v>9</v>
      </c>
    </row>
    <row r="745" spans="1:15" x14ac:dyDescent="0.3">
      <c r="A745">
        <v>38574</v>
      </c>
      <c r="B745">
        <v>3203163</v>
      </c>
      <c r="C745" t="s">
        <v>56</v>
      </c>
      <c r="D745">
        <v>0.372</v>
      </c>
      <c r="E745">
        <v>1086385.6200000001</v>
      </c>
      <c r="F745">
        <v>96049.4</v>
      </c>
      <c r="G745">
        <v>1182435.02</v>
      </c>
      <c r="H745">
        <v>13076.79</v>
      </c>
      <c r="I745">
        <v>38632.080000000002</v>
      </c>
      <c r="J745">
        <v>0.441</v>
      </c>
      <c r="K745">
        <v>20955.29</v>
      </c>
      <c r="L745">
        <v>0</v>
      </c>
      <c r="M745">
        <v>0</v>
      </c>
      <c r="N745">
        <v>2022</v>
      </c>
      <c r="O745">
        <v>9</v>
      </c>
    </row>
    <row r="746" spans="1:15" x14ac:dyDescent="0.3">
      <c r="A746">
        <v>38575</v>
      </c>
      <c r="B746">
        <v>3203205</v>
      </c>
      <c r="C746" t="s">
        <v>57</v>
      </c>
      <c r="D746">
        <v>5.4</v>
      </c>
      <c r="E746">
        <v>15770113.539999999</v>
      </c>
      <c r="F746">
        <v>1394265.37</v>
      </c>
      <c r="G746">
        <v>17164378.91</v>
      </c>
      <c r="H746">
        <v>189824.31</v>
      </c>
      <c r="I746">
        <v>969452.32</v>
      </c>
      <c r="J746">
        <v>4.0880000000000001</v>
      </c>
      <c r="K746">
        <v>304189.65000000002</v>
      </c>
      <c r="L746">
        <v>0</v>
      </c>
      <c r="M746">
        <v>0</v>
      </c>
      <c r="N746">
        <v>2022</v>
      </c>
      <c r="O746">
        <v>9</v>
      </c>
    </row>
    <row r="747" spans="1:15" x14ac:dyDescent="0.3">
      <c r="A747">
        <v>38576</v>
      </c>
      <c r="B747">
        <v>3203304</v>
      </c>
      <c r="C747" t="s">
        <v>58</v>
      </c>
      <c r="D747">
        <v>0.216</v>
      </c>
      <c r="E747">
        <v>630804.55000000005</v>
      </c>
      <c r="F747">
        <v>55770.63</v>
      </c>
      <c r="G747">
        <v>686575.18</v>
      </c>
      <c r="H747">
        <v>7592.97</v>
      </c>
      <c r="I747">
        <v>70666.7</v>
      </c>
      <c r="J747">
        <v>0.57599999999999996</v>
      </c>
      <c r="K747">
        <v>12167.59</v>
      </c>
      <c r="L747">
        <v>0</v>
      </c>
      <c r="M747">
        <v>0</v>
      </c>
      <c r="N747">
        <v>2022</v>
      </c>
      <c r="O747">
        <v>9</v>
      </c>
    </row>
    <row r="748" spans="1:15" x14ac:dyDescent="0.3">
      <c r="A748">
        <v>38577</v>
      </c>
      <c r="B748">
        <v>3203320</v>
      </c>
      <c r="C748" t="s">
        <v>59</v>
      </c>
      <c r="D748">
        <v>0.60899999999999999</v>
      </c>
      <c r="E748">
        <v>1778518.37</v>
      </c>
      <c r="F748">
        <v>157242.18</v>
      </c>
      <c r="G748">
        <v>1935760.55</v>
      </c>
      <c r="H748">
        <v>21407.96</v>
      </c>
      <c r="I748">
        <v>244297.99</v>
      </c>
      <c r="J748">
        <v>1.171</v>
      </c>
      <c r="K748">
        <v>34305.83</v>
      </c>
      <c r="L748">
        <v>0</v>
      </c>
      <c r="M748">
        <v>0</v>
      </c>
      <c r="N748">
        <v>2022</v>
      </c>
      <c r="O748">
        <v>9</v>
      </c>
    </row>
    <row r="749" spans="1:15" x14ac:dyDescent="0.3">
      <c r="A749">
        <v>38578</v>
      </c>
      <c r="B749">
        <v>3203346</v>
      </c>
      <c r="C749" t="s">
        <v>60</v>
      </c>
      <c r="D749">
        <v>0.64500000000000002</v>
      </c>
      <c r="E749">
        <v>1883652.45</v>
      </c>
      <c r="F749">
        <v>166537.24</v>
      </c>
      <c r="G749">
        <v>2050189.69</v>
      </c>
      <c r="H749">
        <v>22673.46</v>
      </c>
      <c r="I749">
        <v>89154.74</v>
      </c>
      <c r="J749">
        <v>0.67100000000000004</v>
      </c>
      <c r="K749">
        <v>36333.760000000002</v>
      </c>
      <c r="L749">
        <v>0</v>
      </c>
      <c r="M749">
        <v>0</v>
      </c>
      <c r="N749">
        <v>2022</v>
      </c>
      <c r="O749">
        <v>9</v>
      </c>
    </row>
    <row r="750" spans="1:15" x14ac:dyDescent="0.3">
      <c r="A750">
        <v>38579</v>
      </c>
      <c r="B750">
        <v>3203353</v>
      </c>
      <c r="C750" t="s">
        <v>61</v>
      </c>
      <c r="D750">
        <v>0.45200000000000001</v>
      </c>
      <c r="E750">
        <v>1320016.8999999999</v>
      </c>
      <c r="F750">
        <v>116705.18</v>
      </c>
      <c r="G750">
        <v>1436722.08</v>
      </c>
      <c r="H750">
        <v>15889</v>
      </c>
      <c r="I750">
        <v>49608.29</v>
      </c>
      <c r="J750">
        <v>0.46700000000000003</v>
      </c>
      <c r="K750">
        <v>25461.8</v>
      </c>
      <c r="L750">
        <v>0</v>
      </c>
      <c r="M750">
        <v>0</v>
      </c>
      <c r="N750">
        <v>2022</v>
      </c>
      <c r="O750">
        <v>9</v>
      </c>
    </row>
    <row r="751" spans="1:15" x14ac:dyDescent="0.3">
      <c r="A751">
        <v>38580</v>
      </c>
      <c r="B751">
        <v>3203403</v>
      </c>
      <c r="C751" t="s">
        <v>62</v>
      </c>
      <c r="D751">
        <v>0.51400000000000001</v>
      </c>
      <c r="E751">
        <v>1501081.19</v>
      </c>
      <c r="F751">
        <v>132713.39000000001</v>
      </c>
      <c r="G751">
        <v>1633794.58</v>
      </c>
      <c r="H751">
        <v>18068.46</v>
      </c>
      <c r="I751">
        <v>89820.35</v>
      </c>
      <c r="J751">
        <v>0.85599999999999998</v>
      </c>
      <c r="K751">
        <v>28954.35</v>
      </c>
      <c r="L751">
        <v>0</v>
      </c>
      <c r="M751">
        <v>0</v>
      </c>
      <c r="N751">
        <v>2022</v>
      </c>
      <c r="O751">
        <v>9</v>
      </c>
    </row>
    <row r="752" spans="1:15" x14ac:dyDescent="0.3">
      <c r="A752">
        <v>38581</v>
      </c>
      <c r="B752">
        <v>3203502</v>
      </c>
      <c r="C752" t="s">
        <v>63</v>
      </c>
      <c r="D752">
        <v>0.53600000000000003</v>
      </c>
      <c r="E752">
        <v>1565329.79</v>
      </c>
      <c r="F752">
        <v>138393.75</v>
      </c>
      <c r="G752">
        <v>1703723.54</v>
      </c>
      <c r="H752">
        <v>18841.82</v>
      </c>
      <c r="I752">
        <v>73049.149999999994</v>
      </c>
      <c r="J752">
        <v>0.69299999999999995</v>
      </c>
      <c r="K752">
        <v>30193.64</v>
      </c>
      <c r="L752">
        <v>0</v>
      </c>
      <c r="M752">
        <v>0</v>
      </c>
      <c r="N752">
        <v>2022</v>
      </c>
      <c r="O752">
        <v>9</v>
      </c>
    </row>
    <row r="753" spans="1:15" x14ac:dyDescent="0.3">
      <c r="A753">
        <v>38582</v>
      </c>
      <c r="B753">
        <v>3203601</v>
      </c>
      <c r="C753" t="s">
        <v>64</v>
      </c>
      <c r="D753">
        <v>0.27800000000000002</v>
      </c>
      <c r="E753">
        <v>811868.8</v>
      </c>
      <c r="F753">
        <v>71778.850000000006</v>
      </c>
      <c r="G753">
        <v>883647.65</v>
      </c>
      <c r="H753">
        <v>9772.44</v>
      </c>
      <c r="I753">
        <v>17546.48</v>
      </c>
      <c r="J753">
        <v>0.29799999999999999</v>
      </c>
      <c r="K753">
        <v>15660.13</v>
      </c>
      <c r="L753">
        <v>0</v>
      </c>
      <c r="M753">
        <v>0</v>
      </c>
      <c r="N753">
        <v>2022</v>
      </c>
      <c r="O753">
        <v>9</v>
      </c>
    </row>
    <row r="754" spans="1:15" x14ac:dyDescent="0.3">
      <c r="A754">
        <v>38583</v>
      </c>
      <c r="B754">
        <v>3203700</v>
      </c>
      <c r="C754" t="s">
        <v>65</v>
      </c>
      <c r="D754">
        <v>0.55000000000000004</v>
      </c>
      <c r="E754">
        <v>1606215.27</v>
      </c>
      <c r="F754">
        <v>142008.5</v>
      </c>
      <c r="G754">
        <v>1748223.77</v>
      </c>
      <c r="H754">
        <v>19333.96</v>
      </c>
      <c r="I754">
        <v>51028.2</v>
      </c>
      <c r="J754">
        <v>0.67100000000000004</v>
      </c>
      <c r="K754">
        <v>30982.28</v>
      </c>
      <c r="L754">
        <v>0</v>
      </c>
      <c r="M754">
        <v>0</v>
      </c>
      <c r="N754">
        <v>2022</v>
      </c>
      <c r="O754">
        <v>9</v>
      </c>
    </row>
    <row r="755" spans="1:15" x14ac:dyDescent="0.3">
      <c r="A755">
        <v>38584</v>
      </c>
      <c r="B755">
        <v>3203809</v>
      </c>
      <c r="C755" t="s">
        <v>66</v>
      </c>
      <c r="D755">
        <v>0.29599999999999999</v>
      </c>
      <c r="E755">
        <v>864435.85</v>
      </c>
      <c r="F755">
        <v>76426.399999999994</v>
      </c>
      <c r="G755">
        <v>940862.25</v>
      </c>
      <c r="H755">
        <v>10405.18</v>
      </c>
      <c r="I755">
        <v>34012.51</v>
      </c>
      <c r="J755">
        <v>0.57499999999999996</v>
      </c>
      <c r="K755">
        <v>16674.099999999999</v>
      </c>
      <c r="L755">
        <v>0</v>
      </c>
      <c r="M755">
        <v>0</v>
      </c>
      <c r="N755">
        <v>2022</v>
      </c>
      <c r="O755">
        <v>9</v>
      </c>
    </row>
    <row r="756" spans="1:15" x14ac:dyDescent="0.3">
      <c r="A756">
        <v>38585</v>
      </c>
      <c r="B756">
        <v>3203908</v>
      </c>
      <c r="C756" t="s">
        <v>67</v>
      </c>
      <c r="D756">
        <v>1.268</v>
      </c>
      <c r="E756">
        <v>3703056.29</v>
      </c>
      <c r="F756">
        <v>327394.18</v>
      </c>
      <c r="G756">
        <v>4030450.47</v>
      </c>
      <c r="H756">
        <v>44573.56</v>
      </c>
      <c r="I756">
        <v>266378.77</v>
      </c>
      <c r="J756">
        <v>1.4650000000000001</v>
      </c>
      <c r="K756">
        <v>71428.240000000005</v>
      </c>
      <c r="L756">
        <v>0</v>
      </c>
      <c r="M756">
        <v>0</v>
      </c>
      <c r="N756">
        <v>2022</v>
      </c>
      <c r="O756">
        <v>9</v>
      </c>
    </row>
    <row r="757" spans="1:15" x14ac:dyDescent="0.3">
      <c r="A757">
        <v>38586</v>
      </c>
      <c r="B757">
        <v>3204005</v>
      </c>
      <c r="C757" t="s">
        <v>68</v>
      </c>
      <c r="D757">
        <v>0.47099999999999997</v>
      </c>
      <c r="E757">
        <v>1375504.33</v>
      </c>
      <c r="F757">
        <v>121610.92</v>
      </c>
      <c r="G757">
        <v>1497115.25</v>
      </c>
      <c r="H757">
        <v>16556.900000000001</v>
      </c>
      <c r="I757">
        <v>61627.75</v>
      </c>
      <c r="J757">
        <v>0.747</v>
      </c>
      <c r="K757">
        <v>26532.1</v>
      </c>
      <c r="L757">
        <v>0</v>
      </c>
      <c r="M757">
        <v>0</v>
      </c>
      <c r="N757">
        <v>2022</v>
      </c>
      <c r="O757">
        <v>9</v>
      </c>
    </row>
    <row r="758" spans="1:15" x14ac:dyDescent="0.3">
      <c r="A758">
        <v>38587</v>
      </c>
      <c r="B758">
        <v>3204054</v>
      </c>
      <c r="C758" t="s">
        <v>69</v>
      </c>
      <c r="D758">
        <v>0.313</v>
      </c>
      <c r="E758">
        <v>914082.5</v>
      </c>
      <c r="F758">
        <v>80815.75</v>
      </c>
      <c r="G758">
        <v>994898.25</v>
      </c>
      <c r="H758">
        <v>11002.78</v>
      </c>
      <c r="I758">
        <v>110169.77</v>
      </c>
      <c r="J758">
        <v>0.86199999999999999</v>
      </c>
      <c r="K758">
        <v>17631.73</v>
      </c>
      <c r="L758">
        <v>0</v>
      </c>
      <c r="M758">
        <v>0</v>
      </c>
      <c r="N758">
        <v>2022</v>
      </c>
      <c r="O758">
        <v>9</v>
      </c>
    </row>
    <row r="759" spans="1:15" x14ac:dyDescent="0.3">
      <c r="A759">
        <v>38588</v>
      </c>
      <c r="B759">
        <v>3204104</v>
      </c>
      <c r="C759" t="s">
        <v>70</v>
      </c>
      <c r="D759">
        <v>0.72599999999999998</v>
      </c>
      <c r="E759">
        <v>2120204.16</v>
      </c>
      <c r="F759">
        <v>187451.24</v>
      </c>
      <c r="G759">
        <v>2307655.4</v>
      </c>
      <c r="H759">
        <v>25520.82</v>
      </c>
      <c r="I759">
        <v>95750.07</v>
      </c>
      <c r="J759">
        <v>0.875</v>
      </c>
      <c r="K759">
        <v>40896.61</v>
      </c>
      <c r="L759">
        <v>0</v>
      </c>
      <c r="M759">
        <v>0</v>
      </c>
      <c r="N759">
        <v>2022</v>
      </c>
      <c r="O759">
        <v>9</v>
      </c>
    </row>
    <row r="760" spans="1:15" x14ac:dyDescent="0.3">
      <c r="A760">
        <v>38589</v>
      </c>
      <c r="B760">
        <v>3204203</v>
      </c>
      <c r="C760" t="s">
        <v>71</v>
      </c>
      <c r="D760">
        <v>0.14599999999999999</v>
      </c>
      <c r="E760">
        <v>426377.18</v>
      </c>
      <c r="F760">
        <v>37696.800000000003</v>
      </c>
      <c r="G760">
        <v>464073.98</v>
      </c>
      <c r="H760">
        <v>5132.29</v>
      </c>
      <c r="I760">
        <v>110239.27</v>
      </c>
      <c r="J760">
        <v>0.73399999999999999</v>
      </c>
      <c r="K760">
        <v>8224.39</v>
      </c>
      <c r="L760">
        <v>0</v>
      </c>
      <c r="M760">
        <v>0</v>
      </c>
      <c r="N760">
        <v>2022</v>
      </c>
      <c r="O760">
        <v>9</v>
      </c>
    </row>
    <row r="761" spans="1:15" x14ac:dyDescent="0.3">
      <c r="A761">
        <v>38590</v>
      </c>
      <c r="B761">
        <v>3204252</v>
      </c>
      <c r="C761" t="s">
        <v>72</v>
      </c>
      <c r="D761">
        <v>0.221</v>
      </c>
      <c r="E761">
        <v>645406.5</v>
      </c>
      <c r="F761">
        <v>57061.599999999999</v>
      </c>
      <c r="G761">
        <v>702468.1</v>
      </c>
      <c r="H761">
        <v>7768.74</v>
      </c>
      <c r="I761">
        <v>19596.060000000001</v>
      </c>
      <c r="J761">
        <v>0.32900000000000001</v>
      </c>
      <c r="K761">
        <v>12449.24</v>
      </c>
      <c r="L761">
        <v>0</v>
      </c>
      <c r="M761">
        <v>0</v>
      </c>
      <c r="N761">
        <v>2022</v>
      </c>
      <c r="O761">
        <v>9</v>
      </c>
    </row>
    <row r="762" spans="1:15" x14ac:dyDescent="0.3">
      <c r="A762">
        <v>38591</v>
      </c>
      <c r="B762">
        <v>1718402</v>
      </c>
      <c r="C762" t="s">
        <v>73</v>
      </c>
      <c r="D762">
        <v>0.33800000000000002</v>
      </c>
      <c r="E762">
        <v>987092.28</v>
      </c>
      <c r="F762">
        <v>87270.69</v>
      </c>
      <c r="G762">
        <v>1074362.97</v>
      </c>
      <c r="H762">
        <v>11881.6</v>
      </c>
      <c r="I762">
        <v>102014.75</v>
      </c>
      <c r="J762">
        <v>0.45100000000000001</v>
      </c>
      <c r="K762">
        <v>19040.02</v>
      </c>
      <c r="L762">
        <v>0</v>
      </c>
      <c r="M762">
        <v>0</v>
      </c>
      <c r="N762">
        <v>2022</v>
      </c>
      <c r="O762">
        <v>9</v>
      </c>
    </row>
    <row r="763" spans="1:15" x14ac:dyDescent="0.3">
      <c r="A763">
        <v>38592</v>
      </c>
      <c r="B763">
        <v>3204351</v>
      </c>
      <c r="C763" t="s">
        <v>74</v>
      </c>
      <c r="D763">
        <v>0.79700000000000004</v>
      </c>
      <c r="E763">
        <v>2327551.96</v>
      </c>
      <c r="F763">
        <v>205783.25</v>
      </c>
      <c r="G763">
        <v>2533335.21</v>
      </c>
      <c r="H763">
        <v>28016.66</v>
      </c>
      <c r="I763">
        <v>98978.8</v>
      </c>
      <c r="J763">
        <v>0.69799999999999995</v>
      </c>
      <c r="K763">
        <v>44896.14</v>
      </c>
      <c r="L763">
        <v>0</v>
      </c>
      <c r="M763">
        <v>0</v>
      </c>
      <c r="N763">
        <v>2022</v>
      </c>
      <c r="O763">
        <v>9</v>
      </c>
    </row>
    <row r="764" spans="1:15" x14ac:dyDescent="0.3">
      <c r="A764">
        <v>38593</v>
      </c>
      <c r="B764">
        <v>3204401</v>
      </c>
      <c r="C764" t="s">
        <v>75</v>
      </c>
      <c r="D764">
        <v>0.27500000000000002</v>
      </c>
      <c r="E764">
        <v>803107.63</v>
      </c>
      <c r="F764">
        <v>71004.240000000005</v>
      </c>
      <c r="G764">
        <v>874111.87</v>
      </c>
      <c r="H764">
        <v>9666.98</v>
      </c>
      <c r="I764">
        <v>44068.01</v>
      </c>
      <c r="J764">
        <v>0.45</v>
      </c>
      <c r="K764">
        <v>15491.14</v>
      </c>
      <c r="L764">
        <v>0</v>
      </c>
      <c r="M764">
        <v>0</v>
      </c>
      <c r="N764">
        <v>2022</v>
      </c>
      <c r="O764">
        <v>9</v>
      </c>
    </row>
    <row r="765" spans="1:15" x14ac:dyDescent="0.3">
      <c r="A765">
        <v>38594</v>
      </c>
      <c r="B765">
        <v>3204500</v>
      </c>
      <c r="C765" t="s">
        <v>76</v>
      </c>
      <c r="D765">
        <v>0.53800000000000003</v>
      </c>
      <c r="E765">
        <v>1571170.59</v>
      </c>
      <c r="F765">
        <v>138910.15</v>
      </c>
      <c r="G765">
        <v>1710080.74</v>
      </c>
      <c r="H765">
        <v>18912.13</v>
      </c>
      <c r="I765">
        <v>37787.43</v>
      </c>
      <c r="J765">
        <v>0.45600000000000002</v>
      </c>
      <c r="K765">
        <v>30306.3</v>
      </c>
      <c r="L765">
        <v>0</v>
      </c>
      <c r="M765">
        <v>0</v>
      </c>
      <c r="N765">
        <v>2022</v>
      </c>
      <c r="O765">
        <v>9</v>
      </c>
    </row>
    <row r="766" spans="1:15" x14ac:dyDescent="0.3">
      <c r="A766">
        <v>38595</v>
      </c>
      <c r="B766">
        <v>3204559</v>
      </c>
      <c r="C766" t="s">
        <v>77</v>
      </c>
      <c r="D766">
        <v>2.1160000000000001</v>
      </c>
      <c r="E766">
        <v>6179548.1900000004</v>
      </c>
      <c r="F766">
        <v>546345.44999999995</v>
      </c>
      <c r="G766">
        <v>6725893.6399999997</v>
      </c>
      <c r="H766">
        <v>74383.009999999995</v>
      </c>
      <c r="I766">
        <v>339872.08</v>
      </c>
      <c r="J766">
        <v>1.1990000000000001</v>
      </c>
      <c r="K766">
        <v>119197.28</v>
      </c>
      <c r="L766">
        <v>0</v>
      </c>
      <c r="M766">
        <v>0</v>
      </c>
      <c r="N766">
        <v>2022</v>
      </c>
      <c r="O766">
        <v>9</v>
      </c>
    </row>
    <row r="767" spans="1:15" x14ac:dyDescent="0.3">
      <c r="A767">
        <v>38596</v>
      </c>
      <c r="B767">
        <v>3204609</v>
      </c>
      <c r="C767" t="s">
        <v>78</v>
      </c>
      <c r="D767">
        <v>0.68799999999999994</v>
      </c>
      <c r="E767">
        <v>2009229.26</v>
      </c>
      <c r="F767">
        <v>177639.75</v>
      </c>
      <c r="G767">
        <v>2186869.0099999998</v>
      </c>
      <c r="H767">
        <v>24185.02</v>
      </c>
      <c r="I767">
        <v>133200.04</v>
      </c>
      <c r="J767">
        <v>0.82899999999999996</v>
      </c>
      <c r="K767">
        <v>38756.01</v>
      </c>
      <c r="L767">
        <v>0</v>
      </c>
      <c r="M767">
        <v>0</v>
      </c>
      <c r="N767">
        <v>2022</v>
      </c>
      <c r="O767">
        <v>9</v>
      </c>
    </row>
    <row r="768" spans="1:15" x14ac:dyDescent="0.3">
      <c r="A768">
        <v>38597</v>
      </c>
      <c r="B768">
        <v>3204658</v>
      </c>
      <c r="C768" t="s">
        <v>79</v>
      </c>
      <c r="D768">
        <v>0.42399999999999999</v>
      </c>
      <c r="E768">
        <v>1238245.98</v>
      </c>
      <c r="F768">
        <v>109475.65</v>
      </c>
      <c r="G768">
        <v>1347721.63</v>
      </c>
      <c r="H768">
        <v>14904.72</v>
      </c>
      <c r="I768">
        <v>20526.27</v>
      </c>
      <c r="J768">
        <v>0.33700000000000002</v>
      </c>
      <c r="K768">
        <v>23884.52</v>
      </c>
      <c r="L768">
        <v>0</v>
      </c>
      <c r="M768">
        <v>0</v>
      </c>
      <c r="N768">
        <v>2022</v>
      </c>
      <c r="O768">
        <v>9</v>
      </c>
    </row>
    <row r="769" spans="1:15" x14ac:dyDescent="0.3">
      <c r="A769">
        <v>38598</v>
      </c>
      <c r="B769">
        <v>3204708</v>
      </c>
      <c r="C769" t="s">
        <v>80</v>
      </c>
      <c r="D769">
        <v>0.81499999999999995</v>
      </c>
      <c r="E769">
        <v>2380118.98</v>
      </c>
      <c r="F769">
        <v>210430.78</v>
      </c>
      <c r="G769">
        <v>2590549.7599999998</v>
      </c>
      <c r="H769">
        <v>28649.41</v>
      </c>
      <c r="I769">
        <v>150117.43</v>
      </c>
      <c r="J769">
        <v>1.169</v>
      </c>
      <c r="K769">
        <v>45910.1</v>
      </c>
      <c r="L769">
        <v>0</v>
      </c>
      <c r="M769">
        <v>0</v>
      </c>
      <c r="N769">
        <v>2022</v>
      </c>
      <c r="O769">
        <v>9</v>
      </c>
    </row>
    <row r="770" spans="1:15" x14ac:dyDescent="0.3">
      <c r="A770">
        <v>38599</v>
      </c>
      <c r="B770">
        <v>3204807</v>
      </c>
      <c r="C770" t="s">
        <v>81</v>
      </c>
      <c r="D770">
        <v>0.23</v>
      </c>
      <c r="E770">
        <v>671690.03</v>
      </c>
      <c r="F770">
        <v>59385.38</v>
      </c>
      <c r="G770">
        <v>731075.41</v>
      </c>
      <c r="H770">
        <v>8085.11</v>
      </c>
      <c r="I770">
        <v>40511.46</v>
      </c>
      <c r="J770">
        <v>0.436</v>
      </c>
      <c r="K770">
        <v>12956.23</v>
      </c>
      <c r="L770">
        <v>0</v>
      </c>
      <c r="M770">
        <v>0</v>
      </c>
      <c r="N770">
        <v>2022</v>
      </c>
      <c r="O770">
        <v>9</v>
      </c>
    </row>
    <row r="771" spans="1:15" x14ac:dyDescent="0.3">
      <c r="A771">
        <v>38600</v>
      </c>
      <c r="B771">
        <v>3204906</v>
      </c>
      <c r="C771" t="s">
        <v>82</v>
      </c>
      <c r="D771">
        <v>1.8839999999999999</v>
      </c>
      <c r="E771">
        <v>5502017.3899999997</v>
      </c>
      <c r="F771">
        <v>486443.71</v>
      </c>
      <c r="G771">
        <v>5988461.0999999996</v>
      </c>
      <c r="H771">
        <v>66227.59</v>
      </c>
      <c r="I771">
        <v>612029.61</v>
      </c>
      <c r="J771">
        <v>3.024</v>
      </c>
      <c r="K771">
        <v>106128.39</v>
      </c>
      <c r="L771">
        <v>0</v>
      </c>
      <c r="M771">
        <v>0</v>
      </c>
      <c r="N771">
        <v>2022</v>
      </c>
      <c r="O771">
        <v>9</v>
      </c>
    </row>
    <row r="772" spans="1:15" x14ac:dyDescent="0.3">
      <c r="A772">
        <v>38601</v>
      </c>
      <c r="B772">
        <v>3204955</v>
      </c>
      <c r="C772" t="s">
        <v>83</v>
      </c>
      <c r="D772">
        <v>0.32600000000000001</v>
      </c>
      <c r="E772">
        <v>952047.6</v>
      </c>
      <c r="F772">
        <v>84172.31</v>
      </c>
      <c r="G772">
        <v>1036219.91</v>
      </c>
      <c r="H772">
        <v>11459.76</v>
      </c>
      <c r="I772">
        <v>32665.66</v>
      </c>
      <c r="J772">
        <v>0.46100000000000002</v>
      </c>
      <c r="K772">
        <v>18364.04</v>
      </c>
      <c r="L772">
        <v>0</v>
      </c>
      <c r="M772">
        <v>0</v>
      </c>
      <c r="N772">
        <v>2022</v>
      </c>
      <c r="O772">
        <v>9</v>
      </c>
    </row>
    <row r="773" spans="1:15" x14ac:dyDescent="0.3">
      <c r="A773">
        <v>38602</v>
      </c>
      <c r="B773">
        <v>3205002</v>
      </c>
      <c r="C773" t="s">
        <v>84</v>
      </c>
      <c r="D773">
        <v>14.176</v>
      </c>
      <c r="E773">
        <v>41399468.380000003</v>
      </c>
      <c r="F773">
        <v>3660204.85</v>
      </c>
      <c r="G773">
        <v>45059673.229999997</v>
      </c>
      <c r="H773">
        <v>498323.98</v>
      </c>
      <c r="I773">
        <v>2302763.0299999998</v>
      </c>
      <c r="J773">
        <v>8.4320000000000004</v>
      </c>
      <c r="K773">
        <v>798554.16</v>
      </c>
      <c r="L773">
        <v>0</v>
      </c>
      <c r="M773">
        <v>0</v>
      </c>
      <c r="N773">
        <v>2022</v>
      </c>
      <c r="O773">
        <v>9</v>
      </c>
    </row>
    <row r="774" spans="1:15" x14ac:dyDescent="0.3">
      <c r="A774">
        <v>38603</v>
      </c>
      <c r="B774">
        <v>3205010</v>
      </c>
      <c r="C774" t="s">
        <v>85</v>
      </c>
      <c r="D774">
        <v>0.72199999999999998</v>
      </c>
      <c r="E774">
        <v>2108522.58</v>
      </c>
      <c r="F774">
        <v>186418.45</v>
      </c>
      <c r="G774">
        <v>2294941.0299999998</v>
      </c>
      <c r="H774">
        <v>25380.21</v>
      </c>
      <c r="I774">
        <v>100395.14</v>
      </c>
      <c r="J774">
        <v>0.997</v>
      </c>
      <c r="K774">
        <v>40671.279999999999</v>
      </c>
      <c r="L774">
        <v>0</v>
      </c>
      <c r="M774">
        <v>0</v>
      </c>
      <c r="N774">
        <v>2022</v>
      </c>
      <c r="O774">
        <v>9</v>
      </c>
    </row>
    <row r="775" spans="1:15" x14ac:dyDescent="0.3">
      <c r="A775">
        <v>38604</v>
      </c>
      <c r="B775">
        <v>3205036</v>
      </c>
      <c r="C775" t="s">
        <v>86</v>
      </c>
      <c r="D775">
        <v>0.498</v>
      </c>
      <c r="E775">
        <v>1454354.93</v>
      </c>
      <c r="F775">
        <v>128582.26</v>
      </c>
      <c r="G775">
        <v>1582937.19</v>
      </c>
      <c r="H775">
        <v>17506.02</v>
      </c>
      <c r="I775">
        <v>96341</v>
      </c>
      <c r="J775">
        <v>0.72699999999999998</v>
      </c>
      <c r="K775">
        <v>28053.05</v>
      </c>
      <c r="L775">
        <v>0</v>
      </c>
      <c r="M775">
        <v>0</v>
      </c>
      <c r="N775">
        <v>2022</v>
      </c>
      <c r="O775">
        <v>9</v>
      </c>
    </row>
    <row r="776" spans="1:15" x14ac:dyDescent="0.3">
      <c r="A776">
        <v>38605</v>
      </c>
      <c r="B776">
        <v>3205069</v>
      </c>
      <c r="C776" t="s">
        <v>87</v>
      </c>
      <c r="D776">
        <v>0.75800000000000001</v>
      </c>
      <c r="E776">
        <v>2213656.65</v>
      </c>
      <c r="F776">
        <v>195713.57</v>
      </c>
      <c r="G776">
        <v>2409370.2200000002</v>
      </c>
      <c r="H776">
        <v>26645.71</v>
      </c>
      <c r="I776">
        <v>131390.81</v>
      </c>
      <c r="J776">
        <v>0.85799999999999998</v>
      </c>
      <c r="K776">
        <v>42699.21</v>
      </c>
      <c r="L776">
        <v>0</v>
      </c>
      <c r="M776">
        <v>0</v>
      </c>
      <c r="N776">
        <v>2022</v>
      </c>
      <c r="O776">
        <v>9</v>
      </c>
    </row>
    <row r="777" spans="1:15" x14ac:dyDescent="0.3">
      <c r="A777">
        <v>38606</v>
      </c>
      <c r="B777">
        <v>2112803</v>
      </c>
      <c r="C777" t="s">
        <v>88</v>
      </c>
      <c r="D777">
        <v>2.9929999999999999</v>
      </c>
      <c r="E777">
        <v>8740731.4399999995</v>
      </c>
      <c r="F777">
        <v>772784.49</v>
      </c>
      <c r="G777">
        <v>9513515.9299999997</v>
      </c>
      <c r="H777">
        <v>105211.88</v>
      </c>
      <c r="I777">
        <v>248318.52</v>
      </c>
      <c r="J777">
        <v>1.984</v>
      </c>
      <c r="K777">
        <v>168599.93</v>
      </c>
      <c r="L777">
        <v>0</v>
      </c>
      <c r="M777">
        <v>0</v>
      </c>
      <c r="N777">
        <v>2022</v>
      </c>
      <c r="O777">
        <v>9</v>
      </c>
    </row>
    <row r="778" spans="1:15" x14ac:dyDescent="0.3">
      <c r="A778">
        <v>38607</v>
      </c>
      <c r="B778">
        <v>3205150</v>
      </c>
      <c r="C778" t="s">
        <v>89</v>
      </c>
      <c r="D778">
        <v>0.32800000000000001</v>
      </c>
      <c r="E778">
        <v>957888.39</v>
      </c>
      <c r="F778">
        <v>84688.72</v>
      </c>
      <c r="G778">
        <v>1042577.11</v>
      </c>
      <c r="H778">
        <v>11530.07</v>
      </c>
      <c r="I778">
        <v>41496.54</v>
      </c>
      <c r="J778">
        <v>0.34399999999999997</v>
      </c>
      <c r="K778">
        <v>18476.7</v>
      </c>
      <c r="L778">
        <v>0</v>
      </c>
      <c r="M778">
        <v>0</v>
      </c>
      <c r="N778">
        <v>2022</v>
      </c>
      <c r="O778">
        <v>9</v>
      </c>
    </row>
    <row r="779" spans="1:15" x14ac:dyDescent="0.3">
      <c r="A779">
        <v>38608</v>
      </c>
      <c r="B779">
        <v>3205176</v>
      </c>
      <c r="C779" t="s">
        <v>90</v>
      </c>
      <c r="D779">
        <v>0.623</v>
      </c>
      <c r="E779">
        <v>1819403.83</v>
      </c>
      <c r="F779">
        <v>160856.93</v>
      </c>
      <c r="G779">
        <v>1980260.76</v>
      </c>
      <c r="H779">
        <v>21900.1</v>
      </c>
      <c r="I779">
        <v>110343.38</v>
      </c>
      <c r="J779">
        <v>0.55600000000000005</v>
      </c>
      <c r="K779">
        <v>35094.47</v>
      </c>
      <c r="L779">
        <v>0</v>
      </c>
      <c r="M779">
        <v>0</v>
      </c>
      <c r="N779">
        <v>2022</v>
      </c>
      <c r="O779">
        <v>9</v>
      </c>
    </row>
    <row r="780" spans="1:15" x14ac:dyDescent="0.3">
      <c r="A780">
        <v>38609</v>
      </c>
      <c r="B780">
        <v>3205200</v>
      </c>
      <c r="C780" t="s">
        <v>91</v>
      </c>
      <c r="D780">
        <v>5.3819999999999997</v>
      </c>
      <c r="E780">
        <v>15717546.5</v>
      </c>
      <c r="F780">
        <v>1389617.83</v>
      </c>
      <c r="G780">
        <v>17107164.329999998</v>
      </c>
      <c r="H780">
        <v>189191.57</v>
      </c>
      <c r="I780">
        <v>2516744.87</v>
      </c>
      <c r="J780">
        <v>8.09</v>
      </c>
      <c r="K780">
        <v>303175.69</v>
      </c>
      <c r="L780">
        <v>0</v>
      </c>
      <c r="M780">
        <v>0</v>
      </c>
      <c r="N780">
        <v>2022</v>
      </c>
      <c r="O780">
        <v>9</v>
      </c>
    </row>
    <row r="781" spans="1:15" x14ac:dyDescent="0.3">
      <c r="A781">
        <v>38610</v>
      </c>
      <c r="B781">
        <v>3205309</v>
      </c>
      <c r="C781" t="s">
        <v>92</v>
      </c>
      <c r="D781">
        <v>14.535</v>
      </c>
      <c r="E781">
        <v>42447888.789999999</v>
      </c>
      <c r="F781">
        <v>3752897.78</v>
      </c>
      <c r="G781">
        <v>46200786.57</v>
      </c>
      <c r="H781">
        <v>510943.78</v>
      </c>
      <c r="I781">
        <v>2403603.12</v>
      </c>
      <c r="J781">
        <v>9.4969999999999999</v>
      </c>
      <c r="K781">
        <v>818777.16</v>
      </c>
      <c r="L781">
        <v>0</v>
      </c>
      <c r="M781">
        <v>0</v>
      </c>
      <c r="N781">
        <v>2022</v>
      </c>
      <c r="O781">
        <v>9</v>
      </c>
    </row>
    <row r="782" spans="1:15" x14ac:dyDescent="0.3">
      <c r="A782">
        <v>38611</v>
      </c>
      <c r="B782">
        <v>3200102</v>
      </c>
      <c r="C782" t="s">
        <v>15</v>
      </c>
      <c r="D782">
        <v>0.8</v>
      </c>
      <c r="E782">
        <v>2469906.1800000002</v>
      </c>
      <c r="F782">
        <v>200220.69</v>
      </c>
      <c r="G782">
        <v>2670126.87</v>
      </c>
      <c r="H782">
        <v>28701.02</v>
      </c>
      <c r="I782">
        <v>63589.58</v>
      </c>
      <c r="J782">
        <v>0.98499999999999999</v>
      </c>
      <c r="K782">
        <v>65143.5</v>
      </c>
      <c r="L782">
        <v>2321.33</v>
      </c>
      <c r="M782">
        <v>0</v>
      </c>
      <c r="N782">
        <v>2022</v>
      </c>
      <c r="O782">
        <v>10</v>
      </c>
    </row>
    <row r="783" spans="1:15" x14ac:dyDescent="0.3">
      <c r="A783">
        <v>38612</v>
      </c>
      <c r="B783">
        <v>3200169</v>
      </c>
      <c r="C783" t="s">
        <v>16</v>
      </c>
      <c r="D783">
        <v>0.30099999999999999</v>
      </c>
      <c r="E783">
        <v>929302.2</v>
      </c>
      <c r="F783">
        <v>75333.039999999994</v>
      </c>
      <c r="G783">
        <v>1004635.24</v>
      </c>
      <c r="H783">
        <v>10798.76</v>
      </c>
      <c r="I783">
        <v>31292.19</v>
      </c>
      <c r="J783">
        <v>0.439</v>
      </c>
      <c r="K783">
        <v>24510.240000000002</v>
      </c>
      <c r="L783">
        <v>1035.57</v>
      </c>
      <c r="M783">
        <v>0</v>
      </c>
      <c r="N783">
        <v>2022</v>
      </c>
      <c r="O783">
        <v>10</v>
      </c>
    </row>
    <row r="784" spans="1:15" x14ac:dyDescent="0.3">
      <c r="A784">
        <v>38613</v>
      </c>
      <c r="B784">
        <v>3200136</v>
      </c>
      <c r="C784" t="s">
        <v>17</v>
      </c>
      <c r="D784">
        <v>0.41599999999999998</v>
      </c>
      <c r="E784">
        <v>1284351.19</v>
      </c>
      <c r="F784">
        <v>104114.75</v>
      </c>
      <c r="G784">
        <v>1388465.94</v>
      </c>
      <c r="H784">
        <v>14924.53</v>
      </c>
      <c r="I784">
        <v>15819.41</v>
      </c>
      <c r="J784">
        <v>0.34799999999999998</v>
      </c>
      <c r="K784">
        <v>33874.620000000003</v>
      </c>
      <c r="L784">
        <v>820.28</v>
      </c>
      <c r="M784">
        <v>0</v>
      </c>
      <c r="N784">
        <v>2022</v>
      </c>
      <c r="O784">
        <v>10</v>
      </c>
    </row>
    <row r="785" spans="1:15" x14ac:dyDescent="0.3">
      <c r="A785">
        <v>38614</v>
      </c>
      <c r="B785">
        <v>3200201</v>
      </c>
      <c r="C785" t="s">
        <v>18</v>
      </c>
      <c r="D785">
        <v>0.51</v>
      </c>
      <c r="E785">
        <v>1574565.16</v>
      </c>
      <c r="F785">
        <v>127640.67</v>
      </c>
      <c r="G785">
        <v>1702205.83</v>
      </c>
      <c r="H785">
        <v>18296.900000000001</v>
      </c>
      <c r="I785">
        <v>62342.49</v>
      </c>
      <c r="J785">
        <v>0.98</v>
      </c>
      <c r="K785">
        <v>41528.99</v>
      </c>
      <c r="L785">
        <v>2308.2199999999998</v>
      </c>
      <c r="M785">
        <v>0</v>
      </c>
      <c r="N785">
        <v>2022</v>
      </c>
      <c r="O785">
        <v>10</v>
      </c>
    </row>
    <row r="786" spans="1:15" x14ac:dyDescent="0.3">
      <c r="A786">
        <v>38615</v>
      </c>
      <c r="B786">
        <v>3200300</v>
      </c>
      <c r="C786" t="s">
        <v>19</v>
      </c>
      <c r="D786">
        <v>0.49</v>
      </c>
      <c r="E786">
        <v>1512817.54</v>
      </c>
      <c r="F786">
        <v>122635.19</v>
      </c>
      <c r="G786">
        <v>1635452.73</v>
      </c>
      <c r="H786">
        <v>17579.38</v>
      </c>
      <c r="I786">
        <v>58189.38</v>
      </c>
      <c r="J786">
        <v>0.56399999999999995</v>
      </c>
      <c r="K786">
        <v>39900.400000000001</v>
      </c>
      <c r="L786">
        <v>1327.98</v>
      </c>
      <c r="M786">
        <v>0</v>
      </c>
      <c r="N786">
        <v>2022</v>
      </c>
      <c r="O786">
        <v>10</v>
      </c>
    </row>
    <row r="787" spans="1:15" x14ac:dyDescent="0.3">
      <c r="A787">
        <v>38616</v>
      </c>
      <c r="B787">
        <v>3200359</v>
      </c>
      <c r="C787" t="s">
        <v>20</v>
      </c>
      <c r="D787">
        <v>0.23100000000000001</v>
      </c>
      <c r="E787">
        <v>713185.4</v>
      </c>
      <c r="F787">
        <v>57813.74</v>
      </c>
      <c r="G787">
        <v>770999.14</v>
      </c>
      <c r="H787">
        <v>8287.42</v>
      </c>
      <c r="I787">
        <v>18322.16</v>
      </c>
      <c r="J787">
        <v>0.32700000000000001</v>
      </c>
      <c r="K787">
        <v>18810.189999999999</v>
      </c>
      <c r="L787">
        <v>771.24</v>
      </c>
      <c r="M787">
        <v>0</v>
      </c>
      <c r="N787">
        <v>2022</v>
      </c>
      <c r="O787">
        <v>10</v>
      </c>
    </row>
    <row r="788" spans="1:15" x14ac:dyDescent="0.3">
      <c r="A788">
        <v>38617</v>
      </c>
      <c r="B788">
        <v>3200409</v>
      </c>
      <c r="C788" t="s">
        <v>21</v>
      </c>
      <c r="D788">
        <v>1.766</v>
      </c>
      <c r="E788">
        <v>5452317.8899999997</v>
      </c>
      <c r="F788">
        <v>441987.2</v>
      </c>
      <c r="G788">
        <v>5894305.0899999999</v>
      </c>
      <c r="H788">
        <v>63357.51</v>
      </c>
      <c r="I788">
        <v>84009.09</v>
      </c>
      <c r="J788">
        <v>0.90800000000000003</v>
      </c>
      <c r="K788">
        <v>143804.28</v>
      </c>
      <c r="L788">
        <v>2138.69</v>
      </c>
      <c r="M788">
        <v>0</v>
      </c>
      <c r="N788">
        <v>2022</v>
      </c>
      <c r="O788">
        <v>10</v>
      </c>
    </row>
    <row r="789" spans="1:15" x14ac:dyDescent="0.3">
      <c r="A789">
        <v>38618</v>
      </c>
      <c r="B789">
        <v>3200508</v>
      </c>
      <c r="C789" t="s">
        <v>22</v>
      </c>
      <c r="D789">
        <v>0.185</v>
      </c>
      <c r="E789">
        <v>571165.81999999995</v>
      </c>
      <c r="F789">
        <v>46301.05</v>
      </c>
      <c r="G789">
        <v>617466.87</v>
      </c>
      <c r="H789">
        <v>6637.11</v>
      </c>
      <c r="I789">
        <v>27947.48</v>
      </c>
      <c r="J789">
        <v>0.32300000000000001</v>
      </c>
      <c r="K789">
        <v>15064.43</v>
      </c>
      <c r="L789">
        <v>760.66</v>
      </c>
      <c r="M789">
        <v>0</v>
      </c>
      <c r="N789">
        <v>2022</v>
      </c>
      <c r="O789">
        <v>10</v>
      </c>
    </row>
    <row r="790" spans="1:15" x14ac:dyDescent="0.3">
      <c r="A790">
        <v>38619</v>
      </c>
      <c r="B790">
        <v>3200607</v>
      </c>
      <c r="C790" t="s">
        <v>23</v>
      </c>
      <c r="D790">
        <v>4.9909999999999997</v>
      </c>
      <c r="E790">
        <v>15409127.18</v>
      </c>
      <c r="F790">
        <v>1249126.8500000001</v>
      </c>
      <c r="G790">
        <v>16658254.029999999</v>
      </c>
      <c r="H790">
        <v>179058.5</v>
      </c>
      <c r="I790">
        <v>335897.91</v>
      </c>
      <c r="J790">
        <v>2.5089999999999999</v>
      </c>
      <c r="K790">
        <v>406414.03</v>
      </c>
      <c r="L790">
        <v>5912.77</v>
      </c>
      <c r="M790">
        <v>0</v>
      </c>
      <c r="N790">
        <v>2022</v>
      </c>
      <c r="O790">
        <v>10</v>
      </c>
    </row>
    <row r="791" spans="1:15" x14ac:dyDescent="0.3">
      <c r="A791">
        <v>38620</v>
      </c>
      <c r="B791">
        <v>3200706</v>
      </c>
      <c r="C791" t="s">
        <v>24</v>
      </c>
      <c r="D791">
        <v>0.373</v>
      </c>
      <c r="E791">
        <v>1151593.77</v>
      </c>
      <c r="F791">
        <v>93352.92</v>
      </c>
      <c r="G791">
        <v>1244946.69</v>
      </c>
      <c r="H791">
        <v>13381.85</v>
      </c>
      <c r="I791">
        <v>30506.54</v>
      </c>
      <c r="J791">
        <v>0.45700000000000002</v>
      </c>
      <c r="K791">
        <v>30373.16</v>
      </c>
      <c r="L791">
        <v>1077.7</v>
      </c>
      <c r="M791">
        <v>0</v>
      </c>
      <c r="N791">
        <v>2022</v>
      </c>
      <c r="O791">
        <v>10</v>
      </c>
    </row>
    <row r="792" spans="1:15" x14ac:dyDescent="0.3">
      <c r="A792">
        <v>38621</v>
      </c>
      <c r="B792">
        <v>3200805</v>
      </c>
      <c r="C792" t="s">
        <v>25</v>
      </c>
      <c r="D792">
        <v>0.64300000000000002</v>
      </c>
      <c r="E792">
        <v>1985187.1</v>
      </c>
      <c r="F792">
        <v>160927.39000000001</v>
      </c>
      <c r="G792">
        <v>2146114.4900000002</v>
      </c>
      <c r="H792">
        <v>23068.45</v>
      </c>
      <c r="I792">
        <v>115883.93</v>
      </c>
      <c r="J792">
        <v>0.996</v>
      </c>
      <c r="K792">
        <v>52359.1</v>
      </c>
      <c r="L792">
        <v>2348.1999999999998</v>
      </c>
      <c r="M792">
        <v>0</v>
      </c>
      <c r="N792">
        <v>2022</v>
      </c>
      <c r="O792">
        <v>10</v>
      </c>
    </row>
    <row r="793" spans="1:15" x14ac:dyDescent="0.3">
      <c r="A793">
        <v>38622</v>
      </c>
      <c r="B793">
        <v>3200904</v>
      </c>
      <c r="C793" t="s">
        <v>26</v>
      </c>
      <c r="D793">
        <v>1.036</v>
      </c>
      <c r="E793">
        <v>3198528.48</v>
      </c>
      <c r="F793">
        <v>259285.79</v>
      </c>
      <c r="G793">
        <v>3457814.27</v>
      </c>
      <c r="H793">
        <v>37167.82</v>
      </c>
      <c r="I793">
        <v>160661.14000000001</v>
      </c>
      <c r="J793">
        <v>1.321</v>
      </c>
      <c r="K793">
        <v>84360.84</v>
      </c>
      <c r="L793">
        <v>3113.68</v>
      </c>
      <c r="M793">
        <v>0</v>
      </c>
      <c r="N793">
        <v>2022</v>
      </c>
      <c r="O793">
        <v>10</v>
      </c>
    </row>
    <row r="794" spans="1:15" x14ac:dyDescent="0.3">
      <c r="A794">
        <v>38623</v>
      </c>
      <c r="B794">
        <v>3107109</v>
      </c>
      <c r="C794" t="s">
        <v>27</v>
      </c>
      <c r="D794">
        <v>0.39900000000000002</v>
      </c>
      <c r="E794">
        <v>1231865.72</v>
      </c>
      <c r="F794">
        <v>99860.06</v>
      </c>
      <c r="G794">
        <v>1331725.78</v>
      </c>
      <c r="H794">
        <v>14314.63</v>
      </c>
      <c r="I794">
        <v>39928.07</v>
      </c>
      <c r="J794">
        <v>0.56899999999999995</v>
      </c>
      <c r="K794">
        <v>32490.32</v>
      </c>
      <c r="L794">
        <v>1341.63</v>
      </c>
      <c r="M794">
        <v>0</v>
      </c>
      <c r="N794">
        <v>2022</v>
      </c>
      <c r="O794">
        <v>10</v>
      </c>
    </row>
    <row r="795" spans="1:15" x14ac:dyDescent="0.3">
      <c r="A795">
        <v>38624</v>
      </c>
      <c r="B795">
        <v>3201100</v>
      </c>
      <c r="C795" t="s">
        <v>28</v>
      </c>
      <c r="D795">
        <v>0.17599999999999999</v>
      </c>
      <c r="E795">
        <v>543379.36</v>
      </c>
      <c r="F795">
        <v>44048.55</v>
      </c>
      <c r="G795">
        <v>587427.91</v>
      </c>
      <c r="H795">
        <v>6314.22</v>
      </c>
      <c r="I795">
        <v>82794.990000000005</v>
      </c>
      <c r="J795">
        <v>0.43</v>
      </c>
      <c r="K795">
        <v>14331.57</v>
      </c>
      <c r="L795">
        <v>1012.26</v>
      </c>
      <c r="M795">
        <v>0</v>
      </c>
      <c r="N795">
        <v>2022</v>
      </c>
      <c r="O795">
        <v>10</v>
      </c>
    </row>
    <row r="796" spans="1:15" x14ac:dyDescent="0.3">
      <c r="A796">
        <v>38625</v>
      </c>
      <c r="B796">
        <v>3201159</v>
      </c>
      <c r="C796" t="s">
        <v>29</v>
      </c>
      <c r="D796">
        <v>0.42099999999999999</v>
      </c>
      <c r="E796">
        <v>1299788.1100000001</v>
      </c>
      <c r="F796">
        <v>105366.15</v>
      </c>
      <c r="G796">
        <v>1405154.26</v>
      </c>
      <c r="H796">
        <v>15103.91</v>
      </c>
      <c r="I796">
        <v>35568.26</v>
      </c>
      <c r="J796">
        <v>0.46</v>
      </c>
      <c r="K796">
        <v>34281.760000000002</v>
      </c>
      <c r="L796">
        <v>1082.8599999999999</v>
      </c>
      <c r="M796">
        <v>0</v>
      </c>
      <c r="N796">
        <v>2022</v>
      </c>
      <c r="O796">
        <v>10</v>
      </c>
    </row>
    <row r="797" spans="1:15" x14ac:dyDescent="0.3">
      <c r="A797">
        <v>38626</v>
      </c>
      <c r="B797">
        <v>3201209</v>
      </c>
      <c r="C797" t="s">
        <v>30</v>
      </c>
      <c r="D797">
        <v>3.234</v>
      </c>
      <c r="E797">
        <v>9984595.7400000002</v>
      </c>
      <c r="F797">
        <v>809392.14</v>
      </c>
      <c r="G797">
        <v>10793987.880000001</v>
      </c>
      <c r="H797">
        <v>116023.88</v>
      </c>
      <c r="I797">
        <v>817318.25</v>
      </c>
      <c r="J797">
        <v>4.4820000000000002</v>
      </c>
      <c r="K797">
        <v>263342.61</v>
      </c>
      <c r="L797">
        <v>10561.98</v>
      </c>
      <c r="M797">
        <v>0</v>
      </c>
      <c r="N797">
        <v>2022</v>
      </c>
      <c r="O797">
        <v>10</v>
      </c>
    </row>
    <row r="798" spans="1:15" x14ac:dyDescent="0.3">
      <c r="A798">
        <v>38627</v>
      </c>
      <c r="B798">
        <v>3201308</v>
      </c>
      <c r="C798" t="s">
        <v>31</v>
      </c>
      <c r="D798">
        <v>7.4969999999999999</v>
      </c>
      <c r="E798">
        <v>23146108.300000001</v>
      </c>
      <c r="F798">
        <v>1876318.19</v>
      </c>
      <c r="G798">
        <v>25022426.489999998</v>
      </c>
      <c r="H798">
        <v>268964.46000000002</v>
      </c>
      <c r="I798">
        <v>1149506.1599999999</v>
      </c>
      <c r="J798">
        <v>6.6040000000000001</v>
      </c>
      <c r="K798">
        <v>610476.06000000006</v>
      </c>
      <c r="L798">
        <v>15561.1</v>
      </c>
      <c r="M798">
        <v>0</v>
      </c>
      <c r="N798">
        <v>2022</v>
      </c>
      <c r="O798">
        <v>10</v>
      </c>
    </row>
    <row r="799" spans="1:15" x14ac:dyDescent="0.3">
      <c r="A799">
        <v>38628</v>
      </c>
      <c r="B799">
        <v>3201407</v>
      </c>
      <c r="C799" t="s">
        <v>32</v>
      </c>
      <c r="D799">
        <v>0.96499999999999997</v>
      </c>
      <c r="E799">
        <v>2979324.32</v>
      </c>
      <c r="F799">
        <v>241516.21</v>
      </c>
      <c r="G799">
        <v>3220840.53</v>
      </c>
      <c r="H799">
        <v>34620.61</v>
      </c>
      <c r="I799">
        <v>209580.56</v>
      </c>
      <c r="J799">
        <v>1.155</v>
      </c>
      <c r="K799">
        <v>78579.360000000001</v>
      </c>
      <c r="L799">
        <v>2721.59</v>
      </c>
      <c r="M799">
        <v>0</v>
      </c>
      <c r="N799">
        <v>2022</v>
      </c>
      <c r="O799">
        <v>10</v>
      </c>
    </row>
    <row r="800" spans="1:15" x14ac:dyDescent="0.3">
      <c r="A800">
        <v>38629</v>
      </c>
      <c r="B800">
        <v>3201506</v>
      </c>
      <c r="C800" t="s">
        <v>33</v>
      </c>
      <c r="D800">
        <v>2.1739999999999999</v>
      </c>
      <c r="E800">
        <v>6711970.0300000003</v>
      </c>
      <c r="F800">
        <v>544099.74</v>
      </c>
      <c r="G800">
        <v>7256069.7699999996</v>
      </c>
      <c r="H800">
        <v>77995.03</v>
      </c>
      <c r="I800">
        <v>473880.46</v>
      </c>
      <c r="J800">
        <v>2.8220000000000001</v>
      </c>
      <c r="K800">
        <v>177027.47</v>
      </c>
      <c r="L800">
        <v>6648.88</v>
      </c>
      <c r="M800">
        <v>0</v>
      </c>
      <c r="N800">
        <v>2022</v>
      </c>
      <c r="O800">
        <v>10</v>
      </c>
    </row>
    <row r="801" spans="1:15" x14ac:dyDescent="0.3">
      <c r="A801">
        <v>38630</v>
      </c>
      <c r="B801">
        <v>3201605</v>
      </c>
      <c r="C801" t="s">
        <v>34</v>
      </c>
      <c r="D801">
        <v>0.65200000000000002</v>
      </c>
      <c r="E801">
        <v>2012973.54</v>
      </c>
      <c r="F801">
        <v>163179.85999999999</v>
      </c>
      <c r="G801">
        <v>2176153.4</v>
      </c>
      <c r="H801">
        <v>23391.33</v>
      </c>
      <c r="I801">
        <v>68019.570000000007</v>
      </c>
      <c r="J801">
        <v>0.999</v>
      </c>
      <c r="K801">
        <v>53091.95</v>
      </c>
      <c r="L801">
        <v>2354.39</v>
      </c>
      <c r="M801">
        <v>0</v>
      </c>
      <c r="N801">
        <v>2022</v>
      </c>
      <c r="O801">
        <v>10</v>
      </c>
    </row>
    <row r="802" spans="1:15" x14ac:dyDescent="0.3">
      <c r="A802">
        <v>38631</v>
      </c>
      <c r="B802">
        <v>3201704</v>
      </c>
      <c r="C802" t="s">
        <v>35</v>
      </c>
      <c r="D802">
        <v>0.47499999999999998</v>
      </c>
      <c r="E802">
        <v>1466506.8</v>
      </c>
      <c r="F802">
        <v>118881.03</v>
      </c>
      <c r="G802">
        <v>1585387.83</v>
      </c>
      <c r="H802">
        <v>17041.23</v>
      </c>
      <c r="I802">
        <v>31825.79</v>
      </c>
      <c r="J802">
        <v>0.46500000000000002</v>
      </c>
      <c r="K802">
        <v>38678.959999999999</v>
      </c>
      <c r="L802">
        <v>1095.3900000000001</v>
      </c>
      <c r="M802">
        <v>0</v>
      </c>
      <c r="N802">
        <v>2022</v>
      </c>
      <c r="O802">
        <v>10</v>
      </c>
    </row>
    <row r="803" spans="1:15" x14ac:dyDescent="0.3">
      <c r="A803">
        <v>38632</v>
      </c>
      <c r="B803">
        <v>3201803</v>
      </c>
      <c r="C803" t="s">
        <v>36</v>
      </c>
      <c r="D803">
        <v>0.186</v>
      </c>
      <c r="E803">
        <v>574253.19999999995</v>
      </c>
      <c r="F803">
        <v>46551.32</v>
      </c>
      <c r="G803">
        <v>620804.52</v>
      </c>
      <c r="H803">
        <v>6672.99</v>
      </c>
      <c r="I803">
        <v>16472.13</v>
      </c>
      <c r="J803">
        <v>0.28299999999999997</v>
      </c>
      <c r="K803">
        <v>15145.87</v>
      </c>
      <c r="L803">
        <v>665.85</v>
      </c>
      <c r="M803">
        <v>0</v>
      </c>
      <c r="N803">
        <v>2022</v>
      </c>
      <c r="O803">
        <v>10</v>
      </c>
    </row>
    <row r="804" spans="1:15" x14ac:dyDescent="0.3">
      <c r="A804">
        <v>38633</v>
      </c>
      <c r="B804">
        <v>3201902</v>
      </c>
      <c r="C804" t="s">
        <v>37</v>
      </c>
      <c r="D804">
        <v>1.3140000000000001</v>
      </c>
      <c r="E804">
        <v>4056820.89</v>
      </c>
      <c r="F804">
        <v>328862.49</v>
      </c>
      <c r="G804">
        <v>4385683.38</v>
      </c>
      <c r="H804">
        <v>47141.43</v>
      </c>
      <c r="I804">
        <v>114670.49</v>
      </c>
      <c r="J804">
        <v>1.0309999999999999</v>
      </c>
      <c r="K804">
        <v>106998.2</v>
      </c>
      <c r="L804">
        <v>2430.13</v>
      </c>
      <c r="M804">
        <v>0</v>
      </c>
      <c r="N804">
        <v>2022</v>
      </c>
      <c r="O804">
        <v>10</v>
      </c>
    </row>
    <row r="805" spans="1:15" x14ac:dyDescent="0.3">
      <c r="A805">
        <v>38634</v>
      </c>
      <c r="B805">
        <v>3202009</v>
      </c>
      <c r="C805" t="s">
        <v>38</v>
      </c>
      <c r="D805">
        <v>0.26</v>
      </c>
      <c r="E805">
        <v>802719.51</v>
      </c>
      <c r="F805">
        <v>65071.73</v>
      </c>
      <c r="G805">
        <v>867791.24</v>
      </c>
      <c r="H805">
        <v>9327.83</v>
      </c>
      <c r="I805">
        <v>38784.18</v>
      </c>
      <c r="J805">
        <v>0.314</v>
      </c>
      <c r="K805">
        <v>21171.63</v>
      </c>
      <c r="L805">
        <v>739.18</v>
      </c>
      <c r="M805">
        <v>0</v>
      </c>
      <c r="N805">
        <v>2022</v>
      </c>
      <c r="O805">
        <v>10</v>
      </c>
    </row>
    <row r="806" spans="1:15" x14ac:dyDescent="0.3">
      <c r="A806">
        <v>38635</v>
      </c>
      <c r="B806">
        <v>3202108</v>
      </c>
      <c r="C806" t="s">
        <v>39</v>
      </c>
      <c r="D806">
        <v>0.69899999999999995</v>
      </c>
      <c r="E806">
        <v>2158080.5299999998</v>
      </c>
      <c r="F806">
        <v>174942.84</v>
      </c>
      <c r="G806">
        <v>2333023.37</v>
      </c>
      <c r="H806">
        <v>25077.52</v>
      </c>
      <c r="I806">
        <v>55855.16</v>
      </c>
      <c r="J806">
        <v>0.81599999999999995</v>
      </c>
      <c r="K806">
        <v>56919.14</v>
      </c>
      <c r="L806">
        <v>1922.55</v>
      </c>
      <c r="M806">
        <v>0</v>
      </c>
      <c r="N806">
        <v>2022</v>
      </c>
      <c r="O806">
        <v>10</v>
      </c>
    </row>
    <row r="807" spans="1:15" x14ac:dyDescent="0.3">
      <c r="A807">
        <v>38636</v>
      </c>
      <c r="B807">
        <v>3202207</v>
      </c>
      <c r="C807" t="s">
        <v>40</v>
      </c>
      <c r="D807">
        <v>0.313</v>
      </c>
      <c r="E807">
        <v>966350.76</v>
      </c>
      <c r="F807">
        <v>78336.34</v>
      </c>
      <c r="G807">
        <v>1044687.1</v>
      </c>
      <c r="H807">
        <v>11229.28</v>
      </c>
      <c r="I807">
        <v>42850.64</v>
      </c>
      <c r="J807">
        <v>0.73399999999999999</v>
      </c>
      <c r="K807">
        <v>25487.39</v>
      </c>
      <c r="L807">
        <v>1730.51</v>
      </c>
      <c r="M807">
        <v>0</v>
      </c>
      <c r="N807">
        <v>2022</v>
      </c>
      <c r="O807">
        <v>10</v>
      </c>
    </row>
    <row r="808" spans="1:15" x14ac:dyDescent="0.3">
      <c r="A808">
        <v>38637</v>
      </c>
      <c r="B808">
        <v>3202256</v>
      </c>
      <c r="C808" t="s">
        <v>41</v>
      </c>
      <c r="D808">
        <v>0.43</v>
      </c>
      <c r="E808">
        <v>1327574.6100000001</v>
      </c>
      <c r="F808">
        <v>107618.63</v>
      </c>
      <c r="G808">
        <v>1435193.24</v>
      </c>
      <c r="H808">
        <v>15426.8</v>
      </c>
      <c r="I808">
        <v>34058.14</v>
      </c>
      <c r="J808">
        <v>0.46700000000000003</v>
      </c>
      <c r="K808">
        <v>35014.629999999997</v>
      </c>
      <c r="L808">
        <v>1099.98</v>
      </c>
      <c r="M808">
        <v>0</v>
      </c>
      <c r="N808">
        <v>2022</v>
      </c>
      <c r="O808">
        <v>10</v>
      </c>
    </row>
    <row r="809" spans="1:15" x14ac:dyDescent="0.3">
      <c r="A809">
        <v>38638</v>
      </c>
      <c r="B809">
        <v>3202306</v>
      </c>
      <c r="C809" t="s">
        <v>42</v>
      </c>
      <c r="D809">
        <v>0.378</v>
      </c>
      <c r="E809">
        <v>1167030.6599999999</v>
      </c>
      <c r="F809">
        <v>94604.27</v>
      </c>
      <c r="G809">
        <v>1261634.93</v>
      </c>
      <c r="H809">
        <v>13561.23</v>
      </c>
      <c r="I809">
        <v>103429.68</v>
      </c>
      <c r="J809">
        <v>0.998</v>
      </c>
      <c r="K809">
        <v>30780.31</v>
      </c>
      <c r="L809">
        <v>2351.3200000000002</v>
      </c>
      <c r="M809">
        <v>0</v>
      </c>
      <c r="N809">
        <v>2022</v>
      </c>
      <c r="O809">
        <v>10</v>
      </c>
    </row>
    <row r="810" spans="1:15" x14ac:dyDescent="0.3">
      <c r="A810">
        <v>38639</v>
      </c>
      <c r="B810">
        <v>3202405</v>
      </c>
      <c r="C810" t="s">
        <v>43</v>
      </c>
      <c r="D810">
        <v>0.90900000000000003</v>
      </c>
      <c r="E810">
        <v>2806430.87</v>
      </c>
      <c r="F810">
        <v>227500.75</v>
      </c>
      <c r="G810">
        <v>3033931.62</v>
      </c>
      <c r="H810">
        <v>32611.54</v>
      </c>
      <c r="I810">
        <v>715725.45</v>
      </c>
      <c r="J810">
        <v>2.8730000000000002</v>
      </c>
      <c r="K810">
        <v>74019.31</v>
      </c>
      <c r="L810">
        <v>6769.93</v>
      </c>
      <c r="M810">
        <v>0</v>
      </c>
      <c r="N810">
        <v>2022</v>
      </c>
      <c r="O810">
        <v>10</v>
      </c>
    </row>
    <row r="811" spans="1:15" x14ac:dyDescent="0.3">
      <c r="A811">
        <v>38640</v>
      </c>
      <c r="B811">
        <v>3202454</v>
      </c>
      <c r="C811" t="s">
        <v>44</v>
      </c>
      <c r="D811">
        <v>0.35099999999999998</v>
      </c>
      <c r="E811">
        <v>1083671.3600000001</v>
      </c>
      <c r="F811">
        <v>87846.83</v>
      </c>
      <c r="G811">
        <v>1171518.19</v>
      </c>
      <c r="H811">
        <v>12592.57</v>
      </c>
      <c r="I811">
        <v>97823.28</v>
      </c>
      <c r="J811">
        <v>0.86499999999999999</v>
      </c>
      <c r="K811">
        <v>28581.71</v>
      </c>
      <c r="L811">
        <v>2037.66</v>
      </c>
      <c r="M811">
        <v>0</v>
      </c>
      <c r="N811">
        <v>2022</v>
      </c>
      <c r="O811">
        <v>10</v>
      </c>
    </row>
    <row r="812" spans="1:15" x14ac:dyDescent="0.3">
      <c r="A812">
        <v>38641</v>
      </c>
      <c r="B812">
        <v>3202504</v>
      </c>
      <c r="C812" t="s">
        <v>45</v>
      </c>
      <c r="D812">
        <v>0.26700000000000002</v>
      </c>
      <c r="E812">
        <v>824331.17</v>
      </c>
      <c r="F812">
        <v>66823.66</v>
      </c>
      <c r="G812">
        <v>891154.83</v>
      </c>
      <c r="H812">
        <v>9578.9699999999993</v>
      </c>
      <c r="I812">
        <v>34937.35</v>
      </c>
      <c r="J812">
        <v>0.46300000000000002</v>
      </c>
      <c r="K812">
        <v>21741.64</v>
      </c>
      <c r="L812">
        <v>1090.06</v>
      </c>
      <c r="M812">
        <v>0</v>
      </c>
      <c r="N812">
        <v>2022</v>
      </c>
      <c r="O812">
        <v>10</v>
      </c>
    </row>
    <row r="813" spans="1:15" x14ac:dyDescent="0.3">
      <c r="A813">
        <v>38642</v>
      </c>
      <c r="B813">
        <v>3202553</v>
      </c>
      <c r="C813" t="s">
        <v>46</v>
      </c>
      <c r="D813">
        <v>0.248</v>
      </c>
      <c r="E813">
        <v>765670.91</v>
      </c>
      <c r="F813">
        <v>62068.41</v>
      </c>
      <c r="G813">
        <v>827739.32</v>
      </c>
      <c r="H813">
        <v>8897.32</v>
      </c>
      <c r="I813">
        <v>16048.41</v>
      </c>
      <c r="J813">
        <v>0.33800000000000002</v>
      </c>
      <c r="K813">
        <v>20194.48</v>
      </c>
      <c r="L813">
        <v>797.59</v>
      </c>
      <c r="M813">
        <v>0</v>
      </c>
      <c r="N813">
        <v>2022</v>
      </c>
      <c r="O813">
        <v>10</v>
      </c>
    </row>
    <row r="814" spans="1:15" x14ac:dyDescent="0.3">
      <c r="A814">
        <v>38643</v>
      </c>
      <c r="B814">
        <v>3202603</v>
      </c>
      <c r="C814" t="s">
        <v>47</v>
      </c>
      <c r="D814">
        <v>0.34399999999999997</v>
      </c>
      <c r="E814">
        <v>1062059.6599999999</v>
      </c>
      <c r="F814">
        <v>86094.88</v>
      </c>
      <c r="G814">
        <v>1148154.54</v>
      </c>
      <c r="H814">
        <v>12341.44</v>
      </c>
      <c r="I814">
        <v>38546.29</v>
      </c>
      <c r="J814">
        <v>0.55600000000000005</v>
      </c>
      <c r="K814">
        <v>28011.7</v>
      </c>
      <c r="L814">
        <v>1311.15</v>
      </c>
      <c r="M814">
        <v>0</v>
      </c>
      <c r="N814">
        <v>2022</v>
      </c>
      <c r="O814">
        <v>10</v>
      </c>
    </row>
    <row r="815" spans="1:15" x14ac:dyDescent="0.3">
      <c r="A815">
        <v>38644</v>
      </c>
      <c r="B815">
        <v>3202652</v>
      </c>
      <c r="C815" t="s">
        <v>48</v>
      </c>
      <c r="D815">
        <v>0.308</v>
      </c>
      <c r="E815">
        <v>950913.85</v>
      </c>
      <c r="F815">
        <v>77084.97</v>
      </c>
      <c r="G815">
        <v>1027998.82</v>
      </c>
      <c r="H815">
        <v>11049.89</v>
      </c>
      <c r="I815">
        <v>55742.85</v>
      </c>
      <c r="J815">
        <v>0.55100000000000005</v>
      </c>
      <c r="K815">
        <v>25080.25</v>
      </c>
      <c r="L815">
        <v>1299.3599999999999</v>
      </c>
      <c r="M815">
        <v>0</v>
      </c>
      <c r="N815">
        <v>2022</v>
      </c>
      <c r="O815">
        <v>10</v>
      </c>
    </row>
    <row r="816" spans="1:15" x14ac:dyDescent="0.3">
      <c r="A816">
        <v>38645</v>
      </c>
      <c r="B816">
        <v>3202702</v>
      </c>
      <c r="C816" t="s">
        <v>49</v>
      </c>
      <c r="D816">
        <v>0.35499999999999998</v>
      </c>
      <c r="E816">
        <v>1096020.8600000001</v>
      </c>
      <c r="F816">
        <v>88847.94</v>
      </c>
      <c r="G816">
        <v>1184868.8</v>
      </c>
      <c r="H816">
        <v>12736.08</v>
      </c>
      <c r="I816">
        <v>42378.54</v>
      </c>
      <c r="J816">
        <v>0.55500000000000005</v>
      </c>
      <c r="K816">
        <v>28907.43</v>
      </c>
      <c r="L816">
        <v>1308.25</v>
      </c>
      <c r="M816">
        <v>0</v>
      </c>
      <c r="N816">
        <v>2022</v>
      </c>
      <c r="O816">
        <v>10</v>
      </c>
    </row>
    <row r="817" spans="1:15" x14ac:dyDescent="0.3">
      <c r="A817">
        <v>38646</v>
      </c>
      <c r="B817">
        <v>3202801</v>
      </c>
      <c r="C817" t="s">
        <v>50</v>
      </c>
      <c r="D817">
        <v>2.262</v>
      </c>
      <c r="E817">
        <v>6983659.7199999997</v>
      </c>
      <c r="F817">
        <v>566124.01</v>
      </c>
      <c r="G817">
        <v>7549783.7300000004</v>
      </c>
      <c r="H817">
        <v>81152.14</v>
      </c>
      <c r="I817">
        <v>120168.07</v>
      </c>
      <c r="J817">
        <v>1.042</v>
      </c>
      <c r="K817">
        <v>184193.25</v>
      </c>
      <c r="L817">
        <v>2454.13</v>
      </c>
      <c r="M817">
        <v>0</v>
      </c>
      <c r="N817">
        <v>2022</v>
      </c>
      <c r="O817">
        <v>10</v>
      </c>
    </row>
    <row r="818" spans="1:15" x14ac:dyDescent="0.3">
      <c r="A818">
        <v>38647</v>
      </c>
      <c r="B818">
        <v>3202900</v>
      </c>
      <c r="C818" t="s">
        <v>51</v>
      </c>
      <c r="D818">
        <v>0.34599999999999997</v>
      </c>
      <c r="E818">
        <v>1068234.3999999999</v>
      </c>
      <c r="F818">
        <v>86595.46</v>
      </c>
      <c r="G818">
        <v>1154829.8600000001</v>
      </c>
      <c r="H818">
        <v>12413.19</v>
      </c>
      <c r="I818">
        <v>29784.19</v>
      </c>
      <c r="J818">
        <v>0.435</v>
      </c>
      <c r="K818">
        <v>28174.560000000001</v>
      </c>
      <c r="L818">
        <v>1025.02</v>
      </c>
      <c r="M818">
        <v>0</v>
      </c>
      <c r="N818">
        <v>2022</v>
      </c>
      <c r="O818">
        <v>10</v>
      </c>
    </row>
    <row r="819" spans="1:15" x14ac:dyDescent="0.3">
      <c r="A819">
        <v>38648</v>
      </c>
      <c r="B819">
        <v>3203007</v>
      </c>
      <c r="C819" t="s">
        <v>52</v>
      </c>
      <c r="D819">
        <v>0.438</v>
      </c>
      <c r="E819">
        <v>1352273.64</v>
      </c>
      <c r="F819">
        <v>109620.84</v>
      </c>
      <c r="G819">
        <v>1461894.48</v>
      </c>
      <c r="H819">
        <v>15713.81</v>
      </c>
      <c r="I819">
        <v>96721.58</v>
      </c>
      <c r="J819">
        <v>0.89700000000000002</v>
      </c>
      <c r="K819">
        <v>35666.07</v>
      </c>
      <c r="L819">
        <v>2113.8000000000002</v>
      </c>
      <c r="M819">
        <v>0</v>
      </c>
      <c r="N819">
        <v>2022</v>
      </c>
      <c r="O819">
        <v>10</v>
      </c>
    </row>
    <row r="820" spans="1:15" x14ac:dyDescent="0.3">
      <c r="A820">
        <v>38649</v>
      </c>
      <c r="B820">
        <v>3203056</v>
      </c>
      <c r="C820" t="s">
        <v>53</v>
      </c>
      <c r="D820">
        <v>0.8</v>
      </c>
      <c r="E820">
        <v>2469906.1800000002</v>
      </c>
      <c r="F820">
        <v>200220.69</v>
      </c>
      <c r="G820">
        <v>2670126.87</v>
      </c>
      <c r="H820">
        <v>28701.02</v>
      </c>
      <c r="I820">
        <v>103707.65</v>
      </c>
      <c r="J820">
        <v>1</v>
      </c>
      <c r="K820">
        <v>65143.5</v>
      </c>
      <c r="L820">
        <v>2357.5500000000002</v>
      </c>
      <c r="M820">
        <v>0</v>
      </c>
      <c r="N820">
        <v>2022</v>
      </c>
      <c r="O820">
        <v>10</v>
      </c>
    </row>
    <row r="821" spans="1:15" x14ac:dyDescent="0.3">
      <c r="A821">
        <v>38650</v>
      </c>
      <c r="B821">
        <v>3203106</v>
      </c>
      <c r="C821" t="s">
        <v>54</v>
      </c>
      <c r="D821">
        <v>0.21199999999999999</v>
      </c>
      <c r="E821">
        <v>654525.14</v>
      </c>
      <c r="F821">
        <v>53058.5</v>
      </c>
      <c r="G821">
        <v>707583.64</v>
      </c>
      <c r="H821">
        <v>7605.77</v>
      </c>
      <c r="I821">
        <v>20834.419999999998</v>
      </c>
      <c r="J821">
        <v>0.45800000000000002</v>
      </c>
      <c r="K821">
        <v>17263.03</v>
      </c>
      <c r="L821">
        <v>1079.5899999999999</v>
      </c>
      <c r="M821">
        <v>0</v>
      </c>
      <c r="N821">
        <v>2022</v>
      </c>
      <c r="O821">
        <v>10</v>
      </c>
    </row>
    <row r="822" spans="1:15" x14ac:dyDescent="0.3">
      <c r="A822">
        <v>38651</v>
      </c>
      <c r="B822">
        <v>3203130</v>
      </c>
      <c r="C822" t="s">
        <v>55</v>
      </c>
      <c r="D822">
        <v>0.38600000000000001</v>
      </c>
      <c r="E822">
        <v>1191729.73</v>
      </c>
      <c r="F822">
        <v>96606.5</v>
      </c>
      <c r="G822">
        <v>1288336.23</v>
      </c>
      <c r="H822">
        <v>13848.24</v>
      </c>
      <c r="I822">
        <v>47457.95</v>
      </c>
      <c r="J822">
        <v>0.66600000000000004</v>
      </c>
      <c r="K822">
        <v>31431.74</v>
      </c>
      <c r="L822">
        <v>1569.78</v>
      </c>
      <c r="M822">
        <v>0</v>
      </c>
      <c r="N822">
        <v>2022</v>
      </c>
      <c r="O822">
        <v>10</v>
      </c>
    </row>
    <row r="823" spans="1:15" x14ac:dyDescent="0.3">
      <c r="A823">
        <v>38652</v>
      </c>
      <c r="B823">
        <v>3203163</v>
      </c>
      <c r="C823" t="s">
        <v>56</v>
      </c>
      <c r="D823">
        <v>0.372</v>
      </c>
      <c r="E823">
        <v>1148506.3700000001</v>
      </c>
      <c r="F823">
        <v>93102.6</v>
      </c>
      <c r="G823">
        <v>1241608.97</v>
      </c>
      <c r="H823">
        <v>13345.98</v>
      </c>
      <c r="I823">
        <v>19635.91</v>
      </c>
      <c r="J823">
        <v>0.441</v>
      </c>
      <c r="K823">
        <v>30291.72</v>
      </c>
      <c r="L823">
        <v>1038.96</v>
      </c>
      <c r="M823">
        <v>0</v>
      </c>
      <c r="N823">
        <v>2022</v>
      </c>
      <c r="O823">
        <v>10</v>
      </c>
    </row>
    <row r="824" spans="1:15" x14ac:dyDescent="0.3">
      <c r="A824">
        <v>38653</v>
      </c>
      <c r="B824">
        <v>3203205</v>
      </c>
      <c r="C824" t="s">
        <v>57</v>
      </c>
      <c r="D824">
        <v>5.4</v>
      </c>
      <c r="E824">
        <v>16671866.720000001</v>
      </c>
      <c r="F824">
        <v>1351489.68</v>
      </c>
      <c r="G824">
        <v>18023356.399999999</v>
      </c>
      <c r="H824">
        <v>193731.9</v>
      </c>
      <c r="I824">
        <v>631660.93999999994</v>
      </c>
      <c r="J824">
        <v>4.0880000000000001</v>
      </c>
      <c r="K824">
        <v>439718.64</v>
      </c>
      <c r="L824">
        <v>9632.35</v>
      </c>
      <c r="M824">
        <v>0</v>
      </c>
      <c r="N824">
        <v>2022</v>
      </c>
      <c r="O824">
        <v>10</v>
      </c>
    </row>
    <row r="825" spans="1:15" x14ac:dyDescent="0.3">
      <c r="A825">
        <v>38654</v>
      </c>
      <c r="B825">
        <v>3203304</v>
      </c>
      <c r="C825" t="s">
        <v>58</v>
      </c>
      <c r="D825">
        <v>0.216</v>
      </c>
      <c r="E825">
        <v>666874.68999999994</v>
      </c>
      <c r="F825">
        <v>54059.6</v>
      </c>
      <c r="G825">
        <v>720934.29</v>
      </c>
      <c r="H825">
        <v>7749.28</v>
      </c>
      <c r="I825">
        <v>38000.129999999997</v>
      </c>
      <c r="J825">
        <v>0.57599999999999996</v>
      </c>
      <c r="K825">
        <v>17588.75</v>
      </c>
      <c r="L825">
        <v>1356.17</v>
      </c>
      <c r="M825">
        <v>0</v>
      </c>
      <c r="N825">
        <v>2022</v>
      </c>
      <c r="O825">
        <v>10</v>
      </c>
    </row>
    <row r="826" spans="1:15" x14ac:dyDescent="0.3">
      <c r="A826">
        <v>38655</v>
      </c>
      <c r="B826">
        <v>3203320</v>
      </c>
      <c r="C826" t="s">
        <v>59</v>
      </c>
      <c r="D826">
        <v>0.60899999999999999</v>
      </c>
      <c r="E826">
        <v>1880216.06</v>
      </c>
      <c r="F826">
        <v>152418</v>
      </c>
      <c r="G826">
        <v>2032634.06</v>
      </c>
      <c r="H826">
        <v>21848.65</v>
      </c>
      <c r="I826">
        <v>179145.38</v>
      </c>
      <c r="J826">
        <v>1.171</v>
      </c>
      <c r="K826">
        <v>49590.49</v>
      </c>
      <c r="L826">
        <v>2758.96</v>
      </c>
      <c r="M826">
        <v>0</v>
      </c>
      <c r="N826">
        <v>2022</v>
      </c>
      <c r="O826">
        <v>10</v>
      </c>
    </row>
    <row r="827" spans="1:15" x14ac:dyDescent="0.3">
      <c r="A827">
        <v>38656</v>
      </c>
      <c r="B827">
        <v>3203346</v>
      </c>
      <c r="C827" t="s">
        <v>60</v>
      </c>
      <c r="D827">
        <v>0.64500000000000002</v>
      </c>
      <c r="E827">
        <v>1991361.85</v>
      </c>
      <c r="F827">
        <v>161427.92000000001</v>
      </c>
      <c r="G827">
        <v>2152789.77</v>
      </c>
      <c r="H827">
        <v>23140.2</v>
      </c>
      <c r="I827">
        <v>70075.539999999994</v>
      </c>
      <c r="J827">
        <v>0.67100000000000004</v>
      </c>
      <c r="K827">
        <v>52521.95</v>
      </c>
      <c r="L827">
        <v>1580.3</v>
      </c>
      <c r="M827">
        <v>0</v>
      </c>
      <c r="N827">
        <v>2022</v>
      </c>
      <c r="O827">
        <v>10</v>
      </c>
    </row>
    <row r="828" spans="1:15" x14ac:dyDescent="0.3">
      <c r="A828">
        <v>38657</v>
      </c>
      <c r="B828">
        <v>3203353</v>
      </c>
      <c r="C828" t="s">
        <v>61</v>
      </c>
      <c r="D828">
        <v>0.45200000000000001</v>
      </c>
      <c r="E828">
        <v>1395496.99</v>
      </c>
      <c r="F828">
        <v>113124.71</v>
      </c>
      <c r="G828">
        <v>1508621.7</v>
      </c>
      <c r="H828">
        <v>16216.08</v>
      </c>
      <c r="I828">
        <v>34278.6</v>
      </c>
      <c r="J828">
        <v>0.46700000000000003</v>
      </c>
      <c r="K828">
        <v>36806.080000000002</v>
      </c>
      <c r="L828">
        <v>1101.24</v>
      </c>
      <c r="M828">
        <v>0</v>
      </c>
      <c r="N828">
        <v>2022</v>
      </c>
      <c r="O828">
        <v>10</v>
      </c>
    </row>
    <row r="829" spans="1:15" x14ac:dyDescent="0.3">
      <c r="A829">
        <v>38658</v>
      </c>
      <c r="B829">
        <v>3203403</v>
      </c>
      <c r="C829" t="s">
        <v>62</v>
      </c>
      <c r="D829">
        <v>0.51400000000000001</v>
      </c>
      <c r="E829">
        <v>1586914.72</v>
      </c>
      <c r="F829">
        <v>128641.8</v>
      </c>
      <c r="G829">
        <v>1715556.52</v>
      </c>
      <c r="H829">
        <v>18440.41</v>
      </c>
      <c r="I829">
        <v>92136.23</v>
      </c>
      <c r="J829">
        <v>0.85599999999999998</v>
      </c>
      <c r="K829">
        <v>41854.699999999997</v>
      </c>
      <c r="L829">
        <v>2018.08</v>
      </c>
      <c r="M829">
        <v>0</v>
      </c>
      <c r="N829">
        <v>2022</v>
      </c>
      <c r="O829">
        <v>10</v>
      </c>
    </row>
    <row r="830" spans="1:15" x14ac:dyDescent="0.3">
      <c r="A830">
        <v>38659</v>
      </c>
      <c r="B830">
        <v>3203502</v>
      </c>
      <c r="C830" t="s">
        <v>63</v>
      </c>
      <c r="D830">
        <v>0.53600000000000003</v>
      </c>
      <c r="E830">
        <v>1654837.13</v>
      </c>
      <c r="F830">
        <v>134147.89000000001</v>
      </c>
      <c r="G830">
        <v>1788985.02</v>
      </c>
      <c r="H830">
        <v>19229.689999999999</v>
      </c>
      <c r="I830">
        <v>45413.19</v>
      </c>
      <c r="J830">
        <v>0.69299999999999995</v>
      </c>
      <c r="K830">
        <v>43646.15</v>
      </c>
      <c r="L830">
        <v>1632.29</v>
      </c>
      <c r="M830">
        <v>0</v>
      </c>
      <c r="N830">
        <v>2022</v>
      </c>
      <c r="O830">
        <v>10</v>
      </c>
    </row>
    <row r="831" spans="1:15" x14ac:dyDescent="0.3">
      <c r="A831">
        <v>38660</v>
      </c>
      <c r="B831">
        <v>3203601</v>
      </c>
      <c r="C831" t="s">
        <v>64</v>
      </c>
      <c r="D831">
        <v>0.27800000000000002</v>
      </c>
      <c r="E831">
        <v>858292.39</v>
      </c>
      <c r="F831">
        <v>69576.67</v>
      </c>
      <c r="G831">
        <v>927869.06</v>
      </c>
      <c r="H831">
        <v>9973.61</v>
      </c>
      <c r="I831">
        <v>19106.28</v>
      </c>
      <c r="J831">
        <v>0.29799999999999999</v>
      </c>
      <c r="K831">
        <v>22637.37</v>
      </c>
      <c r="L831">
        <v>701.18</v>
      </c>
      <c r="M831">
        <v>0</v>
      </c>
      <c r="N831">
        <v>2022</v>
      </c>
      <c r="O831">
        <v>10</v>
      </c>
    </row>
    <row r="832" spans="1:15" x14ac:dyDescent="0.3">
      <c r="A832">
        <v>38661</v>
      </c>
      <c r="B832">
        <v>3203700</v>
      </c>
      <c r="C832" t="s">
        <v>65</v>
      </c>
      <c r="D832">
        <v>0.55000000000000004</v>
      </c>
      <c r="E832">
        <v>1698060.51</v>
      </c>
      <c r="F832">
        <v>137651.74</v>
      </c>
      <c r="G832">
        <v>1835712.25</v>
      </c>
      <c r="H832">
        <v>19731.95</v>
      </c>
      <c r="I832">
        <v>51330.81</v>
      </c>
      <c r="J832">
        <v>0.67100000000000004</v>
      </c>
      <c r="K832">
        <v>44786.16</v>
      </c>
      <c r="L832">
        <v>1581.31</v>
      </c>
      <c r="M832">
        <v>0</v>
      </c>
      <c r="N832">
        <v>2022</v>
      </c>
      <c r="O832">
        <v>10</v>
      </c>
    </row>
    <row r="833" spans="1:15" x14ac:dyDescent="0.3">
      <c r="A833">
        <v>38662</v>
      </c>
      <c r="B833">
        <v>3203809</v>
      </c>
      <c r="C833" t="s">
        <v>66</v>
      </c>
      <c r="D833">
        <v>0.29599999999999999</v>
      </c>
      <c r="E833">
        <v>913865.28</v>
      </c>
      <c r="F833">
        <v>74081.649999999994</v>
      </c>
      <c r="G833">
        <v>987946.93</v>
      </c>
      <c r="H833">
        <v>10619.38</v>
      </c>
      <c r="I833">
        <v>33161.22</v>
      </c>
      <c r="J833">
        <v>0.57499999999999996</v>
      </c>
      <c r="K833">
        <v>24103.1</v>
      </c>
      <c r="L833">
        <v>1354.71</v>
      </c>
      <c r="M833">
        <v>0</v>
      </c>
      <c r="N833">
        <v>2022</v>
      </c>
      <c r="O833">
        <v>10</v>
      </c>
    </row>
    <row r="834" spans="1:15" x14ac:dyDescent="0.3">
      <c r="A834">
        <v>38663</v>
      </c>
      <c r="B834">
        <v>3203908</v>
      </c>
      <c r="C834" t="s">
        <v>67</v>
      </c>
      <c r="D834">
        <v>1.268</v>
      </c>
      <c r="E834">
        <v>3914801.3</v>
      </c>
      <c r="F834">
        <v>317349.8</v>
      </c>
      <c r="G834">
        <v>4232151.0999999996</v>
      </c>
      <c r="H834">
        <v>45491.12</v>
      </c>
      <c r="I834">
        <v>191785.66</v>
      </c>
      <c r="J834">
        <v>1.4650000000000001</v>
      </c>
      <c r="K834">
        <v>103252.45</v>
      </c>
      <c r="L834">
        <v>3451.43</v>
      </c>
      <c r="M834">
        <v>0</v>
      </c>
      <c r="N834">
        <v>2022</v>
      </c>
      <c r="O834">
        <v>10</v>
      </c>
    </row>
    <row r="835" spans="1:15" x14ac:dyDescent="0.3">
      <c r="A835">
        <v>38664</v>
      </c>
      <c r="B835">
        <v>3204005</v>
      </c>
      <c r="C835" t="s">
        <v>68</v>
      </c>
      <c r="D835">
        <v>0.47099999999999997</v>
      </c>
      <c r="E835">
        <v>1454157.26</v>
      </c>
      <c r="F835">
        <v>117879.93</v>
      </c>
      <c r="G835">
        <v>1572037.19</v>
      </c>
      <c r="H835">
        <v>16897.73</v>
      </c>
      <c r="I835">
        <v>44778.13</v>
      </c>
      <c r="J835">
        <v>0.747</v>
      </c>
      <c r="K835">
        <v>38353.24</v>
      </c>
      <c r="L835">
        <v>1760.54</v>
      </c>
      <c r="M835">
        <v>0</v>
      </c>
      <c r="N835">
        <v>2022</v>
      </c>
      <c r="O835">
        <v>10</v>
      </c>
    </row>
    <row r="836" spans="1:15" x14ac:dyDescent="0.3">
      <c r="A836">
        <v>38665</v>
      </c>
      <c r="B836">
        <v>3204054</v>
      </c>
      <c r="C836" t="s">
        <v>69</v>
      </c>
      <c r="D836">
        <v>0.313</v>
      </c>
      <c r="E836">
        <v>966350.76</v>
      </c>
      <c r="F836">
        <v>78336.34</v>
      </c>
      <c r="G836">
        <v>1044687.1</v>
      </c>
      <c r="H836">
        <v>11229.28</v>
      </c>
      <c r="I836">
        <v>76341.06</v>
      </c>
      <c r="J836">
        <v>0.86199999999999999</v>
      </c>
      <c r="K836">
        <v>25487.39</v>
      </c>
      <c r="L836">
        <v>2032.3</v>
      </c>
      <c r="M836">
        <v>0</v>
      </c>
      <c r="N836">
        <v>2022</v>
      </c>
      <c r="O836">
        <v>10</v>
      </c>
    </row>
    <row r="837" spans="1:15" x14ac:dyDescent="0.3">
      <c r="A837">
        <v>38666</v>
      </c>
      <c r="B837">
        <v>3204104</v>
      </c>
      <c r="C837" t="s">
        <v>70</v>
      </c>
      <c r="D837">
        <v>0.72599999999999998</v>
      </c>
      <c r="E837">
        <v>2241439.85</v>
      </c>
      <c r="F837">
        <v>181700.28</v>
      </c>
      <c r="G837">
        <v>2423140.13</v>
      </c>
      <c r="H837">
        <v>26046.18</v>
      </c>
      <c r="I837">
        <v>77181.649999999994</v>
      </c>
      <c r="J837">
        <v>0.875</v>
      </c>
      <c r="K837">
        <v>59117.73</v>
      </c>
      <c r="L837">
        <v>2061.7199999999998</v>
      </c>
      <c r="M837">
        <v>0</v>
      </c>
      <c r="N837">
        <v>2022</v>
      </c>
      <c r="O837">
        <v>10</v>
      </c>
    </row>
    <row r="838" spans="1:15" x14ac:dyDescent="0.3">
      <c r="A838">
        <v>38667</v>
      </c>
      <c r="B838">
        <v>3204203</v>
      </c>
      <c r="C838" t="s">
        <v>71</v>
      </c>
      <c r="D838">
        <v>0.14599999999999999</v>
      </c>
      <c r="E838">
        <v>450757.9</v>
      </c>
      <c r="F838">
        <v>36540.28</v>
      </c>
      <c r="G838">
        <v>487298.18</v>
      </c>
      <c r="H838">
        <v>5237.9399999999996</v>
      </c>
      <c r="I838">
        <v>78383.14</v>
      </c>
      <c r="J838">
        <v>0.73399999999999999</v>
      </c>
      <c r="K838">
        <v>11888.69</v>
      </c>
      <c r="L838">
        <v>1730.77</v>
      </c>
      <c r="M838">
        <v>0</v>
      </c>
      <c r="N838">
        <v>2022</v>
      </c>
      <c r="O838">
        <v>10</v>
      </c>
    </row>
    <row r="839" spans="1:15" x14ac:dyDescent="0.3">
      <c r="A839">
        <v>38668</v>
      </c>
      <c r="B839">
        <v>3204252</v>
      </c>
      <c r="C839" t="s">
        <v>72</v>
      </c>
      <c r="D839">
        <v>0.221</v>
      </c>
      <c r="E839">
        <v>682311.59</v>
      </c>
      <c r="F839">
        <v>55310.97</v>
      </c>
      <c r="G839">
        <v>737622.56</v>
      </c>
      <c r="H839">
        <v>7928.66</v>
      </c>
      <c r="I839">
        <v>19986.62</v>
      </c>
      <c r="J839">
        <v>0.32900000000000001</v>
      </c>
      <c r="K839">
        <v>17995.900000000001</v>
      </c>
      <c r="L839">
        <v>774.25</v>
      </c>
      <c r="M839">
        <v>0</v>
      </c>
      <c r="N839">
        <v>2022</v>
      </c>
      <c r="O839">
        <v>10</v>
      </c>
    </row>
    <row r="840" spans="1:15" x14ac:dyDescent="0.3">
      <c r="A840">
        <v>38669</v>
      </c>
      <c r="B840">
        <v>1718402</v>
      </c>
      <c r="C840" t="s">
        <v>73</v>
      </c>
      <c r="D840">
        <v>0.33800000000000002</v>
      </c>
      <c r="E840">
        <v>1043535.36</v>
      </c>
      <c r="F840">
        <v>84593.24</v>
      </c>
      <c r="G840">
        <v>1128128.6000000001</v>
      </c>
      <c r="H840">
        <v>12126.18</v>
      </c>
      <c r="I840">
        <v>99032.69</v>
      </c>
      <c r="J840">
        <v>0.45100000000000001</v>
      </c>
      <c r="K840">
        <v>27523.13</v>
      </c>
      <c r="L840">
        <v>1062.53</v>
      </c>
      <c r="M840">
        <v>0</v>
      </c>
      <c r="N840">
        <v>2022</v>
      </c>
      <c r="O840">
        <v>10</v>
      </c>
    </row>
    <row r="841" spans="1:15" x14ac:dyDescent="0.3">
      <c r="A841">
        <v>38670</v>
      </c>
      <c r="B841">
        <v>3204351</v>
      </c>
      <c r="C841" t="s">
        <v>74</v>
      </c>
      <c r="D841">
        <v>0.79700000000000004</v>
      </c>
      <c r="E841">
        <v>2460644.04</v>
      </c>
      <c r="F841">
        <v>199469.86</v>
      </c>
      <c r="G841">
        <v>2660113.9</v>
      </c>
      <c r="H841">
        <v>28593.39</v>
      </c>
      <c r="I841">
        <v>60359.34</v>
      </c>
      <c r="J841">
        <v>0.69799999999999995</v>
      </c>
      <c r="K841">
        <v>64899.22</v>
      </c>
      <c r="L841">
        <v>1645.03</v>
      </c>
      <c r="M841">
        <v>0</v>
      </c>
      <c r="N841">
        <v>2022</v>
      </c>
      <c r="O841">
        <v>10</v>
      </c>
    </row>
    <row r="842" spans="1:15" x14ac:dyDescent="0.3">
      <c r="A842">
        <v>38671</v>
      </c>
      <c r="B842">
        <v>3204401</v>
      </c>
      <c r="C842" t="s">
        <v>75</v>
      </c>
      <c r="D842">
        <v>0.27500000000000002</v>
      </c>
      <c r="E842">
        <v>849030.25</v>
      </c>
      <c r="F842">
        <v>68825.850000000006</v>
      </c>
      <c r="G842">
        <v>917856.1</v>
      </c>
      <c r="H842">
        <v>9865.98</v>
      </c>
      <c r="I842">
        <v>46362.49</v>
      </c>
      <c r="J842">
        <v>0.45</v>
      </c>
      <c r="K842">
        <v>22393.08</v>
      </c>
      <c r="L842">
        <v>1059.3499999999999</v>
      </c>
      <c r="M842">
        <v>0</v>
      </c>
      <c r="N842">
        <v>2022</v>
      </c>
      <c r="O842">
        <v>10</v>
      </c>
    </row>
    <row r="843" spans="1:15" x14ac:dyDescent="0.3">
      <c r="A843">
        <v>38672</v>
      </c>
      <c r="B843">
        <v>3204500</v>
      </c>
      <c r="C843" t="s">
        <v>76</v>
      </c>
      <c r="D843">
        <v>0.53800000000000003</v>
      </c>
      <c r="E843">
        <v>1661011.9</v>
      </c>
      <c r="F843">
        <v>134648.43</v>
      </c>
      <c r="G843">
        <v>1795660.33</v>
      </c>
      <c r="H843">
        <v>19301.439999999999</v>
      </c>
      <c r="I843">
        <v>27180.880000000001</v>
      </c>
      <c r="J843">
        <v>0.45600000000000002</v>
      </c>
      <c r="K843">
        <v>43809.01</v>
      </c>
      <c r="L843">
        <v>1074.8599999999999</v>
      </c>
      <c r="M843">
        <v>0</v>
      </c>
      <c r="N843">
        <v>2022</v>
      </c>
      <c r="O843">
        <v>10</v>
      </c>
    </row>
    <row r="844" spans="1:15" x14ac:dyDescent="0.3">
      <c r="A844">
        <v>38673</v>
      </c>
      <c r="B844">
        <v>3204559</v>
      </c>
      <c r="C844" t="s">
        <v>77</v>
      </c>
      <c r="D844">
        <v>2.1160000000000001</v>
      </c>
      <c r="E844">
        <v>6532901.8499999996</v>
      </c>
      <c r="F844">
        <v>529583.74</v>
      </c>
      <c r="G844">
        <v>7062485.5899999999</v>
      </c>
      <c r="H844">
        <v>75914.2</v>
      </c>
      <c r="I844">
        <v>205580.35</v>
      </c>
      <c r="J844">
        <v>1.1990000000000001</v>
      </c>
      <c r="K844">
        <v>172304.57</v>
      </c>
      <c r="L844">
        <v>2825.75</v>
      </c>
      <c r="M844">
        <v>0</v>
      </c>
      <c r="N844">
        <v>2022</v>
      </c>
      <c r="O844">
        <v>10</v>
      </c>
    </row>
    <row r="845" spans="1:15" x14ac:dyDescent="0.3">
      <c r="A845">
        <v>38674</v>
      </c>
      <c r="B845">
        <v>3204609</v>
      </c>
      <c r="C845" t="s">
        <v>78</v>
      </c>
      <c r="D845">
        <v>0.68799999999999994</v>
      </c>
      <c r="E845">
        <v>2124119.31</v>
      </c>
      <c r="F845">
        <v>172189.8</v>
      </c>
      <c r="G845">
        <v>2296309.11</v>
      </c>
      <c r="H845">
        <v>24682.880000000001</v>
      </c>
      <c r="I845">
        <v>85005.119999999995</v>
      </c>
      <c r="J845">
        <v>0.82899999999999996</v>
      </c>
      <c r="K845">
        <v>56023.41</v>
      </c>
      <c r="L845">
        <v>1954.24</v>
      </c>
      <c r="M845">
        <v>0</v>
      </c>
      <c r="N845">
        <v>2022</v>
      </c>
      <c r="O845">
        <v>10</v>
      </c>
    </row>
    <row r="846" spans="1:15" x14ac:dyDescent="0.3">
      <c r="A846">
        <v>38675</v>
      </c>
      <c r="B846">
        <v>3204658</v>
      </c>
      <c r="C846" t="s">
        <v>79</v>
      </c>
      <c r="D846">
        <v>0.42399999999999999</v>
      </c>
      <c r="E846">
        <v>1309050.27</v>
      </c>
      <c r="F846">
        <v>106116.97</v>
      </c>
      <c r="G846">
        <v>1415167.24</v>
      </c>
      <c r="H846">
        <v>15211.54</v>
      </c>
      <c r="I846">
        <v>32125.52</v>
      </c>
      <c r="J846">
        <v>0.33700000000000002</v>
      </c>
      <c r="K846">
        <v>34526.06</v>
      </c>
      <c r="L846">
        <v>794.87</v>
      </c>
      <c r="M846">
        <v>0</v>
      </c>
      <c r="N846">
        <v>2022</v>
      </c>
      <c r="O846">
        <v>10</v>
      </c>
    </row>
    <row r="847" spans="1:15" x14ac:dyDescent="0.3">
      <c r="A847">
        <v>38676</v>
      </c>
      <c r="B847">
        <v>3204708</v>
      </c>
      <c r="C847" t="s">
        <v>80</v>
      </c>
      <c r="D847">
        <v>0.81499999999999995</v>
      </c>
      <c r="E847">
        <v>2516216.9300000002</v>
      </c>
      <c r="F847">
        <v>203974.83</v>
      </c>
      <c r="G847">
        <v>2720191.76</v>
      </c>
      <c r="H847">
        <v>29239.17</v>
      </c>
      <c r="I847">
        <v>121536.16</v>
      </c>
      <c r="J847">
        <v>1.169</v>
      </c>
      <c r="K847">
        <v>66364.94</v>
      </c>
      <c r="L847">
        <v>2753.97</v>
      </c>
      <c r="M847">
        <v>0</v>
      </c>
      <c r="N847">
        <v>2022</v>
      </c>
      <c r="O847">
        <v>10</v>
      </c>
    </row>
    <row r="848" spans="1:15" x14ac:dyDescent="0.3">
      <c r="A848">
        <v>38677</v>
      </c>
      <c r="B848">
        <v>3204807</v>
      </c>
      <c r="C848" t="s">
        <v>81</v>
      </c>
      <c r="D848">
        <v>0.23</v>
      </c>
      <c r="E848">
        <v>710098.04</v>
      </c>
      <c r="F848">
        <v>57563.47</v>
      </c>
      <c r="G848">
        <v>767661.51</v>
      </c>
      <c r="H848">
        <v>8251.5400000000009</v>
      </c>
      <c r="I848">
        <v>29222.240000000002</v>
      </c>
      <c r="J848">
        <v>0.436</v>
      </c>
      <c r="K848">
        <v>18728.759999999998</v>
      </c>
      <c r="L848">
        <v>1027.97</v>
      </c>
      <c r="M848">
        <v>0</v>
      </c>
      <c r="N848">
        <v>2022</v>
      </c>
      <c r="O848">
        <v>10</v>
      </c>
    </row>
    <row r="849" spans="1:15" x14ac:dyDescent="0.3">
      <c r="A849">
        <v>38678</v>
      </c>
      <c r="B849">
        <v>3204906</v>
      </c>
      <c r="C849" t="s">
        <v>82</v>
      </c>
      <c r="D849">
        <v>1.8839999999999999</v>
      </c>
      <c r="E849">
        <v>5816629.0700000003</v>
      </c>
      <c r="F849">
        <v>471519.72</v>
      </c>
      <c r="G849">
        <v>6288148.79</v>
      </c>
      <c r="H849">
        <v>67590.91</v>
      </c>
      <c r="I849">
        <v>488472.02</v>
      </c>
      <c r="J849">
        <v>3.024</v>
      </c>
      <c r="K849">
        <v>153412.95000000001</v>
      </c>
      <c r="L849">
        <v>7127.03</v>
      </c>
      <c r="M849">
        <v>0</v>
      </c>
      <c r="N849">
        <v>2022</v>
      </c>
      <c r="O849">
        <v>10</v>
      </c>
    </row>
    <row r="850" spans="1:15" x14ac:dyDescent="0.3">
      <c r="A850">
        <v>38679</v>
      </c>
      <c r="B850">
        <v>3204955</v>
      </c>
      <c r="C850" t="s">
        <v>83</v>
      </c>
      <c r="D850">
        <v>0.32600000000000001</v>
      </c>
      <c r="E850">
        <v>1006486.8</v>
      </c>
      <c r="F850">
        <v>81589.95</v>
      </c>
      <c r="G850">
        <v>1088076.75</v>
      </c>
      <c r="H850">
        <v>11695.67</v>
      </c>
      <c r="I850">
        <v>19257.650000000001</v>
      </c>
      <c r="J850">
        <v>0.46100000000000002</v>
      </c>
      <c r="K850">
        <v>26545.98</v>
      </c>
      <c r="L850">
        <v>1087.22</v>
      </c>
      <c r="M850">
        <v>0</v>
      </c>
      <c r="N850">
        <v>2022</v>
      </c>
      <c r="O850">
        <v>10</v>
      </c>
    </row>
    <row r="851" spans="1:15" x14ac:dyDescent="0.3">
      <c r="A851">
        <v>38680</v>
      </c>
      <c r="B851">
        <v>3205002</v>
      </c>
      <c r="C851" t="s">
        <v>84</v>
      </c>
      <c r="D851">
        <v>14.176</v>
      </c>
      <c r="E851">
        <v>43766737.5</v>
      </c>
      <c r="F851">
        <v>3547910.68</v>
      </c>
      <c r="G851">
        <v>47314648.18</v>
      </c>
      <c r="H851">
        <v>508582.12</v>
      </c>
      <c r="I851">
        <v>1685958.02</v>
      </c>
      <c r="J851">
        <v>8.4320000000000004</v>
      </c>
      <c r="K851">
        <v>1154342.8700000001</v>
      </c>
      <c r="L851">
        <v>19870.45</v>
      </c>
      <c r="M851">
        <v>0</v>
      </c>
      <c r="N851">
        <v>2022</v>
      </c>
      <c r="O851">
        <v>10</v>
      </c>
    </row>
    <row r="852" spans="1:15" x14ac:dyDescent="0.3">
      <c r="A852">
        <v>38681</v>
      </c>
      <c r="B852">
        <v>3205010</v>
      </c>
      <c r="C852" t="s">
        <v>85</v>
      </c>
      <c r="D852">
        <v>0.72199999999999998</v>
      </c>
      <c r="E852">
        <v>2229090.33</v>
      </c>
      <c r="F852">
        <v>180699.16</v>
      </c>
      <c r="G852">
        <v>2409789.4900000002</v>
      </c>
      <c r="H852">
        <v>25902.67</v>
      </c>
      <c r="I852">
        <v>64172.57</v>
      </c>
      <c r="J852">
        <v>0.997</v>
      </c>
      <c r="K852">
        <v>58792.01</v>
      </c>
      <c r="L852">
        <v>2348.63</v>
      </c>
      <c r="M852">
        <v>0</v>
      </c>
      <c r="N852">
        <v>2022</v>
      </c>
      <c r="O852">
        <v>10</v>
      </c>
    </row>
    <row r="853" spans="1:15" x14ac:dyDescent="0.3">
      <c r="A853">
        <v>38682</v>
      </c>
      <c r="B853">
        <v>3205036</v>
      </c>
      <c r="C853" t="s">
        <v>86</v>
      </c>
      <c r="D853">
        <v>0.498</v>
      </c>
      <c r="E853">
        <v>1537516.6</v>
      </c>
      <c r="F853">
        <v>124637.39</v>
      </c>
      <c r="G853">
        <v>1662153.99</v>
      </c>
      <c r="H853">
        <v>17866.39</v>
      </c>
      <c r="I853">
        <v>58403.040000000001</v>
      </c>
      <c r="J853">
        <v>0.72699999999999998</v>
      </c>
      <c r="K853">
        <v>40551.83</v>
      </c>
      <c r="L853">
        <v>1713.28</v>
      </c>
      <c r="M853">
        <v>0</v>
      </c>
      <c r="N853">
        <v>2022</v>
      </c>
      <c r="O853">
        <v>10</v>
      </c>
    </row>
    <row r="854" spans="1:15" x14ac:dyDescent="0.3">
      <c r="A854">
        <v>38683</v>
      </c>
      <c r="B854">
        <v>3205069</v>
      </c>
      <c r="C854" t="s">
        <v>87</v>
      </c>
      <c r="D854">
        <v>0.75800000000000001</v>
      </c>
      <c r="E854">
        <v>2340236.11</v>
      </c>
      <c r="F854">
        <v>189709.13</v>
      </c>
      <c r="G854">
        <v>2529945.2400000002</v>
      </c>
      <c r="H854">
        <v>27194.22</v>
      </c>
      <c r="I854">
        <v>103902.39999999999</v>
      </c>
      <c r="J854">
        <v>0.85799999999999998</v>
      </c>
      <c r="K854">
        <v>61723.47</v>
      </c>
      <c r="L854">
        <v>2021.66</v>
      </c>
      <c r="M854">
        <v>0</v>
      </c>
      <c r="N854">
        <v>2022</v>
      </c>
      <c r="O854">
        <v>10</v>
      </c>
    </row>
    <row r="855" spans="1:15" x14ac:dyDescent="0.3">
      <c r="A855">
        <v>38684</v>
      </c>
      <c r="B855">
        <v>2112803</v>
      </c>
      <c r="C855" t="s">
        <v>88</v>
      </c>
      <c r="D855">
        <v>2.9929999999999999</v>
      </c>
      <c r="E855">
        <v>9240536.4800000004</v>
      </c>
      <c r="F855">
        <v>749075.68</v>
      </c>
      <c r="G855">
        <v>9989612.1600000001</v>
      </c>
      <c r="H855">
        <v>107377.7</v>
      </c>
      <c r="I855">
        <v>195075.78</v>
      </c>
      <c r="J855">
        <v>1.984</v>
      </c>
      <c r="K855">
        <v>243718.13</v>
      </c>
      <c r="L855">
        <v>4674.21</v>
      </c>
      <c r="M855">
        <v>0</v>
      </c>
      <c r="N855">
        <v>2022</v>
      </c>
      <c r="O855">
        <v>10</v>
      </c>
    </row>
    <row r="856" spans="1:15" x14ac:dyDescent="0.3">
      <c r="A856">
        <v>38685</v>
      </c>
      <c r="B856">
        <v>3205150</v>
      </c>
      <c r="C856" t="s">
        <v>89</v>
      </c>
      <c r="D856">
        <v>0.32800000000000001</v>
      </c>
      <c r="E856">
        <v>1012661.51</v>
      </c>
      <c r="F856">
        <v>82090.47</v>
      </c>
      <c r="G856">
        <v>1094751.98</v>
      </c>
      <c r="H856">
        <v>11767.42</v>
      </c>
      <c r="I856">
        <v>18036.34</v>
      </c>
      <c r="J856">
        <v>0.34399999999999997</v>
      </c>
      <c r="K856">
        <v>26708.84</v>
      </c>
      <c r="L856">
        <v>810.5</v>
      </c>
      <c r="M856">
        <v>0</v>
      </c>
      <c r="N856">
        <v>2022</v>
      </c>
      <c r="O856">
        <v>10</v>
      </c>
    </row>
    <row r="857" spans="1:15" x14ac:dyDescent="0.3">
      <c r="A857">
        <v>38686</v>
      </c>
      <c r="B857">
        <v>3205176</v>
      </c>
      <c r="C857" t="s">
        <v>90</v>
      </c>
      <c r="D857">
        <v>0.623</v>
      </c>
      <c r="E857">
        <v>1923439.43</v>
      </c>
      <c r="F857">
        <v>155921.88</v>
      </c>
      <c r="G857">
        <v>2079361.31</v>
      </c>
      <c r="H857">
        <v>22350.92</v>
      </c>
      <c r="I857">
        <v>64547.18</v>
      </c>
      <c r="J857">
        <v>0.55600000000000005</v>
      </c>
      <c r="K857">
        <v>50730.5</v>
      </c>
      <c r="L857">
        <v>1310.6300000000001</v>
      </c>
      <c r="M857">
        <v>0</v>
      </c>
      <c r="N857">
        <v>2022</v>
      </c>
      <c r="O857">
        <v>10</v>
      </c>
    </row>
    <row r="858" spans="1:15" x14ac:dyDescent="0.3">
      <c r="A858">
        <v>38687</v>
      </c>
      <c r="B858">
        <v>3205200</v>
      </c>
      <c r="C858" t="s">
        <v>91</v>
      </c>
      <c r="D858">
        <v>5.3819999999999997</v>
      </c>
      <c r="E858">
        <v>16616293.800000001</v>
      </c>
      <c r="F858">
        <v>1346984.71</v>
      </c>
      <c r="G858">
        <v>17963278.510000002</v>
      </c>
      <c r="H858">
        <v>193086.13</v>
      </c>
      <c r="I858">
        <v>1891543.54</v>
      </c>
      <c r="J858">
        <v>8.09</v>
      </c>
      <c r="K858">
        <v>438252.91</v>
      </c>
      <c r="L858">
        <v>19064.330000000002</v>
      </c>
      <c r="M858">
        <v>0</v>
      </c>
      <c r="N858">
        <v>2022</v>
      </c>
      <c r="O858">
        <v>10</v>
      </c>
    </row>
    <row r="859" spans="1:15" x14ac:dyDescent="0.3">
      <c r="A859">
        <v>38688</v>
      </c>
      <c r="B859">
        <v>3205309</v>
      </c>
      <c r="C859" t="s">
        <v>92</v>
      </c>
      <c r="D859">
        <v>14.535</v>
      </c>
      <c r="E859">
        <v>44875108.009999998</v>
      </c>
      <c r="F859">
        <v>3637759.56</v>
      </c>
      <c r="G859">
        <v>48512867.57</v>
      </c>
      <c r="H859">
        <v>521461.7</v>
      </c>
      <c r="I859">
        <v>1824815.15</v>
      </c>
      <c r="J859">
        <v>9.4969999999999999</v>
      </c>
      <c r="K859">
        <v>1183576</v>
      </c>
      <c r="L859">
        <v>22379.360000000001</v>
      </c>
      <c r="M859">
        <v>0</v>
      </c>
      <c r="N859">
        <v>2022</v>
      </c>
      <c r="O859">
        <v>10</v>
      </c>
    </row>
    <row r="860" spans="1:15" x14ac:dyDescent="0.3">
      <c r="A860">
        <v>38689</v>
      </c>
      <c r="B860">
        <v>3200102</v>
      </c>
      <c r="C860" t="s">
        <v>15</v>
      </c>
      <c r="D860">
        <v>0.8</v>
      </c>
      <c r="E860">
        <v>2735057.18</v>
      </c>
      <c r="F860">
        <v>0</v>
      </c>
      <c r="G860">
        <v>2735057.18</v>
      </c>
      <c r="H860">
        <v>20870</v>
      </c>
      <c r="I860">
        <v>63082.3</v>
      </c>
      <c r="J860">
        <v>0.98499999999999999</v>
      </c>
      <c r="K860">
        <v>60655.23</v>
      </c>
      <c r="L860">
        <v>0</v>
      </c>
      <c r="M860">
        <v>0</v>
      </c>
      <c r="N860">
        <v>2022</v>
      </c>
      <c r="O860">
        <v>11</v>
      </c>
    </row>
    <row r="861" spans="1:15" x14ac:dyDescent="0.3">
      <c r="A861">
        <v>38690</v>
      </c>
      <c r="B861">
        <v>3200169</v>
      </c>
      <c r="C861" t="s">
        <v>16</v>
      </c>
      <c r="D861">
        <v>0.30099999999999999</v>
      </c>
      <c r="E861">
        <v>1029065.28</v>
      </c>
      <c r="F861">
        <v>0</v>
      </c>
      <c r="G861">
        <v>1029065.28</v>
      </c>
      <c r="H861">
        <v>7852.34</v>
      </c>
      <c r="I861">
        <v>17428.61</v>
      </c>
      <c r="J861">
        <v>0.439</v>
      </c>
      <c r="K861">
        <v>22821.53</v>
      </c>
      <c r="L861">
        <v>0</v>
      </c>
      <c r="M861">
        <v>0</v>
      </c>
      <c r="N861">
        <v>2022</v>
      </c>
      <c r="O861">
        <v>11</v>
      </c>
    </row>
    <row r="862" spans="1:15" x14ac:dyDescent="0.3">
      <c r="A862">
        <v>38691</v>
      </c>
      <c r="B862">
        <v>3200136</v>
      </c>
      <c r="C862" t="s">
        <v>17</v>
      </c>
      <c r="D862">
        <v>0.41599999999999998</v>
      </c>
      <c r="E862">
        <v>1422229.74</v>
      </c>
      <c r="F862">
        <v>0</v>
      </c>
      <c r="G862">
        <v>1422229.74</v>
      </c>
      <c r="H862">
        <v>10852.4</v>
      </c>
      <c r="I862">
        <v>19154.53</v>
      </c>
      <c r="J862">
        <v>0.34799999999999998</v>
      </c>
      <c r="K862">
        <v>31540.720000000001</v>
      </c>
      <c r="L862">
        <v>0</v>
      </c>
      <c r="M862">
        <v>0</v>
      </c>
      <c r="N862">
        <v>2022</v>
      </c>
      <c r="O862">
        <v>11</v>
      </c>
    </row>
    <row r="863" spans="1:15" x14ac:dyDescent="0.3">
      <c r="A863">
        <v>38692</v>
      </c>
      <c r="B863">
        <v>3200201</v>
      </c>
      <c r="C863" t="s">
        <v>18</v>
      </c>
      <c r="D863">
        <v>0.51</v>
      </c>
      <c r="E863">
        <v>1743598.94</v>
      </c>
      <c r="F863">
        <v>0</v>
      </c>
      <c r="G863">
        <v>1743598.94</v>
      </c>
      <c r="H863">
        <v>13304.63</v>
      </c>
      <c r="I863">
        <v>47585.35</v>
      </c>
      <c r="J863">
        <v>0.98</v>
      </c>
      <c r="K863">
        <v>38667.71</v>
      </c>
      <c r="L863">
        <v>0</v>
      </c>
      <c r="M863">
        <v>0</v>
      </c>
      <c r="N863">
        <v>2022</v>
      </c>
      <c r="O863">
        <v>11</v>
      </c>
    </row>
    <row r="864" spans="1:15" x14ac:dyDescent="0.3">
      <c r="A864">
        <v>38693</v>
      </c>
      <c r="B864">
        <v>3200300</v>
      </c>
      <c r="C864" t="s">
        <v>19</v>
      </c>
      <c r="D864">
        <v>0.49</v>
      </c>
      <c r="E864">
        <v>1675222.48</v>
      </c>
      <c r="F864">
        <v>0</v>
      </c>
      <c r="G864">
        <v>1675222.48</v>
      </c>
      <c r="H864">
        <v>12782.88</v>
      </c>
      <c r="I864">
        <v>32835.480000000003</v>
      </c>
      <c r="J864">
        <v>0.56399999999999995</v>
      </c>
      <c r="K864">
        <v>37151.33</v>
      </c>
      <c r="L864">
        <v>0</v>
      </c>
      <c r="M864">
        <v>0</v>
      </c>
      <c r="N864">
        <v>2022</v>
      </c>
      <c r="O864">
        <v>11</v>
      </c>
    </row>
    <row r="865" spans="1:15" x14ac:dyDescent="0.3">
      <c r="A865">
        <v>38694</v>
      </c>
      <c r="B865">
        <v>3200359</v>
      </c>
      <c r="C865" t="s">
        <v>20</v>
      </c>
      <c r="D865">
        <v>0.23100000000000001</v>
      </c>
      <c r="E865">
        <v>789747.74</v>
      </c>
      <c r="F865">
        <v>0</v>
      </c>
      <c r="G865">
        <v>789747.74</v>
      </c>
      <c r="H865">
        <v>6026.21</v>
      </c>
      <c r="I865">
        <v>12861.81</v>
      </c>
      <c r="J865">
        <v>0.32700000000000001</v>
      </c>
      <c r="K865">
        <v>17514.2</v>
      </c>
      <c r="L865">
        <v>0</v>
      </c>
      <c r="M865">
        <v>0</v>
      </c>
      <c r="N865">
        <v>2022</v>
      </c>
      <c r="O865">
        <v>11</v>
      </c>
    </row>
    <row r="866" spans="1:15" x14ac:dyDescent="0.3">
      <c r="A866">
        <v>38695</v>
      </c>
      <c r="B866">
        <v>3200409</v>
      </c>
      <c r="C866" t="s">
        <v>21</v>
      </c>
      <c r="D866">
        <v>1.766</v>
      </c>
      <c r="E866">
        <v>6037638.7199999997</v>
      </c>
      <c r="F866">
        <v>0</v>
      </c>
      <c r="G866">
        <v>6037638.7199999997</v>
      </c>
      <c r="H866">
        <v>46070.53</v>
      </c>
      <c r="I866">
        <v>72035.66</v>
      </c>
      <c r="J866">
        <v>0.90800000000000003</v>
      </c>
      <c r="K866">
        <v>133896.43</v>
      </c>
      <c r="L866">
        <v>0</v>
      </c>
      <c r="M866">
        <v>0</v>
      </c>
      <c r="N866">
        <v>2022</v>
      </c>
      <c r="O866">
        <v>11</v>
      </c>
    </row>
    <row r="867" spans="1:15" x14ac:dyDescent="0.3">
      <c r="A867">
        <v>38696</v>
      </c>
      <c r="B867">
        <v>3200508</v>
      </c>
      <c r="C867" t="s">
        <v>22</v>
      </c>
      <c r="D867">
        <v>0.185</v>
      </c>
      <c r="E867">
        <v>632481.98</v>
      </c>
      <c r="F867">
        <v>0</v>
      </c>
      <c r="G867">
        <v>632481.98</v>
      </c>
      <c r="H867">
        <v>4826.1899999999996</v>
      </c>
      <c r="I867">
        <v>39854.22</v>
      </c>
      <c r="J867">
        <v>0.32300000000000001</v>
      </c>
      <c r="K867">
        <v>14026.52</v>
      </c>
      <c r="L867">
        <v>0</v>
      </c>
      <c r="M867">
        <v>0</v>
      </c>
      <c r="N867">
        <v>2022</v>
      </c>
      <c r="O867">
        <v>11</v>
      </c>
    </row>
    <row r="868" spans="1:15" x14ac:dyDescent="0.3">
      <c r="A868">
        <v>38697</v>
      </c>
      <c r="B868">
        <v>3200607</v>
      </c>
      <c r="C868" t="s">
        <v>23</v>
      </c>
      <c r="D868">
        <v>4.9909999999999997</v>
      </c>
      <c r="E868">
        <v>17063337.960000001</v>
      </c>
      <c r="F868">
        <v>0</v>
      </c>
      <c r="G868">
        <v>17063337.960000001</v>
      </c>
      <c r="H868">
        <v>130202.71</v>
      </c>
      <c r="I868">
        <v>310042.90999999997</v>
      </c>
      <c r="J868">
        <v>2.5089999999999999</v>
      </c>
      <c r="K868">
        <v>378412.84</v>
      </c>
      <c r="L868">
        <v>0</v>
      </c>
      <c r="M868">
        <v>0</v>
      </c>
      <c r="N868">
        <v>2022</v>
      </c>
      <c r="O868">
        <v>11</v>
      </c>
    </row>
    <row r="869" spans="1:15" x14ac:dyDescent="0.3">
      <c r="A869">
        <v>38698</v>
      </c>
      <c r="B869">
        <v>3200706</v>
      </c>
      <c r="C869" t="s">
        <v>24</v>
      </c>
      <c r="D869">
        <v>0.373</v>
      </c>
      <c r="E869">
        <v>1275220.4099999999</v>
      </c>
      <c r="F869">
        <v>0</v>
      </c>
      <c r="G869">
        <v>1275220.4099999999</v>
      </c>
      <c r="H869">
        <v>9730.64</v>
      </c>
      <c r="I869">
        <v>24194.1</v>
      </c>
      <c r="J869">
        <v>0.45700000000000002</v>
      </c>
      <c r="K869">
        <v>28280.5</v>
      </c>
      <c r="L869">
        <v>0</v>
      </c>
      <c r="M869">
        <v>0</v>
      </c>
      <c r="N869">
        <v>2022</v>
      </c>
      <c r="O869">
        <v>11</v>
      </c>
    </row>
    <row r="870" spans="1:15" x14ac:dyDescent="0.3">
      <c r="A870">
        <v>38699</v>
      </c>
      <c r="B870">
        <v>3200805</v>
      </c>
      <c r="C870" t="s">
        <v>25</v>
      </c>
      <c r="D870">
        <v>0.64300000000000002</v>
      </c>
      <c r="E870">
        <v>2198302.2000000002</v>
      </c>
      <c r="F870">
        <v>0</v>
      </c>
      <c r="G870">
        <v>2198302.2000000002</v>
      </c>
      <c r="H870">
        <v>16774.259999999998</v>
      </c>
      <c r="I870">
        <v>78280.259999999995</v>
      </c>
      <c r="J870">
        <v>0.996</v>
      </c>
      <c r="K870">
        <v>48751.64</v>
      </c>
      <c r="L870">
        <v>0</v>
      </c>
      <c r="M870">
        <v>0</v>
      </c>
      <c r="N870">
        <v>2022</v>
      </c>
      <c r="O870">
        <v>11</v>
      </c>
    </row>
    <row r="871" spans="1:15" x14ac:dyDescent="0.3">
      <c r="A871">
        <v>38700</v>
      </c>
      <c r="B871">
        <v>3200904</v>
      </c>
      <c r="C871" t="s">
        <v>26</v>
      </c>
      <c r="D871">
        <v>1.036</v>
      </c>
      <c r="E871">
        <v>3541899.07</v>
      </c>
      <c r="F871">
        <v>0</v>
      </c>
      <c r="G871">
        <v>3541899.07</v>
      </c>
      <c r="H871">
        <v>27026.65</v>
      </c>
      <c r="I871">
        <v>122587.56</v>
      </c>
      <c r="J871">
        <v>1.321</v>
      </c>
      <c r="K871">
        <v>78548.53</v>
      </c>
      <c r="L871">
        <v>0</v>
      </c>
      <c r="M871">
        <v>0</v>
      </c>
      <c r="N871">
        <v>2022</v>
      </c>
      <c r="O871">
        <v>11</v>
      </c>
    </row>
    <row r="872" spans="1:15" x14ac:dyDescent="0.3">
      <c r="A872">
        <v>38701</v>
      </c>
      <c r="B872">
        <v>3107109</v>
      </c>
      <c r="C872" t="s">
        <v>27</v>
      </c>
      <c r="D872">
        <v>0.39900000000000002</v>
      </c>
      <c r="E872">
        <v>1364109.77</v>
      </c>
      <c r="F872">
        <v>0</v>
      </c>
      <c r="G872">
        <v>1364109.77</v>
      </c>
      <c r="H872">
        <v>10408.91</v>
      </c>
      <c r="I872">
        <v>31015.919999999998</v>
      </c>
      <c r="J872">
        <v>0.56899999999999995</v>
      </c>
      <c r="K872">
        <v>30251.8</v>
      </c>
      <c r="L872">
        <v>0</v>
      </c>
      <c r="M872">
        <v>0</v>
      </c>
      <c r="N872">
        <v>2022</v>
      </c>
      <c r="O872">
        <v>11</v>
      </c>
    </row>
    <row r="873" spans="1:15" x14ac:dyDescent="0.3">
      <c r="A873">
        <v>38702</v>
      </c>
      <c r="B873">
        <v>3201100</v>
      </c>
      <c r="C873" t="s">
        <v>28</v>
      </c>
      <c r="D873">
        <v>0.17599999999999999</v>
      </c>
      <c r="E873">
        <v>601712.59</v>
      </c>
      <c r="F873">
        <v>0</v>
      </c>
      <c r="G873">
        <v>601712.59</v>
      </c>
      <c r="H873">
        <v>4591.3999999999996</v>
      </c>
      <c r="I873">
        <v>69846.81</v>
      </c>
      <c r="J873">
        <v>0.43</v>
      </c>
      <c r="K873">
        <v>13344.15</v>
      </c>
      <c r="L873">
        <v>0</v>
      </c>
      <c r="M873">
        <v>0</v>
      </c>
      <c r="N873">
        <v>2022</v>
      </c>
      <c r="O873">
        <v>11</v>
      </c>
    </row>
    <row r="874" spans="1:15" x14ac:dyDescent="0.3">
      <c r="A874">
        <v>38703</v>
      </c>
      <c r="B874">
        <v>3201159</v>
      </c>
      <c r="C874" t="s">
        <v>29</v>
      </c>
      <c r="D874">
        <v>0.42099999999999999</v>
      </c>
      <c r="E874">
        <v>1439323.83</v>
      </c>
      <c r="F874">
        <v>0</v>
      </c>
      <c r="G874">
        <v>1439323.83</v>
      </c>
      <c r="H874">
        <v>10982.84</v>
      </c>
      <c r="I874">
        <v>23471.57</v>
      </c>
      <c r="J874">
        <v>0.46</v>
      </c>
      <c r="K874">
        <v>31919.82</v>
      </c>
      <c r="L874">
        <v>0</v>
      </c>
      <c r="M874">
        <v>0</v>
      </c>
      <c r="N874">
        <v>2022</v>
      </c>
      <c r="O874">
        <v>11</v>
      </c>
    </row>
    <row r="875" spans="1:15" x14ac:dyDescent="0.3">
      <c r="A875">
        <v>38704</v>
      </c>
      <c r="B875">
        <v>3201209</v>
      </c>
      <c r="C875" t="s">
        <v>30</v>
      </c>
      <c r="D875">
        <v>3.234</v>
      </c>
      <c r="E875">
        <v>11056468.67</v>
      </c>
      <c r="F875">
        <v>0</v>
      </c>
      <c r="G875">
        <v>11056468.67</v>
      </c>
      <c r="H875">
        <v>84366.98</v>
      </c>
      <c r="I875">
        <v>622350.68999999994</v>
      </c>
      <c r="J875">
        <v>4.4820000000000002</v>
      </c>
      <c r="K875">
        <v>245198.78</v>
      </c>
      <c r="L875">
        <v>0</v>
      </c>
      <c r="M875">
        <v>0</v>
      </c>
      <c r="N875">
        <v>2022</v>
      </c>
      <c r="O875">
        <v>11</v>
      </c>
    </row>
    <row r="876" spans="1:15" x14ac:dyDescent="0.3">
      <c r="A876">
        <v>38705</v>
      </c>
      <c r="B876">
        <v>3201308</v>
      </c>
      <c r="C876" t="s">
        <v>31</v>
      </c>
      <c r="D876">
        <v>7.4969999999999999</v>
      </c>
      <c r="E876">
        <v>25630904.559999999</v>
      </c>
      <c r="F876">
        <v>0</v>
      </c>
      <c r="G876">
        <v>25630904.559999999</v>
      </c>
      <c r="H876">
        <v>195577.99</v>
      </c>
      <c r="I876">
        <v>739260.06</v>
      </c>
      <c r="J876">
        <v>6.6040000000000001</v>
      </c>
      <c r="K876">
        <v>568415.36</v>
      </c>
      <c r="L876">
        <v>0</v>
      </c>
      <c r="M876">
        <v>0</v>
      </c>
      <c r="N876">
        <v>2022</v>
      </c>
      <c r="O876">
        <v>11</v>
      </c>
    </row>
    <row r="877" spans="1:15" x14ac:dyDescent="0.3">
      <c r="A877">
        <v>38706</v>
      </c>
      <c r="B877">
        <v>3201407</v>
      </c>
      <c r="C877" t="s">
        <v>32</v>
      </c>
      <c r="D877">
        <v>0.96499999999999997</v>
      </c>
      <c r="E877">
        <v>3299162.71</v>
      </c>
      <c r="F877">
        <v>0</v>
      </c>
      <c r="G877">
        <v>3299162.71</v>
      </c>
      <c r="H877">
        <v>25174.44</v>
      </c>
      <c r="I877">
        <v>202009.36</v>
      </c>
      <c r="J877">
        <v>1.155</v>
      </c>
      <c r="K877">
        <v>73165.38</v>
      </c>
      <c r="L877">
        <v>0</v>
      </c>
      <c r="M877">
        <v>0</v>
      </c>
      <c r="N877">
        <v>2022</v>
      </c>
      <c r="O877">
        <v>11</v>
      </c>
    </row>
    <row r="878" spans="1:15" x14ac:dyDescent="0.3">
      <c r="A878">
        <v>38707</v>
      </c>
      <c r="B878">
        <v>3201506</v>
      </c>
      <c r="C878" t="s">
        <v>33</v>
      </c>
      <c r="D878">
        <v>2.1739999999999999</v>
      </c>
      <c r="E878">
        <v>7432517.8799999999</v>
      </c>
      <c r="F878">
        <v>0</v>
      </c>
      <c r="G878">
        <v>7432517.8799999999</v>
      </c>
      <c r="H878">
        <v>56714.23</v>
      </c>
      <c r="I878">
        <v>332186.87</v>
      </c>
      <c r="J878">
        <v>2.8220000000000001</v>
      </c>
      <c r="K878">
        <v>164830.6</v>
      </c>
      <c r="L878">
        <v>0</v>
      </c>
      <c r="M878">
        <v>0</v>
      </c>
      <c r="N878">
        <v>2022</v>
      </c>
      <c r="O878">
        <v>11</v>
      </c>
    </row>
    <row r="879" spans="1:15" x14ac:dyDescent="0.3">
      <c r="A879">
        <v>38708</v>
      </c>
      <c r="B879">
        <v>3201605</v>
      </c>
      <c r="C879" t="s">
        <v>34</v>
      </c>
      <c r="D879">
        <v>0.65200000000000002</v>
      </c>
      <c r="E879">
        <v>2229071.59</v>
      </c>
      <c r="F879">
        <v>0</v>
      </c>
      <c r="G879">
        <v>2229071.59</v>
      </c>
      <c r="H879">
        <v>17009.05</v>
      </c>
      <c r="I879">
        <v>38779.99</v>
      </c>
      <c r="J879">
        <v>0.999</v>
      </c>
      <c r="K879">
        <v>49434.02</v>
      </c>
      <c r="L879">
        <v>0</v>
      </c>
      <c r="M879">
        <v>0</v>
      </c>
      <c r="N879">
        <v>2022</v>
      </c>
      <c r="O879">
        <v>11</v>
      </c>
    </row>
    <row r="880" spans="1:15" x14ac:dyDescent="0.3">
      <c r="A880">
        <v>38709</v>
      </c>
      <c r="B880">
        <v>3201704</v>
      </c>
      <c r="C880" t="s">
        <v>35</v>
      </c>
      <c r="D880">
        <v>0.47499999999999998</v>
      </c>
      <c r="E880">
        <v>1623940.2</v>
      </c>
      <c r="F880">
        <v>0</v>
      </c>
      <c r="G880">
        <v>1623940.2</v>
      </c>
      <c r="H880">
        <v>12391.56</v>
      </c>
      <c r="I880">
        <v>24311.51</v>
      </c>
      <c r="J880">
        <v>0.46500000000000002</v>
      </c>
      <c r="K880">
        <v>36014.04</v>
      </c>
      <c r="L880">
        <v>0</v>
      </c>
      <c r="M880">
        <v>0</v>
      </c>
      <c r="N880">
        <v>2022</v>
      </c>
      <c r="O880">
        <v>11</v>
      </c>
    </row>
    <row r="881" spans="1:15" x14ac:dyDescent="0.3">
      <c r="A881">
        <v>38710</v>
      </c>
      <c r="B881">
        <v>3201803</v>
      </c>
      <c r="C881" t="s">
        <v>36</v>
      </c>
      <c r="D881">
        <v>0.186</v>
      </c>
      <c r="E881">
        <v>635900.79</v>
      </c>
      <c r="F881">
        <v>0</v>
      </c>
      <c r="G881">
        <v>635900.79</v>
      </c>
      <c r="H881">
        <v>4852.28</v>
      </c>
      <c r="I881">
        <v>9311.43</v>
      </c>
      <c r="J881">
        <v>0.28299999999999997</v>
      </c>
      <c r="K881">
        <v>14102.34</v>
      </c>
      <c r="L881">
        <v>0</v>
      </c>
      <c r="M881">
        <v>0</v>
      </c>
      <c r="N881">
        <v>2022</v>
      </c>
      <c r="O881">
        <v>11</v>
      </c>
    </row>
    <row r="882" spans="1:15" x14ac:dyDescent="0.3">
      <c r="A882">
        <v>38711</v>
      </c>
      <c r="B882">
        <v>3201902</v>
      </c>
      <c r="C882" t="s">
        <v>37</v>
      </c>
      <c r="D882">
        <v>1.3140000000000001</v>
      </c>
      <c r="E882">
        <v>4492331.43</v>
      </c>
      <c r="F882">
        <v>0</v>
      </c>
      <c r="G882">
        <v>4492331.43</v>
      </c>
      <c r="H882">
        <v>34278.980000000003</v>
      </c>
      <c r="I882">
        <v>78333</v>
      </c>
      <c r="J882">
        <v>1.0309999999999999</v>
      </c>
      <c r="K882">
        <v>99626.22</v>
      </c>
      <c r="L882">
        <v>0</v>
      </c>
      <c r="M882">
        <v>0</v>
      </c>
      <c r="N882">
        <v>2022</v>
      </c>
      <c r="O882">
        <v>11</v>
      </c>
    </row>
    <row r="883" spans="1:15" x14ac:dyDescent="0.3">
      <c r="A883">
        <v>38712</v>
      </c>
      <c r="B883">
        <v>3202009</v>
      </c>
      <c r="C883" t="s">
        <v>38</v>
      </c>
      <c r="D883">
        <v>0.26</v>
      </c>
      <c r="E883">
        <v>888893.6</v>
      </c>
      <c r="F883">
        <v>0</v>
      </c>
      <c r="G883">
        <v>888893.6</v>
      </c>
      <c r="H883">
        <v>6782.75</v>
      </c>
      <c r="I883">
        <v>22518.25</v>
      </c>
      <c r="J883">
        <v>0.314</v>
      </c>
      <c r="K883">
        <v>19712.95</v>
      </c>
      <c r="L883">
        <v>0</v>
      </c>
      <c r="M883">
        <v>0</v>
      </c>
      <c r="N883">
        <v>2022</v>
      </c>
      <c r="O883">
        <v>11</v>
      </c>
    </row>
    <row r="884" spans="1:15" x14ac:dyDescent="0.3">
      <c r="A884">
        <v>38713</v>
      </c>
      <c r="B884">
        <v>3202108</v>
      </c>
      <c r="C884" t="s">
        <v>39</v>
      </c>
      <c r="D884">
        <v>0.69899999999999995</v>
      </c>
      <c r="E884">
        <v>2389756.21</v>
      </c>
      <c r="F884">
        <v>0</v>
      </c>
      <c r="G884">
        <v>2389756.21</v>
      </c>
      <c r="H884">
        <v>18235.16</v>
      </c>
      <c r="I884">
        <v>49846.879999999997</v>
      </c>
      <c r="J884">
        <v>0.81599999999999995</v>
      </c>
      <c r="K884">
        <v>52997.51</v>
      </c>
      <c r="L884">
        <v>0</v>
      </c>
      <c r="M884">
        <v>0</v>
      </c>
      <c r="N884">
        <v>2022</v>
      </c>
      <c r="O884">
        <v>11</v>
      </c>
    </row>
    <row r="885" spans="1:15" x14ac:dyDescent="0.3">
      <c r="A885">
        <v>38714</v>
      </c>
      <c r="B885">
        <v>3202207</v>
      </c>
      <c r="C885" t="s">
        <v>40</v>
      </c>
      <c r="D885">
        <v>0.313</v>
      </c>
      <c r="E885">
        <v>1070091.1200000001</v>
      </c>
      <c r="F885">
        <v>0</v>
      </c>
      <c r="G885">
        <v>1070091.1200000001</v>
      </c>
      <c r="H885">
        <v>8165.39</v>
      </c>
      <c r="I885">
        <v>38188.910000000003</v>
      </c>
      <c r="J885">
        <v>0.73399999999999999</v>
      </c>
      <c r="K885">
        <v>23731.360000000001</v>
      </c>
      <c r="L885">
        <v>0</v>
      </c>
      <c r="M885">
        <v>0</v>
      </c>
      <c r="N885">
        <v>2022</v>
      </c>
      <c r="O885">
        <v>11</v>
      </c>
    </row>
    <row r="886" spans="1:15" x14ac:dyDescent="0.3">
      <c r="A886">
        <v>38715</v>
      </c>
      <c r="B886">
        <v>3202256</v>
      </c>
      <c r="C886" t="s">
        <v>41</v>
      </c>
      <c r="D886">
        <v>0.43</v>
      </c>
      <c r="E886">
        <v>1470093.23</v>
      </c>
      <c r="F886">
        <v>0</v>
      </c>
      <c r="G886">
        <v>1470093.23</v>
      </c>
      <c r="H886">
        <v>11217.63</v>
      </c>
      <c r="I886">
        <v>17973.45</v>
      </c>
      <c r="J886">
        <v>0.46700000000000003</v>
      </c>
      <c r="K886">
        <v>32602.19</v>
      </c>
      <c r="L886">
        <v>0</v>
      </c>
      <c r="M886">
        <v>0</v>
      </c>
      <c r="N886">
        <v>2022</v>
      </c>
      <c r="O886">
        <v>11</v>
      </c>
    </row>
    <row r="887" spans="1:15" x14ac:dyDescent="0.3">
      <c r="A887">
        <v>38716</v>
      </c>
      <c r="B887">
        <v>3202306</v>
      </c>
      <c r="C887" t="s">
        <v>42</v>
      </c>
      <c r="D887">
        <v>0.378</v>
      </c>
      <c r="E887">
        <v>1292314.52</v>
      </c>
      <c r="F887">
        <v>0</v>
      </c>
      <c r="G887">
        <v>1292314.52</v>
      </c>
      <c r="H887">
        <v>9861.08</v>
      </c>
      <c r="I887">
        <v>80640.62</v>
      </c>
      <c r="J887">
        <v>0.998</v>
      </c>
      <c r="K887">
        <v>28659.599999999999</v>
      </c>
      <c r="L887">
        <v>0</v>
      </c>
      <c r="M887">
        <v>0</v>
      </c>
      <c r="N887">
        <v>2022</v>
      </c>
      <c r="O887">
        <v>11</v>
      </c>
    </row>
    <row r="888" spans="1:15" x14ac:dyDescent="0.3">
      <c r="A888">
        <v>38717</v>
      </c>
      <c r="B888">
        <v>3202405</v>
      </c>
      <c r="C888" t="s">
        <v>43</v>
      </c>
      <c r="D888">
        <v>0.90900000000000003</v>
      </c>
      <c r="E888">
        <v>3107708.71</v>
      </c>
      <c r="F888">
        <v>0</v>
      </c>
      <c r="G888">
        <v>3107708.71</v>
      </c>
      <c r="H888">
        <v>23713.54</v>
      </c>
      <c r="I888">
        <v>602350.18999999994</v>
      </c>
      <c r="J888">
        <v>2.8730000000000002</v>
      </c>
      <c r="K888">
        <v>68919.509999999995</v>
      </c>
      <c r="L888">
        <v>0</v>
      </c>
      <c r="M888">
        <v>0</v>
      </c>
      <c r="N888">
        <v>2022</v>
      </c>
      <c r="O888">
        <v>11</v>
      </c>
    </row>
    <row r="889" spans="1:15" x14ac:dyDescent="0.3">
      <c r="A889">
        <v>38718</v>
      </c>
      <c r="B889">
        <v>3202454</v>
      </c>
      <c r="C889" t="s">
        <v>44</v>
      </c>
      <c r="D889">
        <v>0.35099999999999998</v>
      </c>
      <c r="E889">
        <v>1200006.3400000001</v>
      </c>
      <c r="F889">
        <v>0</v>
      </c>
      <c r="G889">
        <v>1200006.3400000001</v>
      </c>
      <c r="H889">
        <v>9156.7099999999991</v>
      </c>
      <c r="I889">
        <v>56916.45</v>
      </c>
      <c r="J889">
        <v>0.86499999999999999</v>
      </c>
      <c r="K889">
        <v>26612.48</v>
      </c>
      <c r="L889">
        <v>0</v>
      </c>
      <c r="M889">
        <v>0</v>
      </c>
      <c r="N889">
        <v>2022</v>
      </c>
      <c r="O889">
        <v>11</v>
      </c>
    </row>
    <row r="890" spans="1:15" x14ac:dyDescent="0.3">
      <c r="A890">
        <v>38719</v>
      </c>
      <c r="B890">
        <v>3202504</v>
      </c>
      <c r="C890" t="s">
        <v>45</v>
      </c>
      <c r="D890">
        <v>0.26700000000000002</v>
      </c>
      <c r="E890">
        <v>912825.33</v>
      </c>
      <c r="F890">
        <v>0</v>
      </c>
      <c r="G890">
        <v>912825.33</v>
      </c>
      <c r="H890">
        <v>6965.36</v>
      </c>
      <c r="I890">
        <v>19683.27</v>
      </c>
      <c r="J890">
        <v>0.46300000000000002</v>
      </c>
      <c r="K890">
        <v>20243.68</v>
      </c>
      <c r="L890">
        <v>0</v>
      </c>
      <c r="M890">
        <v>0</v>
      </c>
      <c r="N890">
        <v>2022</v>
      </c>
      <c r="O890">
        <v>11</v>
      </c>
    </row>
    <row r="891" spans="1:15" x14ac:dyDescent="0.3">
      <c r="A891">
        <v>38720</v>
      </c>
      <c r="B891">
        <v>3202553</v>
      </c>
      <c r="C891" t="s">
        <v>46</v>
      </c>
      <c r="D891">
        <v>0.248</v>
      </c>
      <c r="E891">
        <v>847867.74</v>
      </c>
      <c r="F891">
        <v>0</v>
      </c>
      <c r="G891">
        <v>847867.74</v>
      </c>
      <c r="H891">
        <v>6469.7</v>
      </c>
      <c r="I891">
        <v>18706.509999999998</v>
      </c>
      <c r="J891">
        <v>0.33800000000000002</v>
      </c>
      <c r="K891">
        <v>18803.12</v>
      </c>
      <c r="L891">
        <v>0</v>
      </c>
      <c r="M891">
        <v>0</v>
      </c>
      <c r="N891">
        <v>2022</v>
      </c>
      <c r="O891">
        <v>11</v>
      </c>
    </row>
    <row r="892" spans="1:15" x14ac:dyDescent="0.3">
      <c r="A892">
        <v>38721</v>
      </c>
      <c r="B892">
        <v>3202603</v>
      </c>
      <c r="C892" t="s">
        <v>47</v>
      </c>
      <c r="D892">
        <v>0.34399999999999997</v>
      </c>
      <c r="E892">
        <v>1176074.58</v>
      </c>
      <c r="F892">
        <v>0</v>
      </c>
      <c r="G892">
        <v>1176074.58</v>
      </c>
      <c r="H892">
        <v>8974.1</v>
      </c>
      <c r="I892">
        <v>39142.35</v>
      </c>
      <c r="J892">
        <v>0.55600000000000005</v>
      </c>
      <c r="K892">
        <v>26081.75</v>
      </c>
      <c r="L892">
        <v>0</v>
      </c>
      <c r="M892">
        <v>0</v>
      </c>
      <c r="N892">
        <v>2022</v>
      </c>
      <c r="O892">
        <v>11</v>
      </c>
    </row>
    <row r="893" spans="1:15" x14ac:dyDescent="0.3">
      <c r="A893">
        <v>38722</v>
      </c>
      <c r="B893">
        <v>3202652</v>
      </c>
      <c r="C893" t="s">
        <v>48</v>
      </c>
      <c r="D893">
        <v>0.308</v>
      </c>
      <c r="E893">
        <v>1052997.02</v>
      </c>
      <c r="F893">
        <v>0</v>
      </c>
      <c r="G893">
        <v>1052997.02</v>
      </c>
      <c r="H893">
        <v>8034.95</v>
      </c>
      <c r="I893">
        <v>40193.67</v>
      </c>
      <c r="J893">
        <v>0.55100000000000005</v>
      </c>
      <c r="K893">
        <v>23352.26</v>
      </c>
      <c r="L893">
        <v>0</v>
      </c>
      <c r="M893">
        <v>0</v>
      </c>
      <c r="N893">
        <v>2022</v>
      </c>
      <c r="O893">
        <v>11</v>
      </c>
    </row>
    <row r="894" spans="1:15" x14ac:dyDescent="0.3">
      <c r="A894">
        <v>38723</v>
      </c>
      <c r="B894">
        <v>3202702</v>
      </c>
      <c r="C894" t="s">
        <v>49</v>
      </c>
      <c r="D894">
        <v>0.35499999999999998</v>
      </c>
      <c r="E894">
        <v>1213681.6399999999</v>
      </c>
      <c r="F894">
        <v>0</v>
      </c>
      <c r="G894">
        <v>1213681.6399999999</v>
      </c>
      <c r="H894">
        <v>9261.06</v>
      </c>
      <c r="I894">
        <v>22762.27</v>
      </c>
      <c r="J894">
        <v>0.55500000000000005</v>
      </c>
      <c r="K894">
        <v>26915.759999999998</v>
      </c>
      <c r="L894">
        <v>0</v>
      </c>
      <c r="M894">
        <v>0</v>
      </c>
      <c r="N894">
        <v>2022</v>
      </c>
      <c r="O894">
        <v>11</v>
      </c>
    </row>
    <row r="895" spans="1:15" x14ac:dyDescent="0.3">
      <c r="A895">
        <v>38724</v>
      </c>
      <c r="B895">
        <v>3202801</v>
      </c>
      <c r="C895" t="s">
        <v>50</v>
      </c>
      <c r="D895">
        <v>2.262</v>
      </c>
      <c r="E895">
        <v>7733374.1699999999</v>
      </c>
      <c r="F895">
        <v>0</v>
      </c>
      <c r="G895">
        <v>7733374.1699999999</v>
      </c>
      <c r="H895">
        <v>59009.93</v>
      </c>
      <c r="I895">
        <v>97869.87</v>
      </c>
      <c r="J895">
        <v>1.042</v>
      </c>
      <c r="K895">
        <v>171502.67</v>
      </c>
      <c r="L895">
        <v>0</v>
      </c>
      <c r="M895">
        <v>0</v>
      </c>
      <c r="N895">
        <v>2022</v>
      </c>
      <c r="O895">
        <v>11</v>
      </c>
    </row>
    <row r="896" spans="1:15" x14ac:dyDescent="0.3">
      <c r="A896">
        <v>38725</v>
      </c>
      <c r="B896">
        <v>3202900</v>
      </c>
      <c r="C896" t="s">
        <v>51</v>
      </c>
      <c r="D896">
        <v>0.34599999999999997</v>
      </c>
      <c r="E896">
        <v>1182912.22</v>
      </c>
      <c r="F896">
        <v>0</v>
      </c>
      <c r="G896">
        <v>1182912.22</v>
      </c>
      <c r="H896">
        <v>9026.2800000000007</v>
      </c>
      <c r="I896">
        <v>16152.59</v>
      </c>
      <c r="J896">
        <v>0.435</v>
      </c>
      <c r="K896">
        <v>26233.39</v>
      </c>
      <c r="L896">
        <v>0</v>
      </c>
      <c r="M896">
        <v>0</v>
      </c>
      <c r="N896">
        <v>2022</v>
      </c>
      <c r="O896">
        <v>11</v>
      </c>
    </row>
    <row r="897" spans="1:15" x14ac:dyDescent="0.3">
      <c r="A897">
        <v>38726</v>
      </c>
      <c r="B897">
        <v>3203007</v>
      </c>
      <c r="C897" t="s">
        <v>52</v>
      </c>
      <c r="D897">
        <v>0.438</v>
      </c>
      <c r="E897">
        <v>1497443.78</v>
      </c>
      <c r="F897">
        <v>0</v>
      </c>
      <c r="G897">
        <v>1497443.78</v>
      </c>
      <c r="H897">
        <v>11426.33</v>
      </c>
      <c r="I897">
        <v>74407.13</v>
      </c>
      <c r="J897">
        <v>0.89700000000000002</v>
      </c>
      <c r="K897">
        <v>33208.74</v>
      </c>
      <c r="L897">
        <v>0</v>
      </c>
      <c r="M897">
        <v>0</v>
      </c>
      <c r="N897">
        <v>2022</v>
      </c>
      <c r="O897">
        <v>11</v>
      </c>
    </row>
    <row r="898" spans="1:15" x14ac:dyDescent="0.3">
      <c r="A898">
        <v>38727</v>
      </c>
      <c r="B898">
        <v>3203056</v>
      </c>
      <c r="C898" t="s">
        <v>53</v>
      </c>
      <c r="D898">
        <v>0.8</v>
      </c>
      <c r="E898">
        <v>2735057.18</v>
      </c>
      <c r="F898">
        <v>0</v>
      </c>
      <c r="G898">
        <v>2735057.18</v>
      </c>
      <c r="H898">
        <v>20870</v>
      </c>
      <c r="I898">
        <v>58308.28</v>
      </c>
      <c r="J898">
        <v>1</v>
      </c>
      <c r="K898">
        <v>60655.23</v>
      </c>
      <c r="L898">
        <v>0</v>
      </c>
      <c r="M898">
        <v>0</v>
      </c>
      <c r="N898">
        <v>2022</v>
      </c>
      <c r="O898">
        <v>11</v>
      </c>
    </row>
    <row r="899" spans="1:15" x14ac:dyDescent="0.3">
      <c r="A899">
        <v>38728</v>
      </c>
      <c r="B899">
        <v>3203106</v>
      </c>
      <c r="C899" t="s">
        <v>54</v>
      </c>
      <c r="D899">
        <v>0.21199999999999999</v>
      </c>
      <c r="E899">
        <v>724790.15</v>
      </c>
      <c r="F899">
        <v>0</v>
      </c>
      <c r="G899">
        <v>724790.15</v>
      </c>
      <c r="H899">
        <v>5530.55</v>
      </c>
      <c r="I899">
        <v>13332.05</v>
      </c>
      <c r="J899">
        <v>0.45800000000000002</v>
      </c>
      <c r="K899">
        <v>16073.64</v>
      </c>
      <c r="L899">
        <v>0</v>
      </c>
      <c r="M899">
        <v>0</v>
      </c>
      <c r="N899">
        <v>2022</v>
      </c>
      <c r="O899">
        <v>11</v>
      </c>
    </row>
    <row r="900" spans="1:15" x14ac:dyDescent="0.3">
      <c r="A900">
        <v>38729</v>
      </c>
      <c r="B900">
        <v>3203130</v>
      </c>
      <c r="C900" t="s">
        <v>55</v>
      </c>
      <c r="D900">
        <v>0.38600000000000001</v>
      </c>
      <c r="E900">
        <v>1319665.1000000001</v>
      </c>
      <c r="F900">
        <v>0</v>
      </c>
      <c r="G900">
        <v>1319665.1000000001</v>
      </c>
      <c r="H900">
        <v>10069.780000000001</v>
      </c>
      <c r="I900">
        <v>40373.67</v>
      </c>
      <c r="J900">
        <v>0.66600000000000004</v>
      </c>
      <c r="K900">
        <v>29266.15</v>
      </c>
      <c r="L900">
        <v>0</v>
      </c>
      <c r="M900">
        <v>0</v>
      </c>
      <c r="N900">
        <v>2022</v>
      </c>
      <c r="O900">
        <v>11</v>
      </c>
    </row>
    <row r="901" spans="1:15" x14ac:dyDescent="0.3">
      <c r="A901">
        <v>38730</v>
      </c>
      <c r="B901">
        <v>3203163</v>
      </c>
      <c r="C901" t="s">
        <v>56</v>
      </c>
      <c r="D901">
        <v>0.372</v>
      </c>
      <c r="E901">
        <v>1271801.56</v>
      </c>
      <c r="F901">
        <v>0</v>
      </c>
      <c r="G901">
        <v>1271801.56</v>
      </c>
      <c r="H901">
        <v>9704.5499999999993</v>
      </c>
      <c r="I901">
        <v>9787.42</v>
      </c>
      <c r="J901">
        <v>0.441</v>
      </c>
      <c r="K901">
        <v>28204.68</v>
      </c>
      <c r="L901">
        <v>0</v>
      </c>
      <c r="M901">
        <v>0</v>
      </c>
      <c r="N901">
        <v>2022</v>
      </c>
      <c r="O901">
        <v>11</v>
      </c>
    </row>
    <row r="902" spans="1:15" x14ac:dyDescent="0.3">
      <c r="A902">
        <v>38731</v>
      </c>
      <c r="B902">
        <v>3203205</v>
      </c>
      <c r="C902" t="s">
        <v>57</v>
      </c>
      <c r="D902">
        <v>5.4</v>
      </c>
      <c r="E902">
        <v>18461635.98</v>
      </c>
      <c r="F902">
        <v>0</v>
      </c>
      <c r="G902">
        <v>18461635.98</v>
      </c>
      <c r="H902">
        <v>140872.5</v>
      </c>
      <c r="I902">
        <v>437795.87</v>
      </c>
      <c r="J902">
        <v>4.0880000000000001</v>
      </c>
      <c r="K902">
        <v>409422.83</v>
      </c>
      <c r="L902">
        <v>0</v>
      </c>
      <c r="M902">
        <v>0</v>
      </c>
      <c r="N902">
        <v>2022</v>
      </c>
      <c r="O902">
        <v>11</v>
      </c>
    </row>
    <row r="903" spans="1:15" x14ac:dyDescent="0.3">
      <c r="A903">
        <v>38732</v>
      </c>
      <c r="B903">
        <v>3203304</v>
      </c>
      <c r="C903" t="s">
        <v>58</v>
      </c>
      <c r="D903">
        <v>0.216</v>
      </c>
      <c r="E903">
        <v>738465.44</v>
      </c>
      <c r="F903">
        <v>0</v>
      </c>
      <c r="G903">
        <v>738465.44</v>
      </c>
      <c r="H903">
        <v>5634.9</v>
      </c>
      <c r="I903">
        <v>30133.24</v>
      </c>
      <c r="J903">
        <v>0.57599999999999996</v>
      </c>
      <c r="K903">
        <v>16376.91</v>
      </c>
      <c r="L903">
        <v>0</v>
      </c>
      <c r="M903">
        <v>0</v>
      </c>
      <c r="N903">
        <v>2022</v>
      </c>
      <c r="O903">
        <v>11</v>
      </c>
    </row>
    <row r="904" spans="1:15" x14ac:dyDescent="0.3">
      <c r="A904">
        <v>38733</v>
      </c>
      <c r="B904">
        <v>3203320</v>
      </c>
      <c r="C904" t="s">
        <v>59</v>
      </c>
      <c r="D904">
        <v>0.60899999999999999</v>
      </c>
      <c r="E904">
        <v>2082062.28</v>
      </c>
      <c r="F904">
        <v>0</v>
      </c>
      <c r="G904">
        <v>2082062.28</v>
      </c>
      <c r="H904">
        <v>15887.29</v>
      </c>
      <c r="I904">
        <v>148008.18</v>
      </c>
      <c r="J904">
        <v>1.171</v>
      </c>
      <c r="K904">
        <v>46173.8</v>
      </c>
      <c r="L904">
        <v>0</v>
      </c>
      <c r="M904">
        <v>0</v>
      </c>
      <c r="N904">
        <v>2022</v>
      </c>
      <c r="O904">
        <v>11</v>
      </c>
    </row>
    <row r="905" spans="1:15" x14ac:dyDescent="0.3">
      <c r="A905">
        <v>38734</v>
      </c>
      <c r="B905">
        <v>3203346</v>
      </c>
      <c r="C905" t="s">
        <v>60</v>
      </c>
      <c r="D905">
        <v>0.64500000000000002</v>
      </c>
      <c r="E905">
        <v>2205139.85</v>
      </c>
      <c r="F905">
        <v>0</v>
      </c>
      <c r="G905">
        <v>2205139.85</v>
      </c>
      <c r="H905">
        <v>16826.439999999999</v>
      </c>
      <c r="I905">
        <v>29091.63</v>
      </c>
      <c r="J905">
        <v>0.67100000000000004</v>
      </c>
      <c r="K905">
        <v>48903.28</v>
      </c>
      <c r="L905">
        <v>0</v>
      </c>
      <c r="M905">
        <v>0</v>
      </c>
      <c r="N905">
        <v>2022</v>
      </c>
      <c r="O905">
        <v>11</v>
      </c>
    </row>
    <row r="906" spans="1:15" x14ac:dyDescent="0.3">
      <c r="A906">
        <v>38735</v>
      </c>
      <c r="B906">
        <v>3203353</v>
      </c>
      <c r="C906" t="s">
        <v>61</v>
      </c>
      <c r="D906">
        <v>0.45200000000000001</v>
      </c>
      <c r="E906">
        <v>1545307.31</v>
      </c>
      <c r="F906">
        <v>0</v>
      </c>
      <c r="G906">
        <v>1545307.31</v>
      </c>
      <c r="H906">
        <v>11791.55</v>
      </c>
      <c r="I906">
        <v>26305.7</v>
      </c>
      <c r="J906">
        <v>0.46700000000000003</v>
      </c>
      <c r="K906">
        <v>34270.21</v>
      </c>
      <c r="L906">
        <v>0</v>
      </c>
      <c r="M906">
        <v>0</v>
      </c>
      <c r="N906">
        <v>2022</v>
      </c>
      <c r="O906">
        <v>11</v>
      </c>
    </row>
    <row r="907" spans="1:15" x14ac:dyDescent="0.3">
      <c r="A907">
        <v>38736</v>
      </c>
      <c r="B907">
        <v>3203403</v>
      </c>
      <c r="C907" t="s">
        <v>62</v>
      </c>
      <c r="D907">
        <v>0.51400000000000001</v>
      </c>
      <c r="E907">
        <v>1757274.26</v>
      </c>
      <c r="F907">
        <v>0</v>
      </c>
      <c r="G907">
        <v>1757274.26</v>
      </c>
      <c r="H907">
        <v>13408.98</v>
      </c>
      <c r="I907">
        <v>43726.11</v>
      </c>
      <c r="J907">
        <v>0.85599999999999998</v>
      </c>
      <c r="K907">
        <v>38970.99</v>
      </c>
      <c r="L907">
        <v>0</v>
      </c>
      <c r="M907">
        <v>0</v>
      </c>
      <c r="N907">
        <v>2022</v>
      </c>
      <c r="O907">
        <v>11</v>
      </c>
    </row>
    <row r="908" spans="1:15" x14ac:dyDescent="0.3">
      <c r="A908">
        <v>38737</v>
      </c>
      <c r="B908">
        <v>3203502</v>
      </c>
      <c r="C908" t="s">
        <v>63</v>
      </c>
      <c r="D908">
        <v>0.53600000000000003</v>
      </c>
      <c r="E908">
        <v>1832488.3</v>
      </c>
      <c r="F908">
        <v>0</v>
      </c>
      <c r="G908">
        <v>1832488.3</v>
      </c>
      <c r="H908">
        <v>13982.9</v>
      </c>
      <c r="I908">
        <v>38465.019999999997</v>
      </c>
      <c r="J908">
        <v>0.69299999999999995</v>
      </c>
      <c r="K908">
        <v>40639.01</v>
      </c>
      <c r="L908">
        <v>0</v>
      </c>
      <c r="M908">
        <v>0</v>
      </c>
      <c r="N908">
        <v>2022</v>
      </c>
      <c r="O908">
        <v>11</v>
      </c>
    </row>
    <row r="909" spans="1:15" x14ac:dyDescent="0.3">
      <c r="A909">
        <v>38738</v>
      </c>
      <c r="B909">
        <v>3203601</v>
      </c>
      <c r="C909" t="s">
        <v>64</v>
      </c>
      <c r="D909">
        <v>0.27800000000000002</v>
      </c>
      <c r="E909">
        <v>950432.36</v>
      </c>
      <c r="F909">
        <v>0</v>
      </c>
      <c r="G909">
        <v>950432.36</v>
      </c>
      <c r="H909">
        <v>7252.33</v>
      </c>
      <c r="I909">
        <v>24077.39</v>
      </c>
      <c r="J909">
        <v>0.29799999999999999</v>
      </c>
      <c r="K909">
        <v>21077.69</v>
      </c>
      <c r="L909">
        <v>0</v>
      </c>
      <c r="M909">
        <v>0</v>
      </c>
      <c r="N909">
        <v>2022</v>
      </c>
      <c r="O909">
        <v>11</v>
      </c>
    </row>
    <row r="910" spans="1:15" x14ac:dyDescent="0.3">
      <c r="A910">
        <v>38739</v>
      </c>
      <c r="B910">
        <v>3203700</v>
      </c>
      <c r="C910" t="s">
        <v>65</v>
      </c>
      <c r="D910">
        <v>0.55000000000000004</v>
      </c>
      <c r="E910">
        <v>1880351.79</v>
      </c>
      <c r="F910">
        <v>0</v>
      </c>
      <c r="G910">
        <v>1880351.79</v>
      </c>
      <c r="H910">
        <v>14348.13</v>
      </c>
      <c r="I910">
        <v>17946.759999999998</v>
      </c>
      <c r="J910">
        <v>0.67100000000000004</v>
      </c>
      <c r="K910">
        <v>41700.47</v>
      </c>
      <c r="L910">
        <v>0</v>
      </c>
      <c r="M910">
        <v>0</v>
      </c>
      <c r="N910">
        <v>2022</v>
      </c>
      <c r="O910">
        <v>11</v>
      </c>
    </row>
    <row r="911" spans="1:15" x14ac:dyDescent="0.3">
      <c r="A911">
        <v>38740</v>
      </c>
      <c r="B911">
        <v>3203809</v>
      </c>
      <c r="C911" t="s">
        <v>66</v>
      </c>
      <c r="D911">
        <v>0.29599999999999999</v>
      </c>
      <c r="E911">
        <v>1011971.16</v>
      </c>
      <c r="F911">
        <v>0</v>
      </c>
      <c r="G911">
        <v>1011971.16</v>
      </c>
      <c r="H911">
        <v>7721.9</v>
      </c>
      <c r="I911">
        <v>26400.7</v>
      </c>
      <c r="J911">
        <v>0.57499999999999996</v>
      </c>
      <c r="K911">
        <v>22442.44</v>
      </c>
      <c r="L911">
        <v>0</v>
      </c>
      <c r="M911">
        <v>0</v>
      </c>
      <c r="N911">
        <v>2022</v>
      </c>
      <c r="O911">
        <v>11</v>
      </c>
    </row>
    <row r="912" spans="1:15" x14ac:dyDescent="0.3">
      <c r="A912">
        <v>38741</v>
      </c>
      <c r="B912">
        <v>3203908</v>
      </c>
      <c r="C912" t="s">
        <v>67</v>
      </c>
      <c r="D912">
        <v>1.268</v>
      </c>
      <c r="E912">
        <v>4335065.6399999997</v>
      </c>
      <c r="F912">
        <v>0</v>
      </c>
      <c r="G912">
        <v>4335065.6399999997</v>
      </c>
      <c r="H912">
        <v>33078.949999999997</v>
      </c>
      <c r="I912">
        <v>133047.21</v>
      </c>
      <c r="J912">
        <v>1.4650000000000001</v>
      </c>
      <c r="K912">
        <v>96138.55</v>
      </c>
      <c r="L912">
        <v>0</v>
      </c>
      <c r="M912">
        <v>0</v>
      </c>
      <c r="N912">
        <v>2022</v>
      </c>
      <c r="O912">
        <v>11</v>
      </c>
    </row>
    <row r="913" spans="1:15" x14ac:dyDescent="0.3">
      <c r="A913">
        <v>38742</v>
      </c>
      <c r="B913">
        <v>3204005</v>
      </c>
      <c r="C913" t="s">
        <v>68</v>
      </c>
      <c r="D913">
        <v>0.47099999999999997</v>
      </c>
      <c r="E913">
        <v>1610264.91</v>
      </c>
      <c r="F913">
        <v>0</v>
      </c>
      <c r="G913">
        <v>1610264.91</v>
      </c>
      <c r="H913">
        <v>12287.21</v>
      </c>
      <c r="I913">
        <v>20901.34</v>
      </c>
      <c r="J913">
        <v>0.747</v>
      </c>
      <c r="K913">
        <v>35710.769999999997</v>
      </c>
      <c r="L913">
        <v>0</v>
      </c>
      <c r="M913">
        <v>0</v>
      </c>
      <c r="N913">
        <v>2022</v>
      </c>
      <c r="O913">
        <v>11</v>
      </c>
    </row>
    <row r="914" spans="1:15" x14ac:dyDescent="0.3">
      <c r="A914">
        <v>38743</v>
      </c>
      <c r="B914">
        <v>3204054</v>
      </c>
      <c r="C914" t="s">
        <v>69</v>
      </c>
      <c r="D914">
        <v>0.313</v>
      </c>
      <c r="E914">
        <v>1070091.1200000001</v>
      </c>
      <c r="F914">
        <v>0</v>
      </c>
      <c r="G914">
        <v>1070091.1200000001</v>
      </c>
      <c r="H914">
        <v>8165.39</v>
      </c>
      <c r="I914">
        <v>60716.5</v>
      </c>
      <c r="J914">
        <v>0.86199999999999999</v>
      </c>
      <c r="K914">
        <v>23731.360000000001</v>
      </c>
      <c r="L914">
        <v>0</v>
      </c>
      <c r="M914">
        <v>0</v>
      </c>
      <c r="N914">
        <v>2022</v>
      </c>
      <c r="O914">
        <v>11</v>
      </c>
    </row>
    <row r="915" spans="1:15" x14ac:dyDescent="0.3">
      <c r="A915">
        <v>38744</v>
      </c>
      <c r="B915">
        <v>3204104</v>
      </c>
      <c r="C915" t="s">
        <v>70</v>
      </c>
      <c r="D915">
        <v>0.72599999999999998</v>
      </c>
      <c r="E915">
        <v>2482064.38</v>
      </c>
      <c r="F915">
        <v>0</v>
      </c>
      <c r="G915">
        <v>2482064.38</v>
      </c>
      <c r="H915">
        <v>18939.53</v>
      </c>
      <c r="I915">
        <v>62536.94</v>
      </c>
      <c r="J915">
        <v>0.875</v>
      </c>
      <c r="K915">
        <v>55044.62</v>
      </c>
      <c r="L915">
        <v>0</v>
      </c>
      <c r="M915">
        <v>0</v>
      </c>
      <c r="N915">
        <v>2022</v>
      </c>
      <c r="O915">
        <v>11</v>
      </c>
    </row>
    <row r="916" spans="1:15" x14ac:dyDescent="0.3">
      <c r="A916">
        <v>38745</v>
      </c>
      <c r="B916">
        <v>3204203</v>
      </c>
      <c r="C916" t="s">
        <v>71</v>
      </c>
      <c r="D916">
        <v>0.14599999999999999</v>
      </c>
      <c r="E916">
        <v>499147.93</v>
      </c>
      <c r="F916">
        <v>0</v>
      </c>
      <c r="G916">
        <v>499147.93</v>
      </c>
      <c r="H916">
        <v>3808.78</v>
      </c>
      <c r="I916">
        <v>79404.2</v>
      </c>
      <c r="J916">
        <v>0.73399999999999999</v>
      </c>
      <c r="K916">
        <v>11069.58</v>
      </c>
      <c r="L916">
        <v>0</v>
      </c>
      <c r="M916">
        <v>0</v>
      </c>
      <c r="N916">
        <v>2022</v>
      </c>
      <c r="O916">
        <v>11</v>
      </c>
    </row>
    <row r="917" spans="1:15" x14ac:dyDescent="0.3">
      <c r="A917">
        <v>38746</v>
      </c>
      <c r="B917">
        <v>3204252</v>
      </c>
      <c r="C917" t="s">
        <v>72</v>
      </c>
      <c r="D917">
        <v>0.221</v>
      </c>
      <c r="E917">
        <v>755559.55</v>
      </c>
      <c r="F917">
        <v>0</v>
      </c>
      <c r="G917">
        <v>755559.55</v>
      </c>
      <c r="H917">
        <v>5765.34</v>
      </c>
      <c r="I917">
        <v>15752.37</v>
      </c>
      <c r="J917">
        <v>0.32900000000000001</v>
      </c>
      <c r="K917">
        <v>16756.009999999998</v>
      </c>
      <c r="L917">
        <v>0</v>
      </c>
      <c r="M917">
        <v>0</v>
      </c>
      <c r="N917">
        <v>2022</v>
      </c>
      <c r="O917">
        <v>11</v>
      </c>
    </row>
    <row r="918" spans="1:15" x14ac:dyDescent="0.3">
      <c r="A918">
        <v>38747</v>
      </c>
      <c r="B918">
        <v>1718402</v>
      </c>
      <c r="C918" t="s">
        <v>73</v>
      </c>
      <c r="D918">
        <v>0.33800000000000002</v>
      </c>
      <c r="E918">
        <v>1155561.6299999999</v>
      </c>
      <c r="F918">
        <v>0</v>
      </c>
      <c r="G918">
        <v>1155561.6299999999</v>
      </c>
      <c r="H918">
        <v>8817.58</v>
      </c>
      <c r="I918">
        <v>72757.08</v>
      </c>
      <c r="J918">
        <v>0.45100000000000001</v>
      </c>
      <c r="K918">
        <v>25626.84</v>
      </c>
      <c r="L918">
        <v>0</v>
      </c>
      <c r="M918">
        <v>0</v>
      </c>
      <c r="N918">
        <v>2022</v>
      </c>
      <c r="O918">
        <v>11</v>
      </c>
    </row>
    <row r="919" spans="1:15" x14ac:dyDescent="0.3">
      <c r="A919">
        <v>38748</v>
      </c>
      <c r="B919">
        <v>3204351</v>
      </c>
      <c r="C919" t="s">
        <v>74</v>
      </c>
      <c r="D919">
        <v>0.79700000000000004</v>
      </c>
      <c r="E919">
        <v>2724800.7</v>
      </c>
      <c r="F919">
        <v>0</v>
      </c>
      <c r="G919">
        <v>2724800.7</v>
      </c>
      <c r="H919">
        <v>20791.740000000002</v>
      </c>
      <c r="I919">
        <v>51685.01</v>
      </c>
      <c r="J919">
        <v>0.69799999999999995</v>
      </c>
      <c r="K919">
        <v>60427.78</v>
      </c>
      <c r="L919">
        <v>0</v>
      </c>
      <c r="M919">
        <v>0</v>
      </c>
      <c r="N919">
        <v>2022</v>
      </c>
      <c r="O919">
        <v>11</v>
      </c>
    </row>
    <row r="920" spans="1:15" x14ac:dyDescent="0.3">
      <c r="A920">
        <v>38749</v>
      </c>
      <c r="B920">
        <v>3204401</v>
      </c>
      <c r="C920" t="s">
        <v>75</v>
      </c>
      <c r="D920">
        <v>0.27500000000000002</v>
      </c>
      <c r="E920">
        <v>940175.92</v>
      </c>
      <c r="F920">
        <v>0</v>
      </c>
      <c r="G920">
        <v>940175.92</v>
      </c>
      <c r="H920">
        <v>7174.06</v>
      </c>
      <c r="I920">
        <v>27744.65</v>
      </c>
      <c r="J920">
        <v>0.45</v>
      </c>
      <c r="K920">
        <v>20850.240000000002</v>
      </c>
      <c r="L920">
        <v>0</v>
      </c>
      <c r="M920">
        <v>0</v>
      </c>
      <c r="N920">
        <v>2022</v>
      </c>
      <c r="O920">
        <v>11</v>
      </c>
    </row>
    <row r="921" spans="1:15" x14ac:dyDescent="0.3">
      <c r="A921">
        <v>38750</v>
      </c>
      <c r="B921">
        <v>3204500</v>
      </c>
      <c r="C921" t="s">
        <v>76</v>
      </c>
      <c r="D921">
        <v>0.53800000000000003</v>
      </c>
      <c r="E921">
        <v>1839325.95</v>
      </c>
      <c r="F921">
        <v>0</v>
      </c>
      <c r="G921">
        <v>1839325.95</v>
      </c>
      <c r="H921">
        <v>14035.08</v>
      </c>
      <c r="I921">
        <v>27668.37</v>
      </c>
      <c r="J921">
        <v>0.45600000000000002</v>
      </c>
      <c r="K921">
        <v>40790.639999999999</v>
      </c>
      <c r="L921">
        <v>0</v>
      </c>
      <c r="M921">
        <v>0</v>
      </c>
      <c r="N921">
        <v>2022</v>
      </c>
      <c r="O921">
        <v>11</v>
      </c>
    </row>
    <row r="922" spans="1:15" x14ac:dyDescent="0.3">
      <c r="A922">
        <v>38751</v>
      </c>
      <c r="B922">
        <v>3204559</v>
      </c>
      <c r="C922" t="s">
        <v>77</v>
      </c>
      <c r="D922">
        <v>2.1160000000000001</v>
      </c>
      <c r="E922">
        <v>7234226.2300000004</v>
      </c>
      <c r="F922">
        <v>0</v>
      </c>
      <c r="G922">
        <v>7234226.2300000004</v>
      </c>
      <c r="H922">
        <v>55201.15</v>
      </c>
      <c r="I922">
        <v>165209.66</v>
      </c>
      <c r="J922">
        <v>1.1990000000000001</v>
      </c>
      <c r="K922">
        <v>160433.09</v>
      </c>
      <c r="L922">
        <v>0</v>
      </c>
      <c r="M922">
        <v>0</v>
      </c>
      <c r="N922">
        <v>2022</v>
      </c>
      <c r="O922">
        <v>11</v>
      </c>
    </row>
    <row r="923" spans="1:15" x14ac:dyDescent="0.3">
      <c r="A923">
        <v>38752</v>
      </c>
      <c r="B923">
        <v>3204609</v>
      </c>
      <c r="C923" t="s">
        <v>78</v>
      </c>
      <c r="D923">
        <v>0.68799999999999994</v>
      </c>
      <c r="E923">
        <v>2352149.17</v>
      </c>
      <c r="F923">
        <v>0</v>
      </c>
      <c r="G923">
        <v>2352149.17</v>
      </c>
      <c r="H923">
        <v>17948.2</v>
      </c>
      <c r="I923">
        <v>51840.06</v>
      </c>
      <c r="J923">
        <v>0.82899999999999996</v>
      </c>
      <c r="K923">
        <v>52163.5</v>
      </c>
      <c r="L923">
        <v>0</v>
      </c>
      <c r="M923">
        <v>0</v>
      </c>
      <c r="N923">
        <v>2022</v>
      </c>
      <c r="O923">
        <v>11</v>
      </c>
    </row>
    <row r="924" spans="1:15" x14ac:dyDescent="0.3">
      <c r="A924">
        <v>38753</v>
      </c>
      <c r="B924">
        <v>3204658</v>
      </c>
      <c r="C924" t="s">
        <v>79</v>
      </c>
      <c r="D924">
        <v>0.42399999999999999</v>
      </c>
      <c r="E924">
        <v>1449580.32</v>
      </c>
      <c r="F924">
        <v>0</v>
      </c>
      <c r="G924">
        <v>1449580.32</v>
      </c>
      <c r="H924">
        <v>11061.1</v>
      </c>
      <c r="I924">
        <v>21158.2</v>
      </c>
      <c r="J924">
        <v>0.33700000000000002</v>
      </c>
      <c r="K924">
        <v>32147.27</v>
      </c>
      <c r="L924">
        <v>0</v>
      </c>
      <c r="M924">
        <v>0</v>
      </c>
      <c r="N924">
        <v>2022</v>
      </c>
      <c r="O924">
        <v>11</v>
      </c>
    </row>
    <row r="925" spans="1:15" x14ac:dyDescent="0.3">
      <c r="A925">
        <v>38754</v>
      </c>
      <c r="B925">
        <v>3204708</v>
      </c>
      <c r="C925" t="s">
        <v>80</v>
      </c>
      <c r="D925">
        <v>0.81499999999999995</v>
      </c>
      <c r="E925">
        <v>2786339.5</v>
      </c>
      <c r="F925">
        <v>0</v>
      </c>
      <c r="G925">
        <v>2786339.5</v>
      </c>
      <c r="H925">
        <v>21261.31</v>
      </c>
      <c r="I925">
        <v>81297.009999999995</v>
      </c>
      <c r="J925">
        <v>1.169</v>
      </c>
      <c r="K925">
        <v>61792.52</v>
      </c>
      <c r="L925">
        <v>0</v>
      </c>
      <c r="M925">
        <v>0</v>
      </c>
      <c r="N925">
        <v>2022</v>
      </c>
      <c r="O925">
        <v>11</v>
      </c>
    </row>
    <row r="926" spans="1:15" x14ac:dyDescent="0.3">
      <c r="A926">
        <v>38755</v>
      </c>
      <c r="B926">
        <v>3204807</v>
      </c>
      <c r="C926" t="s">
        <v>81</v>
      </c>
      <c r="D926">
        <v>0.23</v>
      </c>
      <c r="E926">
        <v>786328.95</v>
      </c>
      <c r="F926">
        <v>0</v>
      </c>
      <c r="G926">
        <v>786328.95</v>
      </c>
      <c r="H926">
        <v>6000.13</v>
      </c>
      <c r="I926">
        <v>14793.15</v>
      </c>
      <c r="J926">
        <v>0.436</v>
      </c>
      <c r="K926">
        <v>17438.38</v>
      </c>
      <c r="L926">
        <v>0</v>
      </c>
      <c r="M926">
        <v>0</v>
      </c>
      <c r="N926">
        <v>2022</v>
      </c>
      <c r="O926">
        <v>11</v>
      </c>
    </row>
    <row r="927" spans="1:15" x14ac:dyDescent="0.3">
      <c r="A927">
        <v>38756</v>
      </c>
      <c r="B927">
        <v>3204906</v>
      </c>
      <c r="C927" t="s">
        <v>82</v>
      </c>
      <c r="D927">
        <v>1.8839999999999999</v>
      </c>
      <c r="E927">
        <v>6441059.6600000001</v>
      </c>
      <c r="F927">
        <v>0</v>
      </c>
      <c r="G927">
        <v>6441059.6600000001</v>
      </c>
      <c r="H927">
        <v>49148.85</v>
      </c>
      <c r="I927">
        <v>356442.51</v>
      </c>
      <c r="J927">
        <v>3.024</v>
      </c>
      <c r="K927">
        <v>142843.07</v>
      </c>
      <c r="L927">
        <v>0</v>
      </c>
      <c r="M927">
        <v>0</v>
      </c>
      <c r="N927">
        <v>2022</v>
      </c>
      <c r="O927">
        <v>11</v>
      </c>
    </row>
    <row r="928" spans="1:15" x14ac:dyDescent="0.3">
      <c r="A928">
        <v>38757</v>
      </c>
      <c r="B928">
        <v>3204955</v>
      </c>
      <c r="C928" t="s">
        <v>83</v>
      </c>
      <c r="D928">
        <v>0.32600000000000001</v>
      </c>
      <c r="E928">
        <v>1114535.81</v>
      </c>
      <c r="F928">
        <v>0</v>
      </c>
      <c r="G928">
        <v>1114535.81</v>
      </c>
      <c r="H928">
        <v>8504.5300000000007</v>
      </c>
      <c r="I928">
        <v>20910.25</v>
      </c>
      <c r="J928">
        <v>0.46100000000000002</v>
      </c>
      <c r="K928">
        <v>24717.01</v>
      </c>
      <c r="L928">
        <v>0</v>
      </c>
      <c r="M928">
        <v>0</v>
      </c>
      <c r="N928">
        <v>2022</v>
      </c>
      <c r="O928">
        <v>11</v>
      </c>
    </row>
    <row r="929" spans="1:15" x14ac:dyDescent="0.3">
      <c r="A929">
        <v>38758</v>
      </c>
      <c r="B929">
        <v>3205002</v>
      </c>
      <c r="C929" t="s">
        <v>84</v>
      </c>
      <c r="D929">
        <v>14.176</v>
      </c>
      <c r="E929">
        <v>48465213.200000003</v>
      </c>
      <c r="F929">
        <v>0</v>
      </c>
      <c r="G929">
        <v>48465213.200000003</v>
      </c>
      <c r="H929">
        <v>369816.41</v>
      </c>
      <c r="I929">
        <v>1306995.78</v>
      </c>
      <c r="J929">
        <v>8.4320000000000004</v>
      </c>
      <c r="K929">
        <v>1074810.74</v>
      </c>
      <c r="L929">
        <v>0</v>
      </c>
      <c r="M929">
        <v>0</v>
      </c>
      <c r="N929">
        <v>2022</v>
      </c>
      <c r="O929">
        <v>11</v>
      </c>
    </row>
    <row r="930" spans="1:15" x14ac:dyDescent="0.3">
      <c r="A930">
        <v>38759</v>
      </c>
      <c r="B930">
        <v>3205010</v>
      </c>
      <c r="C930" t="s">
        <v>85</v>
      </c>
      <c r="D930">
        <v>0.72199999999999998</v>
      </c>
      <c r="E930">
        <v>2468389.09</v>
      </c>
      <c r="F930">
        <v>0</v>
      </c>
      <c r="G930">
        <v>2468389.09</v>
      </c>
      <c r="H930">
        <v>18835.18</v>
      </c>
      <c r="I930">
        <v>40532.46</v>
      </c>
      <c r="J930">
        <v>0.997</v>
      </c>
      <c r="K930">
        <v>54741.35</v>
      </c>
      <c r="L930">
        <v>0</v>
      </c>
      <c r="M930">
        <v>0</v>
      </c>
      <c r="N930">
        <v>2022</v>
      </c>
      <c r="O930">
        <v>11</v>
      </c>
    </row>
    <row r="931" spans="1:15" x14ac:dyDescent="0.3">
      <c r="A931">
        <v>38760</v>
      </c>
      <c r="B931">
        <v>3205036</v>
      </c>
      <c r="C931" t="s">
        <v>86</v>
      </c>
      <c r="D931">
        <v>0.498</v>
      </c>
      <c r="E931">
        <v>1702573.08</v>
      </c>
      <c r="F931">
        <v>0</v>
      </c>
      <c r="G931">
        <v>1702573.08</v>
      </c>
      <c r="H931">
        <v>12991.58</v>
      </c>
      <c r="I931">
        <v>63119.51</v>
      </c>
      <c r="J931">
        <v>0.72699999999999998</v>
      </c>
      <c r="K931">
        <v>37757.879999999997</v>
      </c>
      <c r="L931">
        <v>0</v>
      </c>
      <c r="M931">
        <v>0</v>
      </c>
      <c r="N931">
        <v>2022</v>
      </c>
      <c r="O931">
        <v>11</v>
      </c>
    </row>
    <row r="932" spans="1:15" x14ac:dyDescent="0.3">
      <c r="A932">
        <v>38761</v>
      </c>
      <c r="B932">
        <v>3205069</v>
      </c>
      <c r="C932" t="s">
        <v>87</v>
      </c>
      <c r="D932">
        <v>0.75800000000000001</v>
      </c>
      <c r="E932">
        <v>2591466.67</v>
      </c>
      <c r="F932">
        <v>0</v>
      </c>
      <c r="G932">
        <v>2591466.67</v>
      </c>
      <c r="H932">
        <v>19774.330000000002</v>
      </c>
      <c r="I932">
        <v>65820.42</v>
      </c>
      <c r="J932">
        <v>0.85799999999999998</v>
      </c>
      <c r="K932">
        <v>57470.83</v>
      </c>
      <c r="L932">
        <v>0</v>
      </c>
      <c r="M932">
        <v>0</v>
      </c>
      <c r="N932">
        <v>2022</v>
      </c>
      <c r="O932">
        <v>11</v>
      </c>
    </row>
    <row r="933" spans="1:15" x14ac:dyDescent="0.3">
      <c r="A933">
        <v>38762</v>
      </c>
      <c r="B933">
        <v>2112803</v>
      </c>
      <c r="C933" t="s">
        <v>88</v>
      </c>
      <c r="D933">
        <v>2.9929999999999999</v>
      </c>
      <c r="E933">
        <v>10232532.67</v>
      </c>
      <c r="F933">
        <v>0</v>
      </c>
      <c r="G933">
        <v>10232532.67</v>
      </c>
      <c r="H933">
        <v>78079.89</v>
      </c>
      <c r="I933">
        <v>147069.01</v>
      </c>
      <c r="J933">
        <v>1.984</v>
      </c>
      <c r="K933">
        <v>226926.39</v>
      </c>
      <c r="L933">
        <v>0</v>
      </c>
      <c r="M933">
        <v>0</v>
      </c>
      <c r="N933">
        <v>2022</v>
      </c>
      <c r="O933">
        <v>11</v>
      </c>
    </row>
    <row r="934" spans="1:15" x14ac:dyDescent="0.3">
      <c r="A934">
        <v>38763</v>
      </c>
      <c r="B934">
        <v>3205150</v>
      </c>
      <c r="C934" t="s">
        <v>89</v>
      </c>
      <c r="D934">
        <v>0.32800000000000001</v>
      </c>
      <c r="E934">
        <v>1121373.42</v>
      </c>
      <c r="F934">
        <v>0</v>
      </c>
      <c r="G934">
        <v>1121373.42</v>
      </c>
      <c r="H934">
        <v>8556.7000000000007</v>
      </c>
      <c r="I934">
        <v>14199.99</v>
      </c>
      <c r="J934">
        <v>0.34399999999999997</v>
      </c>
      <c r="K934">
        <v>24868.65</v>
      </c>
      <c r="L934">
        <v>0</v>
      </c>
      <c r="M934">
        <v>0</v>
      </c>
      <c r="N934">
        <v>2022</v>
      </c>
      <c r="O934">
        <v>11</v>
      </c>
    </row>
    <row r="935" spans="1:15" x14ac:dyDescent="0.3">
      <c r="A935">
        <v>38764</v>
      </c>
      <c r="B935">
        <v>3205176</v>
      </c>
      <c r="C935" t="s">
        <v>90</v>
      </c>
      <c r="D935">
        <v>0.623</v>
      </c>
      <c r="E935">
        <v>2129925.7999999998</v>
      </c>
      <c r="F935">
        <v>0</v>
      </c>
      <c r="G935">
        <v>2129925.7999999998</v>
      </c>
      <c r="H935">
        <v>16252.51</v>
      </c>
      <c r="I935">
        <v>38488.54</v>
      </c>
      <c r="J935">
        <v>0.55600000000000005</v>
      </c>
      <c r="K935">
        <v>47235.26</v>
      </c>
      <c r="L935">
        <v>0</v>
      </c>
      <c r="M935">
        <v>0</v>
      </c>
      <c r="N935">
        <v>2022</v>
      </c>
      <c r="O935">
        <v>11</v>
      </c>
    </row>
    <row r="936" spans="1:15" x14ac:dyDescent="0.3">
      <c r="A936">
        <v>38765</v>
      </c>
      <c r="B936">
        <v>3205200</v>
      </c>
      <c r="C936" t="s">
        <v>91</v>
      </c>
      <c r="D936">
        <v>5.3819999999999997</v>
      </c>
      <c r="E936">
        <v>18400097.18</v>
      </c>
      <c r="F936">
        <v>0</v>
      </c>
      <c r="G936">
        <v>18400097.18</v>
      </c>
      <c r="H936">
        <v>140402.93</v>
      </c>
      <c r="I936">
        <v>1381485.94</v>
      </c>
      <c r="J936">
        <v>8.09</v>
      </c>
      <c r="K936">
        <v>408058.08</v>
      </c>
      <c r="L936">
        <v>0</v>
      </c>
      <c r="M936">
        <v>0</v>
      </c>
      <c r="N936">
        <v>2022</v>
      </c>
      <c r="O936">
        <v>11</v>
      </c>
    </row>
    <row r="937" spans="1:15" x14ac:dyDescent="0.3">
      <c r="A937">
        <v>38766</v>
      </c>
      <c r="B937">
        <v>3205309</v>
      </c>
      <c r="C937" t="s">
        <v>92</v>
      </c>
      <c r="D937">
        <v>14.535</v>
      </c>
      <c r="E937">
        <v>49692570.219999999</v>
      </c>
      <c r="F937">
        <v>0</v>
      </c>
      <c r="G937">
        <v>49692570.219999999</v>
      </c>
      <c r="H937">
        <v>379181.82</v>
      </c>
      <c r="I937">
        <v>1398580.82</v>
      </c>
      <c r="J937">
        <v>9.4969999999999999</v>
      </c>
      <c r="K937">
        <v>1102029.78</v>
      </c>
      <c r="L937">
        <v>0</v>
      </c>
      <c r="M937">
        <v>0</v>
      </c>
      <c r="N937">
        <v>2022</v>
      </c>
      <c r="O937">
        <v>11</v>
      </c>
    </row>
    <row r="938" spans="1:15" x14ac:dyDescent="0.3">
      <c r="A938">
        <v>38767</v>
      </c>
      <c r="B938">
        <v>3200102</v>
      </c>
      <c r="C938" t="s">
        <v>15</v>
      </c>
      <c r="D938">
        <v>0.8</v>
      </c>
      <c r="E938">
        <v>2725816.22</v>
      </c>
      <c r="F938">
        <v>0</v>
      </c>
      <c r="G938">
        <v>2725816.22</v>
      </c>
      <c r="H938">
        <v>29651.94</v>
      </c>
      <c r="I938">
        <v>55466.69</v>
      </c>
      <c r="J938">
        <v>0.98499999999999999</v>
      </c>
      <c r="K938">
        <v>58073.38</v>
      </c>
      <c r="L938">
        <v>0</v>
      </c>
      <c r="M938">
        <v>0</v>
      </c>
      <c r="N938">
        <v>2022</v>
      </c>
      <c r="O938">
        <v>12</v>
      </c>
    </row>
    <row r="939" spans="1:15" x14ac:dyDescent="0.3">
      <c r="A939">
        <v>38768</v>
      </c>
      <c r="B939">
        <v>3200169</v>
      </c>
      <c r="C939" t="s">
        <v>16</v>
      </c>
      <c r="D939">
        <v>0.30099999999999999</v>
      </c>
      <c r="E939">
        <v>1025588.37</v>
      </c>
      <c r="F939">
        <v>0</v>
      </c>
      <c r="G939">
        <v>1025588.37</v>
      </c>
      <c r="H939">
        <v>11156.54</v>
      </c>
      <c r="I939">
        <v>21483.81</v>
      </c>
      <c r="J939">
        <v>0.439</v>
      </c>
      <c r="K939">
        <v>21850.11</v>
      </c>
      <c r="L939">
        <v>0</v>
      </c>
      <c r="M939">
        <v>0</v>
      </c>
      <c r="N939">
        <v>2022</v>
      </c>
      <c r="O939">
        <v>12</v>
      </c>
    </row>
    <row r="940" spans="1:15" x14ac:dyDescent="0.3">
      <c r="A940">
        <v>38769</v>
      </c>
      <c r="B940">
        <v>3200136</v>
      </c>
      <c r="C940" t="s">
        <v>17</v>
      </c>
      <c r="D940">
        <v>0.41599999999999998</v>
      </c>
      <c r="E940">
        <v>1417424.44</v>
      </c>
      <c r="F940">
        <v>0</v>
      </c>
      <c r="G940">
        <v>1417424.44</v>
      </c>
      <c r="H940">
        <v>15419.01</v>
      </c>
      <c r="I940">
        <v>12457.54</v>
      </c>
      <c r="J940">
        <v>0.34799999999999998</v>
      </c>
      <c r="K940">
        <v>30198.15</v>
      </c>
      <c r="L940">
        <v>0</v>
      </c>
      <c r="M940">
        <v>0</v>
      </c>
      <c r="N940">
        <v>2022</v>
      </c>
      <c r="O940">
        <v>12</v>
      </c>
    </row>
    <row r="941" spans="1:15" x14ac:dyDescent="0.3">
      <c r="A941">
        <v>38770</v>
      </c>
      <c r="B941">
        <v>3200201</v>
      </c>
      <c r="C941" t="s">
        <v>18</v>
      </c>
      <c r="D941">
        <v>0.51</v>
      </c>
      <c r="E941">
        <v>1737707.82</v>
      </c>
      <c r="F941">
        <v>0</v>
      </c>
      <c r="G941">
        <v>1737707.82</v>
      </c>
      <c r="H941">
        <v>18903.11</v>
      </c>
      <c r="I941">
        <v>68505.179999999993</v>
      </c>
      <c r="J941">
        <v>0.98</v>
      </c>
      <c r="K941">
        <v>37021.78</v>
      </c>
      <c r="L941">
        <v>0</v>
      </c>
      <c r="M941">
        <v>0</v>
      </c>
      <c r="N941">
        <v>2022</v>
      </c>
      <c r="O941">
        <v>12</v>
      </c>
    </row>
    <row r="942" spans="1:15" x14ac:dyDescent="0.3">
      <c r="A942">
        <v>38771</v>
      </c>
      <c r="B942">
        <v>3200300</v>
      </c>
      <c r="C942" t="s">
        <v>19</v>
      </c>
      <c r="D942">
        <v>0.49</v>
      </c>
      <c r="E942">
        <v>1669562.42</v>
      </c>
      <c r="F942">
        <v>0</v>
      </c>
      <c r="G942">
        <v>1669562.42</v>
      </c>
      <c r="H942">
        <v>18161.82</v>
      </c>
      <c r="I942">
        <v>44357.71</v>
      </c>
      <c r="J942">
        <v>0.56399999999999995</v>
      </c>
      <c r="K942">
        <v>35569.949999999997</v>
      </c>
      <c r="L942">
        <v>0</v>
      </c>
      <c r="M942">
        <v>0</v>
      </c>
      <c r="N942">
        <v>2022</v>
      </c>
      <c r="O942">
        <v>12</v>
      </c>
    </row>
    <row r="943" spans="1:15" x14ac:dyDescent="0.3">
      <c r="A943">
        <v>38772</v>
      </c>
      <c r="B943">
        <v>3200359</v>
      </c>
      <c r="C943" t="s">
        <v>20</v>
      </c>
      <c r="D943">
        <v>0.23100000000000001</v>
      </c>
      <c r="E943">
        <v>787079.44</v>
      </c>
      <c r="F943">
        <v>0</v>
      </c>
      <c r="G943">
        <v>787079.44</v>
      </c>
      <c r="H943">
        <v>8562</v>
      </c>
      <c r="I943">
        <v>14995.79</v>
      </c>
      <c r="J943">
        <v>0.32700000000000001</v>
      </c>
      <c r="K943">
        <v>16768.689999999999</v>
      </c>
      <c r="L943">
        <v>0</v>
      </c>
      <c r="M943">
        <v>0</v>
      </c>
      <c r="N943">
        <v>2022</v>
      </c>
      <c r="O943">
        <v>12</v>
      </c>
    </row>
    <row r="944" spans="1:15" x14ac:dyDescent="0.3">
      <c r="A944">
        <v>38773</v>
      </c>
      <c r="B944">
        <v>3200409</v>
      </c>
      <c r="C944" t="s">
        <v>21</v>
      </c>
      <c r="D944">
        <v>1.766</v>
      </c>
      <c r="E944">
        <v>6017239.3099999996</v>
      </c>
      <c r="F944">
        <v>0</v>
      </c>
      <c r="G944">
        <v>6017239.3099999996</v>
      </c>
      <c r="H944">
        <v>65456.67</v>
      </c>
      <c r="I944">
        <v>98767.7</v>
      </c>
      <c r="J944">
        <v>0.90800000000000003</v>
      </c>
      <c r="K944">
        <v>128196.99</v>
      </c>
      <c r="L944">
        <v>0</v>
      </c>
      <c r="M944">
        <v>0</v>
      </c>
      <c r="N944">
        <v>2022</v>
      </c>
      <c r="O944">
        <v>12</v>
      </c>
    </row>
    <row r="945" spans="1:15" x14ac:dyDescent="0.3">
      <c r="A945">
        <v>38774</v>
      </c>
      <c r="B945">
        <v>3200508</v>
      </c>
      <c r="C945" t="s">
        <v>22</v>
      </c>
      <c r="D945">
        <v>0.185</v>
      </c>
      <c r="E945">
        <v>630345.01</v>
      </c>
      <c r="F945">
        <v>0</v>
      </c>
      <c r="G945">
        <v>630345.01</v>
      </c>
      <c r="H945">
        <v>6857.01</v>
      </c>
      <c r="I945">
        <v>43917.64</v>
      </c>
      <c r="J945">
        <v>0.32300000000000001</v>
      </c>
      <c r="K945">
        <v>13429.47</v>
      </c>
      <c r="L945">
        <v>0</v>
      </c>
      <c r="M945">
        <v>0</v>
      </c>
      <c r="N945">
        <v>2022</v>
      </c>
      <c r="O945">
        <v>12</v>
      </c>
    </row>
    <row r="946" spans="1:15" x14ac:dyDescent="0.3">
      <c r="A946">
        <v>38775</v>
      </c>
      <c r="B946">
        <v>3200607</v>
      </c>
      <c r="C946" t="s">
        <v>23</v>
      </c>
      <c r="D946">
        <v>4.9909999999999997</v>
      </c>
      <c r="E946">
        <v>17005685.91</v>
      </c>
      <c r="F946">
        <v>0</v>
      </c>
      <c r="G946">
        <v>17005685.91</v>
      </c>
      <c r="H946">
        <v>184991.07</v>
      </c>
      <c r="I946">
        <v>340273.34</v>
      </c>
      <c r="J946">
        <v>2.5089999999999999</v>
      </c>
      <c r="K946">
        <v>362305.31</v>
      </c>
      <c r="L946">
        <v>0</v>
      </c>
      <c r="M946">
        <v>0</v>
      </c>
      <c r="N946">
        <v>2022</v>
      </c>
      <c r="O946">
        <v>12</v>
      </c>
    </row>
    <row r="947" spans="1:15" x14ac:dyDescent="0.3">
      <c r="A947">
        <v>38776</v>
      </c>
      <c r="B947">
        <v>3200706</v>
      </c>
      <c r="C947" t="s">
        <v>24</v>
      </c>
      <c r="D947">
        <v>0.373</v>
      </c>
      <c r="E947">
        <v>1270911.83</v>
      </c>
      <c r="F947">
        <v>0</v>
      </c>
      <c r="G947">
        <v>1270911.83</v>
      </c>
      <c r="H947">
        <v>13825.22</v>
      </c>
      <c r="I947">
        <v>29924.29</v>
      </c>
      <c r="J947">
        <v>0.45700000000000002</v>
      </c>
      <c r="K947">
        <v>27076.720000000001</v>
      </c>
      <c r="L947">
        <v>0</v>
      </c>
      <c r="M947">
        <v>0</v>
      </c>
      <c r="N947">
        <v>2022</v>
      </c>
      <c r="O947">
        <v>12</v>
      </c>
    </row>
    <row r="948" spans="1:15" x14ac:dyDescent="0.3">
      <c r="A948">
        <v>38777</v>
      </c>
      <c r="B948">
        <v>3200805</v>
      </c>
      <c r="C948" t="s">
        <v>25</v>
      </c>
      <c r="D948">
        <v>0.64300000000000002</v>
      </c>
      <c r="E948">
        <v>2190874.7799999998</v>
      </c>
      <c r="F948">
        <v>0</v>
      </c>
      <c r="G948">
        <v>2190874.7799999998</v>
      </c>
      <c r="H948">
        <v>23832.75</v>
      </c>
      <c r="I948">
        <v>107904.52</v>
      </c>
      <c r="J948">
        <v>0.996</v>
      </c>
      <c r="K948">
        <v>46676.480000000003</v>
      </c>
      <c r="L948">
        <v>0</v>
      </c>
      <c r="M948">
        <v>0</v>
      </c>
      <c r="N948">
        <v>2022</v>
      </c>
      <c r="O948">
        <v>12</v>
      </c>
    </row>
    <row r="949" spans="1:15" x14ac:dyDescent="0.3">
      <c r="A949">
        <v>38778</v>
      </c>
      <c r="B949">
        <v>3200904</v>
      </c>
      <c r="C949" t="s">
        <v>26</v>
      </c>
      <c r="D949">
        <v>1.036</v>
      </c>
      <c r="E949">
        <v>3529932.01</v>
      </c>
      <c r="F949">
        <v>0</v>
      </c>
      <c r="G949">
        <v>3529932.01</v>
      </c>
      <c r="H949">
        <v>38399.269999999997</v>
      </c>
      <c r="I949">
        <v>117989.07</v>
      </c>
      <c r="J949">
        <v>1.321</v>
      </c>
      <c r="K949">
        <v>75205.03</v>
      </c>
      <c r="L949">
        <v>0</v>
      </c>
      <c r="M949">
        <v>0</v>
      </c>
      <c r="N949">
        <v>2022</v>
      </c>
      <c r="O949">
        <v>12</v>
      </c>
    </row>
    <row r="950" spans="1:15" x14ac:dyDescent="0.3">
      <c r="A950">
        <v>38779</v>
      </c>
      <c r="B950">
        <v>3107109</v>
      </c>
      <c r="C950" t="s">
        <v>27</v>
      </c>
      <c r="D950">
        <v>0.39900000000000002</v>
      </c>
      <c r="E950">
        <v>1359500.85</v>
      </c>
      <c r="F950">
        <v>0</v>
      </c>
      <c r="G950">
        <v>1359500.85</v>
      </c>
      <c r="H950">
        <v>14788.91</v>
      </c>
      <c r="I950">
        <v>35210.54</v>
      </c>
      <c r="J950">
        <v>0.56899999999999995</v>
      </c>
      <c r="K950">
        <v>28964.1</v>
      </c>
      <c r="L950">
        <v>0</v>
      </c>
      <c r="M950">
        <v>0</v>
      </c>
      <c r="N950">
        <v>2022</v>
      </c>
      <c r="O950">
        <v>12</v>
      </c>
    </row>
    <row r="951" spans="1:15" x14ac:dyDescent="0.3">
      <c r="A951">
        <v>38780</v>
      </c>
      <c r="B951">
        <v>3201100</v>
      </c>
      <c r="C951" t="s">
        <v>28</v>
      </c>
      <c r="D951">
        <v>0.17599999999999999</v>
      </c>
      <c r="E951">
        <v>599679.55000000005</v>
      </c>
      <c r="F951">
        <v>0</v>
      </c>
      <c r="G951">
        <v>599679.55000000005</v>
      </c>
      <c r="H951">
        <v>6523.43</v>
      </c>
      <c r="I951">
        <v>99052.91</v>
      </c>
      <c r="J951">
        <v>0.43</v>
      </c>
      <c r="K951">
        <v>12776.15</v>
      </c>
      <c r="L951">
        <v>0</v>
      </c>
      <c r="M951">
        <v>0</v>
      </c>
      <c r="N951">
        <v>2022</v>
      </c>
      <c r="O951">
        <v>12</v>
      </c>
    </row>
    <row r="952" spans="1:15" x14ac:dyDescent="0.3">
      <c r="A952">
        <v>38781</v>
      </c>
      <c r="B952">
        <v>3201159</v>
      </c>
      <c r="C952" t="s">
        <v>29</v>
      </c>
      <c r="D952">
        <v>0.42099999999999999</v>
      </c>
      <c r="E952">
        <v>1434460.79</v>
      </c>
      <c r="F952">
        <v>0</v>
      </c>
      <c r="G952">
        <v>1434460.79</v>
      </c>
      <c r="H952">
        <v>15604.34</v>
      </c>
      <c r="I952">
        <v>20557.88</v>
      </c>
      <c r="J952">
        <v>0.46</v>
      </c>
      <c r="K952">
        <v>30561.119999999999</v>
      </c>
      <c r="L952">
        <v>0</v>
      </c>
      <c r="M952">
        <v>0</v>
      </c>
      <c r="N952">
        <v>2022</v>
      </c>
      <c r="O952">
        <v>12</v>
      </c>
    </row>
    <row r="953" spans="1:15" x14ac:dyDescent="0.3">
      <c r="A953">
        <v>38782</v>
      </c>
      <c r="B953">
        <v>3201209</v>
      </c>
      <c r="C953" t="s">
        <v>30</v>
      </c>
      <c r="D953">
        <v>3.234</v>
      </c>
      <c r="E953">
        <v>11019112.039999999</v>
      </c>
      <c r="F953">
        <v>0</v>
      </c>
      <c r="G953">
        <v>11019112.039999999</v>
      </c>
      <c r="H953">
        <v>119867.98</v>
      </c>
      <c r="I953">
        <v>768243.5</v>
      </c>
      <c r="J953">
        <v>4.4820000000000002</v>
      </c>
      <c r="K953">
        <v>234761.65</v>
      </c>
      <c r="L953">
        <v>0</v>
      </c>
      <c r="M953">
        <v>0</v>
      </c>
      <c r="N953">
        <v>2022</v>
      </c>
      <c r="O953">
        <v>12</v>
      </c>
    </row>
    <row r="954" spans="1:15" x14ac:dyDescent="0.3">
      <c r="A954">
        <v>38783</v>
      </c>
      <c r="B954">
        <v>3201308</v>
      </c>
      <c r="C954" t="s">
        <v>31</v>
      </c>
      <c r="D954">
        <v>7.4969999999999999</v>
      </c>
      <c r="E954">
        <v>25544305.23</v>
      </c>
      <c r="F954">
        <v>0</v>
      </c>
      <c r="G954">
        <v>25544305.23</v>
      </c>
      <c r="H954">
        <v>277875.78000000003</v>
      </c>
      <c r="I954">
        <v>847364.78</v>
      </c>
      <c r="J954">
        <v>6.6040000000000001</v>
      </c>
      <c r="K954">
        <v>544220.18000000005</v>
      </c>
      <c r="L954">
        <v>0</v>
      </c>
      <c r="M954">
        <v>0</v>
      </c>
      <c r="N954">
        <v>2022</v>
      </c>
      <c r="O954">
        <v>12</v>
      </c>
    </row>
    <row r="955" spans="1:15" x14ac:dyDescent="0.3">
      <c r="A955">
        <v>38784</v>
      </c>
      <c r="B955">
        <v>3201407</v>
      </c>
      <c r="C955" t="s">
        <v>32</v>
      </c>
      <c r="D955">
        <v>0.96499999999999997</v>
      </c>
      <c r="E955">
        <v>3288015.8</v>
      </c>
      <c r="F955">
        <v>0</v>
      </c>
      <c r="G955">
        <v>3288015.8</v>
      </c>
      <c r="H955">
        <v>35767.660000000003</v>
      </c>
      <c r="I955">
        <v>236458.6</v>
      </c>
      <c r="J955">
        <v>1.155</v>
      </c>
      <c r="K955">
        <v>70051.02</v>
      </c>
      <c r="L955">
        <v>0</v>
      </c>
      <c r="M955">
        <v>0</v>
      </c>
      <c r="N955">
        <v>2022</v>
      </c>
      <c r="O955">
        <v>12</v>
      </c>
    </row>
    <row r="956" spans="1:15" x14ac:dyDescent="0.3">
      <c r="A956">
        <v>38785</v>
      </c>
      <c r="B956">
        <v>3201506</v>
      </c>
      <c r="C956" t="s">
        <v>33</v>
      </c>
      <c r="D956">
        <v>2.1739999999999999</v>
      </c>
      <c r="E956">
        <v>7407405.5800000001</v>
      </c>
      <c r="F956">
        <v>0</v>
      </c>
      <c r="G956">
        <v>7407405.5800000001</v>
      </c>
      <c r="H956">
        <v>80579.16</v>
      </c>
      <c r="I956">
        <v>409128.51</v>
      </c>
      <c r="J956">
        <v>2.8220000000000001</v>
      </c>
      <c r="K956">
        <v>157814.42000000001</v>
      </c>
      <c r="L956">
        <v>0</v>
      </c>
      <c r="M956">
        <v>0</v>
      </c>
      <c r="N956">
        <v>2022</v>
      </c>
      <c r="O956">
        <v>12</v>
      </c>
    </row>
    <row r="957" spans="1:15" x14ac:dyDescent="0.3">
      <c r="A957">
        <v>38786</v>
      </c>
      <c r="B957">
        <v>3201605</v>
      </c>
      <c r="C957" t="s">
        <v>34</v>
      </c>
      <c r="D957">
        <v>0.65200000000000002</v>
      </c>
      <c r="E957">
        <v>2221540.21</v>
      </c>
      <c r="F957">
        <v>0</v>
      </c>
      <c r="G957">
        <v>2221540.21</v>
      </c>
      <c r="H957">
        <v>24166.33</v>
      </c>
      <c r="I957">
        <v>50010.06</v>
      </c>
      <c r="J957">
        <v>0.999</v>
      </c>
      <c r="K957">
        <v>47329.81</v>
      </c>
      <c r="L957">
        <v>0</v>
      </c>
      <c r="M957">
        <v>0</v>
      </c>
      <c r="N957">
        <v>2022</v>
      </c>
      <c r="O957">
        <v>12</v>
      </c>
    </row>
    <row r="958" spans="1:15" x14ac:dyDescent="0.3">
      <c r="A958">
        <v>38787</v>
      </c>
      <c r="B958">
        <v>3201704</v>
      </c>
      <c r="C958" t="s">
        <v>35</v>
      </c>
      <c r="D958">
        <v>0.47499999999999998</v>
      </c>
      <c r="E958">
        <v>1618453.38</v>
      </c>
      <c r="F958">
        <v>0</v>
      </c>
      <c r="G958">
        <v>1618453.38</v>
      </c>
      <c r="H958">
        <v>17605.84</v>
      </c>
      <c r="I958">
        <v>29483.62</v>
      </c>
      <c r="J958">
        <v>0.46500000000000002</v>
      </c>
      <c r="K958">
        <v>34481.07</v>
      </c>
      <c r="L958">
        <v>0</v>
      </c>
      <c r="M958">
        <v>0</v>
      </c>
      <c r="N958">
        <v>2022</v>
      </c>
      <c r="O958">
        <v>12</v>
      </c>
    </row>
    <row r="959" spans="1:15" x14ac:dyDescent="0.3">
      <c r="A959">
        <v>38788</v>
      </c>
      <c r="B959">
        <v>3201803</v>
      </c>
      <c r="C959" t="s">
        <v>36</v>
      </c>
      <c r="D959">
        <v>0.186</v>
      </c>
      <c r="E959">
        <v>633752.26</v>
      </c>
      <c r="F959">
        <v>0</v>
      </c>
      <c r="G959">
        <v>633752.26</v>
      </c>
      <c r="H959">
        <v>6894.08</v>
      </c>
      <c r="I959">
        <v>7653.72</v>
      </c>
      <c r="J959">
        <v>0.28299999999999997</v>
      </c>
      <c r="K959">
        <v>13502.06</v>
      </c>
      <c r="L959">
        <v>0</v>
      </c>
      <c r="M959">
        <v>0</v>
      </c>
      <c r="N959">
        <v>2022</v>
      </c>
      <c r="O959">
        <v>12</v>
      </c>
    </row>
    <row r="960" spans="1:15" x14ac:dyDescent="0.3">
      <c r="A960">
        <v>38789</v>
      </c>
      <c r="B960">
        <v>3201902</v>
      </c>
      <c r="C960" t="s">
        <v>37</v>
      </c>
      <c r="D960">
        <v>1.3140000000000001</v>
      </c>
      <c r="E960">
        <v>4477153.12</v>
      </c>
      <c r="F960">
        <v>0</v>
      </c>
      <c r="G960">
        <v>4477153.12</v>
      </c>
      <c r="H960">
        <v>48703.32</v>
      </c>
      <c r="I960">
        <v>80090.429999999993</v>
      </c>
      <c r="J960">
        <v>1.0309999999999999</v>
      </c>
      <c r="K960">
        <v>95385.53</v>
      </c>
      <c r="L960">
        <v>0</v>
      </c>
      <c r="M960">
        <v>0</v>
      </c>
      <c r="N960">
        <v>2022</v>
      </c>
      <c r="O960">
        <v>12</v>
      </c>
    </row>
    <row r="961" spans="1:15" x14ac:dyDescent="0.3">
      <c r="A961">
        <v>38790</v>
      </c>
      <c r="B961">
        <v>3202009</v>
      </c>
      <c r="C961" t="s">
        <v>38</v>
      </c>
      <c r="D961">
        <v>0.26</v>
      </c>
      <c r="E961">
        <v>885890.28</v>
      </c>
      <c r="F961">
        <v>0</v>
      </c>
      <c r="G961">
        <v>885890.28</v>
      </c>
      <c r="H961">
        <v>9636.8799999999992</v>
      </c>
      <c r="I961">
        <v>17736.560000000001</v>
      </c>
      <c r="J961">
        <v>0.314</v>
      </c>
      <c r="K961">
        <v>18873.849999999999</v>
      </c>
      <c r="L961">
        <v>0</v>
      </c>
      <c r="M961">
        <v>0</v>
      </c>
      <c r="N961">
        <v>2022</v>
      </c>
      <c r="O961">
        <v>12</v>
      </c>
    </row>
    <row r="962" spans="1:15" x14ac:dyDescent="0.3">
      <c r="A962">
        <v>38791</v>
      </c>
      <c r="B962">
        <v>3202108</v>
      </c>
      <c r="C962" t="s">
        <v>39</v>
      </c>
      <c r="D962">
        <v>0.69899999999999995</v>
      </c>
      <c r="E962">
        <v>2381681.9300000002</v>
      </c>
      <c r="F962">
        <v>0</v>
      </c>
      <c r="G962">
        <v>2381681.9300000002</v>
      </c>
      <c r="H962">
        <v>25908.39</v>
      </c>
      <c r="I962">
        <v>36837.599999999999</v>
      </c>
      <c r="J962">
        <v>0.81599999999999995</v>
      </c>
      <c r="K962">
        <v>50741.62</v>
      </c>
      <c r="L962">
        <v>0</v>
      </c>
      <c r="M962">
        <v>0</v>
      </c>
      <c r="N962">
        <v>2022</v>
      </c>
      <c r="O962">
        <v>12</v>
      </c>
    </row>
    <row r="963" spans="1:15" x14ac:dyDescent="0.3">
      <c r="A963">
        <v>38792</v>
      </c>
      <c r="B963">
        <v>3202207</v>
      </c>
      <c r="C963" t="s">
        <v>40</v>
      </c>
      <c r="D963">
        <v>0.313</v>
      </c>
      <c r="E963">
        <v>1066475.6000000001</v>
      </c>
      <c r="F963">
        <v>0</v>
      </c>
      <c r="G963">
        <v>1066475.6000000001</v>
      </c>
      <c r="H963">
        <v>11601.32</v>
      </c>
      <c r="I963">
        <v>33449.160000000003</v>
      </c>
      <c r="J963">
        <v>0.73399999999999999</v>
      </c>
      <c r="K963">
        <v>22721.21</v>
      </c>
      <c r="L963">
        <v>0</v>
      </c>
      <c r="M963">
        <v>0</v>
      </c>
      <c r="N963">
        <v>2022</v>
      </c>
      <c r="O963">
        <v>12</v>
      </c>
    </row>
    <row r="964" spans="1:15" x14ac:dyDescent="0.3">
      <c r="A964">
        <v>38793</v>
      </c>
      <c r="B964">
        <v>3202256</v>
      </c>
      <c r="C964" t="s">
        <v>41</v>
      </c>
      <c r="D964">
        <v>0.43</v>
      </c>
      <c r="E964">
        <v>1465126.22</v>
      </c>
      <c r="F964">
        <v>0</v>
      </c>
      <c r="G964">
        <v>1465126.22</v>
      </c>
      <c r="H964">
        <v>15937.92</v>
      </c>
      <c r="I964">
        <v>21885.05</v>
      </c>
      <c r="J964">
        <v>0.46700000000000003</v>
      </c>
      <c r="K964">
        <v>31214.45</v>
      </c>
      <c r="L964">
        <v>0</v>
      </c>
      <c r="M964">
        <v>0</v>
      </c>
      <c r="N964">
        <v>2022</v>
      </c>
      <c r="O964">
        <v>12</v>
      </c>
    </row>
    <row r="965" spans="1:15" x14ac:dyDescent="0.3">
      <c r="A965">
        <v>38794</v>
      </c>
      <c r="B965">
        <v>3202306</v>
      </c>
      <c r="C965" t="s">
        <v>42</v>
      </c>
      <c r="D965">
        <v>0.378</v>
      </c>
      <c r="E965">
        <v>1287948.17</v>
      </c>
      <c r="F965">
        <v>0</v>
      </c>
      <c r="G965">
        <v>1287948.17</v>
      </c>
      <c r="H965">
        <v>14010.54</v>
      </c>
      <c r="I965">
        <v>88096.93</v>
      </c>
      <c r="J965">
        <v>0.998</v>
      </c>
      <c r="K965">
        <v>27439.67</v>
      </c>
      <c r="L965">
        <v>0</v>
      </c>
      <c r="M965">
        <v>0</v>
      </c>
      <c r="N965">
        <v>2022</v>
      </c>
      <c r="O965">
        <v>12</v>
      </c>
    </row>
    <row r="966" spans="1:15" x14ac:dyDescent="0.3">
      <c r="A966">
        <v>38795</v>
      </c>
      <c r="B966">
        <v>3202405</v>
      </c>
      <c r="C966" t="s">
        <v>43</v>
      </c>
      <c r="D966">
        <v>0.90900000000000003</v>
      </c>
      <c r="E966">
        <v>3097208.67</v>
      </c>
      <c r="F966">
        <v>0</v>
      </c>
      <c r="G966">
        <v>3097208.67</v>
      </c>
      <c r="H966">
        <v>33692.019999999997</v>
      </c>
      <c r="I966">
        <v>663899.86</v>
      </c>
      <c r="J966">
        <v>2.8730000000000002</v>
      </c>
      <c r="K966">
        <v>65985.88</v>
      </c>
      <c r="L966">
        <v>0</v>
      </c>
      <c r="M966">
        <v>0</v>
      </c>
      <c r="N966">
        <v>2022</v>
      </c>
      <c r="O966">
        <v>12</v>
      </c>
    </row>
    <row r="967" spans="1:15" x14ac:dyDescent="0.3">
      <c r="A967">
        <v>38796</v>
      </c>
      <c r="B967">
        <v>3202454</v>
      </c>
      <c r="C967" t="s">
        <v>44</v>
      </c>
      <c r="D967">
        <v>0.35099999999999998</v>
      </c>
      <c r="E967">
        <v>1195951.8700000001</v>
      </c>
      <c r="F967">
        <v>0</v>
      </c>
      <c r="G967">
        <v>1195951.8700000001</v>
      </c>
      <c r="H967">
        <v>13009.79</v>
      </c>
      <c r="I967">
        <v>60304.31</v>
      </c>
      <c r="J967">
        <v>0.86499999999999999</v>
      </c>
      <c r="K967">
        <v>25479.7</v>
      </c>
      <c r="L967">
        <v>0</v>
      </c>
      <c r="M967">
        <v>0</v>
      </c>
      <c r="N967">
        <v>2022</v>
      </c>
      <c r="O967">
        <v>12</v>
      </c>
    </row>
    <row r="968" spans="1:15" x14ac:dyDescent="0.3">
      <c r="A968">
        <v>38797</v>
      </c>
      <c r="B968">
        <v>3202504</v>
      </c>
      <c r="C968" t="s">
        <v>45</v>
      </c>
      <c r="D968">
        <v>0.26700000000000002</v>
      </c>
      <c r="E968">
        <v>909741.18</v>
      </c>
      <c r="F968">
        <v>0</v>
      </c>
      <c r="G968">
        <v>909741.18</v>
      </c>
      <c r="H968">
        <v>9896.34</v>
      </c>
      <c r="I968">
        <v>52811.45</v>
      </c>
      <c r="J968">
        <v>0.46300000000000002</v>
      </c>
      <c r="K968">
        <v>19381.990000000002</v>
      </c>
      <c r="L968">
        <v>0</v>
      </c>
      <c r="M968">
        <v>0</v>
      </c>
      <c r="N968">
        <v>2022</v>
      </c>
      <c r="O968">
        <v>12</v>
      </c>
    </row>
    <row r="969" spans="1:15" x14ac:dyDescent="0.3">
      <c r="A969">
        <v>38798</v>
      </c>
      <c r="B969">
        <v>3202553</v>
      </c>
      <c r="C969" t="s">
        <v>46</v>
      </c>
      <c r="D969">
        <v>0.248</v>
      </c>
      <c r="E969">
        <v>845003.03</v>
      </c>
      <c r="F969">
        <v>0</v>
      </c>
      <c r="G969">
        <v>845003.03</v>
      </c>
      <c r="H969">
        <v>9192.1</v>
      </c>
      <c r="I969">
        <v>16582.060000000001</v>
      </c>
      <c r="J969">
        <v>0.33800000000000002</v>
      </c>
      <c r="K969">
        <v>18002.75</v>
      </c>
      <c r="L969">
        <v>0</v>
      </c>
      <c r="M969">
        <v>0</v>
      </c>
      <c r="N969">
        <v>2022</v>
      </c>
      <c r="O969">
        <v>12</v>
      </c>
    </row>
    <row r="970" spans="1:15" x14ac:dyDescent="0.3">
      <c r="A970">
        <v>38799</v>
      </c>
      <c r="B970">
        <v>3202603</v>
      </c>
      <c r="C970" t="s">
        <v>47</v>
      </c>
      <c r="D970">
        <v>0.34399999999999997</v>
      </c>
      <c r="E970">
        <v>1172100.99</v>
      </c>
      <c r="F970">
        <v>0</v>
      </c>
      <c r="G970">
        <v>1172100.99</v>
      </c>
      <c r="H970">
        <v>12750.34</v>
      </c>
      <c r="I970">
        <v>45043.42</v>
      </c>
      <c r="J970">
        <v>0.55600000000000005</v>
      </c>
      <c r="K970">
        <v>24971.55</v>
      </c>
      <c r="L970">
        <v>0</v>
      </c>
      <c r="M970">
        <v>0</v>
      </c>
      <c r="N970">
        <v>2022</v>
      </c>
      <c r="O970">
        <v>12</v>
      </c>
    </row>
    <row r="971" spans="1:15" x14ac:dyDescent="0.3">
      <c r="A971">
        <v>38800</v>
      </c>
      <c r="B971">
        <v>3202652</v>
      </c>
      <c r="C971" t="s">
        <v>48</v>
      </c>
      <c r="D971">
        <v>0.308</v>
      </c>
      <c r="E971">
        <v>1049439.24</v>
      </c>
      <c r="F971">
        <v>0</v>
      </c>
      <c r="G971">
        <v>1049439.24</v>
      </c>
      <c r="H971">
        <v>11416</v>
      </c>
      <c r="I971">
        <v>39754.58</v>
      </c>
      <c r="J971">
        <v>0.55100000000000005</v>
      </c>
      <c r="K971">
        <v>22358.25</v>
      </c>
      <c r="L971">
        <v>0</v>
      </c>
      <c r="M971">
        <v>0</v>
      </c>
      <c r="N971">
        <v>2022</v>
      </c>
      <c r="O971">
        <v>12</v>
      </c>
    </row>
    <row r="972" spans="1:15" x14ac:dyDescent="0.3">
      <c r="A972">
        <v>38801</v>
      </c>
      <c r="B972">
        <v>3202702</v>
      </c>
      <c r="C972" t="s">
        <v>49</v>
      </c>
      <c r="D972">
        <v>0.35499999999999998</v>
      </c>
      <c r="E972">
        <v>1209580.94</v>
      </c>
      <c r="F972">
        <v>0</v>
      </c>
      <c r="G972">
        <v>1209580.94</v>
      </c>
      <c r="H972">
        <v>13158.05</v>
      </c>
      <c r="I972">
        <v>24876.14</v>
      </c>
      <c r="J972">
        <v>0.55500000000000005</v>
      </c>
      <c r="K972">
        <v>25770.06</v>
      </c>
      <c r="L972">
        <v>0</v>
      </c>
      <c r="M972">
        <v>0</v>
      </c>
      <c r="N972">
        <v>2022</v>
      </c>
      <c r="O972">
        <v>12</v>
      </c>
    </row>
    <row r="973" spans="1:15" x14ac:dyDescent="0.3">
      <c r="A973">
        <v>38802</v>
      </c>
      <c r="B973">
        <v>3202801</v>
      </c>
      <c r="C973" t="s">
        <v>50</v>
      </c>
      <c r="D973">
        <v>2.262</v>
      </c>
      <c r="E973">
        <v>7707245.3600000003</v>
      </c>
      <c r="F973">
        <v>0</v>
      </c>
      <c r="G973">
        <v>7707245.3600000003</v>
      </c>
      <c r="H973">
        <v>83840.87</v>
      </c>
      <c r="I973">
        <v>124468.76</v>
      </c>
      <c r="J973">
        <v>1.042</v>
      </c>
      <c r="K973">
        <v>164202.49</v>
      </c>
      <c r="L973">
        <v>0</v>
      </c>
      <c r="M973">
        <v>0</v>
      </c>
      <c r="N973">
        <v>2022</v>
      </c>
      <c r="O973">
        <v>12</v>
      </c>
    </row>
    <row r="974" spans="1:15" x14ac:dyDescent="0.3">
      <c r="A974">
        <v>38803</v>
      </c>
      <c r="B974">
        <v>3202900</v>
      </c>
      <c r="C974" t="s">
        <v>51</v>
      </c>
      <c r="D974">
        <v>0.34599999999999997</v>
      </c>
      <c r="E974">
        <v>1178915.49</v>
      </c>
      <c r="F974">
        <v>0</v>
      </c>
      <c r="G974">
        <v>1178915.49</v>
      </c>
      <c r="H974">
        <v>12824.47</v>
      </c>
      <c r="I974">
        <v>34148.19</v>
      </c>
      <c r="J974">
        <v>0.435</v>
      </c>
      <c r="K974">
        <v>25116.74</v>
      </c>
      <c r="L974">
        <v>0</v>
      </c>
      <c r="M974">
        <v>0</v>
      </c>
      <c r="N974">
        <v>2022</v>
      </c>
      <c r="O974">
        <v>12</v>
      </c>
    </row>
    <row r="975" spans="1:15" x14ac:dyDescent="0.3">
      <c r="A975">
        <v>38804</v>
      </c>
      <c r="B975">
        <v>3203007</v>
      </c>
      <c r="C975" t="s">
        <v>52</v>
      </c>
      <c r="D975">
        <v>0.438</v>
      </c>
      <c r="E975">
        <v>1492384.37</v>
      </c>
      <c r="F975">
        <v>0</v>
      </c>
      <c r="G975">
        <v>1492384.37</v>
      </c>
      <c r="H975">
        <v>16234.44</v>
      </c>
      <c r="I975">
        <v>62435.88</v>
      </c>
      <c r="J975">
        <v>0.89700000000000002</v>
      </c>
      <c r="K975">
        <v>31795.17</v>
      </c>
      <c r="L975">
        <v>0</v>
      </c>
      <c r="M975">
        <v>0</v>
      </c>
      <c r="N975">
        <v>2022</v>
      </c>
      <c r="O975">
        <v>12</v>
      </c>
    </row>
    <row r="976" spans="1:15" x14ac:dyDescent="0.3">
      <c r="A976">
        <v>38805</v>
      </c>
      <c r="B976">
        <v>3203056</v>
      </c>
      <c r="C976" t="s">
        <v>53</v>
      </c>
      <c r="D976">
        <v>0.8</v>
      </c>
      <c r="E976">
        <v>2725816.22</v>
      </c>
      <c r="F976">
        <v>0</v>
      </c>
      <c r="G976">
        <v>2725816.22</v>
      </c>
      <c r="H976">
        <v>29651.94</v>
      </c>
      <c r="I976">
        <v>69180.570000000007</v>
      </c>
      <c r="J976">
        <v>1</v>
      </c>
      <c r="K976">
        <v>58073.38</v>
      </c>
      <c r="L976">
        <v>0</v>
      </c>
      <c r="M976">
        <v>0</v>
      </c>
      <c r="N976">
        <v>2022</v>
      </c>
      <c r="O976">
        <v>12</v>
      </c>
    </row>
    <row r="977" spans="1:15" x14ac:dyDescent="0.3">
      <c r="A977">
        <v>38806</v>
      </c>
      <c r="B977">
        <v>3203106</v>
      </c>
      <c r="C977" t="s">
        <v>54</v>
      </c>
      <c r="D977">
        <v>0.21199999999999999</v>
      </c>
      <c r="E977">
        <v>722341.31</v>
      </c>
      <c r="F977">
        <v>0</v>
      </c>
      <c r="G977">
        <v>722341.31</v>
      </c>
      <c r="H977">
        <v>7857.77</v>
      </c>
      <c r="I977">
        <v>19500.89</v>
      </c>
      <c r="J977">
        <v>0.45800000000000002</v>
      </c>
      <c r="K977">
        <v>15389.45</v>
      </c>
      <c r="L977">
        <v>0</v>
      </c>
      <c r="M977">
        <v>0</v>
      </c>
      <c r="N977">
        <v>2022</v>
      </c>
      <c r="O977">
        <v>12</v>
      </c>
    </row>
    <row r="978" spans="1:15" x14ac:dyDescent="0.3">
      <c r="A978">
        <v>38807</v>
      </c>
      <c r="B978">
        <v>3203130</v>
      </c>
      <c r="C978" t="s">
        <v>55</v>
      </c>
      <c r="D978">
        <v>0.38600000000000001</v>
      </c>
      <c r="E978">
        <v>1315206.31</v>
      </c>
      <c r="F978">
        <v>0</v>
      </c>
      <c r="G978">
        <v>1315206.31</v>
      </c>
      <c r="H978">
        <v>14307.06</v>
      </c>
      <c r="I978">
        <v>35991.800000000003</v>
      </c>
      <c r="J978">
        <v>0.66600000000000004</v>
      </c>
      <c r="K978">
        <v>28020.41</v>
      </c>
      <c r="L978">
        <v>0</v>
      </c>
      <c r="M978">
        <v>0</v>
      </c>
      <c r="N978">
        <v>2022</v>
      </c>
      <c r="O978">
        <v>12</v>
      </c>
    </row>
    <row r="979" spans="1:15" x14ac:dyDescent="0.3">
      <c r="A979">
        <v>38808</v>
      </c>
      <c r="B979">
        <v>3203163</v>
      </c>
      <c r="C979" t="s">
        <v>56</v>
      </c>
      <c r="D979">
        <v>0.372</v>
      </c>
      <c r="E979">
        <v>1267504.52</v>
      </c>
      <c r="F979">
        <v>0</v>
      </c>
      <c r="G979">
        <v>1267504.52</v>
      </c>
      <c r="H979">
        <v>13788.15</v>
      </c>
      <c r="I979">
        <v>11439.8</v>
      </c>
      <c r="J979">
        <v>0.441</v>
      </c>
      <c r="K979">
        <v>27004.12</v>
      </c>
      <c r="L979">
        <v>0</v>
      </c>
      <c r="M979">
        <v>0</v>
      </c>
      <c r="N979">
        <v>2022</v>
      </c>
      <c r="O979">
        <v>12</v>
      </c>
    </row>
    <row r="980" spans="1:15" x14ac:dyDescent="0.3">
      <c r="A980">
        <v>38809</v>
      </c>
      <c r="B980">
        <v>3203205</v>
      </c>
      <c r="C980" t="s">
        <v>57</v>
      </c>
      <c r="D980">
        <v>5.4</v>
      </c>
      <c r="E980">
        <v>18399259.48</v>
      </c>
      <c r="F980">
        <v>0</v>
      </c>
      <c r="G980">
        <v>18399259.48</v>
      </c>
      <c r="H980">
        <v>200150.62</v>
      </c>
      <c r="I980">
        <v>516697.97</v>
      </c>
      <c r="J980">
        <v>4.0880000000000001</v>
      </c>
      <c r="K980">
        <v>391995.33</v>
      </c>
      <c r="L980">
        <v>0</v>
      </c>
      <c r="M980">
        <v>0</v>
      </c>
      <c r="N980">
        <v>2022</v>
      </c>
      <c r="O980">
        <v>12</v>
      </c>
    </row>
    <row r="981" spans="1:15" x14ac:dyDescent="0.3">
      <c r="A981">
        <v>38810</v>
      </c>
      <c r="B981">
        <v>3203304</v>
      </c>
      <c r="C981" t="s">
        <v>58</v>
      </c>
      <c r="D981">
        <v>0.216</v>
      </c>
      <c r="E981">
        <v>735970.41</v>
      </c>
      <c r="F981">
        <v>0</v>
      </c>
      <c r="G981">
        <v>735970.41</v>
      </c>
      <c r="H981">
        <v>8006.02</v>
      </c>
      <c r="I981">
        <v>25953.49</v>
      </c>
      <c r="J981">
        <v>0.57599999999999996</v>
      </c>
      <c r="K981">
        <v>15679.81</v>
      </c>
      <c r="L981">
        <v>0</v>
      </c>
      <c r="M981">
        <v>0</v>
      </c>
      <c r="N981">
        <v>2022</v>
      </c>
      <c r="O981">
        <v>12</v>
      </c>
    </row>
    <row r="982" spans="1:15" x14ac:dyDescent="0.3">
      <c r="A982">
        <v>38811</v>
      </c>
      <c r="B982">
        <v>3203320</v>
      </c>
      <c r="C982" t="s">
        <v>59</v>
      </c>
      <c r="D982">
        <v>0.60899999999999999</v>
      </c>
      <c r="E982">
        <v>2075027.58</v>
      </c>
      <c r="F982">
        <v>0</v>
      </c>
      <c r="G982">
        <v>2075027.58</v>
      </c>
      <c r="H982">
        <v>22572.54</v>
      </c>
      <c r="I982">
        <v>168287.29</v>
      </c>
      <c r="J982">
        <v>1.171</v>
      </c>
      <c r="K982">
        <v>44208.36</v>
      </c>
      <c r="L982">
        <v>0</v>
      </c>
      <c r="M982">
        <v>0</v>
      </c>
      <c r="N982">
        <v>2022</v>
      </c>
      <c r="O982">
        <v>12</v>
      </c>
    </row>
    <row r="983" spans="1:15" x14ac:dyDescent="0.3">
      <c r="A983">
        <v>38812</v>
      </c>
      <c r="B983">
        <v>3203346</v>
      </c>
      <c r="C983" t="s">
        <v>60</v>
      </c>
      <c r="D983">
        <v>0.64500000000000002</v>
      </c>
      <c r="E983">
        <v>2197689.35</v>
      </c>
      <c r="F983">
        <v>0</v>
      </c>
      <c r="G983">
        <v>2197689.35</v>
      </c>
      <c r="H983">
        <v>23906.880000000001</v>
      </c>
      <c r="I983">
        <v>34405.730000000003</v>
      </c>
      <c r="J983">
        <v>0.67100000000000004</v>
      </c>
      <c r="K983">
        <v>46821.66</v>
      </c>
      <c r="L983">
        <v>0</v>
      </c>
      <c r="M983">
        <v>0</v>
      </c>
      <c r="N983">
        <v>2022</v>
      </c>
      <c r="O983">
        <v>12</v>
      </c>
    </row>
    <row r="984" spans="1:15" x14ac:dyDescent="0.3">
      <c r="A984">
        <v>38813</v>
      </c>
      <c r="B984">
        <v>3203353</v>
      </c>
      <c r="C984" t="s">
        <v>61</v>
      </c>
      <c r="D984">
        <v>0.45200000000000001</v>
      </c>
      <c r="E984">
        <v>1540086.16</v>
      </c>
      <c r="F984">
        <v>0</v>
      </c>
      <c r="G984">
        <v>1540086.16</v>
      </c>
      <c r="H984">
        <v>16753.349999999999</v>
      </c>
      <c r="I984">
        <v>25166.02</v>
      </c>
      <c r="J984">
        <v>0.46700000000000003</v>
      </c>
      <c r="K984">
        <v>32811.46</v>
      </c>
      <c r="L984">
        <v>0</v>
      </c>
      <c r="M984">
        <v>0</v>
      </c>
      <c r="N984">
        <v>2022</v>
      </c>
      <c r="O984">
        <v>12</v>
      </c>
    </row>
    <row r="985" spans="1:15" x14ac:dyDescent="0.3">
      <c r="A985">
        <v>38814</v>
      </c>
      <c r="B985">
        <v>3203403</v>
      </c>
      <c r="C985" t="s">
        <v>62</v>
      </c>
      <c r="D985">
        <v>0.51400000000000001</v>
      </c>
      <c r="E985">
        <v>1751336.9</v>
      </c>
      <c r="F985">
        <v>0</v>
      </c>
      <c r="G985">
        <v>1751336.9</v>
      </c>
      <c r="H985">
        <v>19051.37</v>
      </c>
      <c r="I985">
        <v>74691.820000000007</v>
      </c>
      <c r="J985">
        <v>0.85599999999999998</v>
      </c>
      <c r="K985">
        <v>37312.15</v>
      </c>
      <c r="L985">
        <v>0</v>
      </c>
      <c r="M985">
        <v>0</v>
      </c>
      <c r="N985">
        <v>2022</v>
      </c>
      <c r="O985">
        <v>12</v>
      </c>
    </row>
    <row r="986" spans="1:15" x14ac:dyDescent="0.3">
      <c r="A986">
        <v>38815</v>
      </c>
      <c r="B986">
        <v>3203502</v>
      </c>
      <c r="C986" t="s">
        <v>63</v>
      </c>
      <c r="D986">
        <v>0.53600000000000003</v>
      </c>
      <c r="E986">
        <v>1826296.87</v>
      </c>
      <c r="F986">
        <v>0</v>
      </c>
      <c r="G986">
        <v>1826296.87</v>
      </c>
      <c r="H986">
        <v>19866.8</v>
      </c>
      <c r="I986">
        <v>51046.96</v>
      </c>
      <c r="J986">
        <v>0.69299999999999995</v>
      </c>
      <c r="K986">
        <v>38909.160000000003</v>
      </c>
      <c r="L986">
        <v>0</v>
      </c>
      <c r="M986">
        <v>0</v>
      </c>
      <c r="N986">
        <v>2022</v>
      </c>
      <c r="O986">
        <v>12</v>
      </c>
    </row>
    <row r="987" spans="1:15" x14ac:dyDescent="0.3">
      <c r="A987">
        <v>38816</v>
      </c>
      <c r="B987">
        <v>3203601</v>
      </c>
      <c r="C987" t="s">
        <v>64</v>
      </c>
      <c r="D987">
        <v>0.27800000000000002</v>
      </c>
      <c r="E987">
        <v>947221.16</v>
      </c>
      <c r="F987">
        <v>0</v>
      </c>
      <c r="G987">
        <v>947221.16</v>
      </c>
      <c r="H987">
        <v>10304.049999999999</v>
      </c>
      <c r="I987">
        <v>9820.6299999999992</v>
      </c>
      <c r="J987">
        <v>0.29799999999999999</v>
      </c>
      <c r="K987">
        <v>20180.5</v>
      </c>
      <c r="L987">
        <v>0</v>
      </c>
      <c r="M987">
        <v>0</v>
      </c>
      <c r="N987">
        <v>2022</v>
      </c>
      <c r="O987">
        <v>12</v>
      </c>
    </row>
    <row r="988" spans="1:15" x14ac:dyDescent="0.3">
      <c r="A988">
        <v>38817</v>
      </c>
      <c r="B988">
        <v>3203700</v>
      </c>
      <c r="C988" t="s">
        <v>65</v>
      </c>
      <c r="D988">
        <v>0.55000000000000004</v>
      </c>
      <c r="E988">
        <v>1873998.65</v>
      </c>
      <c r="F988">
        <v>0</v>
      </c>
      <c r="G988">
        <v>1873998.65</v>
      </c>
      <c r="H988">
        <v>20385.71</v>
      </c>
      <c r="I988">
        <v>34369.53</v>
      </c>
      <c r="J988">
        <v>0.67100000000000004</v>
      </c>
      <c r="K988">
        <v>39925.449999999997</v>
      </c>
      <c r="L988">
        <v>0</v>
      </c>
      <c r="M988">
        <v>0</v>
      </c>
      <c r="N988">
        <v>2022</v>
      </c>
      <c r="O988">
        <v>12</v>
      </c>
    </row>
    <row r="989" spans="1:15" x14ac:dyDescent="0.3">
      <c r="A989">
        <v>38818</v>
      </c>
      <c r="B989">
        <v>3203809</v>
      </c>
      <c r="C989" t="s">
        <v>66</v>
      </c>
      <c r="D989">
        <v>0.29599999999999999</v>
      </c>
      <c r="E989">
        <v>1008551.98</v>
      </c>
      <c r="F989">
        <v>0</v>
      </c>
      <c r="G989">
        <v>1008551.98</v>
      </c>
      <c r="H989">
        <v>10971.22</v>
      </c>
      <c r="I989">
        <v>31701.47</v>
      </c>
      <c r="J989">
        <v>0.57499999999999996</v>
      </c>
      <c r="K989">
        <v>21487.15</v>
      </c>
      <c r="L989">
        <v>0</v>
      </c>
      <c r="M989">
        <v>0</v>
      </c>
      <c r="N989">
        <v>2022</v>
      </c>
      <c r="O989">
        <v>12</v>
      </c>
    </row>
    <row r="990" spans="1:15" x14ac:dyDescent="0.3">
      <c r="A990">
        <v>38819</v>
      </c>
      <c r="B990">
        <v>3203908</v>
      </c>
      <c r="C990" t="s">
        <v>67</v>
      </c>
      <c r="D990">
        <v>1.268</v>
      </c>
      <c r="E990">
        <v>4320418.6900000004</v>
      </c>
      <c r="F990">
        <v>0</v>
      </c>
      <c r="G990">
        <v>4320418.6900000004</v>
      </c>
      <c r="H990">
        <v>46998.33</v>
      </c>
      <c r="I990">
        <v>139824.68</v>
      </c>
      <c r="J990">
        <v>1.4650000000000001</v>
      </c>
      <c r="K990">
        <v>92046.31</v>
      </c>
      <c r="L990">
        <v>0</v>
      </c>
      <c r="M990">
        <v>0</v>
      </c>
      <c r="N990">
        <v>2022</v>
      </c>
      <c r="O990">
        <v>12</v>
      </c>
    </row>
    <row r="991" spans="1:15" x14ac:dyDescent="0.3">
      <c r="A991">
        <v>38820</v>
      </c>
      <c r="B991">
        <v>3204005</v>
      </c>
      <c r="C991" t="s">
        <v>68</v>
      </c>
      <c r="D991">
        <v>0.47099999999999997</v>
      </c>
      <c r="E991">
        <v>1604824.31</v>
      </c>
      <c r="F991">
        <v>0</v>
      </c>
      <c r="G991">
        <v>1604824.31</v>
      </c>
      <c r="H991">
        <v>17457.580000000002</v>
      </c>
      <c r="I991">
        <v>32388.05</v>
      </c>
      <c r="J991">
        <v>0.747</v>
      </c>
      <c r="K991">
        <v>34190.699999999997</v>
      </c>
      <c r="L991">
        <v>0</v>
      </c>
      <c r="M991">
        <v>0</v>
      </c>
      <c r="N991">
        <v>2022</v>
      </c>
      <c r="O991">
        <v>12</v>
      </c>
    </row>
    <row r="992" spans="1:15" x14ac:dyDescent="0.3">
      <c r="A992">
        <v>38821</v>
      </c>
      <c r="B992">
        <v>3204054</v>
      </c>
      <c r="C992" t="s">
        <v>69</v>
      </c>
      <c r="D992">
        <v>0.313</v>
      </c>
      <c r="E992">
        <v>1066475.6000000001</v>
      </c>
      <c r="F992">
        <v>0</v>
      </c>
      <c r="G992">
        <v>1066475.6000000001</v>
      </c>
      <c r="H992">
        <v>11601.32</v>
      </c>
      <c r="I992">
        <v>60062.239999999998</v>
      </c>
      <c r="J992">
        <v>0.86199999999999999</v>
      </c>
      <c r="K992">
        <v>22721.21</v>
      </c>
      <c r="L992">
        <v>0</v>
      </c>
      <c r="M992">
        <v>0</v>
      </c>
      <c r="N992">
        <v>2022</v>
      </c>
      <c r="O992">
        <v>12</v>
      </c>
    </row>
    <row r="993" spans="1:15" x14ac:dyDescent="0.3">
      <c r="A993">
        <v>38822</v>
      </c>
      <c r="B993">
        <v>3204104</v>
      </c>
      <c r="C993" t="s">
        <v>70</v>
      </c>
      <c r="D993">
        <v>0.72599999999999998</v>
      </c>
      <c r="E993">
        <v>2473678.21</v>
      </c>
      <c r="F993">
        <v>0</v>
      </c>
      <c r="G993">
        <v>2473678.21</v>
      </c>
      <c r="H993">
        <v>26909.14</v>
      </c>
      <c r="I993">
        <v>63633.02</v>
      </c>
      <c r="J993">
        <v>0.875</v>
      </c>
      <c r="K993">
        <v>52701.59</v>
      </c>
      <c r="L993">
        <v>0</v>
      </c>
      <c r="M993">
        <v>0</v>
      </c>
      <c r="N993">
        <v>2022</v>
      </c>
      <c r="O993">
        <v>12</v>
      </c>
    </row>
    <row r="994" spans="1:15" x14ac:dyDescent="0.3">
      <c r="A994">
        <v>38823</v>
      </c>
      <c r="B994">
        <v>3204203</v>
      </c>
      <c r="C994" t="s">
        <v>71</v>
      </c>
      <c r="D994">
        <v>0.14599999999999999</v>
      </c>
      <c r="E994">
        <v>497461.46</v>
      </c>
      <c r="F994">
        <v>0</v>
      </c>
      <c r="G994">
        <v>497461.46</v>
      </c>
      <c r="H994">
        <v>5411.48</v>
      </c>
      <c r="I994">
        <v>93494.89</v>
      </c>
      <c r="J994">
        <v>0.73399999999999999</v>
      </c>
      <c r="K994">
        <v>10598.39</v>
      </c>
      <c r="L994">
        <v>0</v>
      </c>
      <c r="M994">
        <v>0</v>
      </c>
      <c r="N994">
        <v>2022</v>
      </c>
      <c r="O994">
        <v>12</v>
      </c>
    </row>
    <row r="995" spans="1:15" x14ac:dyDescent="0.3">
      <c r="A995">
        <v>38824</v>
      </c>
      <c r="B995">
        <v>3204252</v>
      </c>
      <c r="C995" t="s">
        <v>72</v>
      </c>
      <c r="D995">
        <v>0.221</v>
      </c>
      <c r="E995">
        <v>753006.74</v>
      </c>
      <c r="F995">
        <v>0</v>
      </c>
      <c r="G995">
        <v>753006.74</v>
      </c>
      <c r="H995">
        <v>8191.35</v>
      </c>
      <c r="I995">
        <v>16446.59</v>
      </c>
      <c r="J995">
        <v>0.32900000000000001</v>
      </c>
      <c r="K995">
        <v>16042.77</v>
      </c>
      <c r="L995">
        <v>0</v>
      </c>
      <c r="M995">
        <v>0</v>
      </c>
      <c r="N995">
        <v>2022</v>
      </c>
      <c r="O995">
        <v>12</v>
      </c>
    </row>
    <row r="996" spans="1:15" x14ac:dyDescent="0.3">
      <c r="A996">
        <v>38825</v>
      </c>
      <c r="B996">
        <v>1718402</v>
      </c>
      <c r="C996" t="s">
        <v>73</v>
      </c>
      <c r="D996">
        <v>0.33800000000000002</v>
      </c>
      <c r="E996">
        <v>1151657.3400000001</v>
      </c>
      <c r="F996">
        <v>0</v>
      </c>
      <c r="G996">
        <v>1151657.3400000001</v>
      </c>
      <c r="H996">
        <v>12527.95</v>
      </c>
      <c r="I996">
        <v>89085.28</v>
      </c>
      <c r="J996">
        <v>0.45100000000000001</v>
      </c>
      <c r="K996">
        <v>24536</v>
      </c>
      <c r="L996">
        <v>0</v>
      </c>
      <c r="M996">
        <v>0</v>
      </c>
      <c r="N996">
        <v>2022</v>
      </c>
      <c r="O996">
        <v>12</v>
      </c>
    </row>
    <row r="997" spans="1:15" x14ac:dyDescent="0.3">
      <c r="A997">
        <v>38826</v>
      </c>
      <c r="B997">
        <v>3204351</v>
      </c>
      <c r="C997" t="s">
        <v>74</v>
      </c>
      <c r="D997">
        <v>0.79700000000000004</v>
      </c>
      <c r="E997">
        <v>2715594.4</v>
      </c>
      <c r="F997">
        <v>0</v>
      </c>
      <c r="G997">
        <v>2715594.4</v>
      </c>
      <c r="H997">
        <v>29540.75</v>
      </c>
      <c r="I997">
        <v>37332</v>
      </c>
      <c r="J997">
        <v>0.69799999999999995</v>
      </c>
      <c r="K997">
        <v>57855.61</v>
      </c>
      <c r="L997">
        <v>0</v>
      </c>
      <c r="M997">
        <v>0</v>
      </c>
      <c r="N997">
        <v>2022</v>
      </c>
      <c r="O997">
        <v>12</v>
      </c>
    </row>
    <row r="998" spans="1:15" x14ac:dyDescent="0.3">
      <c r="A998">
        <v>38827</v>
      </c>
      <c r="B998">
        <v>3204401</v>
      </c>
      <c r="C998" t="s">
        <v>75</v>
      </c>
      <c r="D998">
        <v>0.27500000000000002</v>
      </c>
      <c r="E998">
        <v>936999.34</v>
      </c>
      <c r="F998">
        <v>0</v>
      </c>
      <c r="G998">
        <v>936999.34</v>
      </c>
      <c r="H998">
        <v>10192.86</v>
      </c>
      <c r="I998">
        <v>31430.43</v>
      </c>
      <c r="J998">
        <v>0.45</v>
      </c>
      <c r="K998">
        <v>19962.73</v>
      </c>
      <c r="L998">
        <v>0</v>
      </c>
      <c r="M998">
        <v>0</v>
      </c>
      <c r="N998">
        <v>2022</v>
      </c>
      <c r="O998">
        <v>12</v>
      </c>
    </row>
    <row r="999" spans="1:15" x14ac:dyDescent="0.3">
      <c r="A999">
        <v>38828</v>
      </c>
      <c r="B999">
        <v>3204500</v>
      </c>
      <c r="C999" t="s">
        <v>76</v>
      </c>
      <c r="D999">
        <v>0.53800000000000003</v>
      </c>
      <c r="E999">
        <v>1833111.41</v>
      </c>
      <c r="F999">
        <v>0</v>
      </c>
      <c r="G999">
        <v>1833111.41</v>
      </c>
      <c r="H999">
        <v>19940.93</v>
      </c>
      <c r="I999">
        <v>22201.09</v>
      </c>
      <c r="J999">
        <v>0.45600000000000002</v>
      </c>
      <c r="K999">
        <v>39054.35</v>
      </c>
      <c r="L999">
        <v>0</v>
      </c>
      <c r="M999">
        <v>0</v>
      </c>
      <c r="N999">
        <v>2022</v>
      </c>
      <c r="O999">
        <v>12</v>
      </c>
    </row>
    <row r="1000" spans="1:15" x14ac:dyDescent="0.3">
      <c r="A1000">
        <v>38829</v>
      </c>
      <c r="B1000">
        <v>3204559</v>
      </c>
      <c r="C1000" t="s">
        <v>77</v>
      </c>
      <c r="D1000">
        <v>2.1160000000000001</v>
      </c>
      <c r="E1000">
        <v>7209783.8799999999</v>
      </c>
      <c r="F1000">
        <v>0</v>
      </c>
      <c r="G1000">
        <v>7209783.8799999999</v>
      </c>
      <c r="H1000">
        <v>78429.39</v>
      </c>
      <c r="I1000">
        <v>165695.17000000001</v>
      </c>
      <c r="J1000">
        <v>1.1990000000000001</v>
      </c>
      <c r="K1000">
        <v>153604.09</v>
      </c>
      <c r="L1000">
        <v>0</v>
      </c>
      <c r="M1000">
        <v>0</v>
      </c>
      <c r="N1000">
        <v>2022</v>
      </c>
      <c r="O1000">
        <v>12</v>
      </c>
    </row>
    <row r="1001" spans="1:15" x14ac:dyDescent="0.3">
      <c r="A1001">
        <v>38830</v>
      </c>
      <c r="B1001">
        <v>3204609</v>
      </c>
      <c r="C1001" t="s">
        <v>78</v>
      </c>
      <c r="D1001">
        <v>0.68799999999999994</v>
      </c>
      <c r="E1001">
        <v>2344201.9500000002</v>
      </c>
      <c r="F1001">
        <v>0</v>
      </c>
      <c r="G1001">
        <v>2344201.9500000002</v>
      </c>
      <c r="H1001">
        <v>25500.67</v>
      </c>
      <c r="I1001">
        <v>53382.23</v>
      </c>
      <c r="J1001">
        <v>0.82899999999999996</v>
      </c>
      <c r="K1001">
        <v>49943.11</v>
      </c>
      <c r="L1001">
        <v>0</v>
      </c>
      <c r="M1001">
        <v>0</v>
      </c>
      <c r="N1001">
        <v>2022</v>
      </c>
      <c r="O1001">
        <v>12</v>
      </c>
    </row>
    <row r="1002" spans="1:15" x14ac:dyDescent="0.3">
      <c r="A1002">
        <v>38831</v>
      </c>
      <c r="B1002">
        <v>3204658</v>
      </c>
      <c r="C1002" t="s">
        <v>79</v>
      </c>
      <c r="D1002">
        <v>0.42399999999999999</v>
      </c>
      <c r="E1002">
        <v>1444682.59</v>
      </c>
      <c r="F1002">
        <v>0</v>
      </c>
      <c r="G1002">
        <v>1444682.59</v>
      </c>
      <c r="H1002">
        <v>15715.53</v>
      </c>
      <c r="I1002">
        <v>20026.88</v>
      </c>
      <c r="J1002">
        <v>0.33700000000000002</v>
      </c>
      <c r="K1002">
        <v>30778.89</v>
      </c>
      <c r="L1002">
        <v>0</v>
      </c>
      <c r="M1002">
        <v>0</v>
      </c>
      <c r="N1002">
        <v>2022</v>
      </c>
      <c r="O1002">
        <v>12</v>
      </c>
    </row>
    <row r="1003" spans="1:15" x14ac:dyDescent="0.3">
      <c r="A1003">
        <v>38832</v>
      </c>
      <c r="B1003">
        <v>3204708</v>
      </c>
      <c r="C1003" t="s">
        <v>80</v>
      </c>
      <c r="D1003">
        <v>0.81499999999999995</v>
      </c>
      <c r="E1003">
        <v>2776925.26</v>
      </c>
      <c r="F1003">
        <v>0</v>
      </c>
      <c r="G1003">
        <v>2776925.26</v>
      </c>
      <c r="H1003">
        <v>30207.919999999998</v>
      </c>
      <c r="I1003">
        <v>87902.64</v>
      </c>
      <c r="J1003">
        <v>1.169</v>
      </c>
      <c r="K1003">
        <v>59162.25</v>
      </c>
      <c r="L1003">
        <v>0</v>
      </c>
      <c r="M1003">
        <v>0</v>
      </c>
      <c r="N1003">
        <v>2022</v>
      </c>
      <c r="O1003">
        <v>12</v>
      </c>
    </row>
    <row r="1004" spans="1:15" x14ac:dyDescent="0.3">
      <c r="A1004">
        <v>38833</v>
      </c>
      <c r="B1004">
        <v>3204807</v>
      </c>
      <c r="C1004" t="s">
        <v>81</v>
      </c>
      <c r="D1004">
        <v>0.23</v>
      </c>
      <c r="E1004">
        <v>783672.16</v>
      </c>
      <c r="F1004">
        <v>0</v>
      </c>
      <c r="G1004">
        <v>783672.16</v>
      </c>
      <c r="H1004">
        <v>8524.93</v>
      </c>
      <c r="I1004">
        <v>26539.32</v>
      </c>
      <c r="J1004">
        <v>0.436</v>
      </c>
      <c r="K1004">
        <v>16696.099999999999</v>
      </c>
      <c r="L1004">
        <v>0</v>
      </c>
      <c r="M1004">
        <v>0</v>
      </c>
      <c r="N1004">
        <v>2022</v>
      </c>
      <c r="O1004">
        <v>12</v>
      </c>
    </row>
    <row r="1005" spans="1:15" x14ac:dyDescent="0.3">
      <c r="A1005">
        <v>38834</v>
      </c>
      <c r="B1005">
        <v>3204906</v>
      </c>
      <c r="C1005" t="s">
        <v>82</v>
      </c>
      <c r="D1005">
        <v>1.8839999999999999</v>
      </c>
      <c r="E1005">
        <v>6419297.1799999997</v>
      </c>
      <c r="F1005">
        <v>0</v>
      </c>
      <c r="G1005">
        <v>6419297.1799999997</v>
      </c>
      <c r="H1005">
        <v>69830.33</v>
      </c>
      <c r="I1005">
        <v>404330.41</v>
      </c>
      <c r="J1005">
        <v>3.024</v>
      </c>
      <c r="K1005">
        <v>136762.82</v>
      </c>
      <c r="L1005">
        <v>0</v>
      </c>
      <c r="M1005">
        <v>0</v>
      </c>
      <c r="N1005">
        <v>2022</v>
      </c>
      <c r="O1005">
        <v>12</v>
      </c>
    </row>
    <row r="1006" spans="1:15" x14ac:dyDescent="0.3">
      <c r="A1006">
        <v>38835</v>
      </c>
      <c r="B1006">
        <v>3204955</v>
      </c>
      <c r="C1006" t="s">
        <v>83</v>
      </c>
      <c r="D1006">
        <v>0.32600000000000001</v>
      </c>
      <c r="E1006">
        <v>1110770.1200000001</v>
      </c>
      <c r="F1006">
        <v>0</v>
      </c>
      <c r="G1006">
        <v>1110770.1200000001</v>
      </c>
      <c r="H1006">
        <v>12083.17</v>
      </c>
      <c r="I1006">
        <v>24252.51</v>
      </c>
      <c r="J1006">
        <v>0.46100000000000002</v>
      </c>
      <c r="K1006">
        <v>23664.9</v>
      </c>
      <c r="L1006">
        <v>0</v>
      </c>
      <c r="M1006">
        <v>0</v>
      </c>
      <c r="N1006">
        <v>2022</v>
      </c>
      <c r="O1006">
        <v>12</v>
      </c>
    </row>
    <row r="1007" spans="1:15" x14ac:dyDescent="0.3">
      <c r="A1007">
        <v>38836</v>
      </c>
      <c r="B1007">
        <v>3205002</v>
      </c>
      <c r="C1007" t="s">
        <v>84</v>
      </c>
      <c r="D1007">
        <v>14.176</v>
      </c>
      <c r="E1007">
        <v>48301463.369999997</v>
      </c>
      <c r="F1007">
        <v>0</v>
      </c>
      <c r="G1007">
        <v>48301463.369999997</v>
      </c>
      <c r="H1007">
        <v>525432.44999999995</v>
      </c>
      <c r="I1007">
        <v>1401303.89</v>
      </c>
      <c r="J1007">
        <v>8.4320000000000004</v>
      </c>
      <c r="K1007">
        <v>1029060.33</v>
      </c>
      <c r="L1007">
        <v>0</v>
      </c>
      <c r="M1007">
        <v>0</v>
      </c>
      <c r="N1007">
        <v>2022</v>
      </c>
      <c r="O1007">
        <v>12</v>
      </c>
    </row>
    <row r="1008" spans="1:15" x14ac:dyDescent="0.3">
      <c r="A1008">
        <v>38837</v>
      </c>
      <c r="B1008">
        <v>3205010</v>
      </c>
      <c r="C1008" t="s">
        <v>85</v>
      </c>
      <c r="D1008">
        <v>0.72199999999999998</v>
      </c>
      <c r="E1008">
        <v>2460049.13</v>
      </c>
      <c r="F1008">
        <v>0</v>
      </c>
      <c r="G1008">
        <v>2460049.13</v>
      </c>
      <c r="H1008">
        <v>26760.880000000001</v>
      </c>
      <c r="I1008">
        <v>48952.66</v>
      </c>
      <c r="J1008">
        <v>0.997</v>
      </c>
      <c r="K1008">
        <v>52411.23</v>
      </c>
      <c r="L1008">
        <v>0</v>
      </c>
      <c r="M1008">
        <v>0</v>
      </c>
      <c r="N1008">
        <v>2022</v>
      </c>
      <c r="O1008">
        <v>12</v>
      </c>
    </row>
    <row r="1009" spans="1:15" x14ac:dyDescent="0.3">
      <c r="A1009">
        <v>38838</v>
      </c>
      <c r="B1009">
        <v>3205036</v>
      </c>
      <c r="C1009" t="s">
        <v>86</v>
      </c>
      <c r="D1009">
        <v>0.498</v>
      </c>
      <c r="E1009">
        <v>1696820.6</v>
      </c>
      <c r="F1009">
        <v>0</v>
      </c>
      <c r="G1009">
        <v>1696820.6</v>
      </c>
      <c r="H1009">
        <v>18458.34</v>
      </c>
      <c r="I1009">
        <v>68903.77</v>
      </c>
      <c r="J1009">
        <v>0.72699999999999998</v>
      </c>
      <c r="K1009">
        <v>36150.68</v>
      </c>
      <c r="L1009">
        <v>0</v>
      </c>
      <c r="M1009">
        <v>0</v>
      </c>
      <c r="N1009">
        <v>2022</v>
      </c>
      <c r="O1009">
        <v>12</v>
      </c>
    </row>
    <row r="1010" spans="1:15" x14ac:dyDescent="0.3">
      <c r="A1010">
        <v>38839</v>
      </c>
      <c r="B1010">
        <v>3205069</v>
      </c>
      <c r="C1010" t="s">
        <v>87</v>
      </c>
      <c r="D1010">
        <v>0.75800000000000001</v>
      </c>
      <c r="E1010">
        <v>2582710.86</v>
      </c>
      <c r="F1010">
        <v>0</v>
      </c>
      <c r="G1010">
        <v>2582710.86</v>
      </c>
      <c r="H1010">
        <v>28095.22</v>
      </c>
      <c r="I1010">
        <v>55622.34</v>
      </c>
      <c r="J1010">
        <v>0.85799999999999998</v>
      </c>
      <c r="K1010">
        <v>55024.53</v>
      </c>
      <c r="L1010">
        <v>0</v>
      </c>
      <c r="M1010">
        <v>0</v>
      </c>
      <c r="N1010">
        <v>2022</v>
      </c>
      <c r="O1010">
        <v>12</v>
      </c>
    </row>
    <row r="1011" spans="1:15" x14ac:dyDescent="0.3">
      <c r="A1011">
        <v>38840</v>
      </c>
      <c r="B1011">
        <v>2112803</v>
      </c>
      <c r="C1011" t="s">
        <v>88</v>
      </c>
      <c r="D1011">
        <v>2.9929999999999999</v>
      </c>
      <c r="E1011">
        <v>10197959.939999999</v>
      </c>
      <c r="F1011">
        <v>0</v>
      </c>
      <c r="G1011">
        <v>10197959.939999999</v>
      </c>
      <c r="H1011">
        <v>110935.34</v>
      </c>
      <c r="I1011">
        <v>146791.20000000001</v>
      </c>
      <c r="J1011">
        <v>1.984</v>
      </c>
      <c r="K1011">
        <v>217267.04</v>
      </c>
      <c r="L1011">
        <v>0</v>
      </c>
      <c r="M1011">
        <v>0</v>
      </c>
      <c r="N1011">
        <v>2022</v>
      </c>
      <c r="O1011">
        <v>12</v>
      </c>
    </row>
    <row r="1012" spans="1:15" x14ac:dyDescent="0.3">
      <c r="A1012">
        <v>38841</v>
      </c>
      <c r="B1012">
        <v>3205150</v>
      </c>
      <c r="C1012" t="s">
        <v>89</v>
      </c>
      <c r="D1012">
        <v>0.32800000000000001</v>
      </c>
      <c r="E1012">
        <v>1117584.6399999999</v>
      </c>
      <c r="F1012">
        <v>0</v>
      </c>
      <c r="G1012">
        <v>1117584.6399999999</v>
      </c>
      <c r="H1012">
        <v>12157.3</v>
      </c>
      <c r="I1012">
        <v>16493.96</v>
      </c>
      <c r="J1012">
        <v>0.34399999999999997</v>
      </c>
      <c r="K1012">
        <v>23810.09</v>
      </c>
      <c r="L1012">
        <v>0</v>
      </c>
      <c r="M1012">
        <v>0</v>
      </c>
      <c r="N1012">
        <v>2022</v>
      </c>
      <c r="O1012">
        <v>12</v>
      </c>
    </row>
    <row r="1013" spans="1:15" x14ac:dyDescent="0.3">
      <c r="A1013">
        <v>38842</v>
      </c>
      <c r="B1013">
        <v>3205176</v>
      </c>
      <c r="C1013" t="s">
        <v>90</v>
      </c>
      <c r="D1013">
        <v>0.623</v>
      </c>
      <c r="E1013">
        <v>2122729.4</v>
      </c>
      <c r="F1013">
        <v>0</v>
      </c>
      <c r="G1013">
        <v>2122729.4</v>
      </c>
      <c r="H1013">
        <v>23091.45</v>
      </c>
      <c r="I1013">
        <v>25857.94</v>
      </c>
      <c r="J1013">
        <v>0.55600000000000005</v>
      </c>
      <c r="K1013">
        <v>45224.65</v>
      </c>
      <c r="L1013">
        <v>0</v>
      </c>
      <c r="M1013">
        <v>0</v>
      </c>
      <c r="N1013">
        <v>2022</v>
      </c>
      <c r="O1013">
        <v>12</v>
      </c>
    </row>
    <row r="1014" spans="1:15" x14ac:dyDescent="0.3">
      <c r="A1014">
        <v>38843</v>
      </c>
      <c r="B1014">
        <v>3205200</v>
      </c>
      <c r="C1014" t="s">
        <v>91</v>
      </c>
      <c r="D1014">
        <v>5.3819999999999997</v>
      </c>
      <c r="E1014">
        <v>18337928.609999999</v>
      </c>
      <c r="F1014">
        <v>0</v>
      </c>
      <c r="G1014">
        <v>18337928.609999999</v>
      </c>
      <c r="H1014">
        <v>199483.45</v>
      </c>
      <c r="I1014">
        <v>1581658.46</v>
      </c>
      <c r="J1014">
        <v>8.09</v>
      </c>
      <c r="K1014">
        <v>390688.67</v>
      </c>
      <c r="L1014">
        <v>0</v>
      </c>
      <c r="M1014">
        <v>0</v>
      </c>
      <c r="N1014">
        <v>2022</v>
      </c>
      <c r="O1014">
        <v>12</v>
      </c>
    </row>
    <row r="1015" spans="1:15" x14ac:dyDescent="0.3">
      <c r="A1015">
        <v>38844</v>
      </c>
      <c r="B1015">
        <v>3205309</v>
      </c>
      <c r="C1015" t="s">
        <v>92</v>
      </c>
      <c r="D1015">
        <v>14.535</v>
      </c>
      <c r="E1015">
        <v>49524673.329999998</v>
      </c>
      <c r="F1015">
        <v>0</v>
      </c>
      <c r="G1015">
        <v>49524673.329999998</v>
      </c>
      <c r="H1015">
        <v>538738.76</v>
      </c>
      <c r="I1015">
        <v>1493463.66</v>
      </c>
      <c r="J1015">
        <v>9.4969999999999999</v>
      </c>
      <c r="K1015">
        <v>1055120.75</v>
      </c>
      <c r="L1015">
        <v>0</v>
      </c>
      <c r="M1015">
        <v>0</v>
      </c>
      <c r="N1015">
        <v>2022</v>
      </c>
      <c r="O1015">
        <v>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"/>
  <sheetViews>
    <sheetView workbookViewId="0">
      <selection activeCell="B8" sqref="B8"/>
    </sheetView>
  </sheetViews>
  <sheetFormatPr defaultRowHeight="14.4" x14ac:dyDescent="0.3"/>
  <cols>
    <col min="1" max="1" width="17" customWidth="1"/>
    <col min="2" max="2" width="12.21875" bestFit="1" customWidth="1"/>
  </cols>
  <sheetData>
    <row r="3" spans="1:2" x14ac:dyDescent="0.3">
      <c r="A3" s="2" t="s">
        <v>96</v>
      </c>
      <c r="B3" t="s">
        <v>93</v>
      </c>
    </row>
    <row r="4" spans="1:2" x14ac:dyDescent="0.3">
      <c r="A4" s="3">
        <v>2020</v>
      </c>
      <c r="B4" s="1">
        <v>2776846236.1500015</v>
      </c>
    </row>
    <row r="5" spans="1:2" x14ac:dyDescent="0.3">
      <c r="A5" s="3">
        <v>2021</v>
      </c>
      <c r="B5" s="1">
        <v>3559170634.0099988</v>
      </c>
    </row>
    <row r="6" spans="1:2" x14ac:dyDescent="0.3">
      <c r="A6" s="3">
        <v>2022</v>
      </c>
      <c r="B6" s="1">
        <v>4173759788.1799989</v>
      </c>
    </row>
    <row r="7" spans="1:2" x14ac:dyDescent="0.3">
      <c r="A7" s="3">
        <v>2023</v>
      </c>
      <c r="B7" s="1">
        <v>4412996533.6100025</v>
      </c>
    </row>
    <row r="8" spans="1:2" x14ac:dyDescent="0.3">
      <c r="A8" s="3">
        <v>2024</v>
      </c>
      <c r="B8" s="1">
        <v>5189254928.3300066</v>
      </c>
    </row>
    <row r="9" spans="1:2" x14ac:dyDescent="0.3">
      <c r="A9" s="3">
        <v>2025</v>
      </c>
      <c r="B9" s="1">
        <v>5632048197.0400009</v>
      </c>
    </row>
    <row r="10" spans="1:2" x14ac:dyDescent="0.3">
      <c r="A10" s="3" t="s">
        <v>97</v>
      </c>
      <c r="B10" s="1">
        <v>25744076317.320007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37"/>
  <sheetViews>
    <sheetView topLeftCell="A912" workbookViewId="0">
      <selection activeCell="A2" sqref="A2:O93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32839</v>
      </c>
      <c r="B2">
        <v>3200102</v>
      </c>
      <c r="C2" t="s">
        <v>15</v>
      </c>
      <c r="D2">
        <v>0.79</v>
      </c>
      <c r="E2">
        <v>2342292.3199999998</v>
      </c>
      <c r="F2">
        <v>150875.70000000001</v>
      </c>
      <c r="G2">
        <v>2493168.02</v>
      </c>
      <c r="H2">
        <v>47302.62</v>
      </c>
      <c r="I2">
        <v>76151.039999999994</v>
      </c>
      <c r="J2">
        <v>0.79</v>
      </c>
      <c r="K2">
        <v>56548.2</v>
      </c>
      <c r="L2">
        <v>0</v>
      </c>
      <c r="M2">
        <v>0</v>
      </c>
      <c r="N2">
        <v>2021</v>
      </c>
      <c r="O2">
        <v>1</v>
      </c>
    </row>
    <row r="3" spans="1:15" x14ac:dyDescent="0.3">
      <c r="A3">
        <v>32840</v>
      </c>
      <c r="B3">
        <v>3200169</v>
      </c>
      <c r="C3" t="s">
        <v>16</v>
      </c>
      <c r="D3">
        <v>0.28999999999999998</v>
      </c>
      <c r="E3">
        <v>874899.61</v>
      </c>
      <c r="F3">
        <v>56342.33</v>
      </c>
      <c r="G3">
        <v>931241.94</v>
      </c>
      <c r="H3">
        <v>17664.39</v>
      </c>
      <c r="I3">
        <v>22797.25</v>
      </c>
      <c r="J3">
        <v>0.28999999999999998</v>
      </c>
      <c r="K3">
        <v>21117</v>
      </c>
      <c r="L3">
        <v>0</v>
      </c>
      <c r="M3">
        <v>0</v>
      </c>
      <c r="N3">
        <v>2021</v>
      </c>
      <c r="O3">
        <v>1</v>
      </c>
    </row>
    <row r="4" spans="1:15" x14ac:dyDescent="0.3">
      <c r="A4">
        <v>32841</v>
      </c>
      <c r="B4">
        <v>3200136</v>
      </c>
      <c r="C4" t="s">
        <v>17</v>
      </c>
      <c r="D4">
        <v>0.42</v>
      </c>
      <c r="E4">
        <v>1246282.05</v>
      </c>
      <c r="F4">
        <v>80352.03</v>
      </c>
      <c r="G4">
        <v>1326634.08</v>
      </c>
      <c r="H4">
        <v>25192.5</v>
      </c>
      <c r="I4">
        <v>19533.41</v>
      </c>
      <c r="J4">
        <v>0.42</v>
      </c>
      <c r="K4">
        <v>30116.52</v>
      </c>
      <c r="L4">
        <v>0</v>
      </c>
      <c r="M4">
        <v>0</v>
      </c>
      <c r="N4">
        <v>2021</v>
      </c>
      <c r="O4">
        <v>1</v>
      </c>
    </row>
    <row r="5" spans="1:15" x14ac:dyDescent="0.3">
      <c r="A5">
        <v>32842</v>
      </c>
      <c r="B5">
        <v>3200201</v>
      </c>
      <c r="C5" t="s">
        <v>18</v>
      </c>
      <c r="D5">
        <v>0.48</v>
      </c>
      <c r="E5">
        <v>1422357.06</v>
      </c>
      <c r="F5">
        <v>91510.88</v>
      </c>
      <c r="G5">
        <v>1513867.94</v>
      </c>
      <c r="H5">
        <v>28689.81</v>
      </c>
      <c r="I5">
        <v>84479.21</v>
      </c>
      <c r="J5">
        <v>0.48</v>
      </c>
      <c r="K5">
        <v>34297.410000000003</v>
      </c>
      <c r="L5">
        <v>0</v>
      </c>
      <c r="M5">
        <v>0</v>
      </c>
      <c r="N5">
        <v>2021</v>
      </c>
      <c r="O5">
        <v>1</v>
      </c>
    </row>
    <row r="6" spans="1:15" x14ac:dyDescent="0.3">
      <c r="A6">
        <v>32843</v>
      </c>
      <c r="B6">
        <v>3200300</v>
      </c>
      <c r="C6" t="s">
        <v>19</v>
      </c>
      <c r="D6">
        <v>0.48</v>
      </c>
      <c r="E6">
        <v>1409888.06</v>
      </c>
      <c r="F6">
        <v>90753.63</v>
      </c>
      <c r="G6">
        <v>1500641.69</v>
      </c>
      <c r="H6">
        <v>28452.7</v>
      </c>
      <c r="I6">
        <v>37725.339999999997</v>
      </c>
      <c r="J6">
        <v>0.48</v>
      </c>
      <c r="K6">
        <v>34013.96</v>
      </c>
      <c r="L6">
        <v>0</v>
      </c>
      <c r="M6">
        <v>0</v>
      </c>
      <c r="N6">
        <v>2021</v>
      </c>
      <c r="O6">
        <v>1</v>
      </c>
    </row>
    <row r="7" spans="1:15" x14ac:dyDescent="0.3">
      <c r="A7">
        <v>32844</v>
      </c>
      <c r="B7">
        <v>3200359</v>
      </c>
      <c r="C7" t="s">
        <v>20</v>
      </c>
      <c r="D7">
        <v>0.22</v>
      </c>
      <c r="E7">
        <v>671512.09</v>
      </c>
      <c r="F7">
        <v>43295.519999999997</v>
      </c>
      <c r="G7">
        <v>714807.61</v>
      </c>
      <c r="H7">
        <v>13574.31</v>
      </c>
      <c r="I7">
        <v>13628.15</v>
      </c>
      <c r="J7">
        <v>0.22</v>
      </c>
      <c r="K7">
        <v>16227.49</v>
      </c>
      <c r="L7">
        <v>0</v>
      </c>
      <c r="M7">
        <v>0</v>
      </c>
      <c r="N7">
        <v>2021</v>
      </c>
      <c r="O7">
        <v>1</v>
      </c>
    </row>
    <row r="8" spans="1:15" x14ac:dyDescent="0.3">
      <c r="A8">
        <v>32845</v>
      </c>
      <c r="B8">
        <v>3200409</v>
      </c>
      <c r="C8" t="s">
        <v>21</v>
      </c>
      <c r="D8">
        <v>2.59</v>
      </c>
      <c r="E8">
        <v>7624440.4699999997</v>
      </c>
      <c r="F8">
        <v>491195.2</v>
      </c>
      <c r="G8">
        <v>8115635.6699999999</v>
      </c>
      <c r="H8">
        <v>154000.26</v>
      </c>
      <c r="I8">
        <v>120878.43</v>
      </c>
      <c r="J8">
        <v>2.59</v>
      </c>
      <c r="K8">
        <v>184100.55</v>
      </c>
      <c r="L8">
        <v>0</v>
      </c>
      <c r="M8">
        <v>0</v>
      </c>
      <c r="N8">
        <v>2021</v>
      </c>
      <c r="O8">
        <v>1</v>
      </c>
    </row>
    <row r="9" spans="1:15" x14ac:dyDescent="0.3">
      <c r="A9">
        <v>32846</v>
      </c>
      <c r="B9">
        <v>3200508</v>
      </c>
      <c r="C9" t="s">
        <v>22</v>
      </c>
      <c r="D9">
        <v>0.19</v>
      </c>
      <c r="E9">
        <v>571959.04000000004</v>
      </c>
      <c r="F9">
        <v>36867.589999999997</v>
      </c>
      <c r="G9">
        <v>608826.63</v>
      </c>
      <c r="H9">
        <v>11558.91</v>
      </c>
      <c r="I9">
        <v>56365.67</v>
      </c>
      <c r="J9">
        <v>0.19</v>
      </c>
      <c r="K9">
        <v>13818.17</v>
      </c>
      <c r="L9">
        <v>0</v>
      </c>
      <c r="M9">
        <v>0</v>
      </c>
      <c r="N9">
        <v>2021</v>
      </c>
      <c r="O9">
        <v>1</v>
      </c>
    </row>
    <row r="10" spans="1:15" x14ac:dyDescent="0.3">
      <c r="A10">
        <v>32847</v>
      </c>
      <c r="B10">
        <v>3200607</v>
      </c>
      <c r="C10" t="s">
        <v>23</v>
      </c>
      <c r="D10">
        <v>5.18</v>
      </c>
      <c r="E10">
        <v>15082961.09</v>
      </c>
      <c r="F10">
        <v>979205.87</v>
      </c>
      <c r="G10">
        <v>16062166.960000001</v>
      </c>
      <c r="H10">
        <v>307052.09000000003</v>
      </c>
      <c r="I10">
        <v>244108.39</v>
      </c>
      <c r="J10">
        <v>5.18</v>
      </c>
      <c r="K10">
        <v>367067.29</v>
      </c>
      <c r="L10">
        <v>0</v>
      </c>
      <c r="M10">
        <v>0</v>
      </c>
      <c r="N10">
        <v>2021</v>
      </c>
      <c r="O10">
        <v>1</v>
      </c>
    </row>
    <row r="11" spans="1:15" x14ac:dyDescent="0.3">
      <c r="A11">
        <v>32848</v>
      </c>
      <c r="B11">
        <v>3200706</v>
      </c>
      <c r="C11" t="s">
        <v>24</v>
      </c>
      <c r="D11">
        <v>0.36</v>
      </c>
      <c r="E11">
        <v>1083051.1499999999</v>
      </c>
      <c r="F11">
        <v>69765.789999999994</v>
      </c>
      <c r="G11">
        <v>1152816.94</v>
      </c>
      <c r="H11">
        <v>21873.02</v>
      </c>
      <c r="I11">
        <v>27778.67</v>
      </c>
      <c r="J11">
        <v>0.36</v>
      </c>
      <c r="K11">
        <v>26148.23</v>
      </c>
      <c r="L11">
        <v>0</v>
      </c>
      <c r="M11">
        <v>0</v>
      </c>
      <c r="N11">
        <v>2021</v>
      </c>
      <c r="O11">
        <v>1</v>
      </c>
    </row>
    <row r="12" spans="1:15" x14ac:dyDescent="0.3">
      <c r="A12">
        <v>32849</v>
      </c>
      <c r="B12">
        <v>3200805</v>
      </c>
      <c r="C12" t="s">
        <v>25</v>
      </c>
      <c r="D12">
        <v>0.65</v>
      </c>
      <c r="E12">
        <v>1935218.46</v>
      </c>
      <c r="F12">
        <v>124596.58</v>
      </c>
      <c r="G12">
        <v>2059815.04</v>
      </c>
      <c r="H12">
        <v>39063.19</v>
      </c>
      <c r="I12">
        <v>126967.92</v>
      </c>
      <c r="J12">
        <v>0.65</v>
      </c>
      <c r="K12">
        <v>46698.33</v>
      </c>
      <c r="L12">
        <v>0</v>
      </c>
      <c r="M12">
        <v>0</v>
      </c>
      <c r="N12">
        <v>2021</v>
      </c>
      <c r="O12">
        <v>1</v>
      </c>
    </row>
    <row r="13" spans="1:15" x14ac:dyDescent="0.3">
      <c r="A13">
        <v>32850</v>
      </c>
      <c r="B13">
        <v>3200904</v>
      </c>
      <c r="C13" t="s">
        <v>26</v>
      </c>
      <c r="D13">
        <v>0.9</v>
      </c>
      <c r="E13">
        <v>2660083.89</v>
      </c>
      <c r="F13">
        <v>171296.03</v>
      </c>
      <c r="G13">
        <v>2831379.92</v>
      </c>
      <c r="H13">
        <v>53704.480000000003</v>
      </c>
      <c r="I13">
        <v>171078.12</v>
      </c>
      <c r="J13">
        <v>0.9</v>
      </c>
      <c r="K13">
        <v>64201.34</v>
      </c>
      <c r="L13">
        <v>0</v>
      </c>
      <c r="M13">
        <v>0</v>
      </c>
      <c r="N13">
        <v>2021</v>
      </c>
      <c r="O13">
        <v>1</v>
      </c>
    </row>
    <row r="14" spans="1:15" x14ac:dyDescent="0.3">
      <c r="A14">
        <v>32851</v>
      </c>
      <c r="B14">
        <v>3107109</v>
      </c>
      <c r="C14" t="s">
        <v>27</v>
      </c>
      <c r="D14">
        <v>0.41</v>
      </c>
      <c r="E14">
        <v>1213830.43</v>
      </c>
      <c r="F14">
        <v>78272.039999999994</v>
      </c>
      <c r="G14">
        <v>1292102.47</v>
      </c>
      <c r="H14">
        <v>24540.46</v>
      </c>
      <c r="I14">
        <v>30152.87</v>
      </c>
      <c r="J14">
        <v>0.41</v>
      </c>
      <c r="K14">
        <v>29337.040000000001</v>
      </c>
      <c r="L14">
        <v>0</v>
      </c>
      <c r="M14">
        <v>0</v>
      </c>
      <c r="N14">
        <v>2021</v>
      </c>
      <c r="O14">
        <v>1</v>
      </c>
    </row>
    <row r="15" spans="1:15" x14ac:dyDescent="0.3">
      <c r="A15">
        <v>32852</v>
      </c>
      <c r="B15">
        <v>3201100</v>
      </c>
      <c r="C15" t="s">
        <v>28</v>
      </c>
      <c r="D15">
        <v>0.17</v>
      </c>
      <c r="E15">
        <v>499358.34</v>
      </c>
      <c r="F15">
        <v>32141.93</v>
      </c>
      <c r="G15">
        <v>531500.27</v>
      </c>
      <c r="H15">
        <v>10077</v>
      </c>
      <c r="I15">
        <v>146942.87</v>
      </c>
      <c r="J15">
        <v>0.17</v>
      </c>
      <c r="K15">
        <v>12046.61</v>
      </c>
      <c r="L15">
        <v>0</v>
      </c>
      <c r="M15">
        <v>0</v>
      </c>
      <c r="N15">
        <v>2021</v>
      </c>
      <c r="O15">
        <v>1</v>
      </c>
    </row>
    <row r="16" spans="1:15" x14ac:dyDescent="0.3">
      <c r="A16">
        <v>32853</v>
      </c>
      <c r="B16">
        <v>3201159</v>
      </c>
      <c r="C16" t="s">
        <v>29</v>
      </c>
      <c r="D16">
        <v>0.43</v>
      </c>
      <c r="E16">
        <v>1284784.3500000001</v>
      </c>
      <c r="F16">
        <v>82810.38</v>
      </c>
      <c r="G16">
        <v>1367594.73</v>
      </c>
      <c r="H16">
        <v>25963.09</v>
      </c>
      <c r="I16">
        <v>20068.22</v>
      </c>
      <c r="J16">
        <v>0.43</v>
      </c>
      <c r="K16">
        <v>31037.74</v>
      </c>
      <c r="L16">
        <v>0</v>
      </c>
      <c r="M16">
        <v>0</v>
      </c>
      <c r="N16">
        <v>2021</v>
      </c>
      <c r="O16">
        <v>1</v>
      </c>
    </row>
    <row r="17" spans="1:15" x14ac:dyDescent="0.3">
      <c r="A17">
        <v>32854</v>
      </c>
      <c r="B17">
        <v>3201209</v>
      </c>
      <c r="C17" t="s">
        <v>30</v>
      </c>
      <c r="D17">
        <v>3.11</v>
      </c>
      <c r="E17">
        <v>9144971.3499999996</v>
      </c>
      <c r="F17">
        <v>588391.67000000004</v>
      </c>
      <c r="G17">
        <v>9733363.0199999996</v>
      </c>
      <c r="H17">
        <v>184468.36</v>
      </c>
      <c r="I17">
        <v>758408.13</v>
      </c>
      <c r="J17">
        <v>3.11</v>
      </c>
      <c r="K17">
        <v>220523.82</v>
      </c>
      <c r="L17">
        <v>0</v>
      </c>
      <c r="M17">
        <v>0</v>
      </c>
      <c r="N17">
        <v>2021</v>
      </c>
      <c r="O17">
        <v>1</v>
      </c>
    </row>
    <row r="18" spans="1:15" x14ac:dyDescent="0.3">
      <c r="A18">
        <v>32855</v>
      </c>
      <c r="B18">
        <v>3201308</v>
      </c>
      <c r="C18" t="s">
        <v>31</v>
      </c>
      <c r="D18">
        <v>6.51</v>
      </c>
      <c r="E18">
        <v>19076368.18</v>
      </c>
      <c r="F18">
        <v>1231526.01</v>
      </c>
      <c r="G18">
        <v>20307894.190000001</v>
      </c>
      <c r="H18">
        <v>386126.89</v>
      </c>
      <c r="I18">
        <v>843391.81</v>
      </c>
      <c r="J18">
        <v>6.51</v>
      </c>
      <c r="K18">
        <v>461597.75</v>
      </c>
      <c r="L18">
        <v>0</v>
      </c>
      <c r="M18">
        <v>0</v>
      </c>
      <c r="N18">
        <v>2021</v>
      </c>
      <c r="O18">
        <v>1</v>
      </c>
    </row>
    <row r="19" spans="1:15" x14ac:dyDescent="0.3">
      <c r="A19">
        <v>32856</v>
      </c>
      <c r="B19">
        <v>3201407</v>
      </c>
      <c r="C19" t="s">
        <v>32</v>
      </c>
      <c r="D19">
        <v>0.93</v>
      </c>
      <c r="E19">
        <v>2745758.78</v>
      </c>
      <c r="F19">
        <v>176964.86</v>
      </c>
      <c r="G19">
        <v>2922723.64</v>
      </c>
      <c r="H19">
        <v>55482.77</v>
      </c>
      <c r="I19">
        <v>170737.3</v>
      </c>
      <c r="J19">
        <v>0.93</v>
      </c>
      <c r="K19">
        <v>66327.22</v>
      </c>
      <c r="L19">
        <v>0</v>
      </c>
      <c r="M19">
        <v>0</v>
      </c>
      <c r="N19">
        <v>2021</v>
      </c>
      <c r="O19">
        <v>1</v>
      </c>
    </row>
    <row r="20" spans="1:15" x14ac:dyDescent="0.3">
      <c r="A20">
        <v>32857</v>
      </c>
      <c r="B20">
        <v>3201506</v>
      </c>
      <c r="C20" t="s">
        <v>33</v>
      </c>
      <c r="D20">
        <v>2.2000000000000002</v>
      </c>
      <c r="E20">
        <v>6459804.5099999998</v>
      </c>
      <c r="F20">
        <v>416136.34</v>
      </c>
      <c r="G20">
        <v>6875940.8499999996</v>
      </c>
      <c r="H20">
        <v>130467.5</v>
      </c>
      <c r="I20">
        <v>368595.19</v>
      </c>
      <c r="J20">
        <v>2.2000000000000002</v>
      </c>
      <c r="K20">
        <v>155968.17000000001</v>
      </c>
      <c r="L20">
        <v>0</v>
      </c>
      <c r="M20">
        <v>0</v>
      </c>
      <c r="N20">
        <v>2021</v>
      </c>
      <c r="O20">
        <v>1</v>
      </c>
    </row>
    <row r="21" spans="1:15" x14ac:dyDescent="0.3">
      <c r="A21">
        <v>32858</v>
      </c>
      <c r="B21">
        <v>3201605</v>
      </c>
      <c r="C21" t="s">
        <v>34</v>
      </c>
      <c r="D21">
        <v>0.57999999999999996</v>
      </c>
      <c r="E21">
        <v>1714100.33</v>
      </c>
      <c r="F21">
        <v>110600.35</v>
      </c>
      <c r="G21">
        <v>1824700.68</v>
      </c>
      <c r="H21">
        <v>34676.730000000003</v>
      </c>
      <c r="I21">
        <v>55938.55</v>
      </c>
      <c r="J21">
        <v>0.57999999999999996</v>
      </c>
      <c r="K21">
        <v>41454.51</v>
      </c>
      <c r="L21">
        <v>0</v>
      </c>
      <c r="M21">
        <v>0</v>
      </c>
      <c r="N21">
        <v>2021</v>
      </c>
      <c r="O21">
        <v>1</v>
      </c>
    </row>
    <row r="22" spans="1:15" x14ac:dyDescent="0.3">
      <c r="A22">
        <v>32859</v>
      </c>
      <c r="B22">
        <v>3201704</v>
      </c>
      <c r="C22" t="s">
        <v>35</v>
      </c>
      <c r="D22">
        <v>0.45</v>
      </c>
      <c r="E22">
        <v>1337708.79</v>
      </c>
      <c r="F22">
        <v>86213.68</v>
      </c>
      <c r="G22">
        <v>1423922.47</v>
      </c>
      <c r="H22">
        <v>27030.07</v>
      </c>
      <c r="I22">
        <v>25207.06</v>
      </c>
      <c r="J22">
        <v>0.45</v>
      </c>
      <c r="K22">
        <v>32313.26</v>
      </c>
      <c r="L22">
        <v>0</v>
      </c>
      <c r="M22">
        <v>0</v>
      </c>
      <c r="N22">
        <v>2021</v>
      </c>
      <c r="O22">
        <v>1</v>
      </c>
    </row>
    <row r="23" spans="1:15" x14ac:dyDescent="0.3">
      <c r="A23">
        <v>32860</v>
      </c>
      <c r="B23">
        <v>3201803</v>
      </c>
      <c r="C23" t="s">
        <v>36</v>
      </c>
      <c r="D23">
        <v>0.19</v>
      </c>
      <c r="E23">
        <v>557108.04</v>
      </c>
      <c r="F23">
        <v>35922</v>
      </c>
      <c r="G23">
        <v>593030.04</v>
      </c>
      <c r="H23">
        <v>11262.53</v>
      </c>
      <c r="I23">
        <v>14155.69</v>
      </c>
      <c r="J23">
        <v>0.19</v>
      </c>
      <c r="K23">
        <v>13463.86</v>
      </c>
      <c r="L23">
        <v>0</v>
      </c>
      <c r="M23">
        <v>0</v>
      </c>
      <c r="N23">
        <v>2021</v>
      </c>
      <c r="O23">
        <v>1</v>
      </c>
    </row>
    <row r="24" spans="1:15" x14ac:dyDescent="0.3">
      <c r="A24">
        <v>32861</v>
      </c>
      <c r="B24">
        <v>3201902</v>
      </c>
      <c r="C24" t="s">
        <v>37</v>
      </c>
      <c r="D24">
        <v>1.22</v>
      </c>
      <c r="E24">
        <v>3594081.13</v>
      </c>
      <c r="F24">
        <v>231420.24</v>
      </c>
      <c r="G24">
        <v>3825501.37</v>
      </c>
      <c r="H24">
        <v>72554.39</v>
      </c>
      <c r="I24">
        <v>94762.28</v>
      </c>
      <c r="J24">
        <v>1.22</v>
      </c>
      <c r="K24">
        <v>86735.59</v>
      </c>
      <c r="L24">
        <v>0</v>
      </c>
      <c r="M24">
        <v>0</v>
      </c>
      <c r="N24">
        <v>2021</v>
      </c>
      <c r="O24">
        <v>1</v>
      </c>
    </row>
    <row r="25" spans="1:15" x14ac:dyDescent="0.3">
      <c r="A25">
        <v>32862</v>
      </c>
      <c r="B25">
        <v>3202009</v>
      </c>
      <c r="C25" t="s">
        <v>38</v>
      </c>
      <c r="D25">
        <v>0.24</v>
      </c>
      <c r="E25">
        <v>716126.37</v>
      </c>
      <c r="F25">
        <v>46132.31</v>
      </c>
      <c r="G25">
        <v>762258.68</v>
      </c>
      <c r="H25">
        <v>14463.46</v>
      </c>
      <c r="I25">
        <v>32828.870000000003</v>
      </c>
      <c r="J25">
        <v>0.24</v>
      </c>
      <c r="K25">
        <v>17290.43</v>
      </c>
      <c r="L25">
        <v>0</v>
      </c>
      <c r="M25">
        <v>0</v>
      </c>
      <c r="N25">
        <v>2021</v>
      </c>
      <c r="O25">
        <v>1</v>
      </c>
    </row>
    <row r="26" spans="1:15" x14ac:dyDescent="0.3">
      <c r="A26">
        <v>32863</v>
      </c>
      <c r="B26">
        <v>3202108</v>
      </c>
      <c r="C26" t="s">
        <v>39</v>
      </c>
      <c r="D26">
        <v>0.69</v>
      </c>
      <c r="E26">
        <v>2051820.76</v>
      </c>
      <c r="F26">
        <v>132158.20000000001</v>
      </c>
      <c r="G26">
        <v>2183978.96</v>
      </c>
      <c r="H26">
        <v>41434.25</v>
      </c>
      <c r="I26">
        <v>40816.46</v>
      </c>
      <c r="J26">
        <v>0.69</v>
      </c>
      <c r="K26">
        <v>49532.83</v>
      </c>
      <c r="L26">
        <v>0</v>
      </c>
      <c r="M26">
        <v>0</v>
      </c>
      <c r="N26">
        <v>2021</v>
      </c>
      <c r="O26">
        <v>1</v>
      </c>
    </row>
    <row r="27" spans="1:15" x14ac:dyDescent="0.3">
      <c r="A27">
        <v>32864</v>
      </c>
      <c r="B27">
        <v>3202207</v>
      </c>
      <c r="C27" t="s">
        <v>40</v>
      </c>
      <c r="D27">
        <v>0.33</v>
      </c>
      <c r="E27">
        <v>972377.01</v>
      </c>
      <c r="F27">
        <v>62582.37</v>
      </c>
      <c r="G27">
        <v>1034959.38</v>
      </c>
      <c r="H27">
        <v>19620.509999999998</v>
      </c>
      <c r="I27">
        <v>44795.26</v>
      </c>
      <c r="J27">
        <v>0.33</v>
      </c>
      <c r="K27">
        <v>23455.46</v>
      </c>
      <c r="L27">
        <v>0</v>
      </c>
      <c r="M27">
        <v>0</v>
      </c>
      <c r="N27">
        <v>2021</v>
      </c>
      <c r="O27">
        <v>1</v>
      </c>
    </row>
    <row r="28" spans="1:15" x14ac:dyDescent="0.3">
      <c r="A28">
        <v>32865</v>
      </c>
      <c r="B28">
        <v>3202256</v>
      </c>
      <c r="C28" t="s">
        <v>41</v>
      </c>
      <c r="D28">
        <v>0.44</v>
      </c>
      <c r="E28">
        <v>1298716.3400000001</v>
      </c>
      <c r="F28">
        <v>83754.7</v>
      </c>
      <c r="G28">
        <v>1382471.04</v>
      </c>
      <c r="H28">
        <v>26259.47</v>
      </c>
      <c r="I28">
        <v>22439.59</v>
      </c>
      <c r="J28">
        <v>0.44</v>
      </c>
      <c r="K28">
        <v>31392.05</v>
      </c>
      <c r="L28">
        <v>0</v>
      </c>
      <c r="M28">
        <v>0</v>
      </c>
      <c r="N28">
        <v>2021</v>
      </c>
      <c r="O28">
        <v>1</v>
      </c>
    </row>
    <row r="29" spans="1:15" x14ac:dyDescent="0.3">
      <c r="A29">
        <v>32866</v>
      </c>
      <c r="B29">
        <v>3202306</v>
      </c>
      <c r="C29" t="s">
        <v>42</v>
      </c>
      <c r="D29">
        <v>0.39</v>
      </c>
      <c r="E29">
        <v>1148505.79</v>
      </c>
      <c r="F29">
        <v>73926.460000000006</v>
      </c>
      <c r="G29">
        <v>1222432.25</v>
      </c>
      <c r="H29">
        <v>23177.1</v>
      </c>
      <c r="I29">
        <v>149498.88</v>
      </c>
      <c r="J29">
        <v>0.39</v>
      </c>
      <c r="K29">
        <v>27707.200000000001</v>
      </c>
      <c r="L29">
        <v>0</v>
      </c>
      <c r="M29">
        <v>0</v>
      </c>
      <c r="N29">
        <v>2021</v>
      </c>
      <c r="O29">
        <v>1</v>
      </c>
    </row>
    <row r="30" spans="1:15" x14ac:dyDescent="0.3">
      <c r="A30">
        <v>32867</v>
      </c>
      <c r="B30">
        <v>3202405</v>
      </c>
      <c r="C30" t="s">
        <v>43</v>
      </c>
      <c r="D30">
        <v>0.91</v>
      </c>
      <c r="E30">
        <v>2680380.35</v>
      </c>
      <c r="F30">
        <v>172434.06</v>
      </c>
      <c r="G30">
        <v>2852814.41</v>
      </c>
      <c r="H30">
        <v>54060.14</v>
      </c>
      <c r="I30">
        <v>1086928.75</v>
      </c>
      <c r="J30">
        <v>0.91</v>
      </c>
      <c r="K30">
        <v>64626.52</v>
      </c>
      <c r="L30">
        <v>0</v>
      </c>
      <c r="M30">
        <v>0</v>
      </c>
      <c r="N30">
        <v>2021</v>
      </c>
      <c r="O30">
        <v>1</v>
      </c>
    </row>
    <row r="31" spans="1:15" x14ac:dyDescent="0.3">
      <c r="A31">
        <v>32868</v>
      </c>
      <c r="B31">
        <v>3202454</v>
      </c>
      <c r="C31" t="s">
        <v>44</v>
      </c>
      <c r="D31">
        <v>0.36</v>
      </c>
      <c r="E31">
        <v>1059529.8600000001</v>
      </c>
      <c r="F31">
        <v>68068.070000000007</v>
      </c>
      <c r="G31">
        <v>1127597.93</v>
      </c>
      <c r="H31">
        <v>21339.53</v>
      </c>
      <c r="I31">
        <v>85262.57</v>
      </c>
      <c r="J31">
        <v>0.36</v>
      </c>
      <c r="K31">
        <v>25510.47</v>
      </c>
      <c r="L31">
        <v>0</v>
      </c>
      <c r="M31">
        <v>0</v>
      </c>
      <c r="N31">
        <v>2021</v>
      </c>
      <c r="O31">
        <v>1</v>
      </c>
    </row>
    <row r="32" spans="1:15" x14ac:dyDescent="0.3">
      <c r="A32">
        <v>32869</v>
      </c>
      <c r="B32">
        <v>3202504</v>
      </c>
      <c r="C32" t="s">
        <v>45</v>
      </c>
      <c r="D32">
        <v>0.27</v>
      </c>
      <c r="E32">
        <v>799909.39</v>
      </c>
      <c r="F32">
        <v>51613.49</v>
      </c>
      <c r="G32">
        <v>851522.88</v>
      </c>
      <c r="H32">
        <v>16182.47</v>
      </c>
      <c r="I32">
        <v>26464.32</v>
      </c>
      <c r="J32">
        <v>0.27</v>
      </c>
      <c r="K32">
        <v>19345.439999999999</v>
      </c>
      <c r="L32">
        <v>0</v>
      </c>
      <c r="M32">
        <v>0</v>
      </c>
      <c r="N32">
        <v>2021</v>
      </c>
      <c r="O32">
        <v>1</v>
      </c>
    </row>
    <row r="33" spans="1:15" x14ac:dyDescent="0.3">
      <c r="A33">
        <v>32870</v>
      </c>
      <c r="B33">
        <v>3202553</v>
      </c>
      <c r="C33" t="s">
        <v>46</v>
      </c>
      <c r="D33">
        <v>0.24</v>
      </c>
      <c r="E33">
        <v>719121.08</v>
      </c>
      <c r="F33">
        <v>46321.49</v>
      </c>
      <c r="G33">
        <v>765442.57</v>
      </c>
      <c r="H33">
        <v>14522.73</v>
      </c>
      <c r="I33">
        <v>28040.77</v>
      </c>
      <c r="J33">
        <v>0.24</v>
      </c>
      <c r="K33">
        <v>17361.29</v>
      </c>
      <c r="L33">
        <v>0</v>
      </c>
      <c r="M33">
        <v>0</v>
      </c>
      <c r="N33">
        <v>2021</v>
      </c>
      <c r="O33">
        <v>1</v>
      </c>
    </row>
    <row r="34" spans="1:15" x14ac:dyDescent="0.3">
      <c r="A34">
        <v>32871</v>
      </c>
      <c r="B34">
        <v>3202603</v>
      </c>
      <c r="C34" t="s">
        <v>47</v>
      </c>
      <c r="D34">
        <v>0.37</v>
      </c>
      <c r="E34">
        <v>1093505.71</v>
      </c>
      <c r="F34">
        <v>70335.210000000006</v>
      </c>
      <c r="G34">
        <v>1163840.92</v>
      </c>
      <c r="H34">
        <v>22050.84</v>
      </c>
      <c r="I34">
        <v>91940.85</v>
      </c>
      <c r="J34">
        <v>0.37</v>
      </c>
      <c r="K34">
        <v>26360.82</v>
      </c>
      <c r="L34">
        <v>0</v>
      </c>
      <c r="M34">
        <v>0</v>
      </c>
      <c r="N34">
        <v>2021</v>
      </c>
      <c r="O34">
        <v>1</v>
      </c>
    </row>
    <row r="35" spans="1:15" x14ac:dyDescent="0.3">
      <c r="A35">
        <v>32872</v>
      </c>
      <c r="B35">
        <v>3202652</v>
      </c>
      <c r="C35" t="s">
        <v>48</v>
      </c>
      <c r="D35">
        <v>0.3</v>
      </c>
      <c r="E35">
        <v>905145.54</v>
      </c>
      <c r="F35">
        <v>58419.32</v>
      </c>
      <c r="G35">
        <v>963564.86</v>
      </c>
      <c r="H35">
        <v>18316.43</v>
      </c>
      <c r="I35">
        <v>48261.9</v>
      </c>
      <c r="J35">
        <v>0.3</v>
      </c>
      <c r="K35">
        <v>21896.49</v>
      </c>
      <c r="L35">
        <v>0</v>
      </c>
      <c r="M35">
        <v>0</v>
      </c>
      <c r="N35">
        <v>2021</v>
      </c>
      <c r="O35">
        <v>1</v>
      </c>
    </row>
    <row r="36" spans="1:15" x14ac:dyDescent="0.3">
      <c r="A36">
        <v>32873</v>
      </c>
      <c r="B36">
        <v>3202702</v>
      </c>
      <c r="C36" t="s">
        <v>49</v>
      </c>
      <c r="D36">
        <v>0.38</v>
      </c>
      <c r="E36">
        <v>1123506.57</v>
      </c>
      <c r="F36">
        <v>72411.86</v>
      </c>
      <c r="G36">
        <v>1195918.43</v>
      </c>
      <c r="H36">
        <v>22702.89</v>
      </c>
      <c r="I36">
        <v>28284.04</v>
      </c>
      <c r="J36">
        <v>0.38</v>
      </c>
      <c r="K36">
        <v>27140.3</v>
      </c>
      <c r="L36">
        <v>0</v>
      </c>
      <c r="M36">
        <v>0</v>
      </c>
      <c r="N36">
        <v>2021</v>
      </c>
      <c r="O36">
        <v>1</v>
      </c>
    </row>
    <row r="37" spans="1:15" x14ac:dyDescent="0.3">
      <c r="A37">
        <v>32874</v>
      </c>
      <c r="B37">
        <v>3202801</v>
      </c>
      <c r="C37" t="s">
        <v>50</v>
      </c>
      <c r="D37">
        <v>2.66</v>
      </c>
      <c r="E37">
        <v>7813505.9400000004</v>
      </c>
      <c r="F37">
        <v>503852.53</v>
      </c>
      <c r="G37">
        <v>8317358.4699999997</v>
      </c>
      <c r="H37">
        <v>157971.78</v>
      </c>
      <c r="I37">
        <v>174618.8</v>
      </c>
      <c r="J37">
        <v>2.66</v>
      </c>
      <c r="K37">
        <v>188848.33</v>
      </c>
      <c r="L37">
        <v>0</v>
      </c>
      <c r="M37">
        <v>0</v>
      </c>
      <c r="N37">
        <v>2021</v>
      </c>
      <c r="O37">
        <v>1</v>
      </c>
    </row>
    <row r="38" spans="1:15" x14ac:dyDescent="0.3">
      <c r="A38">
        <v>32875</v>
      </c>
      <c r="B38">
        <v>3202900</v>
      </c>
      <c r="C38" t="s">
        <v>51</v>
      </c>
      <c r="D38">
        <v>0.34</v>
      </c>
      <c r="E38">
        <v>1003480.7</v>
      </c>
      <c r="F38">
        <v>64660.55</v>
      </c>
      <c r="G38">
        <v>1068141.25</v>
      </c>
      <c r="H38">
        <v>20272.55</v>
      </c>
      <c r="I38">
        <v>43690.239999999998</v>
      </c>
      <c r="J38">
        <v>0.34</v>
      </c>
      <c r="K38">
        <v>24234.94</v>
      </c>
      <c r="L38">
        <v>0</v>
      </c>
      <c r="M38">
        <v>0</v>
      </c>
      <c r="N38">
        <v>2021</v>
      </c>
      <c r="O38">
        <v>1</v>
      </c>
    </row>
    <row r="39" spans="1:15" x14ac:dyDescent="0.3">
      <c r="A39">
        <v>32876</v>
      </c>
      <c r="B39">
        <v>3203007</v>
      </c>
      <c r="C39" t="s">
        <v>52</v>
      </c>
      <c r="D39">
        <v>0.47</v>
      </c>
      <c r="E39">
        <v>1383479.65</v>
      </c>
      <c r="F39">
        <v>89237.16</v>
      </c>
      <c r="G39">
        <v>1472716.81</v>
      </c>
      <c r="H39">
        <v>27978.49</v>
      </c>
      <c r="I39">
        <v>98761.05</v>
      </c>
      <c r="J39">
        <v>0.47</v>
      </c>
      <c r="K39">
        <v>33447.06</v>
      </c>
      <c r="L39">
        <v>0</v>
      </c>
      <c r="M39">
        <v>0</v>
      </c>
      <c r="N39">
        <v>2021</v>
      </c>
      <c r="O39">
        <v>1</v>
      </c>
    </row>
    <row r="40" spans="1:15" x14ac:dyDescent="0.3">
      <c r="A40">
        <v>32877</v>
      </c>
      <c r="B40">
        <v>3203056</v>
      </c>
      <c r="C40" t="s">
        <v>53</v>
      </c>
      <c r="D40">
        <v>0.86</v>
      </c>
      <c r="E40">
        <v>2536259.34</v>
      </c>
      <c r="F40">
        <v>163539.60999999999</v>
      </c>
      <c r="G40">
        <v>2699798.95</v>
      </c>
      <c r="H40">
        <v>51274.14</v>
      </c>
      <c r="I40">
        <v>47892.800000000003</v>
      </c>
      <c r="J40">
        <v>0.86</v>
      </c>
      <c r="K40">
        <v>61295.99</v>
      </c>
      <c r="L40">
        <v>0</v>
      </c>
      <c r="M40">
        <v>0</v>
      </c>
      <c r="N40">
        <v>2021</v>
      </c>
      <c r="O40">
        <v>1</v>
      </c>
    </row>
    <row r="41" spans="1:15" x14ac:dyDescent="0.3">
      <c r="A41">
        <v>32878</v>
      </c>
      <c r="B41">
        <v>3203106</v>
      </c>
      <c r="C41" t="s">
        <v>54</v>
      </c>
      <c r="D41">
        <v>0.21</v>
      </c>
      <c r="E41">
        <v>628429.56999999995</v>
      </c>
      <c r="F41">
        <v>40460.78</v>
      </c>
      <c r="G41">
        <v>668890.35</v>
      </c>
      <c r="H41">
        <v>12685.16</v>
      </c>
      <c r="I41">
        <v>26542.86</v>
      </c>
      <c r="J41">
        <v>0.21</v>
      </c>
      <c r="K41">
        <v>15164.56</v>
      </c>
      <c r="L41">
        <v>0</v>
      </c>
      <c r="M41">
        <v>0</v>
      </c>
      <c r="N41">
        <v>2021</v>
      </c>
      <c r="O41">
        <v>1</v>
      </c>
    </row>
    <row r="42" spans="1:15" x14ac:dyDescent="0.3">
      <c r="A42">
        <v>32879</v>
      </c>
      <c r="B42">
        <v>3203130</v>
      </c>
      <c r="C42" t="s">
        <v>55</v>
      </c>
      <c r="D42">
        <v>0.42</v>
      </c>
      <c r="E42">
        <v>1253067.98</v>
      </c>
      <c r="F42">
        <v>80731.360000000001</v>
      </c>
      <c r="G42">
        <v>1333799.3400000001</v>
      </c>
      <c r="H42">
        <v>25311.05</v>
      </c>
      <c r="I42">
        <v>36050.339999999997</v>
      </c>
      <c r="J42">
        <v>0.42</v>
      </c>
      <c r="K42">
        <v>30258.25</v>
      </c>
      <c r="L42">
        <v>0</v>
      </c>
      <c r="M42">
        <v>0</v>
      </c>
      <c r="N42">
        <v>2021</v>
      </c>
      <c r="O42">
        <v>1</v>
      </c>
    </row>
    <row r="43" spans="1:15" x14ac:dyDescent="0.3">
      <c r="A43">
        <v>32880</v>
      </c>
      <c r="B43">
        <v>3203163</v>
      </c>
      <c r="C43" t="s">
        <v>56</v>
      </c>
      <c r="D43">
        <v>0.38</v>
      </c>
      <c r="E43">
        <v>1115257.6599999999</v>
      </c>
      <c r="F43">
        <v>71845.399999999994</v>
      </c>
      <c r="G43">
        <v>1187103.06</v>
      </c>
      <c r="H43">
        <v>22525.06</v>
      </c>
      <c r="I43">
        <v>39621.800000000003</v>
      </c>
      <c r="J43">
        <v>0.38</v>
      </c>
      <c r="K43">
        <v>26927.72</v>
      </c>
      <c r="L43">
        <v>0</v>
      </c>
      <c r="M43">
        <v>0</v>
      </c>
      <c r="N43">
        <v>2021</v>
      </c>
      <c r="O43">
        <v>1</v>
      </c>
    </row>
    <row r="44" spans="1:15" x14ac:dyDescent="0.3">
      <c r="A44">
        <v>32881</v>
      </c>
      <c r="B44">
        <v>3203205</v>
      </c>
      <c r="C44" t="s">
        <v>57</v>
      </c>
      <c r="D44">
        <v>5.75</v>
      </c>
      <c r="E44">
        <v>16901186.420000002</v>
      </c>
      <c r="F44">
        <v>1087724.23</v>
      </c>
      <c r="G44">
        <v>17988910.649999999</v>
      </c>
      <c r="H44">
        <v>341017.5</v>
      </c>
      <c r="I44">
        <v>473530.67</v>
      </c>
      <c r="J44">
        <v>5.75</v>
      </c>
      <c r="K44">
        <v>407671.45</v>
      </c>
      <c r="L44">
        <v>0</v>
      </c>
      <c r="M44">
        <v>0</v>
      </c>
      <c r="N44">
        <v>2021</v>
      </c>
      <c r="O44">
        <v>1</v>
      </c>
    </row>
    <row r="45" spans="1:15" x14ac:dyDescent="0.3">
      <c r="A45">
        <v>32882</v>
      </c>
      <c r="B45">
        <v>3203304</v>
      </c>
      <c r="C45" t="s">
        <v>58</v>
      </c>
      <c r="D45">
        <v>0.25</v>
      </c>
      <c r="E45">
        <v>748087.86</v>
      </c>
      <c r="F45">
        <v>48211.66</v>
      </c>
      <c r="G45">
        <v>796299.52</v>
      </c>
      <c r="H45">
        <v>15115.5</v>
      </c>
      <c r="I45">
        <v>35013.99</v>
      </c>
      <c r="J45">
        <v>0.25</v>
      </c>
      <c r="K45">
        <v>18069.91</v>
      </c>
      <c r="L45">
        <v>0</v>
      </c>
      <c r="M45">
        <v>0</v>
      </c>
      <c r="N45">
        <v>2021</v>
      </c>
      <c r="O45">
        <v>1</v>
      </c>
    </row>
    <row r="46" spans="1:15" x14ac:dyDescent="0.3">
      <c r="A46">
        <v>32883</v>
      </c>
      <c r="B46">
        <v>3203320</v>
      </c>
      <c r="C46" t="s">
        <v>59</v>
      </c>
      <c r="D46">
        <v>0.61</v>
      </c>
      <c r="E46">
        <v>1809747.12</v>
      </c>
      <c r="F46">
        <v>116652.8</v>
      </c>
      <c r="G46">
        <v>1926399.92</v>
      </c>
      <c r="H46">
        <v>36573.58</v>
      </c>
      <c r="I46">
        <v>202551</v>
      </c>
      <c r="J46">
        <v>0.61</v>
      </c>
      <c r="K46">
        <v>43722.11</v>
      </c>
      <c r="L46">
        <v>0</v>
      </c>
      <c r="M46">
        <v>0</v>
      </c>
      <c r="N46">
        <v>2021</v>
      </c>
      <c r="O46">
        <v>1</v>
      </c>
    </row>
    <row r="47" spans="1:15" x14ac:dyDescent="0.3">
      <c r="A47">
        <v>32884</v>
      </c>
      <c r="B47">
        <v>3203346</v>
      </c>
      <c r="C47" t="s">
        <v>60</v>
      </c>
      <c r="D47">
        <v>0.65</v>
      </c>
      <c r="E47">
        <v>1930515.73</v>
      </c>
      <c r="F47">
        <v>124220.03</v>
      </c>
      <c r="G47">
        <v>2054735.76</v>
      </c>
      <c r="H47">
        <v>38944.639999999999</v>
      </c>
      <c r="I47">
        <v>44637.11</v>
      </c>
      <c r="J47">
        <v>0.65</v>
      </c>
      <c r="K47">
        <v>46556.6</v>
      </c>
      <c r="L47">
        <v>0</v>
      </c>
      <c r="M47">
        <v>0</v>
      </c>
      <c r="N47">
        <v>2021</v>
      </c>
      <c r="O47">
        <v>1</v>
      </c>
    </row>
    <row r="48" spans="1:15" x14ac:dyDescent="0.3">
      <c r="A48">
        <v>32885</v>
      </c>
      <c r="B48">
        <v>3203353</v>
      </c>
      <c r="C48" t="s">
        <v>61</v>
      </c>
      <c r="D48">
        <v>0.43</v>
      </c>
      <c r="E48">
        <v>1284294.2</v>
      </c>
      <c r="F48">
        <v>82809.73</v>
      </c>
      <c r="G48">
        <v>1367103.93</v>
      </c>
      <c r="H48">
        <v>25963.09</v>
      </c>
      <c r="I48">
        <v>36077.360000000001</v>
      </c>
      <c r="J48">
        <v>0.43</v>
      </c>
      <c r="K48">
        <v>31037.74</v>
      </c>
      <c r="L48">
        <v>0</v>
      </c>
      <c r="M48">
        <v>0</v>
      </c>
      <c r="N48">
        <v>2021</v>
      </c>
      <c r="O48">
        <v>1</v>
      </c>
    </row>
    <row r="49" spans="1:15" x14ac:dyDescent="0.3">
      <c r="A49">
        <v>32886</v>
      </c>
      <c r="B49">
        <v>3203403</v>
      </c>
      <c r="C49" t="s">
        <v>62</v>
      </c>
      <c r="D49">
        <v>0.5</v>
      </c>
      <c r="E49">
        <v>1467637.81</v>
      </c>
      <c r="F49">
        <v>94533.72</v>
      </c>
      <c r="G49">
        <v>1562171.53</v>
      </c>
      <c r="H49">
        <v>29638.23</v>
      </c>
      <c r="I49">
        <v>86795.97</v>
      </c>
      <c r="J49">
        <v>0.5</v>
      </c>
      <c r="K49">
        <v>35431.21</v>
      </c>
      <c r="L49">
        <v>0</v>
      </c>
      <c r="M49">
        <v>0</v>
      </c>
      <c r="N49">
        <v>2021</v>
      </c>
      <c r="O49">
        <v>1</v>
      </c>
    </row>
    <row r="50" spans="1:15" x14ac:dyDescent="0.3">
      <c r="A50">
        <v>32887</v>
      </c>
      <c r="B50">
        <v>3203502</v>
      </c>
      <c r="C50" t="s">
        <v>63</v>
      </c>
      <c r="D50">
        <v>0.52</v>
      </c>
      <c r="E50">
        <v>1540422.31</v>
      </c>
      <c r="F50">
        <v>99259.58</v>
      </c>
      <c r="G50">
        <v>1639681.89</v>
      </c>
      <c r="H50">
        <v>31120.14</v>
      </c>
      <c r="I50">
        <v>51366.06</v>
      </c>
      <c r="J50">
        <v>0.52</v>
      </c>
      <c r="K50">
        <v>37202.769999999997</v>
      </c>
      <c r="L50">
        <v>0</v>
      </c>
      <c r="M50">
        <v>0</v>
      </c>
      <c r="N50">
        <v>2021</v>
      </c>
      <c r="O50">
        <v>1</v>
      </c>
    </row>
    <row r="51" spans="1:15" x14ac:dyDescent="0.3">
      <c r="A51">
        <v>32888</v>
      </c>
      <c r="B51">
        <v>3203601</v>
      </c>
      <c r="C51" t="s">
        <v>64</v>
      </c>
      <c r="D51">
        <v>0.28000000000000003</v>
      </c>
      <c r="E51">
        <v>848131.05</v>
      </c>
      <c r="F51">
        <v>54640.27</v>
      </c>
      <c r="G51">
        <v>902771.32</v>
      </c>
      <c r="H51">
        <v>17130.900000000001</v>
      </c>
      <c r="I51">
        <v>15010.79</v>
      </c>
      <c r="J51">
        <v>0.28000000000000003</v>
      </c>
      <c r="K51">
        <v>20479.240000000002</v>
      </c>
      <c r="L51">
        <v>0</v>
      </c>
      <c r="M51">
        <v>0</v>
      </c>
      <c r="N51">
        <v>2021</v>
      </c>
      <c r="O51">
        <v>1</v>
      </c>
    </row>
    <row r="52" spans="1:15" x14ac:dyDescent="0.3">
      <c r="A52">
        <v>32889</v>
      </c>
      <c r="B52">
        <v>3203700</v>
      </c>
      <c r="C52" t="s">
        <v>65</v>
      </c>
      <c r="D52">
        <v>0.5</v>
      </c>
      <c r="E52">
        <v>1493487.32</v>
      </c>
      <c r="F52">
        <v>96234.53</v>
      </c>
      <c r="G52">
        <v>1589721.85</v>
      </c>
      <c r="H52">
        <v>30171.72</v>
      </c>
      <c r="I52">
        <v>37687.599999999999</v>
      </c>
      <c r="J52">
        <v>0.5</v>
      </c>
      <c r="K52">
        <v>36068.97</v>
      </c>
      <c r="L52">
        <v>0</v>
      </c>
      <c r="M52">
        <v>0</v>
      </c>
      <c r="N52">
        <v>2021</v>
      </c>
      <c r="O52">
        <v>1</v>
      </c>
    </row>
    <row r="53" spans="1:15" x14ac:dyDescent="0.3">
      <c r="A53">
        <v>32890</v>
      </c>
      <c r="B53">
        <v>3203809</v>
      </c>
      <c r="C53" t="s">
        <v>66</v>
      </c>
      <c r="D53">
        <v>0.28999999999999998</v>
      </c>
      <c r="E53">
        <v>856686.28</v>
      </c>
      <c r="F53">
        <v>55207.14</v>
      </c>
      <c r="G53">
        <v>911893.42</v>
      </c>
      <c r="H53">
        <v>17308.73</v>
      </c>
      <c r="I53">
        <v>41429.449999999997</v>
      </c>
      <c r="J53">
        <v>0.28999999999999998</v>
      </c>
      <c r="K53">
        <v>20691.82</v>
      </c>
      <c r="L53">
        <v>0</v>
      </c>
      <c r="M53">
        <v>0</v>
      </c>
      <c r="N53">
        <v>2021</v>
      </c>
      <c r="O53">
        <v>1</v>
      </c>
    </row>
    <row r="54" spans="1:15" x14ac:dyDescent="0.3">
      <c r="A54">
        <v>32891</v>
      </c>
      <c r="B54">
        <v>3203908</v>
      </c>
      <c r="C54" t="s">
        <v>67</v>
      </c>
      <c r="D54">
        <v>1.22</v>
      </c>
      <c r="E54">
        <v>3604704.55</v>
      </c>
      <c r="F54">
        <v>232360.14</v>
      </c>
      <c r="G54">
        <v>3837064.69</v>
      </c>
      <c r="H54">
        <v>72850.78</v>
      </c>
      <c r="I54">
        <v>144318.94</v>
      </c>
      <c r="J54">
        <v>1.22</v>
      </c>
      <c r="K54">
        <v>87089.9</v>
      </c>
      <c r="L54">
        <v>0</v>
      </c>
      <c r="M54">
        <v>0</v>
      </c>
      <c r="N54">
        <v>2021</v>
      </c>
      <c r="O54">
        <v>1</v>
      </c>
    </row>
    <row r="55" spans="1:15" x14ac:dyDescent="0.3">
      <c r="A55">
        <v>32892</v>
      </c>
      <c r="B55">
        <v>3204005</v>
      </c>
      <c r="C55" t="s">
        <v>68</v>
      </c>
      <c r="D55">
        <v>0.47</v>
      </c>
      <c r="E55">
        <v>1400528.86</v>
      </c>
      <c r="F55">
        <v>90370.81</v>
      </c>
      <c r="G55">
        <v>1490899.67</v>
      </c>
      <c r="H55">
        <v>28334.15</v>
      </c>
      <c r="I55">
        <v>25220.66</v>
      </c>
      <c r="J55">
        <v>0.47</v>
      </c>
      <c r="K55">
        <v>33872.230000000003</v>
      </c>
      <c r="L55">
        <v>0</v>
      </c>
      <c r="M55">
        <v>0</v>
      </c>
      <c r="N55">
        <v>2021</v>
      </c>
      <c r="O55">
        <v>1</v>
      </c>
    </row>
    <row r="56" spans="1:15" x14ac:dyDescent="0.3">
      <c r="A56">
        <v>32893</v>
      </c>
      <c r="B56">
        <v>3204054</v>
      </c>
      <c r="C56" t="s">
        <v>69</v>
      </c>
      <c r="D56">
        <v>0.32</v>
      </c>
      <c r="E56">
        <v>949821.06</v>
      </c>
      <c r="F56">
        <v>61256.2</v>
      </c>
      <c r="G56">
        <v>1011077.26</v>
      </c>
      <c r="H56">
        <v>19205.57</v>
      </c>
      <c r="I56">
        <v>56804.63</v>
      </c>
      <c r="J56">
        <v>0.32</v>
      </c>
      <c r="K56">
        <v>22959.42</v>
      </c>
      <c r="L56">
        <v>0</v>
      </c>
      <c r="M56">
        <v>0</v>
      </c>
      <c r="N56">
        <v>2021</v>
      </c>
      <c r="O56">
        <v>1</v>
      </c>
    </row>
    <row r="57" spans="1:15" x14ac:dyDescent="0.3">
      <c r="A57">
        <v>32894</v>
      </c>
      <c r="B57">
        <v>3204104</v>
      </c>
      <c r="C57" t="s">
        <v>70</v>
      </c>
      <c r="D57">
        <v>0.66</v>
      </c>
      <c r="E57">
        <v>1950123.27</v>
      </c>
      <c r="F57">
        <v>125727.33</v>
      </c>
      <c r="G57">
        <v>2075850.6</v>
      </c>
      <c r="H57">
        <v>39418.85</v>
      </c>
      <c r="I57">
        <v>45091.77</v>
      </c>
      <c r="J57">
        <v>0.66</v>
      </c>
      <c r="K57">
        <v>47123.5</v>
      </c>
      <c r="L57">
        <v>0</v>
      </c>
      <c r="M57">
        <v>0</v>
      </c>
      <c r="N57">
        <v>2021</v>
      </c>
      <c r="O57">
        <v>1</v>
      </c>
    </row>
    <row r="58" spans="1:15" x14ac:dyDescent="0.3">
      <c r="A58">
        <v>32895</v>
      </c>
      <c r="B58">
        <v>3204203</v>
      </c>
      <c r="C58" t="s">
        <v>71</v>
      </c>
      <c r="D58">
        <v>0.15</v>
      </c>
      <c r="E58">
        <v>457516.17</v>
      </c>
      <c r="F58">
        <v>28938.58</v>
      </c>
      <c r="G58">
        <v>486454.75</v>
      </c>
      <c r="H58">
        <v>9069.2999999999993</v>
      </c>
      <c r="I58">
        <v>144791.85</v>
      </c>
      <c r="J58">
        <v>0.15</v>
      </c>
      <c r="K58">
        <v>10841.95</v>
      </c>
      <c r="L58">
        <v>0</v>
      </c>
      <c r="M58">
        <v>0</v>
      </c>
      <c r="N58">
        <v>2021</v>
      </c>
      <c r="O58">
        <v>1</v>
      </c>
    </row>
    <row r="59" spans="1:15" x14ac:dyDescent="0.3">
      <c r="A59">
        <v>32896</v>
      </c>
      <c r="B59">
        <v>3204252</v>
      </c>
      <c r="C59" t="s">
        <v>72</v>
      </c>
      <c r="D59">
        <v>0.23</v>
      </c>
      <c r="E59">
        <v>674323.03</v>
      </c>
      <c r="F59">
        <v>43484.45</v>
      </c>
      <c r="G59">
        <v>717807.48</v>
      </c>
      <c r="H59">
        <v>13633.59</v>
      </c>
      <c r="I59">
        <v>9361.1299999999992</v>
      </c>
      <c r="J59">
        <v>0.23</v>
      </c>
      <c r="K59">
        <v>16298.35</v>
      </c>
      <c r="L59">
        <v>0</v>
      </c>
      <c r="M59">
        <v>0</v>
      </c>
      <c r="N59">
        <v>2021</v>
      </c>
      <c r="O59">
        <v>1</v>
      </c>
    </row>
    <row r="60" spans="1:15" x14ac:dyDescent="0.3">
      <c r="A60">
        <v>32897</v>
      </c>
      <c r="B60">
        <v>1718402</v>
      </c>
      <c r="C60" t="s">
        <v>73</v>
      </c>
      <c r="D60">
        <v>0.33</v>
      </c>
      <c r="E60">
        <v>979768.13</v>
      </c>
      <c r="F60">
        <v>63147.68</v>
      </c>
      <c r="G60">
        <v>1042915.81</v>
      </c>
      <c r="H60">
        <v>19798.34</v>
      </c>
      <c r="I60">
        <v>72732.63</v>
      </c>
      <c r="J60">
        <v>0.33</v>
      </c>
      <c r="K60">
        <v>23668.05</v>
      </c>
      <c r="L60">
        <v>0</v>
      </c>
      <c r="M60">
        <v>0</v>
      </c>
      <c r="N60">
        <v>2021</v>
      </c>
      <c r="O60">
        <v>1</v>
      </c>
    </row>
    <row r="61" spans="1:15" x14ac:dyDescent="0.3">
      <c r="A61">
        <v>32898</v>
      </c>
      <c r="B61">
        <v>3204351</v>
      </c>
      <c r="C61" t="s">
        <v>74</v>
      </c>
      <c r="D61">
        <v>0.76</v>
      </c>
      <c r="E61">
        <v>2258631.83</v>
      </c>
      <c r="F61">
        <v>145394.71</v>
      </c>
      <c r="G61">
        <v>2404026.54</v>
      </c>
      <c r="H61">
        <v>45583.6</v>
      </c>
      <c r="I61">
        <v>54866.79</v>
      </c>
      <c r="J61">
        <v>0.76</v>
      </c>
      <c r="K61">
        <v>54493.19</v>
      </c>
      <c r="L61">
        <v>0</v>
      </c>
      <c r="M61">
        <v>0</v>
      </c>
      <c r="N61">
        <v>2021</v>
      </c>
      <c r="O61">
        <v>1</v>
      </c>
    </row>
    <row r="62" spans="1:15" x14ac:dyDescent="0.3">
      <c r="A62">
        <v>32899</v>
      </c>
      <c r="B62">
        <v>3204401</v>
      </c>
      <c r="C62" t="s">
        <v>75</v>
      </c>
      <c r="D62">
        <v>0.26</v>
      </c>
      <c r="E62">
        <v>777238.42</v>
      </c>
      <c r="F62">
        <v>50102.05</v>
      </c>
      <c r="G62">
        <v>827340.47</v>
      </c>
      <c r="H62">
        <v>15708.26</v>
      </c>
      <c r="I62">
        <v>23070.44</v>
      </c>
      <c r="J62">
        <v>0.26</v>
      </c>
      <c r="K62">
        <v>18778.54</v>
      </c>
      <c r="L62">
        <v>0</v>
      </c>
      <c r="M62">
        <v>0</v>
      </c>
      <c r="N62">
        <v>2021</v>
      </c>
      <c r="O62">
        <v>1</v>
      </c>
    </row>
    <row r="63" spans="1:15" x14ac:dyDescent="0.3">
      <c r="A63">
        <v>32900</v>
      </c>
      <c r="B63">
        <v>3204500</v>
      </c>
      <c r="C63" t="s">
        <v>76</v>
      </c>
      <c r="D63">
        <v>0.49</v>
      </c>
      <c r="E63">
        <v>1454923.74</v>
      </c>
      <c r="F63">
        <v>93776.12</v>
      </c>
      <c r="G63">
        <v>1548699.86</v>
      </c>
      <c r="H63">
        <v>29401.13</v>
      </c>
      <c r="I63">
        <v>15801.12</v>
      </c>
      <c r="J63">
        <v>0.49</v>
      </c>
      <c r="K63">
        <v>35147.760000000002</v>
      </c>
      <c r="L63">
        <v>0</v>
      </c>
      <c r="M63">
        <v>0</v>
      </c>
      <c r="N63">
        <v>2021</v>
      </c>
      <c r="O63">
        <v>1</v>
      </c>
    </row>
    <row r="64" spans="1:15" x14ac:dyDescent="0.3">
      <c r="A64">
        <v>32901</v>
      </c>
      <c r="B64">
        <v>3204559</v>
      </c>
      <c r="C64" t="s">
        <v>77</v>
      </c>
      <c r="D64">
        <v>2.2400000000000002</v>
      </c>
      <c r="E64">
        <v>6591502.8399999999</v>
      </c>
      <c r="F64">
        <v>424643.86</v>
      </c>
      <c r="G64">
        <v>7016146.7000000002</v>
      </c>
      <c r="H64">
        <v>133134.94</v>
      </c>
      <c r="I64">
        <v>258943.57</v>
      </c>
      <c r="J64">
        <v>2.2400000000000002</v>
      </c>
      <c r="K64">
        <v>159156.98000000001</v>
      </c>
      <c r="L64">
        <v>0</v>
      </c>
      <c r="M64">
        <v>0</v>
      </c>
      <c r="N64">
        <v>2021</v>
      </c>
      <c r="O64">
        <v>1</v>
      </c>
    </row>
    <row r="65" spans="1:15" x14ac:dyDescent="0.3">
      <c r="A65">
        <v>32902</v>
      </c>
      <c r="B65">
        <v>3204609</v>
      </c>
      <c r="C65" t="s">
        <v>78</v>
      </c>
      <c r="D65">
        <v>0.69</v>
      </c>
      <c r="E65">
        <v>2027066.59</v>
      </c>
      <c r="F65">
        <v>130643.94</v>
      </c>
      <c r="G65">
        <v>2157710.5299999998</v>
      </c>
      <c r="H65">
        <v>40960.04</v>
      </c>
      <c r="I65">
        <v>83364.44</v>
      </c>
      <c r="J65">
        <v>0.69</v>
      </c>
      <c r="K65">
        <v>48965.93</v>
      </c>
      <c r="L65">
        <v>0</v>
      </c>
      <c r="M65">
        <v>0</v>
      </c>
      <c r="N65">
        <v>2021</v>
      </c>
      <c r="O65">
        <v>1</v>
      </c>
    </row>
    <row r="66" spans="1:15" x14ac:dyDescent="0.3">
      <c r="A66">
        <v>32903</v>
      </c>
      <c r="B66">
        <v>3204658</v>
      </c>
      <c r="C66" t="s">
        <v>79</v>
      </c>
      <c r="D66">
        <v>0.45</v>
      </c>
      <c r="E66">
        <v>1330869.08</v>
      </c>
      <c r="F66">
        <v>85649.13</v>
      </c>
      <c r="G66">
        <v>1416518.21</v>
      </c>
      <c r="H66">
        <v>26852.240000000002</v>
      </c>
      <c r="I66">
        <v>17621.93</v>
      </c>
      <c r="J66">
        <v>0.45</v>
      </c>
      <c r="K66">
        <v>32100.67</v>
      </c>
      <c r="L66">
        <v>0</v>
      </c>
      <c r="M66">
        <v>0</v>
      </c>
      <c r="N66">
        <v>2021</v>
      </c>
      <c r="O66">
        <v>1</v>
      </c>
    </row>
    <row r="67" spans="1:15" x14ac:dyDescent="0.3">
      <c r="A67">
        <v>32904</v>
      </c>
      <c r="B67">
        <v>3204708</v>
      </c>
      <c r="C67" t="s">
        <v>80</v>
      </c>
      <c r="D67">
        <v>0.72</v>
      </c>
      <c r="E67">
        <v>2136882.94</v>
      </c>
      <c r="F67">
        <v>137826.21</v>
      </c>
      <c r="G67">
        <v>2274709.15</v>
      </c>
      <c r="H67">
        <v>43212.54</v>
      </c>
      <c r="I67">
        <v>70099.320000000007</v>
      </c>
      <c r="J67">
        <v>0.72</v>
      </c>
      <c r="K67">
        <v>51658.7</v>
      </c>
      <c r="L67">
        <v>0</v>
      </c>
      <c r="M67">
        <v>0</v>
      </c>
      <c r="N67">
        <v>2021</v>
      </c>
      <c r="O67">
        <v>1</v>
      </c>
    </row>
    <row r="68" spans="1:15" x14ac:dyDescent="0.3">
      <c r="A68">
        <v>32905</v>
      </c>
      <c r="B68">
        <v>3204807</v>
      </c>
      <c r="C68" t="s">
        <v>81</v>
      </c>
      <c r="D68">
        <v>0.22</v>
      </c>
      <c r="E68">
        <v>650740.44999999995</v>
      </c>
      <c r="F68">
        <v>41786.65</v>
      </c>
      <c r="G68">
        <v>692527.1</v>
      </c>
      <c r="H68">
        <v>13100.1</v>
      </c>
      <c r="I68">
        <v>36924.800000000003</v>
      </c>
      <c r="J68">
        <v>0.22</v>
      </c>
      <c r="K68">
        <v>15660.59</v>
      </c>
      <c r="L68">
        <v>0</v>
      </c>
      <c r="M68">
        <v>0</v>
      </c>
      <c r="N68">
        <v>2021</v>
      </c>
      <c r="O68">
        <v>1</v>
      </c>
    </row>
    <row r="69" spans="1:15" x14ac:dyDescent="0.3">
      <c r="A69">
        <v>32906</v>
      </c>
      <c r="B69">
        <v>3204906</v>
      </c>
      <c r="C69" t="s">
        <v>82</v>
      </c>
      <c r="D69">
        <v>1.8</v>
      </c>
      <c r="E69">
        <v>5291698.6500000004</v>
      </c>
      <c r="F69">
        <v>340517.44</v>
      </c>
      <c r="G69">
        <v>5632216.0899999999</v>
      </c>
      <c r="H69">
        <v>106756.91</v>
      </c>
      <c r="I69">
        <v>399218.67</v>
      </c>
      <c r="J69">
        <v>1.8</v>
      </c>
      <c r="K69">
        <v>127623.2</v>
      </c>
      <c r="L69">
        <v>0</v>
      </c>
      <c r="M69">
        <v>0</v>
      </c>
      <c r="N69">
        <v>2021</v>
      </c>
      <c r="O69">
        <v>1</v>
      </c>
    </row>
    <row r="70" spans="1:15" x14ac:dyDescent="0.3">
      <c r="A70">
        <v>32907</v>
      </c>
      <c r="B70">
        <v>3204955</v>
      </c>
      <c r="C70" t="s">
        <v>83</v>
      </c>
      <c r="D70">
        <v>0.32</v>
      </c>
      <c r="E70">
        <v>962167.49</v>
      </c>
      <c r="F70">
        <v>62013.31</v>
      </c>
      <c r="G70">
        <v>1024180.8</v>
      </c>
      <c r="H70">
        <v>19442.68</v>
      </c>
      <c r="I70">
        <v>28816.99</v>
      </c>
      <c r="J70">
        <v>0.32</v>
      </c>
      <c r="K70">
        <v>23242.87</v>
      </c>
      <c r="L70">
        <v>0</v>
      </c>
      <c r="M70">
        <v>0</v>
      </c>
      <c r="N70">
        <v>2021</v>
      </c>
      <c r="O70">
        <v>1</v>
      </c>
    </row>
    <row r="71" spans="1:15" x14ac:dyDescent="0.3">
      <c r="A71">
        <v>32908</v>
      </c>
      <c r="B71">
        <v>3205002</v>
      </c>
      <c r="C71" t="s">
        <v>84</v>
      </c>
      <c r="D71">
        <v>13.06</v>
      </c>
      <c r="E71">
        <v>38396357.219999999</v>
      </c>
      <c r="F71">
        <v>2470598.79</v>
      </c>
      <c r="G71">
        <v>40866956.009999998</v>
      </c>
      <c r="H71">
        <v>774565.57</v>
      </c>
      <c r="I71">
        <v>1415817.78</v>
      </c>
      <c r="J71">
        <v>13.06</v>
      </c>
      <c r="K71">
        <v>925959.13</v>
      </c>
      <c r="L71">
        <v>0</v>
      </c>
      <c r="M71">
        <v>0</v>
      </c>
      <c r="N71">
        <v>2021</v>
      </c>
      <c r="O71">
        <v>1</v>
      </c>
    </row>
    <row r="72" spans="1:15" x14ac:dyDescent="0.3">
      <c r="A72">
        <v>32909</v>
      </c>
      <c r="B72">
        <v>3205010</v>
      </c>
      <c r="C72" t="s">
        <v>85</v>
      </c>
      <c r="D72">
        <v>0.7</v>
      </c>
      <c r="E72">
        <v>2068502.34</v>
      </c>
      <c r="F72">
        <v>133291.35</v>
      </c>
      <c r="G72">
        <v>2201793.69</v>
      </c>
      <c r="H72">
        <v>41789.910000000003</v>
      </c>
      <c r="I72">
        <v>45741.04</v>
      </c>
      <c r="J72">
        <v>0.7</v>
      </c>
      <c r="K72">
        <v>49958</v>
      </c>
      <c r="L72">
        <v>0</v>
      </c>
      <c r="M72">
        <v>0</v>
      </c>
      <c r="N72">
        <v>2021</v>
      </c>
      <c r="O72">
        <v>1</v>
      </c>
    </row>
    <row r="73" spans="1:15" x14ac:dyDescent="0.3">
      <c r="A73">
        <v>32910</v>
      </c>
      <c r="B73">
        <v>3205036</v>
      </c>
      <c r="C73" t="s">
        <v>86</v>
      </c>
      <c r="D73">
        <v>0.47</v>
      </c>
      <c r="E73">
        <v>1397541.62</v>
      </c>
      <c r="F73">
        <v>89996.55</v>
      </c>
      <c r="G73">
        <v>1487538.17</v>
      </c>
      <c r="H73">
        <v>28215.599999999999</v>
      </c>
      <c r="I73">
        <v>77468.14</v>
      </c>
      <c r="J73">
        <v>0.47</v>
      </c>
      <c r="K73">
        <v>33730.51</v>
      </c>
      <c r="L73">
        <v>0</v>
      </c>
      <c r="M73">
        <v>0</v>
      </c>
      <c r="N73">
        <v>2021</v>
      </c>
      <c r="O73">
        <v>1</v>
      </c>
    </row>
    <row r="74" spans="1:15" x14ac:dyDescent="0.3">
      <c r="A74">
        <v>32911</v>
      </c>
      <c r="B74">
        <v>3205069</v>
      </c>
      <c r="C74" t="s">
        <v>87</v>
      </c>
      <c r="D74">
        <v>0.72</v>
      </c>
      <c r="E74">
        <v>2115498.62</v>
      </c>
      <c r="F74">
        <v>136316.47</v>
      </c>
      <c r="G74">
        <v>2251815.09</v>
      </c>
      <c r="H74">
        <v>42738.33</v>
      </c>
      <c r="I74">
        <v>94698.8</v>
      </c>
      <c r="J74">
        <v>0.72</v>
      </c>
      <c r="K74">
        <v>51091.8</v>
      </c>
      <c r="L74">
        <v>0</v>
      </c>
      <c r="M74">
        <v>0</v>
      </c>
      <c r="N74">
        <v>2021</v>
      </c>
      <c r="O74">
        <v>1</v>
      </c>
    </row>
    <row r="75" spans="1:15" x14ac:dyDescent="0.3">
      <c r="A75">
        <v>32912</v>
      </c>
      <c r="B75">
        <v>2112803</v>
      </c>
      <c r="C75" t="s">
        <v>88</v>
      </c>
      <c r="D75">
        <v>2.25</v>
      </c>
      <c r="E75">
        <v>6594023.75</v>
      </c>
      <c r="F75">
        <v>425943.17</v>
      </c>
      <c r="G75">
        <v>7019966.9199999999</v>
      </c>
      <c r="H75">
        <v>133549.88</v>
      </c>
      <c r="I75">
        <v>201572.27</v>
      </c>
      <c r="J75">
        <v>2.25</v>
      </c>
      <c r="K75">
        <v>159653.01</v>
      </c>
      <c r="L75">
        <v>0</v>
      </c>
      <c r="M75">
        <v>0</v>
      </c>
      <c r="N75">
        <v>2021</v>
      </c>
      <c r="O75">
        <v>1</v>
      </c>
    </row>
    <row r="76" spans="1:15" x14ac:dyDescent="0.3">
      <c r="A76">
        <v>32913</v>
      </c>
      <c r="B76">
        <v>3205150</v>
      </c>
      <c r="C76" t="s">
        <v>89</v>
      </c>
      <c r="D76">
        <v>0.32</v>
      </c>
      <c r="E76">
        <v>959356.61</v>
      </c>
      <c r="F76">
        <v>61824.38</v>
      </c>
      <c r="G76">
        <v>1021180.99</v>
      </c>
      <c r="H76">
        <v>19383.400000000001</v>
      </c>
      <c r="I76">
        <v>15359.48</v>
      </c>
      <c r="J76">
        <v>0.32</v>
      </c>
      <c r="K76">
        <v>23172.01</v>
      </c>
      <c r="L76">
        <v>0</v>
      </c>
      <c r="M76">
        <v>0</v>
      </c>
      <c r="N76">
        <v>2021</v>
      </c>
      <c r="O76">
        <v>1</v>
      </c>
    </row>
    <row r="77" spans="1:15" x14ac:dyDescent="0.3">
      <c r="A77">
        <v>32914</v>
      </c>
      <c r="B77">
        <v>3205176</v>
      </c>
      <c r="C77" t="s">
        <v>90</v>
      </c>
      <c r="D77">
        <v>0.61</v>
      </c>
      <c r="E77">
        <v>1805343.24</v>
      </c>
      <c r="F77">
        <v>116461.8</v>
      </c>
      <c r="G77">
        <v>1921805.04</v>
      </c>
      <c r="H77">
        <v>36514.300000000003</v>
      </c>
      <c r="I77">
        <v>32191.69</v>
      </c>
      <c r="J77">
        <v>0.61</v>
      </c>
      <c r="K77">
        <v>43651.25</v>
      </c>
      <c r="L77">
        <v>0</v>
      </c>
      <c r="M77">
        <v>0</v>
      </c>
      <c r="N77">
        <v>2021</v>
      </c>
      <c r="O77">
        <v>1</v>
      </c>
    </row>
    <row r="78" spans="1:15" x14ac:dyDescent="0.3">
      <c r="A78">
        <v>32915</v>
      </c>
      <c r="B78">
        <v>3205200</v>
      </c>
      <c r="C78" t="s">
        <v>91</v>
      </c>
      <c r="D78">
        <v>5.55</v>
      </c>
      <c r="E78">
        <v>16331624.34</v>
      </c>
      <c r="F78">
        <v>1050674.72</v>
      </c>
      <c r="G78">
        <v>17382299.059999999</v>
      </c>
      <c r="H78">
        <v>329399.32</v>
      </c>
      <c r="I78">
        <v>1998993.51</v>
      </c>
      <c r="J78">
        <v>5.55</v>
      </c>
      <c r="K78">
        <v>393782.42</v>
      </c>
      <c r="L78">
        <v>0</v>
      </c>
      <c r="M78">
        <v>0</v>
      </c>
      <c r="N78">
        <v>2021</v>
      </c>
      <c r="O78">
        <v>1</v>
      </c>
    </row>
    <row r="79" spans="1:15" x14ac:dyDescent="0.3">
      <c r="A79">
        <v>32916</v>
      </c>
      <c r="B79">
        <v>3205309</v>
      </c>
      <c r="C79" t="s">
        <v>92</v>
      </c>
      <c r="D79">
        <v>15.84</v>
      </c>
      <c r="E79">
        <v>46441855.369999997</v>
      </c>
      <c r="F79">
        <v>2995312.11</v>
      </c>
      <c r="G79">
        <v>49437167.479999997</v>
      </c>
      <c r="H79">
        <v>939117.03</v>
      </c>
      <c r="I79">
        <v>2410635.54</v>
      </c>
      <c r="J79">
        <v>15.84</v>
      </c>
      <c r="K79">
        <v>1122673.1599999999</v>
      </c>
      <c r="L79">
        <v>0</v>
      </c>
      <c r="M79">
        <v>0</v>
      </c>
      <c r="N79">
        <v>2021</v>
      </c>
      <c r="O79">
        <v>1</v>
      </c>
    </row>
    <row r="80" spans="1:15" x14ac:dyDescent="0.3">
      <c r="A80">
        <v>32917</v>
      </c>
      <c r="B80">
        <v>3200102</v>
      </c>
      <c r="C80" t="s">
        <v>15</v>
      </c>
      <c r="D80">
        <v>0.79</v>
      </c>
      <c r="E80">
        <v>2076373.81</v>
      </c>
      <c r="F80">
        <v>23916.99</v>
      </c>
      <c r="G80">
        <v>2100290.7999999998</v>
      </c>
      <c r="H80">
        <v>45580.01</v>
      </c>
      <c r="I80">
        <v>85544.35</v>
      </c>
      <c r="J80">
        <v>0.79</v>
      </c>
      <c r="K80">
        <v>49592.91</v>
      </c>
      <c r="L80">
        <v>0</v>
      </c>
      <c r="M80">
        <v>0</v>
      </c>
      <c r="N80">
        <v>2021</v>
      </c>
      <c r="O80">
        <v>2</v>
      </c>
    </row>
    <row r="81" spans="1:15" x14ac:dyDescent="0.3">
      <c r="A81">
        <v>32918</v>
      </c>
      <c r="B81">
        <v>3200169</v>
      </c>
      <c r="C81" t="s">
        <v>16</v>
      </c>
      <c r="D81">
        <v>0.28999999999999998</v>
      </c>
      <c r="E81">
        <v>775391.19</v>
      </c>
      <c r="F81">
        <v>8931.41</v>
      </c>
      <c r="G81">
        <v>784322.6</v>
      </c>
      <c r="H81">
        <v>17021.11</v>
      </c>
      <c r="I81">
        <v>15477.22</v>
      </c>
      <c r="J81">
        <v>0.28999999999999998</v>
      </c>
      <c r="K81">
        <v>18519.66</v>
      </c>
      <c r="L81">
        <v>0</v>
      </c>
      <c r="M81">
        <v>0</v>
      </c>
      <c r="N81">
        <v>2021</v>
      </c>
      <c r="O81">
        <v>2</v>
      </c>
    </row>
    <row r="82" spans="1:15" x14ac:dyDescent="0.3">
      <c r="A82">
        <v>32919</v>
      </c>
      <c r="B82">
        <v>3200136</v>
      </c>
      <c r="C82" t="s">
        <v>17</v>
      </c>
      <c r="D82">
        <v>0.42</v>
      </c>
      <c r="E82">
        <v>1105818.5900000001</v>
      </c>
      <c r="F82">
        <v>12737.73</v>
      </c>
      <c r="G82">
        <v>1118556.32</v>
      </c>
      <c r="H82">
        <v>24275.07</v>
      </c>
      <c r="I82">
        <v>15948.79</v>
      </c>
      <c r="J82">
        <v>0.42</v>
      </c>
      <c r="K82">
        <v>26412.26</v>
      </c>
      <c r="L82">
        <v>0</v>
      </c>
      <c r="M82">
        <v>0</v>
      </c>
      <c r="N82">
        <v>2021</v>
      </c>
      <c r="O82">
        <v>2</v>
      </c>
    </row>
    <row r="83" spans="1:15" x14ac:dyDescent="0.3">
      <c r="A83">
        <v>32920</v>
      </c>
      <c r="B83">
        <v>3200201</v>
      </c>
      <c r="C83" t="s">
        <v>18</v>
      </c>
      <c r="D83">
        <v>0.48</v>
      </c>
      <c r="E83">
        <v>1259383.0900000001</v>
      </c>
      <c r="F83">
        <v>14506.03</v>
      </c>
      <c r="G83">
        <v>1273889.1200000001</v>
      </c>
      <c r="H83">
        <v>27645.02</v>
      </c>
      <c r="I83">
        <v>71031.13</v>
      </c>
      <c r="J83">
        <v>0.48</v>
      </c>
      <c r="K83">
        <v>30078.91</v>
      </c>
      <c r="L83">
        <v>0</v>
      </c>
      <c r="M83">
        <v>0</v>
      </c>
      <c r="N83">
        <v>2021</v>
      </c>
      <c r="O83">
        <v>2</v>
      </c>
    </row>
    <row r="84" spans="1:15" x14ac:dyDescent="0.3">
      <c r="A84">
        <v>32921</v>
      </c>
      <c r="B84">
        <v>3200300</v>
      </c>
      <c r="C84" t="s">
        <v>19</v>
      </c>
      <c r="D84">
        <v>0.48</v>
      </c>
      <c r="E84">
        <v>1248963.1200000001</v>
      </c>
      <c r="F84">
        <v>14386.13</v>
      </c>
      <c r="G84">
        <v>1263349.25</v>
      </c>
      <c r="H84">
        <v>27416.55</v>
      </c>
      <c r="I84">
        <v>71918.69</v>
      </c>
      <c r="J84">
        <v>0.48</v>
      </c>
      <c r="K84">
        <v>29830.32</v>
      </c>
      <c r="L84">
        <v>0</v>
      </c>
      <c r="M84">
        <v>0</v>
      </c>
      <c r="N84">
        <v>2021</v>
      </c>
      <c r="O84">
        <v>2</v>
      </c>
    </row>
    <row r="85" spans="1:15" x14ac:dyDescent="0.3">
      <c r="A85">
        <v>32922</v>
      </c>
      <c r="B85">
        <v>3200359</v>
      </c>
      <c r="C85" t="s">
        <v>20</v>
      </c>
      <c r="D85">
        <v>0.22</v>
      </c>
      <c r="E85">
        <v>595840.84</v>
      </c>
      <c r="F85">
        <v>6863.42</v>
      </c>
      <c r="G85">
        <v>602704.26</v>
      </c>
      <c r="H85">
        <v>13079.98</v>
      </c>
      <c r="I85">
        <v>8890.91</v>
      </c>
      <c r="J85">
        <v>0.22</v>
      </c>
      <c r="K85">
        <v>14231.55</v>
      </c>
      <c r="L85">
        <v>0</v>
      </c>
      <c r="M85">
        <v>0</v>
      </c>
      <c r="N85">
        <v>2021</v>
      </c>
      <c r="O85">
        <v>2</v>
      </c>
    </row>
    <row r="86" spans="1:15" x14ac:dyDescent="0.3">
      <c r="A86">
        <v>32923</v>
      </c>
      <c r="B86">
        <v>3200409</v>
      </c>
      <c r="C86" t="s">
        <v>21</v>
      </c>
      <c r="D86">
        <v>2.59</v>
      </c>
      <c r="E86">
        <v>6759903.5300000003</v>
      </c>
      <c r="F86">
        <v>77865.009999999995</v>
      </c>
      <c r="G86">
        <v>6837768.54</v>
      </c>
      <c r="H86">
        <v>148392.04999999999</v>
      </c>
      <c r="I86">
        <v>104235.46</v>
      </c>
      <c r="J86">
        <v>2.59</v>
      </c>
      <c r="K86">
        <v>161456.62</v>
      </c>
      <c r="L86">
        <v>0</v>
      </c>
      <c r="M86">
        <v>0</v>
      </c>
      <c r="N86">
        <v>2021</v>
      </c>
      <c r="O86">
        <v>2</v>
      </c>
    </row>
    <row r="87" spans="1:15" x14ac:dyDescent="0.3">
      <c r="A87">
        <v>32924</v>
      </c>
      <c r="B87">
        <v>3200508</v>
      </c>
      <c r="C87" t="s">
        <v>22</v>
      </c>
      <c r="D87">
        <v>0.19</v>
      </c>
      <c r="E87">
        <v>507377.85</v>
      </c>
      <c r="F87">
        <v>5844.37</v>
      </c>
      <c r="G87">
        <v>513222.22</v>
      </c>
      <c r="H87">
        <v>11137.97</v>
      </c>
      <c r="I87">
        <v>44325.5</v>
      </c>
      <c r="J87">
        <v>0.19</v>
      </c>
      <c r="K87">
        <v>12118.57</v>
      </c>
      <c r="L87">
        <v>0</v>
      </c>
      <c r="M87">
        <v>0</v>
      </c>
      <c r="N87">
        <v>2021</v>
      </c>
      <c r="O87">
        <v>2</v>
      </c>
    </row>
    <row r="88" spans="1:15" x14ac:dyDescent="0.3">
      <c r="A88">
        <v>32925</v>
      </c>
      <c r="B88">
        <v>3200607</v>
      </c>
      <c r="C88" t="s">
        <v>23</v>
      </c>
      <c r="D88">
        <v>5.18</v>
      </c>
      <c r="E88">
        <v>13476199.5</v>
      </c>
      <c r="F88">
        <v>155250.48000000001</v>
      </c>
      <c r="G88">
        <v>13631449.98</v>
      </c>
      <c r="H88">
        <v>295870.21999999997</v>
      </c>
      <c r="I88">
        <v>271019</v>
      </c>
      <c r="J88">
        <v>5.18</v>
      </c>
      <c r="K88">
        <v>321918.89</v>
      </c>
      <c r="L88">
        <v>0</v>
      </c>
      <c r="M88">
        <v>0</v>
      </c>
      <c r="N88">
        <v>2021</v>
      </c>
      <c r="O88">
        <v>2</v>
      </c>
    </row>
    <row r="89" spans="1:15" x14ac:dyDescent="0.3">
      <c r="A89">
        <v>32926</v>
      </c>
      <c r="B89">
        <v>3200706</v>
      </c>
      <c r="C89" t="s">
        <v>24</v>
      </c>
      <c r="D89">
        <v>0.36</v>
      </c>
      <c r="E89">
        <v>960127.1</v>
      </c>
      <c r="F89">
        <v>11059.34</v>
      </c>
      <c r="G89">
        <v>971186.44</v>
      </c>
      <c r="H89">
        <v>21076.47</v>
      </c>
      <c r="I89">
        <v>22620.94</v>
      </c>
      <c r="J89">
        <v>0.36</v>
      </c>
      <c r="K89">
        <v>22932.06</v>
      </c>
      <c r="L89">
        <v>0</v>
      </c>
      <c r="M89">
        <v>0</v>
      </c>
      <c r="N89">
        <v>2021</v>
      </c>
      <c r="O89">
        <v>2</v>
      </c>
    </row>
    <row r="90" spans="1:15" x14ac:dyDescent="0.3">
      <c r="A90">
        <v>32927</v>
      </c>
      <c r="B90">
        <v>3200805</v>
      </c>
      <c r="C90" t="s">
        <v>25</v>
      </c>
      <c r="D90">
        <v>0.65</v>
      </c>
      <c r="E90">
        <v>1714714.94</v>
      </c>
      <c r="F90">
        <v>19750.990000000002</v>
      </c>
      <c r="G90">
        <v>1734465.93</v>
      </c>
      <c r="H90">
        <v>37640.629999999997</v>
      </c>
      <c r="I90">
        <v>117347.08</v>
      </c>
      <c r="J90">
        <v>0.65</v>
      </c>
      <c r="K90">
        <v>40954.550000000003</v>
      </c>
      <c r="L90">
        <v>0</v>
      </c>
      <c r="M90">
        <v>0</v>
      </c>
      <c r="N90">
        <v>2021</v>
      </c>
      <c r="O90">
        <v>2</v>
      </c>
    </row>
    <row r="91" spans="1:15" x14ac:dyDescent="0.3">
      <c r="A91">
        <v>32928</v>
      </c>
      <c r="B91">
        <v>3200904</v>
      </c>
      <c r="C91" t="s">
        <v>26</v>
      </c>
      <c r="D91">
        <v>0.9</v>
      </c>
      <c r="E91">
        <v>2357399.92</v>
      </c>
      <c r="F91">
        <v>27153.87</v>
      </c>
      <c r="G91">
        <v>2384553.79</v>
      </c>
      <c r="H91">
        <v>51748.73</v>
      </c>
      <c r="I91">
        <v>107447.13</v>
      </c>
      <c r="J91">
        <v>0.9</v>
      </c>
      <c r="K91">
        <v>56304.73</v>
      </c>
      <c r="L91">
        <v>0</v>
      </c>
      <c r="M91">
        <v>0</v>
      </c>
      <c r="N91">
        <v>2021</v>
      </c>
      <c r="O91">
        <v>2</v>
      </c>
    </row>
    <row r="92" spans="1:15" x14ac:dyDescent="0.3">
      <c r="A92">
        <v>32929</v>
      </c>
      <c r="B92">
        <v>3107109</v>
      </c>
      <c r="C92" t="s">
        <v>27</v>
      </c>
      <c r="D92">
        <v>0.41</v>
      </c>
      <c r="E92">
        <v>1077194.17</v>
      </c>
      <c r="F92">
        <v>12408.04</v>
      </c>
      <c r="G92">
        <v>1089602.21</v>
      </c>
      <c r="H92">
        <v>23646.77</v>
      </c>
      <c r="I92">
        <v>26727.33</v>
      </c>
      <c r="J92">
        <v>0.41</v>
      </c>
      <c r="K92">
        <v>25728.65</v>
      </c>
      <c r="L92">
        <v>0</v>
      </c>
      <c r="M92">
        <v>0</v>
      </c>
      <c r="N92">
        <v>2021</v>
      </c>
      <c r="O92">
        <v>2</v>
      </c>
    </row>
    <row r="93" spans="1:15" x14ac:dyDescent="0.3">
      <c r="A93">
        <v>32930</v>
      </c>
      <c r="B93">
        <v>3201100</v>
      </c>
      <c r="C93" t="s">
        <v>28</v>
      </c>
      <c r="D93">
        <v>0.17</v>
      </c>
      <c r="E93">
        <v>442341.49</v>
      </c>
      <c r="F93">
        <v>5095.1000000000004</v>
      </c>
      <c r="G93">
        <v>447436.59</v>
      </c>
      <c r="H93">
        <v>9710.0300000000007</v>
      </c>
      <c r="I93">
        <v>135643.37</v>
      </c>
      <c r="J93">
        <v>0.17</v>
      </c>
      <c r="K93">
        <v>10564.91</v>
      </c>
      <c r="L93">
        <v>0</v>
      </c>
      <c r="M93">
        <v>0</v>
      </c>
      <c r="N93">
        <v>2021</v>
      </c>
      <c r="O93">
        <v>2</v>
      </c>
    </row>
    <row r="94" spans="1:15" x14ac:dyDescent="0.3">
      <c r="A94">
        <v>32931</v>
      </c>
      <c r="B94">
        <v>3201159</v>
      </c>
      <c r="C94" t="s">
        <v>29</v>
      </c>
      <c r="D94">
        <v>0.43</v>
      </c>
      <c r="E94">
        <v>1139649.97</v>
      </c>
      <c r="F94">
        <v>13127.35</v>
      </c>
      <c r="G94">
        <v>1152777.32</v>
      </c>
      <c r="H94">
        <v>25017.599999999999</v>
      </c>
      <c r="I94">
        <v>29712.32</v>
      </c>
      <c r="J94">
        <v>0.43</v>
      </c>
      <c r="K94">
        <v>27220.17</v>
      </c>
      <c r="L94">
        <v>0</v>
      </c>
      <c r="M94">
        <v>0</v>
      </c>
      <c r="N94">
        <v>2021</v>
      </c>
      <c r="O94">
        <v>2</v>
      </c>
    </row>
    <row r="95" spans="1:15" x14ac:dyDescent="0.3">
      <c r="A95">
        <v>32932</v>
      </c>
      <c r="B95">
        <v>3201209</v>
      </c>
      <c r="C95" t="s">
        <v>30</v>
      </c>
      <c r="D95">
        <v>3.11</v>
      </c>
      <c r="E95">
        <v>8097513.8899999997</v>
      </c>
      <c r="F95">
        <v>93270.18</v>
      </c>
      <c r="G95">
        <v>8190784.0700000003</v>
      </c>
      <c r="H95">
        <v>177750.6</v>
      </c>
      <c r="I95">
        <v>705421.23</v>
      </c>
      <c r="J95">
        <v>3.11</v>
      </c>
      <c r="K95">
        <v>193399.92</v>
      </c>
      <c r="L95">
        <v>0</v>
      </c>
      <c r="M95">
        <v>0</v>
      </c>
      <c r="N95">
        <v>2021</v>
      </c>
      <c r="O95">
        <v>2</v>
      </c>
    </row>
    <row r="96" spans="1:15" x14ac:dyDescent="0.3">
      <c r="A96">
        <v>32933</v>
      </c>
      <c r="B96">
        <v>3201308</v>
      </c>
      <c r="C96" t="s">
        <v>31</v>
      </c>
      <c r="D96">
        <v>6.51</v>
      </c>
      <c r="E96">
        <v>16948523.539999999</v>
      </c>
      <c r="F96">
        <v>195231.96</v>
      </c>
      <c r="G96">
        <v>17143755.5</v>
      </c>
      <c r="H96">
        <v>372065.37</v>
      </c>
      <c r="I96">
        <v>1798570.37</v>
      </c>
      <c r="J96">
        <v>6.51</v>
      </c>
      <c r="K96">
        <v>404822.33</v>
      </c>
      <c r="L96">
        <v>0</v>
      </c>
      <c r="M96">
        <v>0</v>
      </c>
      <c r="N96">
        <v>2021</v>
      </c>
      <c r="O96">
        <v>2</v>
      </c>
    </row>
    <row r="97" spans="1:15" x14ac:dyDescent="0.3">
      <c r="A97">
        <v>32934</v>
      </c>
      <c r="B97">
        <v>3201407</v>
      </c>
      <c r="C97" t="s">
        <v>32</v>
      </c>
      <c r="D97">
        <v>0.93</v>
      </c>
      <c r="E97">
        <v>2435419.5299999998</v>
      </c>
      <c r="F97">
        <v>28052.97</v>
      </c>
      <c r="G97">
        <v>2463472.5</v>
      </c>
      <c r="H97">
        <v>53462.26</v>
      </c>
      <c r="I97">
        <v>181303.99</v>
      </c>
      <c r="J97">
        <v>0.93</v>
      </c>
      <c r="K97">
        <v>58169.13</v>
      </c>
      <c r="L97">
        <v>0</v>
      </c>
      <c r="M97">
        <v>0</v>
      </c>
      <c r="N97">
        <v>2021</v>
      </c>
      <c r="O97">
        <v>2</v>
      </c>
    </row>
    <row r="98" spans="1:15" x14ac:dyDescent="0.3">
      <c r="A98">
        <v>32935</v>
      </c>
      <c r="B98">
        <v>3201506</v>
      </c>
      <c r="C98" t="s">
        <v>33</v>
      </c>
      <c r="D98">
        <v>2.2000000000000002</v>
      </c>
      <c r="E98">
        <v>5726931.2000000002</v>
      </c>
      <c r="F98">
        <v>65966.460000000006</v>
      </c>
      <c r="G98">
        <v>5792897.6600000001</v>
      </c>
      <c r="H98">
        <v>125716.28</v>
      </c>
      <c r="I98">
        <v>420068.95</v>
      </c>
      <c r="J98">
        <v>2.2000000000000002</v>
      </c>
      <c r="K98">
        <v>136784.45000000001</v>
      </c>
      <c r="L98">
        <v>0</v>
      </c>
      <c r="M98">
        <v>0</v>
      </c>
      <c r="N98">
        <v>2021</v>
      </c>
      <c r="O98">
        <v>2</v>
      </c>
    </row>
    <row r="99" spans="1:15" x14ac:dyDescent="0.3">
      <c r="A99">
        <v>32936</v>
      </c>
      <c r="B99">
        <v>3201605</v>
      </c>
      <c r="C99" t="s">
        <v>34</v>
      </c>
      <c r="D99">
        <v>0.57999999999999996</v>
      </c>
      <c r="E99">
        <v>1522104</v>
      </c>
      <c r="F99">
        <v>17533.11</v>
      </c>
      <c r="G99">
        <v>1539637.11</v>
      </c>
      <c r="H99">
        <v>33413.910000000003</v>
      </c>
      <c r="I99">
        <v>35733.21</v>
      </c>
      <c r="J99">
        <v>0.57999999999999996</v>
      </c>
      <c r="K99">
        <v>36355.699999999997</v>
      </c>
      <c r="L99">
        <v>0</v>
      </c>
      <c r="M99">
        <v>0</v>
      </c>
      <c r="N99">
        <v>2021</v>
      </c>
      <c r="O99">
        <v>2</v>
      </c>
    </row>
    <row r="100" spans="1:15" x14ac:dyDescent="0.3">
      <c r="A100">
        <v>32937</v>
      </c>
      <c r="B100">
        <v>3201704</v>
      </c>
      <c r="C100" t="s">
        <v>35</v>
      </c>
      <c r="D100">
        <v>0.45</v>
      </c>
      <c r="E100">
        <v>1186486.95</v>
      </c>
      <c r="F100">
        <v>13666.84</v>
      </c>
      <c r="G100">
        <v>1200153.79</v>
      </c>
      <c r="H100">
        <v>26045.72</v>
      </c>
      <c r="I100">
        <v>30723.88</v>
      </c>
      <c r="J100">
        <v>0.45</v>
      </c>
      <c r="K100">
        <v>28338.81</v>
      </c>
      <c r="L100">
        <v>0</v>
      </c>
      <c r="M100">
        <v>0</v>
      </c>
      <c r="N100">
        <v>2021</v>
      </c>
      <c r="O100">
        <v>2</v>
      </c>
    </row>
    <row r="101" spans="1:15" x14ac:dyDescent="0.3">
      <c r="A101">
        <v>32938</v>
      </c>
      <c r="B101">
        <v>3201803</v>
      </c>
      <c r="C101" t="s">
        <v>36</v>
      </c>
      <c r="D101">
        <v>0.19</v>
      </c>
      <c r="E101">
        <v>494365.09</v>
      </c>
      <c r="F101">
        <v>5694.52</v>
      </c>
      <c r="G101">
        <v>500059.61</v>
      </c>
      <c r="H101">
        <v>10852.38</v>
      </c>
      <c r="I101">
        <v>13538.68</v>
      </c>
      <c r="J101">
        <v>0.19</v>
      </c>
      <c r="K101">
        <v>11807.84</v>
      </c>
      <c r="L101">
        <v>0</v>
      </c>
      <c r="M101">
        <v>0</v>
      </c>
      <c r="N101">
        <v>2021</v>
      </c>
      <c r="O101">
        <v>2</v>
      </c>
    </row>
    <row r="102" spans="1:15" x14ac:dyDescent="0.3">
      <c r="A102">
        <v>32939</v>
      </c>
      <c r="B102">
        <v>3201902</v>
      </c>
      <c r="C102" t="s">
        <v>37</v>
      </c>
      <c r="D102">
        <v>1.22</v>
      </c>
      <c r="E102">
        <v>3184837.12</v>
      </c>
      <c r="F102">
        <v>36684.67</v>
      </c>
      <c r="G102">
        <v>3221521.79</v>
      </c>
      <c r="H102">
        <v>69912.19</v>
      </c>
      <c r="I102">
        <v>114330.53</v>
      </c>
      <c r="J102">
        <v>1.22</v>
      </c>
      <c r="K102">
        <v>76067.320000000007</v>
      </c>
      <c r="L102">
        <v>0</v>
      </c>
      <c r="M102">
        <v>0</v>
      </c>
      <c r="N102">
        <v>2021</v>
      </c>
      <c r="O102">
        <v>2</v>
      </c>
    </row>
    <row r="103" spans="1:15" x14ac:dyDescent="0.3">
      <c r="A103">
        <v>32940</v>
      </c>
      <c r="B103">
        <v>3202009</v>
      </c>
      <c r="C103" t="s">
        <v>38</v>
      </c>
      <c r="D103">
        <v>0.24</v>
      </c>
      <c r="E103">
        <v>634880.17000000004</v>
      </c>
      <c r="F103">
        <v>7312.96</v>
      </c>
      <c r="G103">
        <v>642193.13</v>
      </c>
      <c r="H103">
        <v>13936.74</v>
      </c>
      <c r="I103">
        <v>30969.06</v>
      </c>
      <c r="J103">
        <v>0.24</v>
      </c>
      <c r="K103">
        <v>15163.75</v>
      </c>
      <c r="L103">
        <v>0</v>
      </c>
      <c r="M103">
        <v>0</v>
      </c>
      <c r="N103">
        <v>2021</v>
      </c>
      <c r="O103">
        <v>2</v>
      </c>
    </row>
    <row r="104" spans="1:15" x14ac:dyDescent="0.3">
      <c r="A104">
        <v>32941</v>
      </c>
      <c r="B104">
        <v>3202108</v>
      </c>
      <c r="C104" t="s">
        <v>39</v>
      </c>
      <c r="D104">
        <v>0.69</v>
      </c>
      <c r="E104">
        <v>1818780.48</v>
      </c>
      <c r="F104">
        <v>20949.82</v>
      </c>
      <c r="G104">
        <v>1839730.3</v>
      </c>
      <c r="H104">
        <v>39925.339999999997</v>
      </c>
      <c r="I104">
        <v>37272.69</v>
      </c>
      <c r="J104">
        <v>0.69</v>
      </c>
      <c r="K104">
        <v>43440.41</v>
      </c>
      <c r="L104">
        <v>0</v>
      </c>
      <c r="M104">
        <v>0</v>
      </c>
      <c r="N104">
        <v>2021</v>
      </c>
      <c r="O104">
        <v>2</v>
      </c>
    </row>
    <row r="105" spans="1:15" x14ac:dyDescent="0.3">
      <c r="A105">
        <v>32942</v>
      </c>
      <c r="B105">
        <v>3202207</v>
      </c>
      <c r="C105" t="s">
        <v>40</v>
      </c>
      <c r="D105">
        <v>0.33</v>
      </c>
      <c r="E105">
        <v>861266.48</v>
      </c>
      <c r="F105">
        <v>9920.44</v>
      </c>
      <c r="G105">
        <v>871186.92</v>
      </c>
      <c r="H105">
        <v>18905.990000000002</v>
      </c>
      <c r="I105">
        <v>44092.12</v>
      </c>
      <c r="J105">
        <v>0.33</v>
      </c>
      <c r="K105">
        <v>20570.490000000002</v>
      </c>
      <c r="L105">
        <v>0</v>
      </c>
      <c r="M105">
        <v>0</v>
      </c>
      <c r="N105">
        <v>2021</v>
      </c>
      <c r="O105">
        <v>2</v>
      </c>
    </row>
    <row r="106" spans="1:15" x14ac:dyDescent="0.3">
      <c r="A106">
        <v>32943</v>
      </c>
      <c r="B106">
        <v>3202256</v>
      </c>
      <c r="C106" t="s">
        <v>41</v>
      </c>
      <c r="D106">
        <v>0.44</v>
      </c>
      <c r="E106">
        <v>1152647.44</v>
      </c>
      <c r="F106">
        <v>13277.19</v>
      </c>
      <c r="G106">
        <v>1165924.6299999999</v>
      </c>
      <c r="H106">
        <v>25303.19</v>
      </c>
      <c r="I106">
        <v>25600.13</v>
      </c>
      <c r="J106">
        <v>0.44</v>
      </c>
      <c r="K106">
        <v>27530.9</v>
      </c>
      <c r="L106">
        <v>0</v>
      </c>
      <c r="M106">
        <v>0</v>
      </c>
      <c r="N106">
        <v>2021</v>
      </c>
      <c r="O106">
        <v>2</v>
      </c>
    </row>
    <row r="107" spans="1:15" x14ac:dyDescent="0.3">
      <c r="A107">
        <v>32944</v>
      </c>
      <c r="B107">
        <v>3202306</v>
      </c>
      <c r="C107" t="s">
        <v>42</v>
      </c>
      <c r="D107">
        <v>0.39</v>
      </c>
      <c r="E107">
        <v>1017385.12</v>
      </c>
      <c r="F107">
        <v>11718.73</v>
      </c>
      <c r="G107">
        <v>1029103.85</v>
      </c>
      <c r="H107">
        <v>22333.06</v>
      </c>
      <c r="I107">
        <v>128470.89</v>
      </c>
      <c r="J107">
        <v>0.39</v>
      </c>
      <c r="K107">
        <v>24299.279999999999</v>
      </c>
      <c r="L107">
        <v>0</v>
      </c>
      <c r="M107">
        <v>0</v>
      </c>
      <c r="N107">
        <v>2021</v>
      </c>
      <c r="O107">
        <v>2</v>
      </c>
    </row>
    <row r="108" spans="1:15" x14ac:dyDescent="0.3">
      <c r="A108">
        <v>32945</v>
      </c>
      <c r="B108">
        <v>3202405</v>
      </c>
      <c r="C108" t="s">
        <v>43</v>
      </c>
      <c r="D108">
        <v>0.91</v>
      </c>
      <c r="E108">
        <v>2373056.36</v>
      </c>
      <c r="F108">
        <v>27333.68</v>
      </c>
      <c r="G108">
        <v>2400390.04</v>
      </c>
      <c r="H108">
        <v>52091.44</v>
      </c>
      <c r="I108">
        <v>866943.21</v>
      </c>
      <c r="J108">
        <v>0.91</v>
      </c>
      <c r="K108">
        <v>56677.61</v>
      </c>
      <c r="L108">
        <v>0</v>
      </c>
      <c r="M108">
        <v>0</v>
      </c>
      <c r="N108">
        <v>2021</v>
      </c>
      <c r="O108">
        <v>2</v>
      </c>
    </row>
    <row r="109" spans="1:15" x14ac:dyDescent="0.3">
      <c r="A109">
        <v>32946</v>
      </c>
      <c r="B109">
        <v>3202454</v>
      </c>
      <c r="C109" t="s">
        <v>44</v>
      </c>
      <c r="D109">
        <v>0.36</v>
      </c>
      <c r="E109">
        <v>936757.45</v>
      </c>
      <c r="F109">
        <v>10789.61</v>
      </c>
      <c r="G109">
        <v>947547.06</v>
      </c>
      <c r="H109">
        <v>20562.41</v>
      </c>
      <c r="I109">
        <v>60967.26</v>
      </c>
      <c r="J109">
        <v>0.36</v>
      </c>
      <c r="K109">
        <v>22372.74</v>
      </c>
      <c r="L109">
        <v>0</v>
      </c>
      <c r="M109">
        <v>0</v>
      </c>
      <c r="N109">
        <v>2021</v>
      </c>
      <c r="O109">
        <v>2</v>
      </c>
    </row>
    <row r="110" spans="1:15" x14ac:dyDescent="0.3">
      <c r="A110">
        <v>32947</v>
      </c>
      <c r="B110">
        <v>3202504</v>
      </c>
      <c r="C110" t="s">
        <v>45</v>
      </c>
      <c r="D110">
        <v>0.27</v>
      </c>
      <c r="E110">
        <v>710315.12</v>
      </c>
      <c r="F110">
        <v>8182.12</v>
      </c>
      <c r="G110">
        <v>718497.24</v>
      </c>
      <c r="H110">
        <v>15593.16</v>
      </c>
      <c r="I110">
        <v>33174.559999999998</v>
      </c>
      <c r="J110">
        <v>0.27</v>
      </c>
      <c r="K110">
        <v>16966</v>
      </c>
      <c r="L110">
        <v>0</v>
      </c>
      <c r="M110">
        <v>0</v>
      </c>
      <c r="N110">
        <v>2021</v>
      </c>
      <c r="O110">
        <v>2</v>
      </c>
    </row>
    <row r="111" spans="1:15" x14ac:dyDescent="0.3">
      <c r="A111">
        <v>32948</v>
      </c>
      <c r="B111">
        <v>3202553</v>
      </c>
      <c r="C111" t="s">
        <v>46</v>
      </c>
      <c r="D111">
        <v>0.24</v>
      </c>
      <c r="E111">
        <v>637483.14</v>
      </c>
      <c r="F111">
        <v>7342.93</v>
      </c>
      <c r="G111">
        <v>644826.06999999995</v>
      </c>
      <c r="H111">
        <v>13993.86</v>
      </c>
      <c r="I111">
        <v>19180.16</v>
      </c>
      <c r="J111">
        <v>0.24</v>
      </c>
      <c r="K111">
        <v>15225.89</v>
      </c>
      <c r="L111">
        <v>0</v>
      </c>
      <c r="M111">
        <v>0</v>
      </c>
      <c r="N111">
        <v>2021</v>
      </c>
      <c r="O111">
        <v>2</v>
      </c>
    </row>
    <row r="112" spans="1:15" x14ac:dyDescent="0.3">
      <c r="A112">
        <v>32949</v>
      </c>
      <c r="B112">
        <v>3202603</v>
      </c>
      <c r="C112" t="s">
        <v>47</v>
      </c>
      <c r="D112">
        <v>0.37</v>
      </c>
      <c r="E112">
        <v>967960.4</v>
      </c>
      <c r="F112">
        <v>11149.25</v>
      </c>
      <c r="G112">
        <v>979109.65</v>
      </c>
      <c r="H112">
        <v>21247.82</v>
      </c>
      <c r="I112">
        <v>203461.61</v>
      </c>
      <c r="J112">
        <v>0.37</v>
      </c>
      <c r="K112">
        <v>23118.5</v>
      </c>
      <c r="L112">
        <v>0</v>
      </c>
      <c r="M112">
        <v>0</v>
      </c>
      <c r="N112">
        <v>2021</v>
      </c>
      <c r="O112">
        <v>2</v>
      </c>
    </row>
    <row r="113" spans="1:15" x14ac:dyDescent="0.3">
      <c r="A113">
        <v>32950</v>
      </c>
      <c r="B113">
        <v>3202652</v>
      </c>
      <c r="C113" t="s">
        <v>48</v>
      </c>
      <c r="D113">
        <v>0.3</v>
      </c>
      <c r="E113">
        <v>803978.97</v>
      </c>
      <c r="F113">
        <v>9261.08</v>
      </c>
      <c r="G113">
        <v>813240.05</v>
      </c>
      <c r="H113">
        <v>17649.400000000001</v>
      </c>
      <c r="I113">
        <v>34814.75</v>
      </c>
      <c r="J113">
        <v>0.3</v>
      </c>
      <c r="K113">
        <v>19203.27</v>
      </c>
      <c r="L113">
        <v>0</v>
      </c>
      <c r="M113">
        <v>0</v>
      </c>
      <c r="N113">
        <v>2021</v>
      </c>
      <c r="O113">
        <v>2</v>
      </c>
    </row>
    <row r="114" spans="1:15" x14ac:dyDescent="0.3">
      <c r="A114">
        <v>32951</v>
      </c>
      <c r="B114">
        <v>3202702</v>
      </c>
      <c r="C114" t="s">
        <v>49</v>
      </c>
      <c r="D114">
        <v>0.38</v>
      </c>
      <c r="E114">
        <v>996544.11</v>
      </c>
      <c r="F114">
        <v>11478.96</v>
      </c>
      <c r="G114">
        <v>1008023.07</v>
      </c>
      <c r="H114">
        <v>21876.12</v>
      </c>
      <c r="I114">
        <v>23856.93</v>
      </c>
      <c r="J114">
        <v>0.38</v>
      </c>
      <c r="K114">
        <v>23802.11</v>
      </c>
      <c r="L114">
        <v>0</v>
      </c>
      <c r="M114">
        <v>0</v>
      </c>
      <c r="N114">
        <v>2021</v>
      </c>
      <c r="O114">
        <v>2</v>
      </c>
    </row>
    <row r="115" spans="1:15" x14ac:dyDescent="0.3">
      <c r="A115">
        <v>32952</v>
      </c>
      <c r="B115">
        <v>3202801</v>
      </c>
      <c r="C115" t="s">
        <v>50</v>
      </c>
      <c r="D115">
        <v>2.66</v>
      </c>
      <c r="E115">
        <v>6934109.5300000003</v>
      </c>
      <c r="F115">
        <v>79873.070000000007</v>
      </c>
      <c r="G115">
        <v>7013982.5999999996</v>
      </c>
      <c r="H115">
        <v>152218.94</v>
      </c>
      <c r="I115">
        <v>116116.63</v>
      </c>
      <c r="J115">
        <v>2.66</v>
      </c>
      <c r="K115">
        <v>165620.43</v>
      </c>
      <c r="L115">
        <v>0</v>
      </c>
      <c r="M115">
        <v>0</v>
      </c>
      <c r="N115">
        <v>2021</v>
      </c>
      <c r="O115">
        <v>2</v>
      </c>
    </row>
    <row r="116" spans="1:15" x14ac:dyDescent="0.3">
      <c r="A116">
        <v>32953</v>
      </c>
      <c r="B116">
        <v>3202900</v>
      </c>
      <c r="C116" t="s">
        <v>51</v>
      </c>
      <c r="D116">
        <v>0.34</v>
      </c>
      <c r="E116">
        <v>889868.53</v>
      </c>
      <c r="F116">
        <v>10250.14</v>
      </c>
      <c r="G116">
        <v>900118.67</v>
      </c>
      <c r="H116">
        <v>19534.29</v>
      </c>
      <c r="I116">
        <v>34142.68</v>
      </c>
      <c r="J116">
        <v>0.34</v>
      </c>
      <c r="K116">
        <v>21254.1</v>
      </c>
      <c r="L116">
        <v>0</v>
      </c>
      <c r="M116">
        <v>0</v>
      </c>
      <c r="N116">
        <v>2021</v>
      </c>
      <c r="O116">
        <v>2</v>
      </c>
    </row>
    <row r="117" spans="1:15" x14ac:dyDescent="0.3">
      <c r="A117">
        <v>32954</v>
      </c>
      <c r="B117">
        <v>3203007</v>
      </c>
      <c r="C117" t="s">
        <v>52</v>
      </c>
      <c r="D117">
        <v>0.47</v>
      </c>
      <c r="E117">
        <v>1228098.72</v>
      </c>
      <c r="F117">
        <v>14146.37</v>
      </c>
      <c r="G117">
        <v>1242245.0900000001</v>
      </c>
      <c r="H117">
        <v>26959.599999999999</v>
      </c>
      <c r="I117">
        <v>72610.94</v>
      </c>
      <c r="J117">
        <v>0.47</v>
      </c>
      <c r="K117">
        <v>29333.15</v>
      </c>
      <c r="L117">
        <v>0</v>
      </c>
      <c r="M117">
        <v>0</v>
      </c>
      <c r="N117">
        <v>2021</v>
      </c>
      <c r="O117">
        <v>2</v>
      </c>
    </row>
    <row r="118" spans="1:15" x14ac:dyDescent="0.3">
      <c r="A118">
        <v>32955</v>
      </c>
      <c r="B118">
        <v>3203056</v>
      </c>
      <c r="C118" t="s">
        <v>53</v>
      </c>
      <c r="D118">
        <v>0.86</v>
      </c>
      <c r="E118">
        <v>2250661.2200000002</v>
      </c>
      <c r="F118">
        <v>25925.02</v>
      </c>
      <c r="G118">
        <v>2276586.2400000002</v>
      </c>
      <c r="H118">
        <v>49406.9</v>
      </c>
      <c r="I118">
        <v>61000.34</v>
      </c>
      <c r="J118">
        <v>0.86</v>
      </c>
      <c r="K118">
        <v>53756.73</v>
      </c>
      <c r="L118">
        <v>0</v>
      </c>
      <c r="M118">
        <v>0</v>
      </c>
      <c r="N118">
        <v>2021</v>
      </c>
      <c r="O118">
        <v>2</v>
      </c>
    </row>
    <row r="119" spans="1:15" x14ac:dyDescent="0.3">
      <c r="A119">
        <v>32956</v>
      </c>
      <c r="B119">
        <v>3203106</v>
      </c>
      <c r="C119" t="s">
        <v>54</v>
      </c>
      <c r="D119">
        <v>0.21</v>
      </c>
      <c r="E119">
        <v>556826.97</v>
      </c>
      <c r="F119">
        <v>6413.83</v>
      </c>
      <c r="G119">
        <v>563240.80000000005</v>
      </c>
      <c r="H119">
        <v>12223.21</v>
      </c>
      <c r="I119">
        <v>23004.41</v>
      </c>
      <c r="J119">
        <v>0.21</v>
      </c>
      <c r="K119">
        <v>13299.35</v>
      </c>
      <c r="L119">
        <v>0</v>
      </c>
      <c r="M119">
        <v>0</v>
      </c>
      <c r="N119">
        <v>2021</v>
      </c>
      <c r="O119">
        <v>2</v>
      </c>
    </row>
    <row r="120" spans="1:15" x14ac:dyDescent="0.3">
      <c r="A120">
        <v>32957</v>
      </c>
      <c r="B120">
        <v>3203130</v>
      </c>
      <c r="C120" t="s">
        <v>55</v>
      </c>
      <c r="D120">
        <v>0.42</v>
      </c>
      <c r="E120">
        <v>1111037.74</v>
      </c>
      <c r="F120">
        <v>12797.69</v>
      </c>
      <c r="G120">
        <v>1123835.43</v>
      </c>
      <c r="H120">
        <v>24389.3</v>
      </c>
      <c r="I120">
        <v>42930.42</v>
      </c>
      <c r="J120">
        <v>0.42</v>
      </c>
      <c r="K120">
        <v>26536.560000000001</v>
      </c>
      <c r="L120">
        <v>0</v>
      </c>
      <c r="M120">
        <v>0</v>
      </c>
      <c r="N120">
        <v>2021</v>
      </c>
      <c r="O120">
        <v>2</v>
      </c>
    </row>
    <row r="121" spans="1:15" x14ac:dyDescent="0.3">
      <c r="A121">
        <v>32958</v>
      </c>
      <c r="B121">
        <v>3203163</v>
      </c>
      <c r="C121" t="s">
        <v>56</v>
      </c>
      <c r="D121">
        <v>0.38</v>
      </c>
      <c r="E121">
        <v>988747.44</v>
      </c>
      <c r="F121">
        <v>11389.04</v>
      </c>
      <c r="G121">
        <v>1000136.48</v>
      </c>
      <c r="H121">
        <v>21704.76</v>
      </c>
      <c r="I121">
        <v>47531.65</v>
      </c>
      <c r="J121">
        <v>0.38</v>
      </c>
      <c r="K121">
        <v>23615.67</v>
      </c>
      <c r="L121">
        <v>0</v>
      </c>
      <c r="M121">
        <v>0</v>
      </c>
      <c r="N121">
        <v>2021</v>
      </c>
      <c r="O121">
        <v>2</v>
      </c>
    </row>
    <row r="122" spans="1:15" x14ac:dyDescent="0.3">
      <c r="A122">
        <v>32959</v>
      </c>
      <c r="B122">
        <v>3203205</v>
      </c>
      <c r="C122" t="s">
        <v>57</v>
      </c>
      <c r="D122">
        <v>5.75</v>
      </c>
      <c r="E122">
        <v>14969394.609999999</v>
      </c>
      <c r="F122">
        <v>172423.93</v>
      </c>
      <c r="G122">
        <v>15141818.539999999</v>
      </c>
      <c r="H122">
        <v>328598.71999999997</v>
      </c>
      <c r="I122">
        <v>517907.37</v>
      </c>
      <c r="J122">
        <v>5.75</v>
      </c>
      <c r="K122">
        <v>357528.84</v>
      </c>
      <c r="L122">
        <v>0</v>
      </c>
      <c r="M122">
        <v>0</v>
      </c>
      <c r="N122">
        <v>2021</v>
      </c>
      <c r="O122">
        <v>2</v>
      </c>
    </row>
    <row r="123" spans="1:15" x14ac:dyDescent="0.3">
      <c r="A123">
        <v>32960</v>
      </c>
      <c r="B123">
        <v>3203304</v>
      </c>
      <c r="C123" t="s">
        <v>58</v>
      </c>
      <c r="D123">
        <v>0.25</v>
      </c>
      <c r="E123">
        <v>663496.48</v>
      </c>
      <c r="F123">
        <v>7642.63</v>
      </c>
      <c r="G123">
        <v>671139.11</v>
      </c>
      <c r="H123">
        <v>14565.04</v>
      </c>
      <c r="I123">
        <v>32466.81</v>
      </c>
      <c r="J123">
        <v>0.25</v>
      </c>
      <c r="K123">
        <v>15847.36</v>
      </c>
      <c r="L123">
        <v>0</v>
      </c>
      <c r="M123">
        <v>0</v>
      </c>
      <c r="N123">
        <v>2021</v>
      </c>
      <c r="O123">
        <v>2</v>
      </c>
    </row>
    <row r="124" spans="1:15" x14ac:dyDescent="0.3">
      <c r="A124">
        <v>32961</v>
      </c>
      <c r="B124">
        <v>3203320</v>
      </c>
      <c r="C124" t="s">
        <v>59</v>
      </c>
      <c r="D124">
        <v>0.61</v>
      </c>
      <c r="E124">
        <v>1605395.68</v>
      </c>
      <c r="F124">
        <v>18492.18</v>
      </c>
      <c r="G124">
        <v>1623887.86</v>
      </c>
      <c r="H124">
        <v>35241.68</v>
      </c>
      <c r="I124">
        <v>187705.44</v>
      </c>
      <c r="J124">
        <v>0.61</v>
      </c>
      <c r="K124">
        <v>38344.39</v>
      </c>
      <c r="L124">
        <v>0</v>
      </c>
      <c r="M124">
        <v>0</v>
      </c>
      <c r="N124">
        <v>2021</v>
      </c>
      <c r="O124">
        <v>2</v>
      </c>
    </row>
    <row r="125" spans="1:15" x14ac:dyDescent="0.3">
      <c r="A125">
        <v>32962</v>
      </c>
      <c r="B125">
        <v>3203346</v>
      </c>
      <c r="C125" t="s">
        <v>60</v>
      </c>
      <c r="D125">
        <v>0.65</v>
      </c>
      <c r="E125">
        <v>1709530.39</v>
      </c>
      <c r="F125">
        <v>19691.05</v>
      </c>
      <c r="G125">
        <v>1729221.44</v>
      </c>
      <c r="H125">
        <v>37526.400000000001</v>
      </c>
      <c r="I125">
        <v>52425.760000000002</v>
      </c>
      <c r="J125">
        <v>0.65</v>
      </c>
      <c r="K125">
        <v>40830.25</v>
      </c>
      <c r="L125">
        <v>0</v>
      </c>
      <c r="M125">
        <v>0</v>
      </c>
      <c r="N125">
        <v>2021</v>
      </c>
      <c r="O125">
        <v>2</v>
      </c>
    </row>
    <row r="126" spans="1:15" x14ac:dyDescent="0.3">
      <c r="A126">
        <v>32963</v>
      </c>
      <c r="B126">
        <v>3203353</v>
      </c>
      <c r="C126" t="s">
        <v>61</v>
      </c>
      <c r="D126">
        <v>0.43</v>
      </c>
      <c r="E126">
        <v>1139641.83</v>
      </c>
      <c r="F126">
        <v>13127.35</v>
      </c>
      <c r="G126">
        <v>1152769.18</v>
      </c>
      <c r="H126">
        <v>25017.599999999999</v>
      </c>
      <c r="I126">
        <v>58059.77</v>
      </c>
      <c r="J126">
        <v>0.43</v>
      </c>
      <c r="K126">
        <v>27220.17</v>
      </c>
      <c r="L126">
        <v>0</v>
      </c>
      <c r="M126">
        <v>0</v>
      </c>
      <c r="N126">
        <v>2021</v>
      </c>
      <c r="O126">
        <v>2</v>
      </c>
    </row>
    <row r="127" spans="1:15" x14ac:dyDescent="0.3">
      <c r="A127">
        <v>32964</v>
      </c>
      <c r="B127">
        <v>3203403</v>
      </c>
      <c r="C127" t="s">
        <v>62</v>
      </c>
      <c r="D127">
        <v>0.5</v>
      </c>
      <c r="E127">
        <v>1300986.72</v>
      </c>
      <c r="F127">
        <v>14985.58</v>
      </c>
      <c r="G127">
        <v>1315972.3</v>
      </c>
      <c r="H127">
        <v>28558.9</v>
      </c>
      <c r="I127">
        <v>77050.5</v>
      </c>
      <c r="J127">
        <v>0.5</v>
      </c>
      <c r="K127">
        <v>31073.25</v>
      </c>
      <c r="L127">
        <v>0</v>
      </c>
      <c r="M127">
        <v>0</v>
      </c>
      <c r="N127">
        <v>2021</v>
      </c>
      <c r="O127">
        <v>2</v>
      </c>
    </row>
    <row r="128" spans="1:15" x14ac:dyDescent="0.3">
      <c r="A128">
        <v>32965</v>
      </c>
      <c r="B128">
        <v>3203502</v>
      </c>
      <c r="C128" t="s">
        <v>63</v>
      </c>
      <c r="D128">
        <v>0.52</v>
      </c>
      <c r="E128">
        <v>1366026.11</v>
      </c>
      <c r="F128">
        <v>15734.85</v>
      </c>
      <c r="G128">
        <v>1381760.96</v>
      </c>
      <c r="H128">
        <v>29986.85</v>
      </c>
      <c r="I128">
        <v>43027.72</v>
      </c>
      <c r="J128">
        <v>0.52</v>
      </c>
      <c r="K128">
        <v>32626.91</v>
      </c>
      <c r="L128">
        <v>0</v>
      </c>
      <c r="M128">
        <v>0</v>
      </c>
      <c r="N128">
        <v>2021</v>
      </c>
      <c r="O128">
        <v>2</v>
      </c>
    </row>
    <row r="129" spans="1:15" x14ac:dyDescent="0.3">
      <c r="A129">
        <v>32966</v>
      </c>
      <c r="B129">
        <v>3203601</v>
      </c>
      <c r="C129" t="s">
        <v>64</v>
      </c>
      <c r="D129">
        <v>0.28000000000000003</v>
      </c>
      <c r="E129">
        <v>751967.58</v>
      </c>
      <c r="F129">
        <v>8661.65</v>
      </c>
      <c r="G129">
        <v>760629.23</v>
      </c>
      <c r="H129">
        <v>16507.04</v>
      </c>
      <c r="I129">
        <v>13560.95</v>
      </c>
      <c r="J129">
        <v>0.28000000000000003</v>
      </c>
      <c r="K129">
        <v>17960.34</v>
      </c>
      <c r="L129">
        <v>0</v>
      </c>
      <c r="M129">
        <v>0</v>
      </c>
      <c r="N129">
        <v>2021</v>
      </c>
      <c r="O129">
        <v>2</v>
      </c>
    </row>
    <row r="130" spans="1:15" x14ac:dyDescent="0.3">
      <c r="A130">
        <v>32967</v>
      </c>
      <c r="B130">
        <v>3203700</v>
      </c>
      <c r="C130" t="s">
        <v>65</v>
      </c>
      <c r="D130">
        <v>0.5</v>
      </c>
      <c r="E130">
        <v>1324395.01</v>
      </c>
      <c r="F130">
        <v>15255.3</v>
      </c>
      <c r="G130">
        <v>1339650.31</v>
      </c>
      <c r="H130">
        <v>29072.959999999999</v>
      </c>
      <c r="I130">
        <v>36417.4</v>
      </c>
      <c r="J130">
        <v>0.5</v>
      </c>
      <c r="K130">
        <v>31632.57</v>
      </c>
      <c r="L130">
        <v>0</v>
      </c>
      <c r="M130">
        <v>0</v>
      </c>
      <c r="N130">
        <v>2021</v>
      </c>
      <c r="O130">
        <v>2</v>
      </c>
    </row>
    <row r="131" spans="1:15" x14ac:dyDescent="0.3">
      <c r="A131">
        <v>32968</v>
      </c>
      <c r="B131">
        <v>3203809</v>
      </c>
      <c r="C131" t="s">
        <v>66</v>
      </c>
      <c r="D131">
        <v>0.28999999999999998</v>
      </c>
      <c r="E131">
        <v>759769.34</v>
      </c>
      <c r="F131">
        <v>8751.59</v>
      </c>
      <c r="G131">
        <v>768520.93</v>
      </c>
      <c r="H131">
        <v>16678.400000000001</v>
      </c>
      <c r="I131">
        <v>30413.98</v>
      </c>
      <c r="J131">
        <v>0.28999999999999998</v>
      </c>
      <c r="K131">
        <v>18146.78</v>
      </c>
      <c r="L131">
        <v>0</v>
      </c>
      <c r="M131">
        <v>0</v>
      </c>
      <c r="N131">
        <v>2021</v>
      </c>
      <c r="O131">
        <v>2</v>
      </c>
    </row>
    <row r="132" spans="1:15" x14ac:dyDescent="0.3">
      <c r="A132">
        <v>32969</v>
      </c>
      <c r="B132">
        <v>3203908</v>
      </c>
      <c r="C132" t="s">
        <v>67</v>
      </c>
      <c r="D132">
        <v>1.22</v>
      </c>
      <c r="E132">
        <v>3197779.65</v>
      </c>
      <c r="F132">
        <v>36834.5</v>
      </c>
      <c r="G132">
        <v>3234614.15</v>
      </c>
      <c r="H132">
        <v>70197.78</v>
      </c>
      <c r="I132">
        <v>124402.31</v>
      </c>
      <c r="J132">
        <v>1.22</v>
      </c>
      <c r="K132">
        <v>76378.05</v>
      </c>
      <c r="L132">
        <v>0</v>
      </c>
      <c r="M132">
        <v>0</v>
      </c>
      <c r="N132">
        <v>2021</v>
      </c>
      <c r="O132">
        <v>2</v>
      </c>
    </row>
    <row r="133" spans="1:15" x14ac:dyDescent="0.3">
      <c r="A133">
        <v>32970</v>
      </c>
      <c r="B133">
        <v>3204005</v>
      </c>
      <c r="C133" t="s">
        <v>68</v>
      </c>
      <c r="D133">
        <v>0.47</v>
      </c>
      <c r="E133">
        <v>1243701.21</v>
      </c>
      <c r="F133">
        <v>14326.21</v>
      </c>
      <c r="G133">
        <v>1258027.42</v>
      </c>
      <c r="H133">
        <v>27302.31</v>
      </c>
      <c r="I133">
        <v>33363.72</v>
      </c>
      <c r="J133">
        <v>0.47</v>
      </c>
      <c r="K133">
        <v>29706.03</v>
      </c>
      <c r="L133">
        <v>0</v>
      </c>
      <c r="M133">
        <v>0</v>
      </c>
      <c r="N133">
        <v>2021</v>
      </c>
      <c r="O133">
        <v>2</v>
      </c>
    </row>
    <row r="134" spans="1:15" x14ac:dyDescent="0.3">
      <c r="A134">
        <v>32971</v>
      </c>
      <c r="B134">
        <v>3204054</v>
      </c>
      <c r="C134" t="s">
        <v>69</v>
      </c>
      <c r="D134">
        <v>0.32</v>
      </c>
      <c r="E134">
        <v>843019.3</v>
      </c>
      <c r="F134">
        <v>9710.64</v>
      </c>
      <c r="G134">
        <v>852729.94</v>
      </c>
      <c r="H134">
        <v>18506.169999999998</v>
      </c>
      <c r="I134">
        <v>58549.01</v>
      </c>
      <c r="J134">
        <v>0.32</v>
      </c>
      <c r="K134">
        <v>20135.47</v>
      </c>
      <c r="L134">
        <v>0</v>
      </c>
      <c r="M134">
        <v>0</v>
      </c>
      <c r="N134">
        <v>2021</v>
      </c>
      <c r="O134">
        <v>2</v>
      </c>
    </row>
    <row r="135" spans="1:15" x14ac:dyDescent="0.3">
      <c r="A135">
        <v>32972</v>
      </c>
      <c r="B135">
        <v>3204104</v>
      </c>
      <c r="C135" t="s">
        <v>70</v>
      </c>
      <c r="D135">
        <v>0.66</v>
      </c>
      <c r="E135">
        <v>1730281.84</v>
      </c>
      <c r="F135">
        <v>19930.8</v>
      </c>
      <c r="G135">
        <v>1750212.64</v>
      </c>
      <c r="H135">
        <v>37983.339999999997</v>
      </c>
      <c r="I135">
        <v>39002.86</v>
      </c>
      <c r="J135">
        <v>0.66</v>
      </c>
      <c r="K135">
        <v>41327.42</v>
      </c>
      <c r="L135">
        <v>0</v>
      </c>
      <c r="M135">
        <v>0</v>
      </c>
      <c r="N135">
        <v>2021</v>
      </c>
      <c r="O135">
        <v>2</v>
      </c>
    </row>
    <row r="136" spans="1:15" x14ac:dyDescent="0.3">
      <c r="A136">
        <v>32973</v>
      </c>
      <c r="B136">
        <v>3204203</v>
      </c>
      <c r="C136" t="s">
        <v>71</v>
      </c>
      <c r="D136">
        <v>0.15</v>
      </c>
      <c r="E136">
        <v>398241.78</v>
      </c>
      <c r="F136">
        <v>4585.6000000000004</v>
      </c>
      <c r="G136">
        <v>402827.38</v>
      </c>
      <c r="H136">
        <v>8739.02</v>
      </c>
      <c r="I136">
        <v>103987.69</v>
      </c>
      <c r="J136">
        <v>0.15</v>
      </c>
      <c r="K136">
        <v>9508.42</v>
      </c>
      <c r="L136">
        <v>0</v>
      </c>
      <c r="M136">
        <v>0</v>
      </c>
      <c r="N136">
        <v>2021</v>
      </c>
      <c r="O136">
        <v>2</v>
      </c>
    </row>
    <row r="137" spans="1:15" x14ac:dyDescent="0.3">
      <c r="A137">
        <v>32974</v>
      </c>
      <c r="B137">
        <v>3204252</v>
      </c>
      <c r="C137" t="s">
        <v>72</v>
      </c>
      <c r="D137">
        <v>0.23</v>
      </c>
      <c r="E137">
        <v>598440.76</v>
      </c>
      <c r="F137">
        <v>6893.35</v>
      </c>
      <c r="G137">
        <v>605334.11</v>
      </c>
      <c r="H137">
        <v>13137.09</v>
      </c>
      <c r="I137">
        <v>9678.08</v>
      </c>
      <c r="J137">
        <v>0.23</v>
      </c>
      <c r="K137">
        <v>14293.7</v>
      </c>
      <c r="L137">
        <v>0</v>
      </c>
      <c r="M137">
        <v>0</v>
      </c>
      <c r="N137">
        <v>2021</v>
      </c>
      <c r="O137">
        <v>2</v>
      </c>
    </row>
    <row r="138" spans="1:15" x14ac:dyDescent="0.3">
      <c r="A138">
        <v>32975</v>
      </c>
      <c r="B138">
        <v>1718402</v>
      </c>
      <c r="C138" t="s">
        <v>73</v>
      </c>
      <c r="D138">
        <v>0.33</v>
      </c>
      <c r="E138">
        <v>869048.9</v>
      </c>
      <c r="F138">
        <v>10010.35</v>
      </c>
      <c r="G138">
        <v>879059.25</v>
      </c>
      <c r="H138">
        <v>19077.349999999999</v>
      </c>
      <c r="I138">
        <v>83714.289999999994</v>
      </c>
      <c r="J138">
        <v>0.33</v>
      </c>
      <c r="K138">
        <v>20756.93</v>
      </c>
      <c r="L138">
        <v>0</v>
      </c>
      <c r="M138">
        <v>0</v>
      </c>
      <c r="N138">
        <v>2021</v>
      </c>
      <c r="O138">
        <v>2</v>
      </c>
    </row>
    <row r="139" spans="1:15" x14ac:dyDescent="0.3">
      <c r="A139">
        <v>32976</v>
      </c>
      <c r="B139">
        <v>3204351</v>
      </c>
      <c r="C139" t="s">
        <v>74</v>
      </c>
      <c r="D139">
        <v>0.76</v>
      </c>
      <c r="E139">
        <v>2000940.86</v>
      </c>
      <c r="F139">
        <v>23047.79</v>
      </c>
      <c r="G139">
        <v>2023988.65</v>
      </c>
      <c r="H139">
        <v>43923.59</v>
      </c>
      <c r="I139">
        <v>51169.63</v>
      </c>
      <c r="J139">
        <v>0.76</v>
      </c>
      <c r="K139">
        <v>47790.66</v>
      </c>
      <c r="L139">
        <v>0</v>
      </c>
      <c r="M139">
        <v>0</v>
      </c>
      <c r="N139">
        <v>2021</v>
      </c>
      <c r="O139">
        <v>2</v>
      </c>
    </row>
    <row r="140" spans="1:15" x14ac:dyDescent="0.3">
      <c r="A140">
        <v>32977</v>
      </c>
      <c r="B140">
        <v>3204401</v>
      </c>
      <c r="C140" t="s">
        <v>75</v>
      </c>
      <c r="D140">
        <v>0.26</v>
      </c>
      <c r="E140">
        <v>689512.84</v>
      </c>
      <c r="F140">
        <v>7942.36</v>
      </c>
      <c r="G140">
        <v>697455.2</v>
      </c>
      <c r="H140">
        <v>15136.22</v>
      </c>
      <c r="I140">
        <v>26756.14</v>
      </c>
      <c r="J140">
        <v>0.26</v>
      </c>
      <c r="K140">
        <v>16468.82</v>
      </c>
      <c r="L140">
        <v>0</v>
      </c>
      <c r="M140">
        <v>0</v>
      </c>
      <c r="N140">
        <v>2021</v>
      </c>
      <c r="O140">
        <v>2</v>
      </c>
    </row>
    <row r="141" spans="1:15" x14ac:dyDescent="0.3">
      <c r="A141">
        <v>32978</v>
      </c>
      <c r="B141">
        <v>3204500</v>
      </c>
      <c r="C141" t="s">
        <v>76</v>
      </c>
      <c r="D141">
        <v>0.49</v>
      </c>
      <c r="E141">
        <v>1290562.6299999999</v>
      </c>
      <c r="F141">
        <v>14865.69</v>
      </c>
      <c r="G141">
        <v>1305428.32</v>
      </c>
      <c r="H141">
        <v>28330.43</v>
      </c>
      <c r="I141">
        <v>26409.51</v>
      </c>
      <c r="J141">
        <v>0.49</v>
      </c>
      <c r="K141">
        <v>30824.67</v>
      </c>
      <c r="L141">
        <v>0</v>
      </c>
      <c r="M141">
        <v>0</v>
      </c>
      <c r="N141">
        <v>2021</v>
      </c>
      <c r="O141">
        <v>2</v>
      </c>
    </row>
    <row r="142" spans="1:15" x14ac:dyDescent="0.3">
      <c r="A142">
        <v>32979</v>
      </c>
      <c r="B142">
        <v>3204559</v>
      </c>
      <c r="C142" t="s">
        <v>77</v>
      </c>
      <c r="D142">
        <v>2.2400000000000002</v>
      </c>
      <c r="E142">
        <v>5844013.5599999996</v>
      </c>
      <c r="F142">
        <v>67315.179999999993</v>
      </c>
      <c r="G142">
        <v>5911328.7400000002</v>
      </c>
      <c r="H142">
        <v>128286.58</v>
      </c>
      <c r="I142">
        <v>207736.1</v>
      </c>
      <c r="J142">
        <v>2.2400000000000002</v>
      </c>
      <c r="K142">
        <v>139581.04999999999</v>
      </c>
      <c r="L142">
        <v>0</v>
      </c>
      <c r="M142">
        <v>0</v>
      </c>
      <c r="N142">
        <v>2021</v>
      </c>
      <c r="O142">
        <v>2</v>
      </c>
    </row>
    <row r="143" spans="1:15" x14ac:dyDescent="0.3">
      <c r="A143">
        <v>32980</v>
      </c>
      <c r="B143">
        <v>3204609</v>
      </c>
      <c r="C143" t="s">
        <v>78</v>
      </c>
      <c r="D143">
        <v>0.69</v>
      </c>
      <c r="E143">
        <v>1797943.53</v>
      </c>
      <c r="F143">
        <v>20710.05</v>
      </c>
      <c r="G143">
        <v>1818653.58</v>
      </c>
      <c r="H143">
        <v>39468.400000000001</v>
      </c>
      <c r="I143">
        <v>77297.3</v>
      </c>
      <c r="J143">
        <v>0.69</v>
      </c>
      <c r="K143">
        <v>42943.23</v>
      </c>
      <c r="L143">
        <v>0</v>
      </c>
      <c r="M143">
        <v>0</v>
      </c>
      <c r="N143">
        <v>2021</v>
      </c>
      <c r="O143">
        <v>2</v>
      </c>
    </row>
    <row r="144" spans="1:15" x14ac:dyDescent="0.3">
      <c r="A144">
        <v>32981</v>
      </c>
      <c r="B144">
        <v>3204658</v>
      </c>
      <c r="C144" t="s">
        <v>79</v>
      </c>
      <c r="D144">
        <v>0.45</v>
      </c>
      <c r="E144">
        <v>1178713.71</v>
      </c>
      <c r="F144">
        <v>13576.92</v>
      </c>
      <c r="G144">
        <v>1192290.6299999999</v>
      </c>
      <c r="H144">
        <v>25874.36</v>
      </c>
      <c r="I144">
        <v>16523.43</v>
      </c>
      <c r="J144">
        <v>0.45</v>
      </c>
      <c r="K144">
        <v>28152.37</v>
      </c>
      <c r="L144">
        <v>0</v>
      </c>
      <c r="M144">
        <v>0</v>
      </c>
      <c r="N144">
        <v>2021</v>
      </c>
      <c r="O144">
        <v>2</v>
      </c>
    </row>
    <row r="145" spans="1:15" x14ac:dyDescent="0.3">
      <c r="A145">
        <v>32982</v>
      </c>
      <c r="B145">
        <v>3204708</v>
      </c>
      <c r="C145" t="s">
        <v>80</v>
      </c>
      <c r="D145">
        <v>0.72</v>
      </c>
      <c r="E145">
        <v>1896789.9</v>
      </c>
      <c r="F145">
        <v>21848.959999999999</v>
      </c>
      <c r="G145">
        <v>1918638.86</v>
      </c>
      <c r="H145">
        <v>41638.879999999997</v>
      </c>
      <c r="I145">
        <v>72364.69</v>
      </c>
      <c r="J145">
        <v>0.72</v>
      </c>
      <c r="K145">
        <v>45304.800000000003</v>
      </c>
      <c r="L145">
        <v>0</v>
      </c>
      <c r="M145">
        <v>0</v>
      </c>
      <c r="N145">
        <v>2021</v>
      </c>
      <c r="O145">
        <v>2</v>
      </c>
    </row>
    <row r="146" spans="1:15" x14ac:dyDescent="0.3">
      <c r="A146">
        <v>32983</v>
      </c>
      <c r="B146">
        <v>3204807</v>
      </c>
      <c r="C146" t="s">
        <v>81</v>
      </c>
      <c r="D146">
        <v>0.22</v>
      </c>
      <c r="E146">
        <v>575070.06999999995</v>
      </c>
      <c r="F146">
        <v>6623.62</v>
      </c>
      <c r="G146">
        <v>581693.68999999994</v>
      </c>
      <c r="H146">
        <v>12623.03</v>
      </c>
      <c r="I146">
        <v>35828.79</v>
      </c>
      <c r="J146">
        <v>0.22</v>
      </c>
      <c r="K146">
        <v>13734.38</v>
      </c>
      <c r="L146">
        <v>0</v>
      </c>
      <c r="M146">
        <v>0</v>
      </c>
      <c r="N146">
        <v>2021</v>
      </c>
      <c r="O146">
        <v>2</v>
      </c>
    </row>
    <row r="147" spans="1:15" x14ac:dyDescent="0.3">
      <c r="A147">
        <v>32984</v>
      </c>
      <c r="B147">
        <v>3204906</v>
      </c>
      <c r="C147" t="s">
        <v>82</v>
      </c>
      <c r="D147">
        <v>1.8</v>
      </c>
      <c r="E147">
        <v>4686241.59</v>
      </c>
      <c r="F147">
        <v>53978.01</v>
      </c>
      <c r="G147">
        <v>4740219.5999999996</v>
      </c>
      <c r="H147">
        <v>102869.16</v>
      </c>
      <c r="I147">
        <v>357162.09</v>
      </c>
      <c r="J147">
        <v>1.8</v>
      </c>
      <c r="K147">
        <v>111925.85</v>
      </c>
      <c r="L147">
        <v>0</v>
      </c>
      <c r="M147">
        <v>0</v>
      </c>
      <c r="N147">
        <v>2021</v>
      </c>
      <c r="O147">
        <v>2</v>
      </c>
    </row>
    <row r="148" spans="1:15" x14ac:dyDescent="0.3">
      <c r="A148">
        <v>32985</v>
      </c>
      <c r="B148">
        <v>3204955</v>
      </c>
      <c r="C148" t="s">
        <v>83</v>
      </c>
      <c r="D148">
        <v>0.32</v>
      </c>
      <c r="E148">
        <v>853437.23</v>
      </c>
      <c r="F148">
        <v>9830.51</v>
      </c>
      <c r="G148">
        <v>863267.74</v>
      </c>
      <c r="H148">
        <v>18734.64</v>
      </c>
      <c r="I148">
        <v>23846.86</v>
      </c>
      <c r="J148">
        <v>0.32</v>
      </c>
      <c r="K148">
        <v>20384.05</v>
      </c>
      <c r="L148">
        <v>0</v>
      </c>
      <c r="M148">
        <v>0</v>
      </c>
      <c r="N148">
        <v>2021</v>
      </c>
      <c r="O148">
        <v>2</v>
      </c>
    </row>
    <row r="149" spans="1:15" x14ac:dyDescent="0.3">
      <c r="A149">
        <v>32986</v>
      </c>
      <c r="B149">
        <v>3205002</v>
      </c>
      <c r="C149" t="s">
        <v>84</v>
      </c>
      <c r="D149">
        <v>13.06</v>
      </c>
      <c r="E149">
        <v>34000669.289999999</v>
      </c>
      <c r="F149">
        <v>391632.8</v>
      </c>
      <c r="G149">
        <v>34392302.090000004</v>
      </c>
      <c r="H149">
        <v>746358.33</v>
      </c>
      <c r="I149">
        <v>1415794.5</v>
      </c>
      <c r="J149">
        <v>13.06</v>
      </c>
      <c r="K149">
        <v>812068.36</v>
      </c>
      <c r="L149">
        <v>0</v>
      </c>
      <c r="M149">
        <v>0</v>
      </c>
      <c r="N149">
        <v>2021</v>
      </c>
      <c r="O149">
        <v>2</v>
      </c>
    </row>
    <row r="150" spans="1:15" x14ac:dyDescent="0.3">
      <c r="A150">
        <v>32987</v>
      </c>
      <c r="B150">
        <v>3205010</v>
      </c>
      <c r="C150" t="s">
        <v>85</v>
      </c>
      <c r="D150">
        <v>0.7</v>
      </c>
      <c r="E150">
        <v>1834376.83</v>
      </c>
      <c r="F150">
        <v>21129.64</v>
      </c>
      <c r="G150">
        <v>1855506.47</v>
      </c>
      <c r="H150">
        <v>40268.050000000003</v>
      </c>
      <c r="I150">
        <v>31012.06</v>
      </c>
      <c r="J150">
        <v>0.7</v>
      </c>
      <c r="K150">
        <v>43813.29</v>
      </c>
      <c r="L150">
        <v>0</v>
      </c>
      <c r="M150">
        <v>0</v>
      </c>
      <c r="N150">
        <v>2021</v>
      </c>
      <c r="O150">
        <v>2</v>
      </c>
    </row>
    <row r="151" spans="1:15" x14ac:dyDescent="0.3">
      <c r="A151">
        <v>32988</v>
      </c>
      <c r="B151">
        <v>3205036</v>
      </c>
      <c r="C151" t="s">
        <v>86</v>
      </c>
      <c r="D151">
        <v>0.47</v>
      </c>
      <c r="E151">
        <v>1238545.1299999999</v>
      </c>
      <c r="F151">
        <v>14266.26</v>
      </c>
      <c r="G151">
        <v>1252811.3899999999</v>
      </c>
      <c r="H151">
        <v>27188.07</v>
      </c>
      <c r="I151">
        <v>51647.15</v>
      </c>
      <c r="J151">
        <v>0.47</v>
      </c>
      <c r="K151">
        <v>29581.74</v>
      </c>
      <c r="L151">
        <v>0</v>
      </c>
      <c r="M151">
        <v>0</v>
      </c>
      <c r="N151">
        <v>2021</v>
      </c>
      <c r="O151">
        <v>2</v>
      </c>
    </row>
    <row r="152" spans="1:15" x14ac:dyDescent="0.3">
      <c r="A152">
        <v>32989</v>
      </c>
      <c r="B152">
        <v>3205069</v>
      </c>
      <c r="C152" t="s">
        <v>87</v>
      </c>
      <c r="D152">
        <v>0.72</v>
      </c>
      <c r="E152">
        <v>1876008.94</v>
      </c>
      <c r="F152">
        <v>21609.18</v>
      </c>
      <c r="G152">
        <v>1897618.12</v>
      </c>
      <c r="H152">
        <v>41181.94</v>
      </c>
      <c r="I152">
        <v>141792.75</v>
      </c>
      <c r="J152">
        <v>0.72</v>
      </c>
      <c r="K152">
        <v>44807.63</v>
      </c>
      <c r="L152">
        <v>0</v>
      </c>
      <c r="M152">
        <v>0</v>
      </c>
      <c r="N152">
        <v>2021</v>
      </c>
      <c r="O152">
        <v>2</v>
      </c>
    </row>
    <row r="153" spans="1:15" x14ac:dyDescent="0.3">
      <c r="A153">
        <v>32990</v>
      </c>
      <c r="B153">
        <v>2112803</v>
      </c>
      <c r="C153" t="s">
        <v>88</v>
      </c>
      <c r="D153">
        <v>2.25</v>
      </c>
      <c r="E153">
        <v>5861927.9199999999</v>
      </c>
      <c r="F153">
        <v>67524.960000000006</v>
      </c>
      <c r="G153">
        <v>5929452.8799999999</v>
      </c>
      <c r="H153">
        <v>128686.41</v>
      </c>
      <c r="I153">
        <v>528848.23</v>
      </c>
      <c r="J153">
        <v>2.25</v>
      </c>
      <c r="K153">
        <v>140016.07</v>
      </c>
      <c r="L153">
        <v>0</v>
      </c>
      <c r="M153">
        <v>0</v>
      </c>
      <c r="N153">
        <v>2021</v>
      </c>
      <c r="O153">
        <v>2</v>
      </c>
    </row>
    <row r="154" spans="1:15" x14ac:dyDescent="0.3">
      <c r="A154">
        <v>32991</v>
      </c>
      <c r="B154">
        <v>3205150</v>
      </c>
      <c r="C154" t="s">
        <v>89</v>
      </c>
      <c r="D154">
        <v>0.32</v>
      </c>
      <c r="E154">
        <v>850837.33</v>
      </c>
      <c r="F154">
        <v>9800.56</v>
      </c>
      <c r="G154">
        <v>860637.89</v>
      </c>
      <c r="H154">
        <v>18677.52</v>
      </c>
      <c r="I154">
        <v>16210.73</v>
      </c>
      <c r="J154">
        <v>0.32</v>
      </c>
      <c r="K154">
        <v>20321.91</v>
      </c>
      <c r="L154">
        <v>0</v>
      </c>
      <c r="M154">
        <v>0</v>
      </c>
      <c r="N154">
        <v>2021</v>
      </c>
      <c r="O154">
        <v>2</v>
      </c>
    </row>
    <row r="155" spans="1:15" x14ac:dyDescent="0.3">
      <c r="A155">
        <v>32992</v>
      </c>
      <c r="B155">
        <v>3205176</v>
      </c>
      <c r="C155" t="s">
        <v>90</v>
      </c>
      <c r="D155">
        <v>0.61</v>
      </c>
      <c r="E155">
        <v>1602769.32</v>
      </c>
      <c r="F155">
        <v>18462.23</v>
      </c>
      <c r="G155">
        <v>1621231.55</v>
      </c>
      <c r="H155">
        <v>35184.57</v>
      </c>
      <c r="I155">
        <v>39008.589999999997</v>
      </c>
      <c r="J155">
        <v>0.61</v>
      </c>
      <c r="K155">
        <v>38282.25</v>
      </c>
      <c r="L155">
        <v>0</v>
      </c>
      <c r="M155">
        <v>0</v>
      </c>
      <c r="N155">
        <v>2021</v>
      </c>
      <c r="O155">
        <v>2</v>
      </c>
    </row>
    <row r="156" spans="1:15" x14ac:dyDescent="0.3">
      <c r="A156">
        <v>32993</v>
      </c>
      <c r="B156">
        <v>3205200</v>
      </c>
      <c r="C156" t="s">
        <v>91</v>
      </c>
      <c r="D156">
        <v>5.55</v>
      </c>
      <c r="E156">
        <v>14459503.34</v>
      </c>
      <c r="F156">
        <v>166549.57999999999</v>
      </c>
      <c r="G156">
        <v>14626052.92</v>
      </c>
      <c r="H156">
        <v>317403.63</v>
      </c>
      <c r="I156">
        <v>2021827.64</v>
      </c>
      <c r="J156">
        <v>5.55</v>
      </c>
      <c r="K156">
        <v>345348.12</v>
      </c>
      <c r="L156">
        <v>0</v>
      </c>
      <c r="M156">
        <v>0</v>
      </c>
      <c r="N156">
        <v>2021</v>
      </c>
      <c r="O156">
        <v>2</v>
      </c>
    </row>
    <row r="157" spans="1:15" x14ac:dyDescent="0.3">
      <c r="A157">
        <v>32994</v>
      </c>
      <c r="B157">
        <v>3205309</v>
      </c>
      <c r="C157" t="s">
        <v>92</v>
      </c>
      <c r="D157">
        <v>15.84</v>
      </c>
      <c r="E157">
        <v>41222039.5</v>
      </c>
      <c r="F157">
        <v>474832.55</v>
      </c>
      <c r="G157">
        <v>41696872.049999997</v>
      </c>
      <c r="H157">
        <v>904917.35</v>
      </c>
      <c r="I157">
        <v>3130938.13</v>
      </c>
      <c r="J157">
        <v>15.84</v>
      </c>
      <c r="K157">
        <v>984587.04</v>
      </c>
      <c r="L157">
        <v>0</v>
      </c>
      <c r="M157">
        <v>0</v>
      </c>
      <c r="N157">
        <v>2021</v>
      </c>
      <c r="O157">
        <v>2</v>
      </c>
    </row>
    <row r="158" spans="1:15" x14ac:dyDescent="0.3">
      <c r="A158">
        <v>32995</v>
      </c>
      <c r="B158">
        <v>3200102</v>
      </c>
      <c r="C158" t="s">
        <v>15</v>
      </c>
      <c r="D158">
        <v>0.79</v>
      </c>
      <c r="E158">
        <v>2001683.34</v>
      </c>
      <c r="F158">
        <v>224759.14</v>
      </c>
      <c r="G158">
        <v>2226442.48</v>
      </c>
      <c r="H158">
        <v>48175.17</v>
      </c>
      <c r="I158">
        <v>133264.45000000001</v>
      </c>
      <c r="J158">
        <v>0.79</v>
      </c>
      <c r="K158">
        <v>59721.54</v>
      </c>
      <c r="L158">
        <v>0</v>
      </c>
      <c r="M158">
        <v>0</v>
      </c>
      <c r="N158">
        <v>2021</v>
      </c>
      <c r="O158">
        <v>3</v>
      </c>
    </row>
    <row r="159" spans="1:15" x14ac:dyDescent="0.3">
      <c r="A159">
        <v>32996</v>
      </c>
      <c r="B159">
        <v>3200169</v>
      </c>
      <c r="C159" t="s">
        <v>16</v>
      </c>
      <c r="D159">
        <v>0.28999999999999998</v>
      </c>
      <c r="E159">
        <v>747495.78</v>
      </c>
      <c r="F159">
        <v>83932.61</v>
      </c>
      <c r="G159">
        <v>831428.39</v>
      </c>
      <c r="H159">
        <v>17990.23</v>
      </c>
      <c r="I159">
        <v>34053.74</v>
      </c>
      <c r="J159">
        <v>0.28999999999999998</v>
      </c>
      <c r="K159">
        <v>22302.03</v>
      </c>
      <c r="L159">
        <v>0</v>
      </c>
      <c r="M159">
        <v>0</v>
      </c>
      <c r="N159">
        <v>2021</v>
      </c>
      <c r="O159">
        <v>3</v>
      </c>
    </row>
    <row r="160" spans="1:15" x14ac:dyDescent="0.3">
      <c r="A160">
        <v>32997</v>
      </c>
      <c r="B160">
        <v>3200136</v>
      </c>
      <c r="C160" t="s">
        <v>17</v>
      </c>
      <c r="D160">
        <v>0.42</v>
      </c>
      <c r="E160">
        <v>1066059.44</v>
      </c>
      <c r="F160">
        <v>119702.55</v>
      </c>
      <c r="G160">
        <v>1185761.99</v>
      </c>
      <c r="H160">
        <v>25657.200000000001</v>
      </c>
      <c r="I160">
        <v>28262.22</v>
      </c>
      <c r="J160">
        <v>0.42</v>
      </c>
      <c r="K160">
        <v>31806.58</v>
      </c>
      <c r="L160">
        <v>0</v>
      </c>
      <c r="M160">
        <v>0</v>
      </c>
      <c r="N160">
        <v>2021</v>
      </c>
      <c r="O160">
        <v>3</v>
      </c>
    </row>
    <row r="161" spans="1:15" x14ac:dyDescent="0.3">
      <c r="A161">
        <v>32998</v>
      </c>
      <c r="B161">
        <v>3200201</v>
      </c>
      <c r="C161" t="s">
        <v>18</v>
      </c>
      <c r="D161">
        <v>0.48</v>
      </c>
      <c r="E161">
        <v>1214053.56</v>
      </c>
      <c r="F161">
        <v>136320.07</v>
      </c>
      <c r="G161">
        <v>1350373.63</v>
      </c>
      <c r="H161">
        <v>29219.02</v>
      </c>
      <c r="I161">
        <v>121461.1</v>
      </c>
      <c r="J161">
        <v>0.48</v>
      </c>
      <c r="K161">
        <v>36222.080000000002</v>
      </c>
      <c r="L161">
        <v>0</v>
      </c>
      <c r="M161">
        <v>0</v>
      </c>
      <c r="N161">
        <v>2021</v>
      </c>
      <c r="O161">
        <v>3</v>
      </c>
    </row>
    <row r="162" spans="1:15" x14ac:dyDescent="0.3">
      <c r="A162">
        <v>32999</v>
      </c>
      <c r="B162">
        <v>3200300</v>
      </c>
      <c r="C162" t="s">
        <v>19</v>
      </c>
      <c r="D162">
        <v>0.48</v>
      </c>
      <c r="E162">
        <v>1204020.06</v>
      </c>
      <c r="F162">
        <v>135193.46</v>
      </c>
      <c r="G162">
        <v>1339213.52</v>
      </c>
      <c r="H162">
        <v>28977.55</v>
      </c>
      <c r="I162">
        <v>161311.4</v>
      </c>
      <c r="J162">
        <v>0.48</v>
      </c>
      <c r="K162">
        <v>35922.720000000001</v>
      </c>
      <c r="L162">
        <v>0</v>
      </c>
      <c r="M162">
        <v>0</v>
      </c>
      <c r="N162">
        <v>2021</v>
      </c>
      <c r="O162">
        <v>3</v>
      </c>
    </row>
    <row r="163" spans="1:15" x14ac:dyDescent="0.3">
      <c r="A163">
        <v>33000</v>
      </c>
      <c r="B163">
        <v>3200359</v>
      </c>
      <c r="C163" t="s">
        <v>20</v>
      </c>
      <c r="D163">
        <v>0.22</v>
      </c>
      <c r="E163">
        <v>574417.9</v>
      </c>
      <c r="F163">
        <v>64498.52</v>
      </c>
      <c r="G163">
        <v>638916.42000000004</v>
      </c>
      <c r="H163">
        <v>13824.7</v>
      </c>
      <c r="I163">
        <v>15081.67</v>
      </c>
      <c r="J163">
        <v>0.22</v>
      </c>
      <c r="K163">
        <v>17138.13</v>
      </c>
      <c r="L163">
        <v>0</v>
      </c>
      <c r="M163">
        <v>0</v>
      </c>
      <c r="N163">
        <v>2021</v>
      </c>
      <c r="O163">
        <v>3</v>
      </c>
    </row>
    <row r="164" spans="1:15" x14ac:dyDescent="0.3">
      <c r="A164">
        <v>33001</v>
      </c>
      <c r="B164">
        <v>3200409</v>
      </c>
      <c r="C164" t="s">
        <v>21</v>
      </c>
      <c r="D164">
        <v>2.59</v>
      </c>
      <c r="E164">
        <v>6516758.54</v>
      </c>
      <c r="F164">
        <v>731734.65</v>
      </c>
      <c r="G164">
        <v>7248493.1900000004</v>
      </c>
      <c r="H164">
        <v>156840.95999999999</v>
      </c>
      <c r="I164">
        <v>176968.01</v>
      </c>
      <c r="J164">
        <v>2.59</v>
      </c>
      <c r="K164">
        <v>194431.75</v>
      </c>
      <c r="L164">
        <v>0</v>
      </c>
      <c r="M164">
        <v>0</v>
      </c>
      <c r="N164">
        <v>2021</v>
      </c>
      <c r="O164">
        <v>3</v>
      </c>
    </row>
    <row r="165" spans="1:15" x14ac:dyDescent="0.3">
      <c r="A165">
        <v>33002</v>
      </c>
      <c r="B165">
        <v>3200508</v>
      </c>
      <c r="C165" t="s">
        <v>22</v>
      </c>
      <c r="D165">
        <v>0.19</v>
      </c>
      <c r="E165">
        <v>489133.16</v>
      </c>
      <c r="F165">
        <v>54922.34</v>
      </c>
      <c r="G165">
        <v>544055.5</v>
      </c>
      <c r="H165">
        <v>11772.13</v>
      </c>
      <c r="I165">
        <v>90212.93</v>
      </c>
      <c r="J165">
        <v>0.19</v>
      </c>
      <c r="K165">
        <v>14593.61</v>
      </c>
      <c r="L165">
        <v>0</v>
      </c>
      <c r="M165">
        <v>0</v>
      </c>
      <c r="N165">
        <v>2021</v>
      </c>
      <c r="O165">
        <v>3</v>
      </c>
    </row>
    <row r="166" spans="1:15" x14ac:dyDescent="0.3">
      <c r="A166">
        <v>33003</v>
      </c>
      <c r="B166">
        <v>3200607</v>
      </c>
      <c r="C166" t="s">
        <v>23</v>
      </c>
      <c r="D166">
        <v>5.18</v>
      </c>
      <c r="E166">
        <v>12993383.119999999</v>
      </c>
      <c r="F166">
        <v>1458962.85</v>
      </c>
      <c r="G166">
        <v>14452345.970000001</v>
      </c>
      <c r="H166">
        <v>312716.01</v>
      </c>
      <c r="I166">
        <v>623639.35</v>
      </c>
      <c r="J166">
        <v>5.18</v>
      </c>
      <c r="K166">
        <v>387666.08</v>
      </c>
      <c r="L166">
        <v>0</v>
      </c>
      <c r="M166">
        <v>0</v>
      </c>
      <c r="N166">
        <v>2021</v>
      </c>
      <c r="O166">
        <v>3</v>
      </c>
    </row>
    <row r="167" spans="1:15" x14ac:dyDescent="0.3">
      <c r="A167">
        <v>33004</v>
      </c>
      <c r="B167">
        <v>3200706</v>
      </c>
      <c r="C167" t="s">
        <v>24</v>
      </c>
      <c r="D167">
        <v>0.36</v>
      </c>
      <c r="E167">
        <v>925590.43</v>
      </c>
      <c r="F167">
        <v>103929.95</v>
      </c>
      <c r="G167">
        <v>1029520.38</v>
      </c>
      <c r="H167">
        <v>22276.49</v>
      </c>
      <c r="I167">
        <v>52821.21</v>
      </c>
      <c r="J167">
        <v>0.36</v>
      </c>
      <c r="K167">
        <v>27615.59</v>
      </c>
      <c r="L167">
        <v>0</v>
      </c>
      <c r="M167">
        <v>0</v>
      </c>
      <c r="N167">
        <v>2021</v>
      </c>
      <c r="O167">
        <v>3</v>
      </c>
    </row>
    <row r="168" spans="1:15" x14ac:dyDescent="0.3">
      <c r="A168">
        <v>33005</v>
      </c>
      <c r="B168">
        <v>3200805</v>
      </c>
      <c r="C168" t="s">
        <v>25</v>
      </c>
      <c r="D168">
        <v>0.65</v>
      </c>
      <c r="E168">
        <v>1653019.18</v>
      </c>
      <c r="F168">
        <v>185609.36</v>
      </c>
      <c r="G168">
        <v>1838628.54</v>
      </c>
      <c r="H168">
        <v>39783.75</v>
      </c>
      <c r="I168">
        <v>231558.58</v>
      </c>
      <c r="J168">
        <v>0.65</v>
      </c>
      <c r="K168">
        <v>49318.91</v>
      </c>
      <c r="L168">
        <v>0</v>
      </c>
      <c r="M168">
        <v>0</v>
      </c>
      <c r="N168">
        <v>2021</v>
      </c>
      <c r="O168">
        <v>3</v>
      </c>
    </row>
    <row r="169" spans="1:15" x14ac:dyDescent="0.3">
      <c r="A169">
        <v>33006</v>
      </c>
      <c r="B169">
        <v>3200904</v>
      </c>
      <c r="C169" t="s">
        <v>26</v>
      </c>
      <c r="D169">
        <v>0.9</v>
      </c>
      <c r="E169">
        <v>2272587.86</v>
      </c>
      <c r="F169">
        <v>255177.66</v>
      </c>
      <c r="G169">
        <v>2527765.52</v>
      </c>
      <c r="H169">
        <v>54695.12</v>
      </c>
      <c r="I169">
        <v>223916.77</v>
      </c>
      <c r="J169">
        <v>0.9</v>
      </c>
      <c r="K169">
        <v>67804.14</v>
      </c>
      <c r="L169">
        <v>0</v>
      </c>
      <c r="M169">
        <v>0</v>
      </c>
      <c r="N169">
        <v>2021</v>
      </c>
      <c r="O169">
        <v>3</v>
      </c>
    </row>
    <row r="170" spans="1:15" x14ac:dyDescent="0.3">
      <c r="A170">
        <v>33007</v>
      </c>
      <c r="B170">
        <v>3107109</v>
      </c>
      <c r="C170" t="s">
        <v>27</v>
      </c>
      <c r="D170">
        <v>0.41</v>
      </c>
      <c r="E170">
        <v>1038467.29</v>
      </c>
      <c r="F170">
        <v>116604.35</v>
      </c>
      <c r="G170">
        <v>1155071.6399999999</v>
      </c>
      <c r="H170">
        <v>24993.13</v>
      </c>
      <c r="I170">
        <v>36034.93</v>
      </c>
      <c r="J170">
        <v>0.41</v>
      </c>
      <c r="K170">
        <v>30983.35</v>
      </c>
      <c r="L170">
        <v>0</v>
      </c>
      <c r="M170">
        <v>0</v>
      </c>
      <c r="N170">
        <v>2021</v>
      </c>
      <c r="O170">
        <v>3</v>
      </c>
    </row>
    <row r="171" spans="1:15" x14ac:dyDescent="0.3">
      <c r="A171">
        <v>33008</v>
      </c>
      <c r="B171">
        <v>3201100</v>
      </c>
      <c r="C171" t="s">
        <v>28</v>
      </c>
      <c r="D171">
        <v>0.17</v>
      </c>
      <c r="E171">
        <v>426423.75</v>
      </c>
      <c r="F171">
        <v>47881.02</v>
      </c>
      <c r="G171">
        <v>474304.77</v>
      </c>
      <c r="H171">
        <v>10262.879999999999</v>
      </c>
      <c r="I171">
        <v>192708.18</v>
      </c>
      <c r="J171">
        <v>0.17</v>
      </c>
      <c r="K171">
        <v>12722.64</v>
      </c>
      <c r="L171">
        <v>0</v>
      </c>
      <c r="M171">
        <v>0</v>
      </c>
      <c r="N171">
        <v>2021</v>
      </c>
      <c r="O171">
        <v>3</v>
      </c>
    </row>
    <row r="172" spans="1:15" x14ac:dyDescent="0.3">
      <c r="A172">
        <v>33009</v>
      </c>
      <c r="B172">
        <v>3201159</v>
      </c>
      <c r="C172" t="s">
        <v>29</v>
      </c>
      <c r="D172">
        <v>0.43</v>
      </c>
      <c r="E172">
        <v>1098668.29</v>
      </c>
      <c r="F172">
        <v>123364.06</v>
      </c>
      <c r="G172">
        <v>1222032.3500000001</v>
      </c>
      <c r="H172">
        <v>26442.01</v>
      </c>
      <c r="I172">
        <v>36878.050000000003</v>
      </c>
      <c r="J172">
        <v>0.43</v>
      </c>
      <c r="K172">
        <v>32779.49</v>
      </c>
      <c r="L172">
        <v>0</v>
      </c>
      <c r="M172">
        <v>0</v>
      </c>
      <c r="N172">
        <v>2021</v>
      </c>
      <c r="O172">
        <v>3</v>
      </c>
    </row>
    <row r="173" spans="1:15" x14ac:dyDescent="0.3">
      <c r="A173">
        <v>33010</v>
      </c>
      <c r="B173">
        <v>3201209</v>
      </c>
      <c r="C173" t="s">
        <v>30</v>
      </c>
      <c r="D173">
        <v>3.11</v>
      </c>
      <c r="E173">
        <v>7806063.3499999996</v>
      </c>
      <c r="F173">
        <v>876504.31</v>
      </c>
      <c r="G173">
        <v>8682567.6600000001</v>
      </c>
      <c r="H173">
        <v>187871.08</v>
      </c>
      <c r="I173">
        <v>1179146.69</v>
      </c>
      <c r="J173">
        <v>3.11</v>
      </c>
      <c r="K173">
        <v>232899</v>
      </c>
      <c r="L173">
        <v>0</v>
      </c>
      <c r="M173">
        <v>0</v>
      </c>
      <c r="N173">
        <v>2021</v>
      </c>
      <c r="O173">
        <v>3</v>
      </c>
    </row>
    <row r="174" spans="1:15" x14ac:dyDescent="0.3">
      <c r="A174">
        <v>33011</v>
      </c>
      <c r="B174">
        <v>3201308</v>
      </c>
      <c r="C174" t="s">
        <v>31</v>
      </c>
      <c r="D174">
        <v>6.51</v>
      </c>
      <c r="E174">
        <v>16339555.49</v>
      </c>
      <c r="F174">
        <v>1834688.02</v>
      </c>
      <c r="G174">
        <v>18174243.510000002</v>
      </c>
      <c r="H174">
        <v>393249.43</v>
      </c>
      <c r="I174">
        <v>1912622.72</v>
      </c>
      <c r="J174">
        <v>6.51</v>
      </c>
      <c r="K174">
        <v>487501.32</v>
      </c>
      <c r="L174">
        <v>0</v>
      </c>
      <c r="M174">
        <v>0</v>
      </c>
      <c r="N174">
        <v>2021</v>
      </c>
      <c r="O174">
        <v>3</v>
      </c>
    </row>
    <row r="175" spans="1:15" x14ac:dyDescent="0.3">
      <c r="A175">
        <v>33012</v>
      </c>
      <c r="B175">
        <v>3201407</v>
      </c>
      <c r="C175" t="s">
        <v>32</v>
      </c>
      <c r="D175">
        <v>0.93</v>
      </c>
      <c r="E175">
        <v>2347839.09</v>
      </c>
      <c r="F175">
        <v>263627.26</v>
      </c>
      <c r="G175">
        <v>2611466.35</v>
      </c>
      <c r="H175">
        <v>56506.21</v>
      </c>
      <c r="I175">
        <v>413289.96</v>
      </c>
      <c r="J175">
        <v>0.93</v>
      </c>
      <c r="K175">
        <v>70049.31</v>
      </c>
      <c r="L175">
        <v>0</v>
      </c>
      <c r="M175">
        <v>0</v>
      </c>
      <c r="N175">
        <v>2021</v>
      </c>
      <c r="O175">
        <v>3</v>
      </c>
    </row>
    <row r="176" spans="1:15" x14ac:dyDescent="0.3">
      <c r="A176">
        <v>33013</v>
      </c>
      <c r="B176">
        <v>3201506</v>
      </c>
      <c r="C176" t="s">
        <v>33</v>
      </c>
      <c r="D176">
        <v>2.2000000000000002</v>
      </c>
      <c r="E176">
        <v>5520933.6200000001</v>
      </c>
      <c r="F176">
        <v>619918.4</v>
      </c>
      <c r="G176">
        <v>6140852.0199999996</v>
      </c>
      <c r="H176">
        <v>132874.12</v>
      </c>
      <c r="I176">
        <v>908567.39</v>
      </c>
      <c r="J176">
        <v>2.2000000000000002</v>
      </c>
      <c r="K176">
        <v>164720.66</v>
      </c>
      <c r="L176">
        <v>0</v>
      </c>
      <c r="M176">
        <v>0</v>
      </c>
      <c r="N176">
        <v>2021</v>
      </c>
      <c r="O176">
        <v>3</v>
      </c>
    </row>
    <row r="177" spans="1:15" x14ac:dyDescent="0.3">
      <c r="A177">
        <v>33014</v>
      </c>
      <c r="B177">
        <v>3201605</v>
      </c>
      <c r="C177" t="s">
        <v>34</v>
      </c>
      <c r="D177">
        <v>0.57999999999999996</v>
      </c>
      <c r="E177">
        <v>1467399.46</v>
      </c>
      <c r="F177">
        <v>164767.01999999999</v>
      </c>
      <c r="G177">
        <v>1632166.48</v>
      </c>
      <c r="H177">
        <v>35316.379999999997</v>
      </c>
      <c r="I177">
        <v>58477.94</v>
      </c>
      <c r="J177">
        <v>0.57999999999999996</v>
      </c>
      <c r="K177">
        <v>43780.82</v>
      </c>
      <c r="L177">
        <v>0</v>
      </c>
      <c r="M177">
        <v>0</v>
      </c>
      <c r="N177">
        <v>2021</v>
      </c>
      <c r="O177">
        <v>3</v>
      </c>
    </row>
    <row r="178" spans="1:15" x14ac:dyDescent="0.3">
      <c r="A178">
        <v>33015</v>
      </c>
      <c r="B178">
        <v>3201704</v>
      </c>
      <c r="C178" t="s">
        <v>35</v>
      </c>
      <c r="D178">
        <v>0.45</v>
      </c>
      <c r="E178">
        <v>1143819.07</v>
      </c>
      <c r="F178">
        <v>128433.78</v>
      </c>
      <c r="G178">
        <v>1272252.8500000001</v>
      </c>
      <c r="H178">
        <v>27528.67</v>
      </c>
      <c r="I178">
        <v>66272.28</v>
      </c>
      <c r="J178">
        <v>0.45</v>
      </c>
      <c r="K178">
        <v>34126.589999999997</v>
      </c>
      <c r="L178">
        <v>0</v>
      </c>
      <c r="M178">
        <v>0</v>
      </c>
      <c r="N178">
        <v>2021</v>
      </c>
      <c r="O178">
        <v>3</v>
      </c>
    </row>
    <row r="179" spans="1:15" x14ac:dyDescent="0.3">
      <c r="A179">
        <v>33016</v>
      </c>
      <c r="B179">
        <v>3201803</v>
      </c>
      <c r="C179" t="s">
        <v>36</v>
      </c>
      <c r="D179">
        <v>0.19</v>
      </c>
      <c r="E179">
        <v>476591.26</v>
      </c>
      <c r="F179">
        <v>53514.080000000002</v>
      </c>
      <c r="G179">
        <v>530105.34</v>
      </c>
      <c r="H179">
        <v>11470.28</v>
      </c>
      <c r="I179">
        <v>12537.77</v>
      </c>
      <c r="J179">
        <v>0.19</v>
      </c>
      <c r="K179">
        <v>14219.41</v>
      </c>
      <c r="L179">
        <v>0</v>
      </c>
      <c r="M179">
        <v>0</v>
      </c>
      <c r="N179">
        <v>2021</v>
      </c>
      <c r="O179">
        <v>3</v>
      </c>
    </row>
    <row r="180" spans="1:15" x14ac:dyDescent="0.3">
      <c r="A180">
        <v>33017</v>
      </c>
      <c r="B180">
        <v>3201902</v>
      </c>
      <c r="C180" t="s">
        <v>37</v>
      </c>
      <c r="D180">
        <v>1.22</v>
      </c>
      <c r="E180">
        <v>3070251.12</v>
      </c>
      <c r="F180">
        <v>344743.31</v>
      </c>
      <c r="G180">
        <v>3414994.43</v>
      </c>
      <c r="H180">
        <v>73892.740000000005</v>
      </c>
      <c r="I180">
        <v>236778.49</v>
      </c>
      <c r="J180">
        <v>1.22</v>
      </c>
      <c r="K180">
        <v>91602.95</v>
      </c>
      <c r="L180">
        <v>0</v>
      </c>
      <c r="M180">
        <v>0</v>
      </c>
      <c r="N180">
        <v>2021</v>
      </c>
      <c r="O180">
        <v>3</v>
      </c>
    </row>
    <row r="181" spans="1:15" x14ac:dyDescent="0.3">
      <c r="A181">
        <v>33018</v>
      </c>
      <c r="B181">
        <v>3202009</v>
      </c>
      <c r="C181" t="s">
        <v>38</v>
      </c>
      <c r="D181">
        <v>0.24</v>
      </c>
      <c r="E181">
        <v>612043.54</v>
      </c>
      <c r="F181">
        <v>68723.360000000001</v>
      </c>
      <c r="G181">
        <v>680766.9</v>
      </c>
      <c r="H181">
        <v>14730.25</v>
      </c>
      <c r="I181">
        <v>68035.09</v>
      </c>
      <c r="J181">
        <v>0.24</v>
      </c>
      <c r="K181">
        <v>18260.72</v>
      </c>
      <c r="L181">
        <v>0</v>
      </c>
      <c r="M181">
        <v>0</v>
      </c>
      <c r="N181">
        <v>2021</v>
      </c>
      <c r="O181">
        <v>3</v>
      </c>
    </row>
    <row r="182" spans="1:15" x14ac:dyDescent="0.3">
      <c r="A182">
        <v>33019</v>
      </c>
      <c r="B182">
        <v>3202108</v>
      </c>
      <c r="C182" t="s">
        <v>39</v>
      </c>
      <c r="D182">
        <v>0.69</v>
      </c>
      <c r="E182">
        <v>1753354.18</v>
      </c>
      <c r="F182">
        <v>196875.5</v>
      </c>
      <c r="G182">
        <v>1950229.68</v>
      </c>
      <c r="H182">
        <v>42198.55</v>
      </c>
      <c r="I182">
        <v>59204.87</v>
      </c>
      <c r="J182">
        <v>0.69</v>
      </c>
      <c r="K182">
        <v>52312.47</v>
      </c>
      <c r="L182">
        <v>0</v>
      </c>
      <c r="M182">
        <v>0</v>
      </c>
      <c r="N182">
        <v>2021</v>
      </c>
      <c r="O182">
        <v>3</v>
      </c>
    </row>
    <row r="183" spans="1:15" x14ac:dyDescent="0.3">
      <c r="A183">
        <v>33020</v>
      </c>
      <c r="B183">
        <v>3202207</v>
      </c>
      <c r="C183" t="s">
        <v>40</v>
      </c>
      <c r="D183">
        <v>0.33</v>
      </c>
      <c r="E183">
        <v>830272.18</v>
      </c>
      <c r="F183">
        <v>93227.17</v>
      </c>
      <c r="G183">
        <v>923499.35</v>
      </c>
      <c r="H183">
        <v>19982.43</v>
      </c>
      <c r="I183">
        <v>70729.679999999993</v>
      </c>
      <c r="J183">
        <v>0.33</v>
      </c>
      <c r="K183">
        <v>24771.72</v>
      </c>
      <c r="L183">
        <v>0</v>
      </c>
      <c r="M183">
        <v>0</v>
      </c>
      <c r="N183">
        <v>2021</v>
      </c>
      <c r="O183">
        <v>3</v>
      </c>
    </row>
    <row r="184" spans="1:15" x14ac:dyDescent="0.3">
      <c r="A184">
        <v>33021</v>
      </c>
      <c r="B184">
        <v>3202256</v>
      </c>
      <c r="C184" t="s">
        <v>41</v>
      </c>
      <c r="D184">
        <v>0.44</v>
      </c>
      <c r="E184">
        <v>1111210.1599999999</v>
      </c>
      <c r="F184">
        <v>124772.32</v>
      </c>
      <c r="G184">
        <v>1235982.48</v>
      </c>
      <c r="H184">
        <v>26743.86</v>
      </c>
      <c r="I184">
        <v>46941.96</v>
      </c>
      <c r="J184">
        <v>0.44</v>
      </c>
      <c r="K184">
        <v>33153.68</v>
      </c>
      <c r="L184">
        <v>0</v>
      </c>
      <c r="M184">
        <v>0</v>
      </c>
      <c r="N184">
        <v>2021</v>
      </c>
      <c r="O184">
        <v>3</v>
      </c>
    </row>
    <row r="185" spans="1:15" x14ac:dyDescent="0.3">
      <c r="A185">
        <v>33022</v>
      </c>
      <c r="B185">
        <v>3202306</v>
      </c>
      <c r="C185" t="s">
        <v>42</v>
      </c>
      <c r="D185">
        <v>0.39</v>
      </c>
      <c r="E185">
        <v>980774.65</v>
      </c>
      <c r="F185">
        <v>110126.33</v>
      </c>
      <c r="G185">
        <v>1090900.98</v>
      </c>
      <c r="H185">
        <v>23604.63</v>
      </c>
      <c r="I185">
        <v>226154.08</v>
      </c>
      <c r="J185">
        <v>0.39</v>
      </c>
      <c r="K185">
        <v>29262.05</v>
      </c>
      <c r="L185">
        <v>0</v>
      </c>
      <c r="M185">
        <v>0</v>
      </c>
      <c r="N185">
        <v>2021</v>
      </c>
      <c r="O185">
        <v>3</v>
      </c>
    </row>
    <row r="186" spans="1:15" x14ac:dyDescent="0.3">
      <c r="A186">
        <v>33023</v>
      </c>
      <c r="B186">
        <v>3202405</v>
      </c>
      <c r="C186" t="s">
        <v>43</v>
      </c>
      <c r="D186">
        <v>0.91</v>
      </c>
      <c r="E186">
        <v>2287638.08</v>
      </c>
      <c r="F186">
        <v>256867.57</v>
      </c>
      <c r="G186">
        <v>2544505.65</v>
      </c>
      <c r="H186">
        <v>55057.34</v>
      </c>
      <c r="I186">
        <v>1264731.04</v>
      </c>
      <c r="J186">
        <v>0.91</v>
      </c>
      <c r="K186">
        <v>68253.179999999993</v>
      </c>
      <c r="L186">
        <v>0</v>
      </c>
      <c r="M186">
        <v>0</v>
      </c>
      <c r="N186">
        <v>2021</v>
      </c>
      <c r="O186">
        <v>3</v>
      </c>
    </row>
    <row r="187" spans="1:15" x14ac:dyDescent="0.3">
      <c r="A187">
        <v>33024</v>
      </c>
      <c r="B187">
        <v>3202454</v>
      </c>
      <c r="C187" t="s">
        <v>44</v>
      </c>
      <c r="D187">
        <v>0.36</v>
      </c>
      <c r="E187">
        <v>903015.03</v>
      </c>
      <c r="F187">
        <v>101395.1</v>
      </c>
      <c r="G187">
        <v>1004410.13</v>
      </c>
      <c r="H187">
        <v>21733.16</v>
      </c>
      <c r="I187">
        <v>113088.37</v>
      </c>
      <c r="J187">
        <v>0.36</v>
      </c>
      <c r="K187">
        <v>26942.05</v>
      </c>
      <c r="L187">
        <v>0</v>
      </c>
      <c r="M187">
        <v>0</v>
      </c>
      <c r="N187">
        <v>2021</v>
      </c>
      <c r="O187">
        <v>3</v>
      </c>
    </row>
    <row r="188" spans="1:15" x14ac:dyDescent="0.3">
      <c r="A188">
        <v>33025</v>
      </c>
      <c r="B188">
        <v>3202504</v>
      </c>
      <c r="C188" t="s">
        <v>45</v>
      </c>
      <c r="D188">
        <v>0.27</v>
      </c>
      <c r="E188">
        <v>684786.4</v>
      </c>
      <c r="F188">
        <v>76891.28</v>
      </c>
      <c r="G188">
        <v>761677.68</v>
      </c>
      <c r="H188">
        <v>16480.98</v>
      </c>
      <c r="I188">
        <v>60649.09</v>
      </c>
      <c r="J188">
        <v>0.27</v>
      </c>
      <c r="K188">
        <v>20431.05</v>
      </c>
      <c r="L188">
        <v>0</v>
      </c>
      <c r="M188">
        <v>0</v>
      </c>
      <c r="N188">
        <v>2021</v>
      </c>
      <c r="O188">
        <v>3</v>
      </c>
    </row>
    <row r="189" spans="1:15" x14ac:dyDescent="0.3">
      <c r="A189">
        <v>33026</v>
      </c>
      <c r="B189">
        <v>3202553</v>
      </c>
      <c r="C189" t="s">
        <v>46</v>
      </c>
      <c r="D189">
        <v>0.24</v>
      </c>
      <c r="E189">
        <v>614551.91</v>
      </c>
      <c r="F189">
        <v>69005</v>
      </c>
      <c r="G189">
        <v>683556.91</v>
      </c>
      <c r="H189">
        <v>14790.62</v>
      </c>
      <c r="I189">
        <v>33471.629999999997</v>
      </c>
      <c r="J189">
        <v>0.24</v>
      </c>
      <c r="K189">
        <v>18335.560000000001</v>
      </c>
      <c r="L189">
        <v>0</v>
      </c>
      <c r="M189">
        <v>0</v>
      </c>
      <c r="N189">
        <v>2021</v>
      </c>
      <c r="O189">
        <v>3</v>
      </c>
    </row>
    <row r="190" spans="1:15" x14ac:dyDescent="0.3">
      <c r="A190">
        <v>33027</v>
      </c>
      <c r="B190">
        <v>3202603</v>
      </c>
      <c r="C190" t="s">
        <v>47</v>
      </c>
      <c r="D190">
        <v>0.37</v>
      </c>
      <c r="E190">
        <v>933115.53</v>
      </c>
      <c r="F190">
        <v>104774.93</v>
      </c>
      <c r="G190">
        <v>1037890.46</v>
      </c>
      <c r="H190">
        <v>22457.599999999999</v>
      </c>
      <c r="I190">
        <v>206933.38</v>
      </c>
      <c r="J190">
        <v>0.37</v>
      </c>
      <c r="K190">
        <v>27840.11</v>
      </c>
      <c r="L190">
        <v>0</v>
      </c>
      <c r="M190">
        <v>0</v>
      </c>
      <c r="N190">
        <v>2021</v>
      </c>
      <c r="O190">
        <v>3</v>
      </c>
    </row>
    <row r="191" spans="1:15" x14ac:dyDescent="0.3">
      <c r="A191">
        <v>33028</v>
      </c>
      <c r="B191">
        <v>3202652</v>
      </c>
      <c r="C191" t="s">
        <v>48</v>
      </c>
      <c r="D191">
        <v>0.3</v>
      </c>
      <c r="E191">
        <v>775087.89</v>
      </c>
      <c r="F191">
        <v>87030.8</v>
      </c>
      <c r="G191">
        <v>862118.69</v>
      </c>
      <c r="H191">
        <v>18654.29</v>
      </c>
      <c r="I191">
        <v>59800.27</v>
      </c>
      <c r="J191">
        <v>0.3</v>
      </c>
      <c r="K191">
        <v>23125.26</v>
      </c>
      <c r="L191">
        <v>0</v>
      </c>
      <c r="M191">
        <v>0</v>
      </c>
      <c r="N191">
        <v>2021</v>
      </c>
      <c r="O191">
        <v>3</v>
      </c>
    </row>
    <row r="192" spans="1:15" x14ac:dyDescent="0.3">
      <c r="A192">
        <v>33029</v>
      </c>
      <c r="B192">
        <v>3202702</v>
      </c>
      <c r="C192" t="s">
        <v>49</v>
      </c>
      <c r="D192">
        <v>0.38</v>
      </c>
      <c r="E192">
        <v>960707.69</v>
      </c>
      <c r="F192">
        <v>107873.11</v>
      </c>
      <c r="G192">
        <v>1068580.8</v>
      </c>
      <c r="H192">
        <v>23121.67</v>
      </c>
      <c r="I192">
        <v>31656.71</v>
      </c>
      <c r="J192">
        <v>0.38</v>
      </c>
      <c r="K192">
        <v>28663.34</v>
      </c>
      <c r="L192">
        <v>0</v>
      </c>
      <c r="M192">
        <v>0</v>
      </c>
      <c r="N192">
        <v>2021</v>
      </c>
      <c r="O192">
        <v>3</v>
      </c>
    </row>
    <row r="193" spans="1:15" x14ac:dyDescent="0.3">
      <c r="A193">
        <v>33030</v>
      </c>
      <c r="B193">
        <v>3202801</v>
      </c>
      <c r="C193" t="s">
        <v>50</v>
      </c>
      <c r="D193">
        <v>2.66</v>
      </c>
      <c r="E193">
        <v>6684819.6900000004</v>
      </c>
      <c r="F193">
        <v>750605.41</v>
      </c>
      <c r="G193">
        <v>7435425.0999999996</v>
      </c>
      <c r="H193">
        <v>160885.75</v>
      </c>
      <c r="I193">
        <v>165032.12</v>
      </c>
      <c r="J193">
        <v>2.66</v>
      </c>
      <c r="K193">
        <v>199445.96</v>
      </c>
      <c r="L193">
        <v>0</v>
      </c>
      <c r="M193">
        <v>0</v>
      </c>
      <c r="N193">
        <v>2021</v>
      </c>
      <c r="O193">
        <v>3</v>
      </c>
    </row>
    <row r="194" spans="1:15" x14ac:dyDescent="0.3">
      <c r="A194">
        <v>33031</v>
      </c>
      <c r="B194">
        <v>3202900</v>
      </c>
      <c r="C194" t="s">
        <v>51</v>
      </c>
      <c r="D194">
        <v>0.34</v>
      </c>
      <c r="E194">
        <v>857864.28</v>
      </c>
      <c r="F194">
        <v>96325.34</v>
      </c>
      <c r="G194">
        <v>954189.62</v>
      </c>
      <c r="H194">
        <v>20646.5</v>
      </c>
      <c r="I194">
        <v>69127.38</v>
      </c>
      <c r="J194">
        <v>0.34</v>
      </c>
      <c r="K194">
        <v>25594.95</v>
      </c>
      <c r="L194">
        <v>0</v>
      </c>
      <c r="M194">
        <v>0</v>
      </c>
      <c r="N194">
        <v>2021</v>
      </c>
      <c r="O194">
        <v>3</v>
      </c>
    </row>
    <row r="195" spans="1:15" x14ac:dyDescent="0.3">
      <c r="A195">
        <v>33032</v>
      </c>
      <c r="B195">
        <v>3203007</v>
      </c>
      <c r="C195" t="s">
        <v>52</v>
      </c>
      <c r="D195">
        <v>0.47</v>
      </c>
      <c r="E195">
        <v>1183953.04</v>
      </c>
      <c r="F195">
        <v>132940.26</v>
      </c>
      <c r="G195">
        <v>1316893.3</v>
      </c>
      <c r="H195">
        <v>28494.59</v>
      </c>
      <c r="I195">
        <v>112937.3</v>
      </c>
      <c r="J195">
        <v>0.47</v>
      </c>
      <c r="K195">
        <v>35324.01</v>
      </c>
      <c r="L195">
        <v>0</v>
      </c>
      <c r="M195">
        <v>0</v>
      </c>
      <c r="N195">
        <v>2021</v>
      </c>
      <c r="O195">
        <v>3</v>
      </c>
    </row>
    <row r="196" spans="1:15" x14ac:dyDescent="0.3">
      <c r="A196">
        <v>33033</v>
      </c>
      <c r="B196">
        <v>3203056</v>
      </c>
      <c r="C196" t="s">
        <v>53</v>
      </c>
      <c r="D196">
        <v>0.86</v>
      </c>
      <c r="E196">
        <v>2169744.4700000002</v>
      </c>
      <c r="F196">
        <v>243629.89</v>
      </c>
      <c r="G196">
        <v>2413374.36</v>
      </c>
      <c r="H196">
        <v>52219.95</v>
      </c>
      <c r="I196">
        <v>132589.19</v>
      </c>
      <c r="J196">
        <v>0.86</v>
      </c>
      <c r="K196">
        <v>64735.75</v>
      </c>
      <c r="L196">
        <v>0</v>
      </c>
      <c r="M196">
        <v>0</v>
      </c>
      <c r="N196">
        <v>2021</v>
      </c>
      <c r="O196">
        <v>3</v>
      </c>
    </row>
    <row r="197" spans="1:15" x14ac:dyDescent="0.3">
      <c r="A197">
        <v>33034</v>
      </c>
      <c r="B197">
        <v>3203106</v>
      </c>
      <c r="C197" t="s">
        <v>54</v>
      </c>
      <c r="D197">
        <v>0.21</v>
      </c>
      <c r="E197">
        <v>536792.27</v>
      </c>
      <c r="F197">
        <v>60273.760000000002</v>
      </c>
      <c r="G197">
        <v>597066.03</v>
      </c>
      <c r="H197">
        <v>12919.16</v>
      </c>
      <c r="I197">
        <v>32843.15</v>
      </c>
      <c r="J197">
        <v>0.21</v>
      </c>
      <c r="K197">
        <v>16015.54</v>
      </c>
      <c r="L197">
        <v>0</v>
      </c>
      <c r="M197">
        <v>0</v>
      </c>
      <c r="N197">
        <v>2021</v>
      </c>
      <c r="O197">
        <v>3</v>
      </c>
    </row>
    <row r="198" spans="1:15" x14ac:dyDescent="0.3">
      <c r="A198">
        <v>33035</v>
      </c>
      <c r="B198">
        <v>3203130</v>
      </c>
      <c r="C198" t="s">
        <v>55</v>
      </c>
      <c r="D198">
        <v>0.42</v>
      </c>
      <c r="E198">
        <v>1071076.1599999999</v>
      </c>
      <c r="F198">
        <v>120265.87</v>
      </c>
      <c r="G198">
        <v>1191342.03</v>
      </c>
      <c r="H198">
        <v>25777.94</v>
      </c>
      <c r="I198">
        <v>74822.47</v>
      </c>
      <c r="J198">
        <v>0.42</v>
      </c>
      <c r="K198">
        <v>31956.26</v>
      </c>
      <c r="L198">
        <v>0</v>
      </c>
      <c r="M198">
        <v>0</v>
      </c>
      <c r="N198">
        <v>2021</v>
      </c>
      <c r="O198">
        <v>3</v>
      </c>
    </row>
    <row r="199" spans="1:15" x14ac:dyDescent="0.3">
      <c r="A199">
        <v>33036</v>
      </c>
      <c r="B199">
        <v>3203163</v>
      </c>
      <c r="C199" t="s">
        <v>56</v>
      </c>
      <c r="D199">
        <v>0.38</v>
      </c>
      <c r="E199">
        <v>953182.53</v>
      </c>
      <c r="F199">
        <v>107028.17</v>
      </c>
      <c r="G199">
        <v>1060210.7</v>
      </c>
      <c r="H199">
        <v>22940.560000000001</v>
      </c>
      <c r="I199">
        <v>61772.75</v>
      </c>
      <c r="J199">
        <v>0.38</v>
      </c>
      <c r="K199">
        <v>28438.82</v>
      </c>
      <c r="L199">
        <v>0</v>
      </c>
      <c r="M199">
        <v>0</v>
      </c>
      <c r="N199">
        <v>2021</v>
      </c>
      <c r="O199">
        <v>3</v>
      </c>
    </row>
    <row r="200" spans="1:15" x14ac:dyDescent="0.3">
      <c r="A200">
        <v>33037</v>
      </c>
      <c r="B200">
        <v>3203205</v>
      </c>
      <c r="C200" t="s">
        <v>57</v>
      </c>
      <c r="D200">
        <v>5.75</v>
      </c>
      <c r="E200">
        <v>14430682.029999999</v>
      </c>
      <c r="F200">
        <v>1620350.06</v>
      </c>
      <c r="G200">
        <v>16051032.09</v>
      </c>
      <c r="H200">
        <v>347307.95</v>
      </c>
      <c r="I200">
        <v>985291.95</v>
      </c>
      <c r="J200">
        <v>5.75</v>
      </c>
      <c r="K200">
        <v>430548.83</v>
      </c>
      <c r="L200">
        <v>0</v>
      </c>
      <c r="M200">
        <v>0</v>
      </c>
      <c r="N200">
        <v>2021</v>
      </c>
      <c r="O200">
        <v>3</v>
      </c>
    </row>
    <row r="201" spans="1:15" x14ac:dyDescent="0.3">
      <c r="A201">
        <v>33038</v>
      </c>
      <c r="B201">
        <v>3203304</v>
      </c>
      <c r="C201" t="s">
        <v>58</v>
      </c>
      <c r="D201">
        <v>0.25</v>
      </c>
      <c r="E201">
        <v>639635.64</v>
      </c>
      <c r="F201">
        <v>71821.53</v>
      </c>
      <c r="G201">
        <v>711457.17</v>
      </c>
      <c r="H201">
        <v>15394.32</v>
      </c>
      <c r="I201">
        <v>43285.11</v>
      </c>
      <c r="J201">
        <v>0.25</v>
      </c>
      <c r="K201">
        <v>19083.95</v>
      </c>
      <c r="L201">
        <v>0</v>
      </c>
      <c r="M201">
        <v>0</v>
      </c>
      <c r="N201">
        <v>2021</v>
      </c>
      <c r="O201">
        <v>3</v>
      </c>
    </row>
    <row r="202" spans="1:15" x14ac:dyDescent="0.3">
      <c r="A202">
        <v>33039</v>
      </c>
      <c r="B202">
        <v>3203320</v>
      </c>
      <c r="C202" t="s">
        <v>59</v>
      </c>
      <c r="D202">
        <v>0.61</v>
      </c>
      <c r="E202">
        <v>1547667.46</v>
      </c>
      <c r="F202">
        <v>173779.95</v>
      </c>
      <c r="G202">
        <v>1721447.41</v>
      </c>
      <c r="H202">
        <v>37248.22</v>
      </c>
      <c r="I202">
        <v>229375.05</v>
      </c>
      <c r="J202">
        <v>0.61</v>
      </c>
      <c r="K202">
        <v>46175.67</v>
      </c>
      <c r="L202">
        <v>0</v>
      </c>
      <c r="M202">
        <v>0</v>
      </c>
      <c r="N202">
        <v>2021</v>
      </c>
      <c r="O202">
        <v>3</v>
      </c>
    </row>
    <row r="203" spans="1:15" x14ac:dyDescent="0.3">
      <c r="A203">
        <v>33040</v>
      </c>
      <c r="B203">
        <v>3203346</v>
      </c>
      <c r="C203" t="s">
        <v>60</v>
      </c>
      <c r="D203">
        <v>0.65</v>
      </c>
      <c r="E203">
        <v>1648002.47</v>
      </c>
      <c r="F203">
        <v>185046.07</v>
      </c>
      <c r="G203">
        <v>1833048.54</v>
      </c>
      <c r="H203">
        <v>39663.01</v>
      </c>
      <c r="I203">
        <v>161210.34</v>
      </c>
      <c r="J203">
        <v>0.65</v>
      </c>
      <c r="K203">
        <v>49169.23</v>
      </c>
      <c r="L203">
        <v>0</v>
      </c>
      <c r="M203">
        <v>0</v>
      </c>
      <c r="N203">
        <v>2021</v>
      </c>
      <c r="O203">
        <v>3</v>
      </c>
    </row>
    <row r="204" spans="1:15" x14ac:dyDescent="0.3">
      <c r="A204">
        <v>33041</v>
      </c>
      <c r="B204">
        <v>3203353</v>
      </c>
      <c r="C204" t="s">
        <v>61</v>
      </c>
      <c r="D204">
        <v>0.43</v>
      </c>
      <c r="E204">
        <v>1098668.29</v>
      </c>
      <c r="F204">
        <v>123364.06</v>
      </c>
      <c r="G204">
        <v>1222032.3500000001</v>
      </c>
      <c r="H204">
        <v>26442.01</v>
      </c>
      <c r="I204">
        <v>109442.29</v>
      </c>
      <c r="J204">
        <v>0.43</v>
      </c>
      <c r="K204">
        <v>32779.49</v>
      </c>
      <c r="L204">
        <v>0</v>
      </c>
      <c r="M204">
        <v>0</v>
      </c>
      <c r="N204">
        <v>2021</v>
      </c>
      <c r="O204">
        <v>3</v>
      </c>
    </row>
    <row r="205" spans="1:15" x14ac:dyDescent="0.3">
      <c r="A205">
        <v>33042</v>
      </c>
      <c r="B205">
        <v>3203403</v>
      </c>
      <c r="C205" t="s">
        <v>62</v>
      </c>
      <c r="D205">
        <v>0.5</v>
      </c>
      <c r="E205">
        <v>1254187.55</v>
      </c>
      <c r="F205">
        <v>140826.53</v>
      </c>
      <c r="G205">
        <v>1395014.08</v>
      </c>
      <c r="H205">
        <v>30184.94</v>
      </c>
      <c r="I205">
        <v>115128.54</v>
      </c>
      <c r="J205">
        <v>0.5</v>
      </c>
      <c r="K205">
        <v>37419.51</v>
      </c>
      <c r="L205">
        <v>0</v>
      </c>
      <c r="M205">
        <v>0</v>
      </c>
      <c r="N205">
        <v>2021</v>
      </c>
      <c r="O205">
        <v>3</v>
      </c>
    </row>
    <row r="206" spans="1:15" x14ac:dyDescent="0.3">
      <c r="A206">
        <v>33043</v>
      </c>
      <c r="B206">
        <v>3203502</v>
      </c>
      <c r="C206" t="s">
        <v>63</v>
      </c>
      <c r="D206">
        <v>0.52</v>
      </c>
      <c r="E206">
        <v>1316896.94</v>
      </c>
      <c r="F206">
        <v>147867.85999999999</v>
      </c>
      <c r="G206">
        <v>1464764.8</v>
      </c>
      <c r="H206">
        <v>31694.19</v>
      </c>
      <c r="I206">
        <v>84954.46</v>
      </c>
      <c r="J206">
        <v>0.52</v>
      </c>
      <c r="K206">
        <v>39290.480000000003</v>
      </c>
      <c r="L206">
        <v>0</v>
      </c>
      <c r="M206">
        <v>0</v>
      </c>
      <c r="N206">
        <v>2021</v>
      </c>
      <c r="O206">
        <v>3</v>
      </c>
    </row>
    <row r="207" spans="1:15" x14ac:dyDescent="0.3">
      <c r="A207">
        <v>33044</v>
      </c>
      <c r="B207">
        <v>3203601</v>
      </c>
      <c r="C207" t="s">
        <v>64</v>
      </c>
      <c r="D207">
        <v>0.28000000000000003</v>
      </c>
      <c r="E207">
        <v>724920.42</v>
      </c>
      <c r="F207">
        <v>81397.75</v>
      </c>
      <c r="G207">
        <v>806318.17</v>
      </c>
      <c r="H207">
        <v>17446.900000000001</v>
      </c>
      <c r="I207">
        <v>14466.57</v>
      </c>
      <c r="J207">
        <v>0.28000000000000003</v>
      </c>
      <c r="K207">
        <v>21628.47</v>
      </c>
      <c r="L207">
        <v>0</v>
      </c>
      <c r="M207">
        <v>0</v>
      </c>
      <c r="N207">
        <v>2021</v>
      </c>
      <c r="O207">
        <v>3</v>
      </c>
    </row>
    <row r="208" spans="1:15" x14ac:dyDescent="0.3">
      <c r="A208">
        <v>33045</v>
      </c>
      <c r="B208">
        <v>3203700</v>
      </c>
      <c r="C208" t="s">
        <v>65</v>
      </c>
      <c r="D208">
        <v>0.5</v>
      </c>
      <c r="E208">
        <v>1276762.8999999999</v>
      </c>
      <c r="F208">
        <v>143361.42000000001</v>
      </c>
      <c r="G208">
        <v>1420124.32</v>
      </c>
      <c r="H208">
        <v>30728.27</v>
      </c>
      <c r="I208">
        <v>48536.47</v>
      </c>
      <c r="J208">
        <v>0.5</v>
      </c>
      <c r="K208">
        <v>38093.06</v>
      </c>
      <c r="L208">
        <v>0</v>
      </c>
      <c r="M208">
        <v>0</v>
      </c>
      <c r="N208">
        <v>2021</v>
      </c>
      <c r="O208">
        <v>3</v>
      </c>
    </row>
    <row r="209" spans="1:15" x14ac:dyDescent="0.3">
      <c r="A209">
        <v>33046</v>
      </c>
      <c r="B209">
        <v>3203809</v>
      </c>
      <c r="C209" t="s">
        <v>66</v>
      </c>
      <c r="D209">
        <v>0.28999999999999998</v>
      </c>
      <c r="E209">
        <v>732445.54</v>
      </c>
      <c r="F209">
        <v>82242.679999999993</v>
      </c>
      <c r="G209">
        <v>814688.22</v>
      </c>
      <c r="H209">
        <v>17628.009999999998</v>
      </c>
      <c r="I209">
        <v>47772.42</v>
      </c>
      <c r="J209">
        <v>0.28999999999999998</v>
      </c>
      <c r="K209">
        <v>21853</v>
      </c>
      <c r="L209">
        <v>0</v>
      </c>
      <c r="M209">
        <v>0</v>
      </c>
      <c r="N209">
        <v>2021</v>
      </c>
      <c r="O209">
        <v>3</v>
      </c>
    </row>
    <row r="210" spans="1:15" x14ac:dyDescent="0.3">
      <c r="A210">
        <v>33047</v>
      </c>
      <c r="B210">
        <v>3203908</v>
      </c>
      <c r="C210" t="s">
        <v>67</v>
      </c>
      <c r="D210">
        <v>1.22</v>
      </c>
      <c r="E210">
        <v>3082793.02</v>
      </c>
      <c r="F210">
        <v>346151.59</v>
      </c>
      <c r="G210">
        <v>3428944.61</v>
      </c>
      <c r="H210">
        <v>74194.59</v>
      </c>
      <c r="I210">
        <v>202417.3</v>
      </c>
      <c r="J210">
        <v>1.22</v>
      </c>
      <c r="K210">
        <v>91977.14</v>
      </c>
      <c r="L210">
        <v>0</v>
      </c>
      <c r="M210">
        <v>0</v>
      </c>
      <c r="N210">
        <v>2021</v>
      </c>
      <c r="O210">
        <v>3</v>
      </c>
    </row>
    <row r="211" spans="1:15" x14ac:dyDescent="0.3">
      <c r="A211">
        <v>33048</v>
      </c>
      <c r="B211">
        <v>3204005</v>
      </c>
      <c r="C211" t="s">
        <v>68</v>
      </c>
      <c r="D211">
        <v>0.47</v>
      </c>
      <c r="E211">
        <v>1199003.3</v>
      </c>
      <c r="F211">
        <v>134630.16</v>
      </c>
      <c r="G211">
        <v>1333633.46</v>
      </c>
      <c r="H211">
        <v>28856.81</v>
      </c>
      <c r="I211">
        <v>49750.22</v>
      </c>
      <c r="J211">
        <v>0.47</v>
      </c>
      <c r="K211">
        <v>35773.050000000003</v>
      </c>
      <c r="L211">
        <v>0</v>
      </c>
      <c r="M211">
        <v>0</v>
      </c>
      <c r="N211">
        <v>2021</v>
      </c>
      <c r="O211">
        <v>3</v>
      </c>
    </row>
    <row r="212" spans="1:15" x14ac:dyDescent="0.3">
      <c r="A212">
        <v>33049</v>
      </c>
      <c r="B212">
        <v>3204054</v>
      </c>
      <c r="C212" t="s">
        <v>69</v>
      </c>
      <c r="D212">
        <v>0.32</v>
      </c>
      <c r="E212">
        <v>812713.55</v>
      </c>
      <c r="F212">
        <v>91255.59</v>
      </c>
      <c r="G212">
        <v>903969.14</v>
      </c>
      <c r="H212">
        <v>19559.84</v>
      </c>
      <c r="I212">
        <v>97548.76</v>
      </c>
      <c r="J212">
        <v>0.32</v>
      </c>
      <c r="K212">
        <v>24247.84</v>
      </c>
      <c r="L212">
        <v>0</v>
      </c>
      <c r="M212">
        <v>0</v>
      </c>
      <c r="N212">
        <v>2021</v>
      </c>
      <c r="O212">
        <v>3</v>
      </c>
    </row>
    <row r="213" spans="1:15" x14ac:dyDescent="0.3">
      <c r="A213">
        <v>33050</v>
      </c>
      <c r="B213">
        <v>3204104</v>
      </c>
      <c r="C213" t="s">
        <v>70</v>
      </c>
      <c r="D213">
        <v>0.66</v>
      </c>
      <c r="E213">
        <v>1668069.46</v>
      </c>
      <c r="F213">
        <v>187299.29</v>
      </c>
      <c r="G213">
        <v>1855368.75</v>
      </c>
      <c r="H213">
        <v>40145.97</v>
      </c>
      <c r="I213">
        <v>60552.54</v>
      </c>
      <c r="J213">
        <v>0.66</v>
      </c>
      <c r="K213">
        <v>49767.95</v>
      </c>
      <c r="L213">
        <v>0</v>
      </c>
      <c r="M213">
        <v>0</v>
      </c>
      <c r="N213">
        <v>2021</v>
      </c>
      <c r="O213">
        <v>3</v>
      </c>
    </row>
    <row r="214" spans="1:15" x14ac:dyDescent="0.3">
      <c r="A214">
        <v>33051</v>
      </c>
      <c r="B214">
        <v>3204203</v>
      </c>
      <c r="C214" t="s">
        <v>71</v>
      </c>
      <c r="D214">
        <v>0.15</v>
      </c>
      <c r="E214">
        <v>383781.39</v>
      </c>
      <c r="F214">
        <v>43092.91</v>
      </c>
      <c r="G214">
        <v>426874.3</v>
      </c>
      <c r="H214">
        <v>9236.59</v>
      </c>
      <c r="I214">
        <v>169774.04</v>
      </c>
      <c r="J214">
        <v>0.15</v>
      </c>
      <c r="K214">
        <v>11450.37</v>
      </c>
      <c r="L214">
        <v>0</v>
      </c>
      <c r="M214">
        <v>0</v>
      </c>
      <c r="N214">
        <v>2021</v>
      </c>
      <c r="O214">
        <v>3</v>
      </c>
    </row>
    <row r="215" spans="1:15" x14ac:dyDescent="0.3">
      <c r="A215">
        <v>33052</v>
      </c>
      <c r="B215">
        <v>3204252</v>
      </c>
      <c r="C215" t="s">
        <v>72</v>
      </c>
      <c r="D215">
        <v>0.23</v>
      </c>
      <c r="E215">
        <v>576926.26</v>
      </c>
      <c r="F215">
        <v>64780.24</v>
      </c>
      <c r="G215">
        <v>641706.5</v>
      </c>
      <c r="H215">
        <v>13885.07</v>
      </c>
      <c r="I215">
        <v>12481.48</v>
      </c>
      <c r="J215">
        <v>0.23</v>
      </c>
      <c r="K215">
        <v>17212.97</v>
      </c>
      <c r="L215">
        <v>0</v>
      </c>
      <c r="M215">
        <v>0</v>
      </c>
      <c r="N215">
        <v>2021</v>
      </c>
      <c r="O215">
        <v>3</v>
      </c>
    </row>
    <row r="216" spans="1:15" x14ac:dyDescent="0.3">
      <c r="A216">
        <v>33053</v>
      </c>
      <c r="B216">
        <v>1718402</v>
      </c>
      <c r="C216" t="s">
        <v>73</v>
      </c>
      <c r="D216">
        <v>0.33</v>
      </c>
      <c r="E216">
        <v>837797.3</v>
      </c>
      <c r="F216">
        <v>94072.12</v>
      </c>
      <c r="G216">
        <v>931869.42</v>
      </c>
      <c r="H216">
        <v>20163.54</v>
      </c>
      <c r="I216">
        <v>102619.33</v>
      </c>
      <c r="J216">
        <v>0.33</v>
      </c>
      <c r="K216">
        <v>24996.23</v>
      </c>
      <c r="L216">
        <v>0</v>
      </c>
      <c r="M216">
        <v>0</v>
      </c>
      <c r="N216">
        <v>2021</v>
      </c>
      <c r="O216">
        <v>3</v>
      </c>
    </row>
    <row r="217" spans="1:15" x14ac:dyDescent="0.3">
      <c r="A217">
        <v>33054</v>
      </c>
      <c r="B217">
        <v>3204351</v>
      </c>
      <c r="C217" t="s">
        <v>74</v>
      </c>
      <c r="D217">
        <v>0.76</v>
      </c>
      <c r="E217">
        <v>1928940.43</v>
      </c>
      <c r="F217">
        <v>216591.21</v>
      </c>
      <c r="G217">
        <v>2145531.64</v>
      </c>
      <c r="H217">
        <v>46424.44</v>
      </c>
      <c r="I217">
        <v>128415.47</v>
      </c>
      <c r="J217">
        <v>0.76</v>
      </c>
      <c r="K217">
        <v>57551.199999999997</v>
      </c>
      <c r="L217">
        <v>0</v>
      </c>
      <c r="M217">
        <v>0</v>
      </c>
      <c r="N217">
        <v>2021</v>
      </c>
      <c r="O217">
        <v>3</v>
      </c>
    </row>
    <row r="218" spans="1:15" x14ac:dyDescent="0.3">
      <c r="A218">
        <v>33055</v>
      </c>
      <c r="B218">
        <v>3204401</v>
      </c>
      <c r="C218" t="s">
        <v>75</v>
      </c>
      <c r="D218">
        <v>0.26</v>
      </c>
      <c r="E218">
        <v>664719.42000000004</v>
      </c>
      <c r="F218">
        <v>74638.06</v>
      </c>
      <c r="G218">
        <v>739357.48</v>
      </c>
      <c r="H218">
        <v>15998.02</v>
      </c>
      <c r="I218">
        <v>50623.21</v>
      </c>
      <c r="J218">
        <v>0.26</v>
      </c>
      <c r="K218">
        <v>19832.34</v>
      </c>
      <c r="L218">
        <v>0</v>
      </c>
      <c r="M218">
        <v>0</v>
      </c>
      <c r="N218">
        <v>2021</v>
      </c>
      <c r="O218">
        <v>3</v>
      </c>
    </row>
    <row r="219" spans="1:15" x14ac:dyDescent="0.3">
      <c r="A219">
        <v>33056</v>
      </c>
      <c r="B219">
        <v>3204500</v>
      </c>
      <c r="C219" t="s">
        <v>76</v>
      </c>
      <c r="D219">
        <v>0.49</v>
      </c>
      <c r="E219">
        <v>1244154.08</v>
      </c>
      <c r="F219">
        <v>139699.93</v>
      </c>
      <c r="G219">
        <v>1383854.01</v>
      </c>
      <c r="H219">
        <v>29943.46</v>
      </c>
      <c r="I219">
        <v>55633.120000000003</v>
      </c>
      <c r="J219">
        <v>0.49</v>
      </c>
      <c r="K219">
        <v>37120.15</v>
      </c>
      <c r="L219">
        <v>0</v>
      </c>
      <c r="M219">
        <v>0</v>
      </c>
      <c r="N219">
        <v>2021</v>
      </c>
      <c r="O219">
        <v>3</v>
      </c>
    </row>
    <row r="220" spans="1:15" x14ac:dyDescent="0.3">
      <c r="A220">
        <v>33057</v>
      </c>
      <c r="B220">
        <v>3204559</v>
      </c>
      <c r="C220" t="s">
        <v>77</v>
      </c>
      <c r="D220">
        <v>2.2400000000000002</v>
      </c>
      <c r="E220">
        <v>5633810.5300000003</v>
      </c>
      <c r="F220">
        <v>632592.77</v>
      </c>
      <c r="G220">
        <v>6266403.2999999998</v>
      </c>
      <c r="H220">
        <v>135590.76</v>
      </c>
      <c r="I220">
        <v>433742.07</v>
      </c>
      <c r="J220">
        <v>2.2400000000000002</v>
      </c>
      <c r="K220">
        <v>168088.42</v>
      </c>
      <c r="L220">
        <v>0</v>
      </c>
      <c r="M220">
        <v>0</v>
      </c>
      <c r="N220">
        <v>2021</v>
      </c>
      <c r="O220">
        <v>3</v>
      </c>
    </row>
    <row r="221" spans="1:15" x14ac:dyDescent="0.3">
      <c r="A221">
        <v>33058</v>
      </c>
      <c r="B221">
        <v>3204609</v>
      </c>
      <c r="C221" t="s">
        <v>78</v>
      </c>
      <c r="D221">
        <v>0.69</v>
      </c>
      <c r="E221">
        <v>1733287.21</v>
      </c>
      <c r="F221">
        <v>194622.26</v>
      </c>
      <c r="G221">
        <v>1927909.47</v>
      </c>
      <c r="H221">
        <v>41715.589999999997</v>
      </c>
      <c r="I221">
        <v>126080.19</v>
      </c>
      <c r="J221">
        <v>0.69</v>
      </c>
      <c r="K221">
        <v>51713.75</v>
      </c>
      <c r="L221">
        <v>0</v>
      </c>
      <c r="M221">
        <v>0</v>
      </c>
      <c r="N221">
        <v>2021</v>
      </c>
      <c r="O221">
        <v>3</v>
      </c>
    </row>
    <row r="222" spans="1:15" x14ac:dyDescent="0.3">
      <c r="A222">
        <v>33059</v>
      </c>
      <c r="B222">
        <v>3204658</v>
      </c>
      <c r="C222" t="s">
        <v>79</v>
      </c>
      <c r="D222">
        <v>0.45</v>
      </c>
      <c r="E222">
        <v>1136293.95</v>
      </c>
      <c r="F222">
        <v>127588.81</v>
      </c>
      <c r="G222">
        <v>1263882.76</v>
      </c>
      <c r="H222">
        <v>27347.56</v>
      </c>
      <c r="I222">
        <v>30581.33</v>
      </c>
      <c r="J222">
        <v>0.45</v>
      </c>
      <c r="K222">
        <v>33902.07</v>
      </c>
      <c r="L222">
        <v>0</v>
      </c>
      <c r="M222">
        <v>0</v>
      </c>
      <c r="N222">
        <v>2021</v>
      </c>
      <c r="O222">
        <v>3</v>
      </c>
    </row>
    <row r="223" spans="1:15" x14ac:dyDescent="0.3">
      <c r="A223">
        <v>33060</v>
      </c>
      <c r="B223">
        <v>3204708</v>
      </c>
      <c r="C223" t="s">
        <v>80</v>
      </c>
      <c r="D223">
        <v>0.72</v>
      </c>
      <c r="E223">
        <v>1828605.47</v>
      </c>
      <c r="F223">
        <v>205325.07</v>
      </c>
      <c r="G223">
        <v>2033930.54</v>
      </c>
      <c r="H223">
        <v>44009.65</v>
      </c>
      <c r="I223">
        <v>130824.84</v>
      </c>
      <c r="J223">
        <v>0.72</v>
      </c>
      <c r="K223">
        <v>54557.64</v>
      </c>
      <c r="L223">
        <v>0</v>
      </c>
      <c r="M223">
        <v>0</v>
      </c>
      <c r="N223">
        <v>2021</v>
      </c>
      <c r="O223">
        <v>3</v>
      </c>
    </row>
    <row r="224" spans="1:15" x14ac:dyDescent="0.3">
      <c r="A224">
        <v>33061</v>
      </c>
      <c r="B224">
        <v>3204807</v>
      </c>
      <c r="C224" t="s">
        <v>81</v>
      </c>
      <c r="D224">
        <v>0.22</v>
      </c>
      <c r="E224">
        <v>554350.92000000004</v>
      </c>
      <c r="F224">
        <v>62245.34</v>
      </c>
      <c r="G224">
        <v>616596.26</v>
      </c>
      <c r="H224">
        <v>13341.74</v>
      </c>
      <c r="I224">
        <v>62164.24</v>
      </c>
      <c r="J224">
        <v>0.22</v>
      </c>
      <c r="K224">
        <v>16539.419999999998</v>
      </c>
      <c r="L224">
        <v>0</v>
      </c>
      <c r="M224">
        <v>0</v>
      </c>
      <c r="N224">
        <v>2021</v>
      </c>
      <c r="O224">
        <v>3</v>
      </c>
    </row>
    <row r="225" spans="1:15" x14ac:dyDescent="0.3">
      <c r="A225">
        <v>33062</v>
      </c>
      <c r="B225">
        <v>3204906</v>
      </c>
      <c r="C225" t="s">
        <v>82</v>
      </c>
      <c r="D225">
        <v>1.8</v>
      </c>
      <c r="E225">
        <v>4517583.5599999996</v>
      </c>
      <c r="F225">
        <v>507257.16</v>
      </c>
      <c r="G225">
        <v>5024840.72</v>
      </c>
      <c r="H225">
        <v>108726.16</v>
      </c>
      <c r="I225">
        <v>496484.73</v>
      </c>
      <c r="J225">
        <v>1.8</v>
      </c>
      <c r="K225">
        <v>134785.06</v>
      </c>
      <c r="L225">
        <v>0</v>
      </c>
      <c r="M225">
        <v>0</v>
      </c>
      <c r="N225">
        <v>2021</v>
      </c>
      <c r="O225">
        <v>3</v>
      </c>
    </row>
    <row r="226" spans="1:15" x14ac:dyDescent="0.3">
      <c r="A226">
        <v>33063</v>
      </c>
      <c r="B226">
        <v>3204955</v>
      </c>
      <c r="C226" t="s">
        <v>83</v>
      </c>
      <c r="D226">
        <v>0.32</v>
      </c>
      <c r="E226">
        <v>822747.04</v>
      </c>
      <c r="F226">
        <v>92382.2</v>
      </c>
      <c r="G226">
        <v>915129.24</v>
      </c>
      <c r="H226">
        <v>19801.32</v>
      </c>
      <c r="I226">
        <v>56666.57</v>
      </c>
      <c r="J226">
        <v>0.32</v>
      </c>
      <c r="K226">
        <v>24547.200000000001</v>
      </c>
      <c r="L226">
        <v>0</v>
      </c>
      <c r="M226">
        <v>0</v>
      </c>
      <c r="N226">
        <v>2021</v>
      </c>
      <c r="O226">
        <v>3</v>
      </c>
    </row>
    <row r="227" spans="1:15" x14ac:dyDescent="0.3">
      <c r="A227">
        <v>33064</v>
      </c>
      <c r="B227">
        <v>3205002</v>
      </c>
      <c r="C227" t="s">
        <v>84</v>
      </c>
      <c r="D227">
        <v>13.06</v>
      </c>
      <c r="E227">
        <v>32776937.629999999</v>
      </c>
      <c r="F227">
        <v>3680360.51</v>
      </c>
      <c r="G227">
        <v>36457298.140000001</v>
      </c>
      <c r="H227">
        <v>788853.3</v>
      </c>
      <c r="I227">
        <v>2707439.2</v>
      </c>
      <c r="J227">
        <v>13.06</v>
      </c>
      <c r="K227">
        <v>977921.36</v>
      </c>
      <c r="L227">
        <v>0</v>
      </c>
      <c r="M227">
        <v>0</v>
      </c>
      <c r="N227">
        <v>2021</v>
      </c>
      <c r="O227">
        <v>3</v>
      </c>
    </row>
    <row r="228" spans="1:15" x14ac:dyDescent="0.3">
      <c r="A228">
        <v>33065</v>
      </c>
      <c r="B228">
        <v>3205010</v>
      </c>
      <c r="C228" t="s">
        <v>85</v>
      </c>
      <c r="D228">
        <v>0.7</v>
      </c>
      <c r="E228">
        <v>1768404.45</v>
      </c>
      <c r="F228">
        <v>198565.4</v>
      </c>
      <c r="G228">
        <v>1966969.85</v>
      </c>
      <c r="H228">
        <v>42560.77</v>
      </c>
      <c r="I228">
        <v>78335.09</v>
      </c>
      <c r="J228">
        <v>0.7</v>
      </c>
      <c r="K228">
        <v>52761.5</v>
      </c>
      <c r="L228">
        <v>0</v>
      </c>
      <c r="M228">
        <v>0</v>
      </c>
      <c r="N228">
        <v>2021</v>
      </c>
      <c r="O228">
        <v>3</v>
      </c>
    </row>
    <row r="229" spans="1:15" x14ac:dyDescent="0.3">
      <c r="A229">
        <v>33066</v>
      </c>
      <c r="B229">
        <v>3205036</v>
      </c>
      <c r="C229" t="s">
        <v>86</v>
      </c>
      <c r="D229">
        <v>0.47</v>
      </c>
      <c r="E229">
        <v>1193986.57</v>
      </c>
      <c r="F229">
        <v>134066.85</v>
      </c>
      <c r="G229">
        <v>1328053.42</v>
      </c>
      <c r="H229">
        <v>28736.07</v>
      </c>
      <c r="I229">
        <v>129667.97</v>
      </c>
      <c r="J229">
        <v>0.47</v>
      </c>
      <c r="K229">
        <v>35623.370000000003</v>
      </c>
      <c r="L229">
        <v>0</v>
      </c>
      <c r="M229">
        <v>0</v>
      </c>
      <c r="N229">
        <v>2021</v>
      </c>
      <c r="O229">
        <v>3</v>
      </c>
    </row>
    <row r="230" spans="1:15" x14ac:dyDescent="0.3">
      <c r="A230">
        <v>33067</v>
      </c>
      <c r="B230">
        <v>3205069</v>
      </c>
      <c r="C230" t="s">
        <v>87</v>
      </c>
      <c r="D230">
        <v>0.72</v>
      </c>
      <c r="E230">
        <v>1808538.45</v>
      </c>
      <c r="F230">
        <v>203071.85</v>
      </c>
      <c r="G230">
        <v>2011610.3</v>
      </c>
      <c r="H230">
        <v>43526.69</v>
      </c>
      <c r="I230">
        <v>218591.72</v>
      </c>
      <c r="J230">
        <v>0.72</v>
      </c>
      <c r="K230">
        <v>53958.93</v>
      </c>
      <c r="L230">
        <v>0</v>
      </c>
      <c r="M230">
        <v>0</v>
      </c>
      <c r="N230">
        <v>2021</v>
      </c>
      <c r="O230">
        <v>3</v>
      </c>
    </row>
    <row r="231" spans="1:15" x14ac:dyDescent="0.3">
      <c r="A231">
        <v>33068</v>
      </c>
      <c r="B231">
        <v>2112803</v>
      </c>
      <c r="C231" t="s">
        <v>88</v>
      </c>
      <c r="D231">
        <v>2.25</v>
      </c>
      <c r="E231">
        <v>5651369.1299999999</v>
      </c>
      <c r="F231">
        <v>634564.32999999996</v>
      </c>
      <c r="G231">
        <v>6285933.46</v>
      </c>
      <c r="H231">
        <v>136013.35</v>
      </c>
      <c r="I231">
        <v>585190.9</v>
      </c>
      <c r="J231">
        <v>2.25</v>
      </c>
      <c r="K231">
        <v>168612.29</v>
      </c>
      <c r="L231">
        <v>0</v>
      </c>
      <c r="M231">
        <v>0</v>
      </c>
      <c r="N231">
        <v>2021</v>
      </c>
      <c r="O231">
        <v>3</v>
      </c>
    </row>
    <row r="232" spans="1:15" x14ac:dyDescent="0.3">
      <c r="A232">
        <v>33069</v>
      </c>
      <c r="B232">
        <v>3205150</v>
      </c>
      <c r="C232" t="s">
        <v>89</v>
      </c>
      <c r="D232">
        <v>0.32</v>
      </c>
      <c r="E232">
        <v>820238.67</v>
      </c>
      <c r="F232">
        <v>92100.55</v>
      </c>
      <c r="G232">
        <v>912339.22</v>
      </c>
      <c r="H232">
        <v>19740.95</v>
      </c>
      <c r="I232">
        <v>28218.66</v>
      </c>
      <c r="J232">
        <v>0.32</v>
      </c>
      <c r="K232">
        <v>24472.36</v>
      </c>
      <c r="L232">
        <v>0</v>
      </c>
      <c r="M232">
        <v>0</v>
      </c>
      <c r="N232">
        <v>2021</v>
      </c>
      <c r="O232">
        <v>3</v>
      </c>
    </row>
    <row r="233" spans="1:15" x14ac:dyDescent="0.3">
      <c r="A233">
        <v>33070</v>
      </c>
      <c r="B233">
        <v>3205176</v>
      </c>
      <c r="C233" t="s">
        <v>90</v>
      </c>
      <c r="D233">
        <v>0.61</v>
      </c>
      <c r="E233">
        <v>1545159.08</v>
      </c>
      <c r="F233">
        <v>173498.31</v>
      </c>
      <c r="G233">
        <v>1718657.39</v>
      </c>
      <c r="H233">
        <v>37187.85</v>
      </c>
      <c r="I233">
        <v>66286.92</v>
      </c>
      <c r="J233">
        <v>0.61</v>
      </c>
      <c r="K233">
        <v>46100.83</v>
      </c>
      <c r="L233">
        <v>0</v>
      </c>
      <c r="M233">
        <v>0</v>
      </c>
      <c r="N233">
        <v>2021</v>
      </c>
      <c r="O233">
        <v>3</v>
      </c>
    </row>
    <row r="234" spans="1:15" x14ac:dyDescent="0.3">
      <c r="A234">
        <v>33071</v>
      </c>
      <c r="B234">
        <v>3205200</v>
      </c>
      <c r="C234" t="s">
        <v>91</v>
      </c>
      <c r="D234">
        <v>5.55</v>
      </c>
      <c r="E234">
        <v>13939040.49</v>
      </c>
      <c r="F234">
        <v>1565146.06</v>
      </c>
      <c r="G234">
        <v>15504186.550000001</v>
      </c>
      <c r="H234">
        <v>335475.45</v>
      </c>
      <c r="I234">
        <v>2930473.8</v>
      </c>
      <c r="J234">
        <v>5.55</v>
      </c>
      <c r="K234">
        <v>415880.39</v>
      </c>
      <c r="L234">
        <v>0</v>
      </c>
      <c r="M234">
        <v>0</v>
      </c>
      <c r="N234">
        <v>2021</v>
      </c>
      <c r="O234">
        <v>3</v>
      </c>
    </row>
    <row r="235" spans="1:15" x14ac:dyDescent="0.3">
      <c r="A235">
        <v>33072</v>
      </c>
      <c r="B235">
        <v>3205309</v>
      </c>
      <c r="C235" t="s">
        <v>92</v>
      </c>
      <c r="D235">
        <v>15.84</v>
      </c>
      <c r="E235">
        <v>39740187.159999996</v>
      </c>
      <c r="F235">
        <v>4462229.51</v>
      </c>
      <c r="G235">
        <v>44202416.670000002</v>
      </c>
      <c r="H235">
        <v>956440.1</v>
      </c>
      <c r="I235">
        <v>4498704.49</v>
      </c>
      <c r="J235">
        <v>15.84</v>
      </c>
      <c r="K235">
        <v>1185674.3899999999</v>
      </c>
      <c r="L235">
        <v>0</v>
      </c>
      <c r="M235">
        <v>0</v>
      </c>
      <c r="N235">
        <v>2021</v>
      </c>
      <c r="O235">
        <v>3</v>
      </c>
    </row>
    <row r="236" spans="1:15" x14ac:dyDescent="0.3">
      <c r="A236">
        <v>33073</v>
      </c>
      <c r="B236">
        <v>3200102</v>
      </c>
      <c r="C236" t="s">
        <v>15</v>
      </c>
      <c r="D236">
        <v>0.79</v>
      </c>
      <c r="E236">
        <v>2193908.21</v>
      </c>
      <c r="F236">
        <v>164820.01999999999</v>
      </c>
      <c r="G236">
        <v>2358728.23</v>
      </c>
      <c r="H236">
        <v>54592.11</v>
      </c>
      <c r="I236">
        <v>158899.51</v>
      </c>
      <c r="J236">
        <v>0.79</v>
      </c>
      <c r="K236">
        <v>68177.66</v>
      </c>
      <c r="L236">
        <v>0</v>
      </c>
      <c r="M236">
        <v>0</v>
      </c>
      <c r="N236">
        <v>2021</v>
      </c>
      <c r="O236">
        <v>4</v>
      </c>
    </row>
    <row r="237" spans="1:15" x14ac:dyDescent="0.3">
      <c r="A237">
        <v>33074</v>
      </c>
      <c r="B237">
        <v>3200169</v>
      </c>
      <c r="C237" t="s">
        <v>16</v>
      </c>
      <c r="D237">
        <v>0.28999999999999998</v>
      </c>
      <c r="E237">
        <v>819279</v>
      </c>
      <c r="F237">
        <v>61549.32</v>
      </c>
      <c r="G237">
        <v>880828.32</v>
      </c>
      <c r="H237">
        <v>20386.53</v>
      </c>
      <c r="I237">
        <v>41992.160000000003</v>
      </c>
      <c r="J237">
        <v>0.28999999999999998</v>
      </c>
      <c r="K237">
        <v>25459.83</v>
      </c>
      <c r="L237">
        <v>0</v>
      </c>
      <c r="M237">
        <v>0</v>
      </c>
      <c r="N237">
        <v>2021</v>
      </c>
      <c r="O237">
        <v>4</v>
      </c>
    </row>
    <row r="238" spans="1:15" x14ac:dyDescent="0.3">
      <c r="A238">
        <v>33075</v>
      </c>
      <c r="B238">
        <v>3200136</v>
      </c>
      <c r="C238" t="s">
        <v>17</v>
      </c>
      <c r="D238">
        <v>0.42</v>
      </c>
      <c r="E238">
        <v>1168434.83</v>
      </c>
      <c r="F238">
        <v>87780.08</v>
      </c>
      <c r="G238">
        <v>1256214.9099999999</v>
      </c>
      <c r="H238">
        <v>29074.75</v>
      </c>
      <c r="I238">
        <v>29803.39</v>
      </c>
      <c r="J238">
        <v>0.42</v>
      </c>
      <c r="K238">
        <v>36310.160000000003</v>
      </c>
      <c r="L238">
        <v>0</v>
      </c>
      <c r="M238">
        <v>0</v>
      </c>
      <c r="N238">
        <v>2021</v>
      </c>
      <c r="O238">
        <v>4</v>
      </c>
    </row>
    <row r="239" spans="1:15" x14ac:dyDescent="0.3">
      <c r="A239">
        <v>33076</v>
      </c>
      <c r="B239">
        <v>3200201</v>
      </c>
      <c r="C239" t="s">
        <v>18</v>
      </c>
      <c r="D239">
        <v>0.48</v>
      </c>
      <c r="E239">
        <v>1330641.06</v>
      </c>
      <c r="F239">
        <v>99966.02</v>
      </c>
      <c r="G239">
        <v>1430607.08</v>
      </c>
      <c r="H239">
        <v>33111</v>
      </c>
      <c r="I239">
        <v>149902.51999999999</v>
      </c>
      <c r="J239">
        <v>0.48</v>
      </c>
      <c r="K239">
        <v>41350.86</v>
      </c>
      <c r="L239">
        <v>0</v>
      </c>
      <c r="M239">
        <v>0</v>
      </c>
      <c r="N239">
        <v>2021</v>
      </c>
      <c r="O239">
        <v>4</v>
      </c>
    </row>
    <row r="240" spans="1:15" x14ac:dyDescent="0.3">
      <c r="A240">
        <v>33077</v>
      </c>
      <c r="B240">
        <v>3200300</v>
      </c>
      <c r="C240" t="s">
        <v>19</v>
      </c>
      <c r="D240">
        <v>0.48</v>
      </c>
      <c r="E240">
        <v>1319644.02</v>
      </c>
      <c r="F240">
        <v>99139.87</v>
      </c>
      <c r="G240">
        <v>1418783.89</v>
      </c>
      <c r="H240">
        <v>32837.360000000001</v>
      </c>
      <c r="I240">
        <v>183837.47</v>
      </c>
      <c r="J240">
        <v>0.48</v>
      </c>
      <c r="K240">
        <v>41009.120000000003</v>
      </c>
      <c r="L240">
        <v>0</v>
      </c>
      <c r="M240">
        <v>0</v>
      </c>
      <c r="N240">
        <v>2021</v>
      </c>
      <c r="O240">
        <v>4</v>
      </c>
    </row>
    <row r="241" spans="1:15" x14ac:dyDescent="0.3">
      <c r="A241">
        <v>33078</v>
      </c>
      <c r="B241">
        <v>3200359</v>
      </c>
      <c r="C241" t="s">
        <v>20</v>
      </c>
      <c r="D241">
        <v>0.22</v>
      </c>
      <c r="E241">
        <v>629580.16</v>
      </c>
      <c r="F241">
        <v>47297.98</v>
      </c>
      <c r="G241">
        <v>676878.14</v>
      </c>
      <c r="H241">
        <v>15666.16</v>
      </c>
      <c r="I241">
        <v>29849.66</v>
      </c>
      <c r="J241">
        <v>0.22</v>
      </c>
      <c r="K241">
        <v>19564.77</v>
      </c>
      <c r="L241">
        <v>0</v>
      </c>
      <c r="M241">
        <v>0</v>
      </c>
      <c r="N241">
        <v>2021</v>
      </c>
      <c r="O241">
        <v>4</v>
      </c>
    </row>
    <row r="242" spans="1:15" x14ac:dyDescent="0.3">
      <c r="A242">
        <v>33079</v>
      </c>
      <c r="B242">
        <v>3200409</v>
      </c>
      <c r="C242" t="s">
        <v>21</v>
      </c>
      <c r="D242">
        <v>2.59</v>
      </c>
      <c r="E242">
        <v>7142573.3600000003</v>
      </c>
      <c r="F242">
        <v>536594.46</v>
      </c>
      <c r="G242">
        <v>7679167.8200000003</v>
      </c>
      <c r="H242">
        <v>177732.21</v>
      </c>
      <c r="I242">
        <v>198453.76000000001</v>
      </c>
      <c r="J242">
        <v>2.59</v>
      </c>
      <c r="K242">
        <v>221961.86</v>
      </c>
      <c r="L242">
        <v>0</v>
      </c>
      <c r="M242">
        <v>0</v>
      </c>
      <c r="N242">
        <v>2021</v>
      </c>
      <c r="O242">
        <v>4</v>
      </c>
    </row>
    <row r="243" spans="1:15" x14ac:dyDescent="0.3">
      <c r="A243">
        <v>33080</v>
      </c>
      <c r="B243">
        <v>3200508</v>
      </c>
      <c r="C243" t="s">
        <v>22</v>
      </c>
      <c r="D243">
        <v>0.19</v>
      </c>
      <c r="E243">
        <v>536105.4</v>
      </c>
      <c r="F243">
        <v>40275.56</v>
      </c>
      <c r="G243">
        <v>576380.96</v>
      </c>
      <c r="H243">
        <v>13340.18</v>
      </c>
      <c r="I243">
        <v>85198.52</v>
      </c>
      <c r="J243">
        <v>0.19</v>
      </c>
      <c r="K243">
        <v>16659.96</v>
      </c>
      <c r="L243">
        <v>0</v>
      </c>
      <c r="M243">
        <v>0</v>
      </c>
      <c r="N243">
        <v>2021</v>
      </c>
      <c r="O243">
        <v>4</v>
      </c>
    </row>
    <row r="244" spans="1:15" x14ac:dyDescent="0.3">
      <c r="A244">
        <v>33081</v>
      </c>
      <c r="B244">
        <v>3200607</v>
      </c>
      <c r="C244" t="s">
        <v>23</v>
      </c>
      <c r="D244">
        <v>5.18</v>
      </c>
      <c r="E244">
        <v>14241158.560000001</v>
      </c>
      <c r="F244">
        <v>1069884.23</v>
      </c>
      <c r="G244">
        <v>15311042.789999999</v>
      </c>
      <c r="H244">
        <v>354369.85</v>
      </c>
      <c r="I244">
        <v>691593.61</v>
      </c>
      <c r="J244">
        <v>5.18</v>
      </c>
      <c r="K244">
        <v>442556.76</v>
      </c>
      <c r="L244">
        <v>0</v>
      </c>
      <c r="M244">
        <v>0</v>
      </c>
      <c r="N244">
        <v>2021</v>
      </c>
      <c r="O244">
        <v>4</v>
      </c>
    </row>
    <row r="245" spans="1:15" x14ac:dyDescent="0.3">
      <c r="A245">
        <v>33082</v>
      </c>
      <c r="B245">
        <v>3200706</v>
      </c>
      <c r="C245" t="s">
        <v>24</v>
      </c>
      <c r="D245">
        <v>0.36</v>
      </c>
      <c r="E245">
        <v>1014476.35</v>
      </c>
      <c r="F245">
        <v>76213.759999999995</v>
      </c>
      <c r="G245">
        <v>1090690.1100000001</v>
      </c>
      <c r="H245">
        <v>25243.72</v>
      </c>
      <c r="I245">
        <v>60608.3</v>
      </c>
      <c r="J245">
        <v>0.36</v>
      </c>
      <c r="K245">
        <v>31525.75</v>
      </c>
      <c r="L245">
        <v>0</v>
      </c>
      <c r="M245">
        <v>0</v>
      </c>
      <c r="N245">
        <v>2021</v>
      </c>
      <c r="O245">
        <v>4</v>
      </c>
    </row>
    <row r="246" spans="1:15" x14ac:dyDescent="0.3">
      <c r="A246">
        <v>33083</v>
      </c>
      <c r="B246">
        <v>3200805</v>
      </c>
      <c r="C246" t="s">
        <v>25</v>
      </c>
      <c r="D246">
        <v>0.65</v>
      </c>
      <c r="E246">
        <v>1811761.3</v>
      </c>
      <c r="F246">
        <v>136110.75</v>
      </c>
      <c r="G246">
        <v>1947872.05</v>
      </c>
      <c r="H246">
        <v>45082.96</v>
      </c>
      <c r="I246">
        <v>272843.49</v>
      </c>
      <c r="J246">
        <v>0.65</v>
      </c>
      <c r="K246">
        <v>56302.1</v>
      </c>
      <c r="L246">
        <v>0</v>
      </c>
      <c r="M246">
        <v>0</v>
      </c>
      <c r="N246">
        <v>2021</v>
      </c>
      <c r="O246">
        <v>4</v>
      </c>
    </row>
    <row r="247" spans="1:15" x14ac:dyDescent="0.3">
      <c r="A247">
        <v>33084</v>
      </c>
      <c r="B247">
        <v>3200904</v>
      </c>
      <c r="C247" t="s">
        <v>26</v>
      </c>
      <c r="D247">
        <v>0.9</v>
      </c>
      <c r="E247">
        <v>2490828.14</v>
      </c>
      <c r="F247">
        <v>187126.48</v>
      </c>
      <c r="G247">
        <v>2677954.62</v>
      </c>
      <c r="H247">
        <v>61980.52</v>
      </c>
      <c r="I247">
        <v>285518.39</v>
      </c>
      <c r="J247">
        <v>0.9</v>
      </c>
      <c r="K247">
        <v>77404.710000000006</v>
      </c>
      <c r="L247">
        <v>0</v>
      </c>
      <c r="M247">
        <v>0</v>
      </c>
      <c r="N247">
        <v>2021</v>
      </c>
      <c r="O247">
        <v>4</v>
      </c>
    </row>
    <row r="248" spans="1:15" x14ac:dyDescent="0.3">
      <c r="A248">
        <v>33085</v>
      </c>
      <c r="B248">
        <v>3107109</v>
      </c>
      <c r="C248" t="s">
        <v>27</v>
      </c>
      <c r="D248">
        <v>0.41</v>
      </c>
      <c r="E248">
        <v>1138192.97</v>
      </c>
      <c r="F248">
        <v>85508.12</v>
      </c>
      <c r="G248">
        <v>1223701.0900000001</v>
      </c>
      <c r="H248">
        <v>28322.22</v>
      </c>
      <c r="I248">
        <v>58623.73</v>
      </c>
      <c r="J248">
        <v>0.41</v>
      </c>
      <c r="K248">
        <v>35370.370000000003</v>
      </c>
      <c r="L248">
        <v>0</v>
      </c>
      <c r="M248">
        <v>0</v>
      </c>
      <c r="N248">
        <v>2021</v>
      </c>
      <c r="O248">
        <v>4</v>
      </c>
    </row>
    <row r="249" spans="1:15" x14ac:dyDescent="0.3">
      <c r="A249">
        <v>33086</v>
      </c>
      <c r="B249">
        <v>3201100</v>
      </c>
      <c r="C249" t="s">
        <v>28</v>
      </c>
      <c r="D249">
        <v>0.17</v>
      </c>
      <c r="E249">
        <v>467373.93</v>
      </c>
      <c r="F249">
        <v>35112.03</v>
      </c>
      <c r="G249">
        <v>502485.96</v>
      </c>
      <c r="H249">
        <v>11629.9</v>
      </c>
      <c r="I249">
        <v>266580.21000000002</v>
      </c>
      <c r="J249">
        <v>0.17</v>
      </c>
      <c r="K249">
        <v>14524.06</v>
      </c>
      <c r="L249">
        <v>0</v>
      </c>
      <c r="M249">
        <v>0</v>
      </c>
      <c r="N249">
        <v>2021</v>
      </c>
      <c r="O249">
        <v>4</v>
      </c>
    </row>
    <row r="250" spans="1:15" x14ac:dyDescent="0.3">
      <c r="A250">
        <v>33087</v>
      </c>
      <c r="B250">
        <v>3201159</v>
      </c>
      <c r="C250" t="s">
        <v>29</v>
      </c>
      <c r="D250">
        <v>0.43</v>
      </c>
      <c r="E250">
        <v>1204175.2</v>
      </c>
      <c r="F250">
        <v>90465.11</v>
      </c>
      <c r="G250">
        <v>1294640.31</v>
      </c>
      <c r="H250">
        <v>29964.09</v>
      </c>
      <c r="I250">
        <v>54742.61</v>
      </c>
      <c r="J250">
        <v>0.43</v>
      </c>
      <c r="K250">
        <v>37420.82</v>
      </c>
      <c r="L250">
        <v>0</v>
      </c>
      <c r="M250">
        <v>0</v>
      </c>
      <c r="N250">
        <v>2021</v>
      </c>
      <c r="O250">
        <v>4</v>
      </c>
    </row>
    <row r="251" spans="1:15" x14ac:dyDescent="0.3">
      <c r="A251">
        <v>33088</v>
      </c>
      <c r="B251">
        <v>3201209</v>
      </c>
      <c r="C251" t="s">
        <v>30</v>
      </c>
      <c r="D251">
        <v>3.11</v>
      </c>
      <c r="E251">
        <v>8555692.1699999999</v>
      </c>
      <c r="F251">
        <v>642756.69999999995</v>
      </c>
      <c r="G251">
        <v>9198448.8699999992</v>
      </c>
      <c r="H251">
        <v>212895.55</v>
      </c>
      <c r="I251">
        <v>1579459.78</v>
      </c>
      <c r="J251">
        <v>3.11</v>
      </c>
      <c r="K251">
        <v>265875.8</v>
      </c>
      <c r="L251">
        <v>0</v>
      </c>
      <c r="M251">
        <v>0</v>
      </c>
      <c r="N251">
        <v>2021</v>
      </c>
      <c r="O251">
        <v>4</v>
      </c>
    </row>
    <row r="252" spans="1:15" x14ac:dyDescent="0.3">
      <c r="A252">
        <v>33089</v>
      </c>
      <c r="B252">
        <v>3201308</v>
      </c>
      <c r="C252" t="s">
        <v>31</v>
      </c>
      <c r="D252">
        <v>6.51</v>
      </c>
      <c r="E252">
        <v>17908669.25</v>
      </c>
      <c r="F252">
        <v>1345410.41</v>
      </c>
      <c r="G252">
        <v>19254079.66</v>
      </c>
      <c r="H252">
        <v>445630.34</v>
      </c>
      <c r="I252">
        <v>1517826.28</v>
      </c>
      <c r="J252">
        <v>6.51</v>
      </c>
      <c r="K252">
        <v>556527.93999999994</v>
      </c>
      <c r="L252">
        <v>0</v>
      </c>
      <c r="M252">
        <v>0</v>
      </c>
      <c r="N252">
        <v>2021</v>
      </c>
      <c r="O252">
        <v>4</v>
      </c>
    </row>
    <row r="253" spans="1:15" x14ac:dyDescent="0.3">
      <c r="A253">
        <v>33090</v>
      </c>
      <c r="B253">
        <v>3201407</v>
      </c>
      <c r="C253" t="s">
        <v>32</v>
      </c>
      <c r="D253">
        <v>0.93</v>
      </c>
      <c r="E253">
        <v>2573305.87</v>
      </c>
      <c r="F253">
        <v>193322.7</v>
      </c>
      <c r="G253">
        <v>2766628.57</v>
      </c>
      <c r="H253">
        <v>64032.85</v>
      </c>
      <c r="I253">
        <v>375262.16</v>
      </c>
      <c r="J253">
        <v>0.93</v>
      </c>
      <c r="K253">
        <v>79967.78</v>
      </c>
      <c r="L253">
        <v>0</v>
      </c>
      <c r="M253">
        <v>0</v>
      </c>
      <c r="N253">
        <v>2021</v>
      </c>
      <c r="O253">
        <v>4</v>
      </c>
    </row>
    <row r="254" spans="1:15" x14ac:dyDescent="0.3">
      <c r="A254">
        <v>33091</v>
      </c>
      <c r="B254">
        <v>3201506</v>
      </c>
      <c r="C254" t="s">
        <v>33</v>
      </c>
      <c r="D254">
        <v>2.2000000000000002</v>
      </c>
      <c r="E254">
        <v>6051117.75</v>
      </c>
      <c r="F254">
        <v>454597.53</v>
      </c>
      <c r="G254">
        <v>6505715.2800000003</v>
      </c>
      <c r="H254">
        <v>150572.98000000001</v>
      </c>
      <c r="I254">
        <v>1095774.03</v>
      </c>
      <c r="J254">
        <v>2.2000000000000002</v>
      </c>
      <c r="K254">
        <v>188043.9</v>
      </c>
      <c r="L254">
        <v>0</v>
      </c>
      <c r="M254">
        <v>0</v>
      </c>
      <c r="N254">
        <v>2021</v>
      </c>
      <c r="O254">
        <v>4</v>
      </c>
    </row>
    <row r="255" spans="1:15" x14ac:dyDescent="0.3">
      <c r="A255">
        <v>33092</v>
      </c>
      <c r="B255">
        <v>3201605</v>
      </c>
      <c r="C255" t="s">
        <v>34</v>
      </c>
      <c r="D255">
        <v>0.57999999999999996</v>
      </c>
      <c r="E255">
        <v>1608316.17</v>
      </c>
      <c r="F255">
        <v>120826.69</v>
      </c>
      <c r="G255">
        <v>1729142.86</v>
      </c>
      <c r="H255">
        <v>40020.53</v>
      </c>
      <c r="I255">
        <v>94430.35</v>
      </c>
      <c r="J255">
        <v>0.57999999999999996</v>
      </c>
      <c r="K255">
        <v>49979.87</v>
      </c>
      <c r="L255">
        <v>0</v>
      </c>
      <c r="M255">
        <v>0</v>
      </c>
      <c r="N255">
        <v>2021</v>
      </c>
      <c r="O255">
        <v>4</v>
      </c>
    </row>
    <row r="256" spans="1:15" x14ac:dyDescent="0.3">
      <c r="A256">
        <v>33093</v>
      </c>
      <c r="B256">
        <v>3201704</v>
      </c>
      <c r="C256" t="s">
        <v>35</v>
      </c>
      <c r="D256">
        <v>0.45</v>
      </c>
      <c r="E256">
        <v>1253661.8400000001</v>
      </c>
      <c r="F256">
        <v>94182.85</v>
      </c>
      <c r="G256">
        <v>1347844.69</v>
      </c>
      <c r="H256">
        <v>31195.49</v>
      </c>
      <c r="I256">
        <v>62741.440000000002</v>
      </c>
      <c r="J256">
        <v>0.45</v>
      </c>
      <c r="K256">
        <v>38958.660000000003</v>
      </c>
      <c r="L256">
        <v>0</v>
      </c>
      <c r="M256">
        <v>0</v>
      </c>
      <c r="N256">
        <v>2021</v>
      </c>
      <c r="O256">
        <v>4</v>
      </c>
    </row>
    <row r="257" spans="1:15" x14ac:dyDescent="0.3">
      <c r="A257">
        <v>33094</v>
      </c>
      <c r="B257">
        <v>3201803</v>
      </c>
      <c r="C257" t="s">
        <v>36</v>
      </c>
      <c r="D257">
        <v>0.19</v>
      </c>
      <c r="E257">
        <v>522359.09</v>
      </c>
      <c r="F257">
        <v>39242.85</v>
      </c>
      <c r="G257">
        <v>561601.93999999994</v>
      </c>
      <c r="H257">
        <v>12998.12</v>
      </c>
      <c r="I257">
        <v>20734.14</v>
      </c>
      <c r="J257">
        <v>0.19</v>
      </c>
      <c r="K257">
        <v>16232.78</v>
      </c>
      <c r="L257">
        <v>0</v>
      </c>
      <c r="M257">
        <v>0</v>
      </c>
      <c r="N257">
        <v>2021</v>
      </c>
      <c r="O257">
        <v>4</v>
      </c>
    </row>
    <row r="258" spans="1:15" x14ac:dyDescent="0.3">
      <c r="A258">
        <v>33095</v>
      </c>
      <c r="B258">
        <v>3201902</v>
      </c>
      <c r="C258" t="s">
        <v>37</v>
      </c>
      <c r="D258">
        <v>1.22</v>
      </c>
      <c r="E258">
        <v>3365092.3</v>
      </c>
      <c r="F258">
        <v>252806.62</v>
      </c>
      <c r="G258">
        <v>3617898.92</v>
      </c>
      <c r="H258">
        <v>83735.27</v>
      </c>
      <c r="I258">
        <v>329720.93</v>
      </c>
      <c r="J258">
        <v>1.22</v>
      </c>
      <c r="K258">
        <v>104573.26</v>
      </c>
      <c r="L258">
        <v>0</v>
      </c>
      <c r="M258">
        <v>0</v>
      </c>
      <c r="N258">
        <v>2021</v>
      </c>
      <c r="O258">
        <v>4</v>
      </c>
    </row>
    <row r="259" spans="1:15" x14ac:dyDescent="0.3">
      <c r="A259">
        <v>33096</v>
      </c>
      <c r="B259">
        <v>3202009</v>
      </c>
      <c r="C259" t="s">
        <v>38</v>
      </c>
      <c r="D259">
        <v>0.24</v>
      </c>
      <c r="E259">
        <v>670819.05000000005</v>
      </c>
      <c r="F259">
        <v>50396.1</v>
      </c>
      <c r="G259">
        <v>721215.15</v>
      </c>
      <c r="H259">
        <v>16692.32</v>
      </c>
      <c r="I259">
        <v>75473.119999999995</v>
      </c>
      <c r="J259">
        <v>0.24</v>
      </c>
      <c r="K259">
        <v>20846.3</v>
      </c>
      <c r="L259">
        <v>0</v>
      </c>
      <c r="M259">
        <v>0</v>
      </c>
      <c r="N259">
        <v>2021</v>
      </c>
      <c r="O259">
        <v>4</v>
      </c>
    </row>
    <row r="260" spans="1:15" x14ac:dyDescent="0.3">
      <c r="A260">
        <v>33097</v>
      </c>
      <c r="B260">
        <v>3202108</v>
      </c>
      <c r="C260" t="s">
        <v>39</v>
      </c>
      <c r="D260">
        <v>0.69</v>
      </c>
      <c r="E260">
        <v>1921731.63</v>
      </c>
      <c r="F260">
        <v>144372.42000000001</v>
      </c>
      <c r="G260">
        <v>2066104.05</v>
      </c>
      <c r="H260">
        <v>47819.41</v>
      </c>
      <c r="I260">
        <v>71703.81</v>
      </c>
      <c r="J260">
        <v>0.69</v>
      </c>
      <c r="K260">
        <v>59719.53</v>
      </c>
      <c r="L260">
        <v>0</v>
      </c>
      <c r="M260">
        <v>0</v>
      </c>
      <c r="N260">
        <v>2021</v>
      </c>
      <c r="O260">
        <v>4</v>
      </c>
    </row>
    <row r="261" spans="1:15" x14ac:dyDescent="0.3">
      <c r="A261">
        <v>33098</v>
      </c>
      <c r="B261">
        <v>3202207</v>
      </c>
      <c r="C261" t="s">
        <v>40</v>
      </c>
      <c r="D261">
        <v>0.33</v>
      </c>
      <c r="E261">
        <v>910004.53</v>
      </c>
      <c r="F261">
        <v>68365.19</v>
      </c>
      <c r="G261">
        <v>978369.72</v>
      </c>
      <c r="H261">
        <v>22644.1</v>
      </c>
      <c r="I261">
        <v>94554.62</v>
      </c>
      <c r="J261">
        <v>0.33</v>
      </c>
      <c r="K261">
        <v>28279.21</v>
      </c>
      <c r="L261">
        <v>0</v>
      </c>
      <c r="M261">
        <v>0</v>
      </c>
      <c r="N261">
        <v>2021</v>
      </c>
      <c r="O261">
        <v>4</v>
      </c>
    </row>
    <row r="262" spans="1:15" x14ac:dyDescent="0.3">
      <c r="A262">
        <v>33099</v>
      </c>
      <c r="B262">
        <v>3202256</v>
      </c>
      <c r="C262" t="s">
        <v>41</v>
      </c>
      <c r="D262">
        <v>0.44</v>
      </c>
      <c r="E262">
        <v>1217921.5</v>
      </c>
      <c r="F262">
        <v>91497.83</v>
      </c>
      <c r="G262">
        <v>1309419.33</v>
      </c>
      <c r="H262">
        <v>30306.15</v>
      </c>
      <c r="I262">
        <v>74523.070000000007</v>
      </c>
      <c r="J262">
        <v>0.44</v>
      </c>
      <c r="K262">
        <v>37848</v>
      </c>
      <c r="L262">
        <v>0</v>
      </c>
      <c r="M262">
        <v>0</v>
      </c>
      <c r="N262">
        <v>2021</v>
      </c>
      <c r="O262">
        <v>4</v>
      </c>
    </row>
    <row r="263" spans="1:15" x14ac:dyDescent="0.3">
      <c r="A263">
        <v>33100</v>
      </c>
      <c r="B263">
        <v>3202306</v>
      </c>
      <c r="C263" t="s">
        <v>42</v>
      </c>
      <c r="D263">
        <v>0.39</v>
      </c>
      <c r="E263">
        <v>1074960.03</v>
      </c>
      <c r="F263">
        <v>80757.679999999993</v>
      </c>
      <c r="G263">
        <v>1155717.71</v>
      </c>
      <c r="H263">
        <v>26748.77</v>
      </c>
      <c r="I263">
        <v>252663.82</v>
      </c>
      <c r="J263">
        <v>0.39</v>
      </c>
      <c r="K263">
        <v>33405.35</v>
      </c>
      <c r="L263">
        <v>0</v>
      </c>
      <c r="M263">
        <v>0</v>
      </c>
      <c r="N263">
        <v>2021</v>
      </c>
      <c r="O263">
        <v>4</v>
      </c>
    </row>
    <row r="264" spans="1:15" x14ac:dyDescent="0.3">
      <c r="A264">
        <v>33101</v>
      </c>
      <c r="B264">
        <v>3202405</v>
      </c>
      <c r="C264" t="s">
        <v>43</v>
      </c>
      <c r="D264">
        <v>0.91</v>
      </c>
      <c r="E264">
        <v>2507323.66</v>
      </c>
      <c r="F264">
        <v>188365.73</v>
      </c>
      <c r="G264">
        <v>2695689.39</v>
      </c>
      <c r="H264">
        <v>62390.98</v>
      </c>
      <c r="I264">
        <v>1949438.23</v>
      </c>
      <c r="J264">
        <v>0.91</v>
      </c>
      <c r="K264">
        <v>77917.33</v>
      </c>
      <c r="L264">
        <v>0</v>
      </c>
      <c r="M264">
        <v>0</v>
      </c>
      <c r="N264">
        <v>2021</v>
      </c>
      <c r="O264">
        <v>4</v>
      </c>
    </row>
    <row r="265" spans="1:15" x14ac:dyDescent="0.3">
      <c r="A265">
        <v>33102</v>
      </c>
      <c r="B265">
        <v>3202454</v>
      </c>
      <c r="C265" t="s">
        <v>44</v>
      </c>
      <c r="D265">
        <v>0.36</v>
      </c>
      <c r="E265">
        <v>989733.02</v>
      </c>
      <c r="F265">
        <v>74354.880000000005</v>
      </c>
      <c r="G265">
        <v>1064087.8999999999</v>
      </c>
      <c r="H265">
        <v>24628.02</v>
      </c>
      <c r="I265">
        <v>155952.51</v>
      </c>
      <c r="J265">
        <v>0.36</v>
      </c>
      <c r="K265">
        <v>30756.84</v>
      </c>
      <c r="L265">
        <v>0</v>
      </c>
      <c r="M265">
        <v>0</v>
      </c>
      <c r="N265">
        <v>2021</v>
      </c>
      <c r="O265">
        <v>4</v>
      </c>
    </row>
    <row r="266" spans="1:15" x14ac:dyDescent="0.3">
      <c r="A266">
        <v>33103</v>
      </c>
      <c r="B266">
        <v>3202504</v>
      </c>
      <c r="C266" t="s">
        <v>45</v>
      </c>
      <c r="D266">
        <v>0.27</v>
      </c>
      <c r="E266">
        <v>750547.54</v>
      </c>
      <c r="F266">
        <v>56385.78</v>
      </c>
      <c r="G266">
        <v>806933.32</v>
      </c>
      <c r="H266">
        <v>18676.25</v>
      </c>
      <c r="I266">
        <v>85259.28</v>
      </c>
      <c r="J266">
        <v>0.27</v>
      </c>
      <c r="K266">
        <v>23323.94</v>
      </c>
      <c r="L266">
        <v>0</v>
      </c>
      <c r="M266">
        <v>0</v>
      </c>
      <c r="N266">
        <v>2021</v>
      </c>
      <c r="O266">
        <v>4</v>
      </c>
    </row>
    <row r="267" spans="1:15" x14ac:dyDescent="0.3">
      <c r="A267">
        <v>33104</v>
      </c>
      <c r="B267">
        <v>3202553</v>
      </c>
      <c r="C267" t="s">
        <v>46</v>
      </c>
      <c r="D267">
        <v>0.24</v>
      </c>
      <c r="E267">
        <v>673568.3</v>
      </c>
      <c r="F267">
        <v>50602.64</v>
      </c>
      <c r="G267">
        <v>724170.94</v>
      </c>
      <c r="H267">
        <v>16760.740000000002</v>
      </c>
      <c r="I267">
        <v>33199.93</v>
      </c>
      <c r="J267">
        <v>0.24</v>
      </c>
      <c r="K267">
        <v>20931.740000000002</v>
      </c>
      <c r="L267">
        <v>0</v>
      </c>
      <c r="M267">
        <v>0</v>
      </c>
      <c r="N267">
        <v>2021</v>
      </c>
      <c r="O267">
        <v>4</v>
      </c>
    </row>
    <row r="268" spans="1:15" x14ac:dyDescent="0.3">
      <c r="A268">
        <v>33105</v>
      </c>
      <c r="B268">
        <v>3202603</v>
      </c>
      <c r="C268" t="s">
        <v>47</v>
      </c>
      <c r="D268">
        <v>0.37</v>
      </c>
      <c r="E268">
        <v>1022724.12</v>
      </c>
      <c r="F268">
        <v>76833.37</v>
      </c>
      <c r="G268">
        <v>1099557.49</v>
      </c>
      <c r="H268">
        <v>25448.95</v>
      </c>
      <c r="I268">
        <v>142292.16</v>
      </c>
      <c r="J268">
        <v>0.37</v>
      </c>
      <c r="K268">
        <v>31782.07</v>
      </c>
      <c r="L268">
        <v>0</v>
      </c>
      <c r="M268">
        <v>0</v>
      </c>
      <c r="N268">
        <v>2021</v>
      </c>
      <c r="O268">
        <v>4</v>
      </c>
    </row>
    <row r="269" spans="1:15" x14ac:dyDescent="0.3">
      <c r="A269">
        <v>33106</v>
      </c>
      <c r="B269">
        <v>3202652</v>
      </c>
      <c r="C269" t="s">
        <v>48</v>
      </c>
      <c r="D269">
        <v>0.3</v>
      </c>
      <c r="E269">
        <v>849520.84</v>
      </c>
      <c r="F269">
        <v>63821.279999999999</v>
      </c>
      <c r="G269">
        <v>913342.12</v>
      </c>
      <c r="H269">
        <v>21139.05</v>
      </c>
      <c r="I269">
        <v>62569.14</v>
      </c>
      <c r="J269">
        <v>0.3</v>
      </c>
      <c r="K269">
        <v>26399.62</v>
      </c>
      <c r="L269">
        <v>0</v>
      </c>
      <c r="M269">
        <v>0</v>
      </c>
      <c r="N269">
        <v>2021</v>
      </c>
      <c r="O269">
        <v>4</v>
      </c>
    </row>
    <row r="270" spans="1:15" x14ac:dyDescent="0.3">
      <c r="A270">
        <v>33107</v>
      </c>
      <c r="B270">
        <v>3202702</v>
      </c>
      <c r="C270" t="s">
        <v>49</v>
      </c>
      <c r="D270">
        <v>0.38</v>
      </c>
      <c r="E270">
        <v>1052965.97</v>
      </c>
      <c r="F270">
        <v>79105.36</v>
      </c>
      <c r="G270">
        <v>1132071.33</v>
      </c>
      <c r="H270">
        <v>26201.48</v>
      </c>
      <c r="I270">
        <v>56702.79</v>
      </c>
      <c r="J270">
        <v>0.38</v>
      </c>
      <c r="K270">
        <v>32721.86</v>
      </c>
      <c r="L270">
        <v>0</v>
      </c>
      <c r="M270">
        <v>0</v>
      </c>
      <c r="N270">
        <v>2021</v>
      </c>
      <c r="O270">
        <v>4</v>
      </c>
    </row>
    <row r="271" spans="1:15" x14ac:dyDescent="0.3">
      <c r="A271">
        <v>33108</v>
      </c>
      <c r="B271">
        <v>3202801</v>
      </c>
      <c r="C271" t="s">
        <v>50</v>
      </c>
      <c r="D271">
        <v>2.66</v>
      </c>
      <c r="E271">
        <v>7326773.6600000001</v>
      </c>
      <c r="F271">
        <v>550432.72</v>
      </c>
      <c r="G271">
        <v>7877206.3799999999</v>
      </c>
      <c r="H271">
        <v>182315.76</v>
      </c>
      <c r="I271">
        <v>180963.66</v>
      </c>
      <c r="J271">
        <v>2.66</v>
      </c>
      <c r="K271">
        <v>227686.05</v>
      </c>
      <c r="L271">
        <v>0</v>
      </c>
      <c r="M271">
        <v>0</v>
      </c>
      <c r="N271">
        <v>2021</v>
      </c>
      <c r="O271">
        <v>4</v>
      </c>
    </row>
    <row r="272" spans="1:15" x14ac:dyDescent="0.3">
      <c r="A272">
        <v>33109</v>
      </c>
      <c r="B272">
        <v>3202900</v>
      </c>
      <c r="C272" t="s">
        <v>51</v>
      </c>
      <c r="D272">
        <v>0.34</v>
      </c>
      <c r="E272">
        <v>940246.36</v>
      </c>
      <c r="F272">
        <v>70637.16</v>
      </c>
      <c r="G272">
        <v>1010883.52</v>
      </c>
      <c r="H272">
        <v>23396.62</v>
      </c>
      <c r="I272">
        <v>118090.87</v>
      </c>
      <c r="J272">
        <v>0.34</v>
      </c>
      <c r="K272">
        <v>29219</v>
      </c>
      <c r="L272">
        <v>0</v>
      </c>
      <c r="M272">
        <v>0</v>
      </c>
      <c r="N272">
        <v>2021</v>
      </c>
      <c r="O272">
        <v>4</v>
      </c>
    </row>
    <row r="273" spans="1:15" x14ac:dyDescent="0.3">
      <c r="A273">
        <v>33110</v>
      </c>
      <c r="B273">
        <v>3203007</v>
      </c>
      <c r="C273" t="s">
        <v>52</v>
      </c>
      <c r="D273">
        <v>0.47</v>
      </c>
      <c r="E273">
        <v>1297649.96</v>
      </c>
      <c r="F273">
        <v>97487.5</v>
      </c>
      <c r="G273">
        <v>1395137.46</v>
      </c>
      <c r="H273">
        <v>32290.07</v>
      </c>
      <c r="I273">
        <v>145740.51</v>
      </c>
      <c r="J273">
        <v>0.47</v>
      </c>
      <c r="K273">
        <v>40325.629999999997</v>
      </c>
      <c r="L273">
        <v>0</v>
      </c>
      <c r="M273">
        <v>0</v>
      </c>
      <c r="N273">
        <v>2021</v>
      </c>
      <c r="O273">
        <v>4</v>
      </c>
    </row>
    <row r="274" spans="1:15" x14ac:dyDescent="0.3">
      <c r="A274">
        <v>33111</v>
      </c>
      <c r="B274">
        <v>3203056</v>
      </c>
      <c r="C274" t="s">
        <v>53</v>
      </c>
      <c r="D274">
        <v>0.86</v>
      </c>
      <c r="E274">
        <v>2378108.54</v>
      </c>
      <c r="F274">
        <v>178658.26</v>
      </c>
      <c r="G274">
        <v>2556766.7999999998</v>
      </c>
      <c r="H274">
        <v>59175.66</v>
      </c>
      <c r="I274">
        <v>170635.91</v>
      </c>
      <c r="J274">
        <v>0.86</v>
      </c>
      <c r="K274">
        <v>73901.850000000006</v>
      </c>
      <c r="L274">
        <v>0</v>
      </c>
      <c r="M274">
        <v>0</v>
      </c>
      <c r="N274">
        <v>2021</v>
      </c>
      <c r="O274">
        <v>4</v>
      </c>
    </row>
    <row r="275" spans="1:15" x14ac:dyDescent="0.3">
      <c r="A275">
        <v>33112</v>
      </c>
      <c r="B275">
        <v>3203106</v>
      </c>
      <c r="C275" t="s">
        <v>54</v>
      </c>
      <c r="D275">
        <v>0.21</v>
      </c>
      <c r="E275">
        <v>588341.30000000005</v>
      </c>
      <c r="F275">
        <v>44199.85</v>
      </c>
      <c r="G275">
        <v>632541.15</v>
      </c>
      <c r="H275">
        <v>14639.99</v>
      </c>
      <c r="I275">
        <v>52651.14</v>
      </c>
      <c r="J275">
        <v>0.21</v>
      </c>
      <c r="K275">
        <v>18283.23</v>
      </c>
      <c r="L275">
        <v>0</v>
      </c>
      <c r="M275">
        <v>0</v>
      </c>
      <c r="N275">
        <v>2021</v>
      </c>
      <c r="O275">
        <v>4</v>
      </c>
    </row>
    <row r="276" spans="1:15" x14ac:dyDescent="0.3">
      <c r="A276">
        <v>33113</v>
      </c>
      <c r="B276">
        <v>3203130</v>
      </c>
      <c r="C276" t="s">
        <v>55</v>
      </c>
      <c r="D276">
        <v>0.42</v>
      </c>
      <c r="E276">
        <v>1173933.3400000001</v>
      </c>
      <c r="F276">
        <v>88193.15</v>
      </c>
      <c r="G276">
        <v>1262126.49</v>
      </c>
      <c r="H276">
        <v>29211.57</v>
      </c>
      <c r="I276">
        <v>119373.31</v>
      </c>
      <c r="J276">
        <v>0.42</v>
      </c>
      <c r="K276">
        <v>36481.03</v>
      </c>
      <c r="L276">
        <v>0</v>
      </c>
      <c r="M276">
        <v>0</v>
      </c>
      <c r="N276">
        <v>2021</v>
      </c>
      <c r="O276">
        <v>4</v>
      </c>
    </row>
    <row r="277" spans="1:15" x14ac:dyDescent="0.3">
      <c r="A277">
        <v>33114</v>
      </c>
      <c r="B277">
        <v>3203163</v>
      </c>
      <c r="C277" t="s">
        <v>56</v>
      </c>
      <c r="D277">
        <v>0.38</v>
      </c>
      <c r="E277">
        <v>1044718.19</v>
      </c>
      <c r="F277">
        <v>78485.72</v>
      </c>
      <c r="G277">
        <v>1123203.9099999999</v>
      </c>
      <c r="H277">
        <v>25996.240000000002</v>
      </c>
      <c r="I277">
        <v>69908.740000000005</v>
      </c>
      <c r="J277">
        <v>0.38</v>
      </c>
      <c r="K277">
        <v>32465.55</v>
      </c>
      <c r="L277">
        <v>0</v>
      </c>
      <c r="M277">
        <v>0</v>
      </c>
      <c r="N277">
        <v>2021</v>
      </c>
      <c r="O277">
        <v>4</v>
      </c>
    </row>
    <row r="278" spans="1:15" x14ac:dyDescent="0.3">
      <c r="A278">
        <v>33115</v>
      </c>
      <c r="B278">
        <v>3203205</v>
      </c>
      <c r="C278" t="s">
        <v>57</v>
      </c>
      <c r="D278">
        <v>5.75</v>
      </c>
      <c r="E278">
        <v>15816483.6</v>
      </c>
      <c r="F278">
        <v>1188232.44</v>
      </c>
      <c r="G278">
        <v>17004716.039999999</v>
      </c>
      <c r="H278">
        <v>393569.44</v>
      </c>
      <c r="I278">
        <v>1246377.51</v>
      </c>
      <c r="J278">
        <v>5.75</v>
      </c>
      <c r="K278">
        <v>491511.39</v>
      </c>
      <c r="L278">
        <v>0</v>
      </c>
      <c r="M278">
        <v>0</v>
      </c>
      <c r="N278">
        <v>2021</v>
      </c>
      <c r="O278">
        <v>4</v>
      </c>
    </row>
    <row r="279" spans="1:15" x14ac:dyDescent="0.3">
      <c r="A279">
        <v>33116</v>
      </c>
      <c r="B279">
        <v>3203304</v>
      </c>
      <c r="C279" t="s">
        <v>58</v>
      </c>
      <c r="D279">
        <v>0.25</v>
      </c>
      <c r="E279">
        <v>701060.9</v>
      </c>
      <c r="F279">
        <v>52668.03</v>
      </c>
      <c r="G279">
        <v>753728.93</v>
      </c>
      <c r="H279">
        <v>17444.849999999999</v>
      </c>
      <c r="I279">
        <v>75552.399999999994</v>
      </c>
      <c r="J279">
        <v>0.25</v>
      </c>
      <c r="K279">
        <v>21786.1</v>
      </c>
      <c r="L279">
        <v>0</v>
      </c>
      <c r="M279">
        <v>0</v>
      </c>
      <c r="N279">
        <v>2021</v>
      </c>
      <c r="O279">
        <v>4</v>
      </c>
    </row>
    <row r="280" spans="1:15" x14ac:dyDescent="0.3">
      <c r="A280">
        <v>33117</v>
      </c>
      <c r="B280">
        <v>3203320</v>
      </c>
      <c r="C280" t="s">
        <v>59</v>
      </c>
      <c r="D280">
        <v>0.61</v>
      </c>
      <c r="E280">
        <v>1696292.44</v>
      </c>
      <c r="F280">
        <v>127436.02</v>
      </c>
      <c r="G280">
        <v>1823728.46</v>
      </c>
      <c r="H280">
        <v>42209.69</v>
      </c>
      <c r="I280">
        <v>283395.40999999997</v>
      </c>
      <c r="J280">
        <v>0.61</v>
      </c>
      <c r="K280">
        <v>52713.81</v>
      </c>
      <c r="L280">
        <v>0</v>
      </c>
      <c r="M280">
        <v>0</v>
      </c>
      <c r="N280">
        <v>2021</v>
      </c>
      <c r="O280">
        <v>4</v>
      </c>
    </row>
    <row r="281" spans="1:15" x14ac:dyDescent="0.3">
      <c r="A281">
        <v>33118</v>
      </c>
      <c r="B281">
        <v>3203346</v>
      </c>
      <c r="C281" t="s">
        <v>60</v>
      </c>
      <c r="D281">
        <v>0.65</v>
      </c>
      <c r="E281">
        <v>1806262.78</v>
      </c>
      <c r="F281">
        <v>135697.67000000001</v>
      </c>
      <c r="G281">
        <v>1941960.45</v>
      </c>
      <c r="H281">
        <v>44946.14</v>
      </c>
      <c r="I281">
        <v>205000.08</v>
      </c>
      <c r="J281">
        <v>0.65</v>
      </c>
      <c r="K281">
        <v>56131.23</v>
      </c>
      <c r="L281">
        <v>0</v>
      </c>
      <c r="M281">
        <v>0</v>
      </c>
      <c r="N281">
        <v>2021</v>
      </c>
      <c r="O281">
        <v>4</v>
      </c>
    </row>
    <row r="282" spans="1:15" x14ac:dyDescent="0.3">
      <c r="A282">
        <v>33119</v>
      </c>
      <c r="B282">
        <v>3203353</v>
      </c>
      <c r="C282" t="s">
        <v>61</v>
      </c>
      <c r="D282">
        <v>0.43</v>
      </c>
      <c r="E282">
        <v>1204175.2</v>
      </c>
      <c r="F282">
        <v>90465.11</v>
      </c>
      <c r="G282">
        <v>1294640.31</v>
      </c>
      <c r="H282">
        <v>29964.09</v>
      </c>
      <c r="I282">
        <v>120710.1</v>
      </c>
      <c r="J282">
        <v>0.43</v>
      </c>
      <c r="K282">
        <v>37420.82</v>
      </c>
      <c r="L282">
        <v>0</v>
      </c>
      <c r="M282">
        <v>0</v>
      </c>
      <c r="N282">
        <v>2021</v>
      </c>
      <c r="O282">
        <v>4</v>
      </c>
    </row>
    <row r="283" spans="1:15" x14ac:dyDescent="0.3">
      <c r="A283">
        <v>33120</v>
      </c>
      <c r="B283">
        <v>3203403</v>
      </c>
      <c r="C283" t="s">
        <v>62</v>
      </c>
      <c r="D283">
        <v>0.5</v>
      </c>
      <c r="E283">
        <v>1374629.2</v>
      </c>
      <c r="F283">
        <v>103270.67</v>
      </c>
      <c r="G283">
        <v>1477899.87</v>
      </c>
      <c r="H283">
        <v>34205.58</v>
      </c>
      <c r="I283">
        <v>150566.67000000001</v>
      </c>
      <c r="J283">
        <v>0.5</v>
      </c>
      <c r="K283">
        <v>42717.83</v>
      </c>
      <c r="L283">
        <v>0</v>
      </c>
      <c r="M283">
        <v>0</v>
      </c>
      <c r="N283">
        <v>2021</v>
      </c>
      <c r="O283">
        <v>4</v>
      </c>
    </row>
    <row r="284" spans="1:15" x14ac:dyDescent="0.3">
      <c r="A284">
        <v>33121</v>
      </c>
      <c r="B284">
        <v>3203502</v>
      </c>
      <c r="C284" t="s">
        <v>63</v>
      </c>
      <c r="D284">
        <v>0.52</v>
      </c>
      <c r="E284">
        <v>1443360.66</v>
      </c>
      <c r="F284">
        <v>108434.21</v>
      </c>
      <c r="G284">
        <v>1551794.87</v>
      </c>
      <c r="H284">
        <v>35915.86</v>
      </c>
      <c r="I284">
        <v>97608.22</v>
      </c>
      <c r="J284">
        <v>0.52</v>
      </c>
      <c r="K284">
        <v>44853.73</v>
      </c>
      <c r="L284">
        <v>0</v>
      </c>
      <c r="M284">
        <v>0</v>
      </c>
      <c r="N284">
        <v>2021</v>
      </c>
      <c r="O284">
        <v>4</v>
      </c>
    </row>
    <row r="285" spans="1:15" x14ac:dyDescent="0.3">
      <c r="A285">
        <v>33122</v>
      </c>
      <c r="B285">
        <v>3203601</v>
      </c>
      <c r="C285" t="s">
        <v>64</v>
      </c>
      <c r="D285">
        <v>0.28000000000000003</v>
      </c>
      <c r="E285">
        <v>794535.67</v>
      </c>
      <c r="F285">
        <v>59690.47</v>
      </c>
      <c r="G285">
        <v>854226.14</v>
      </c>
      <c r="H285">
        <v>19770.830000000002</v>
      </c>
      <c r="I285">
        <v>20868.919999999998</v>
      </c>
      <c r="J285">
        <v>0.28000000000000003</v>
      </c>
      <c r="K285">
        <v>24690.91</v>
      </c>
      <c r="L285">
        <v>0</v>
      </c>
      <c r="M285">
        <v>0</v>
      </c>
      <c r="N285">
        <v>2021</v>
      </c>
      <c r="O285">
        <v>4</v>
      </c>
    </row>
    <row r="286" spans="1:15" x14ac:dyDescent="0.3">
      <c r="A286">
        <v>33123</v>
      </c>
      <c r="B286">
        <v>3203700</v>
      </c>
      <c r="C286" t="s">
        <v>65</v>
      </c>
      <c r="D286">
        <v>0.5</v>
      </c>
      <c r="E286">
        <v>1399372.51</v>
      </c>
      <c r="F286">
        <v>105129.55</v>
      </c>
      <c r="G286">
        <v>1504502.06</v>
      </c>
      <c r="H286">
        <v>34821.279999999999</v>
      </c>
      <c r="I286">
        <v>72416.44</v>
      </c>
      <c r="J286">
        <v>0.5</v>
      </c>
      <c r="K286">
        <v>43486.75</v>
      </c>
      <c r="L286">
        <v>0</v>
      </c>
      <c r="M286">
        <v>0</v>
      </c>
      <c r="N286">
        <v>2021</v>
      </c>
      <c r="O286">
        <v>4</v>
      </c>
    </row>
    <row r="287" spans="1:15" x14ac:dyDescent="0.3">
      <c r="A287">
        <v>33124</v>
      </c>
      <c r="B287">
        <v>3203809</v>
      </c>
      <c r="C287" t="s">
        <v>66</v>
      </c>
      <c r="D287">
        <v>0.28999999999999998</v>
      </c>
      <c r="E287">
        <v>802783.44</v>
      </c>
      <c r="F287">
        <v>60310.080000000002</v>
      </c>
      <c r="G287">
        <v>863093.52</v>
      </c>
      <c r="H287">
        <v>19976.060000000001</v>
      </c>
      <c r="I287">
        <v>60626.22</v>
      </c>
      <c r="J287">
        <v>0.28999999999999998</v>
      </c>
      <c r="K287">
        <v>24947.21</v>
      </c>
      <c r="L287">
        <v>0</v>
      </c>
      <c r="M287">
        <v>0</v>
      </c>
      <c r="N287">
        <v>2021</v>
      </c>
      <c r="O287">
        <v>4</v>
      </c>
    </row>
    <row r="288" spans="1:15" x14ac:dyDescent="0.3">
      <c r="A288">
        <v>33125</v>
      </c>
      <c r="B288">
        <v>3203908</v>
      </c>
      <c r="C288" t="s">
        <v>67</v>
      </c>
      <c r="D288">
        <v>1.22</v>
      </c>
      <c r="E288">
        <v>3378838.57</v>
      </c>
      <c r="F288">
        <v>253839.33</v>
      </c>
      <c r="G288">
        <v>3632677.9</v>
      </c>
      <c r="H288">
        <v>84077.32</v>
      </c>
      <c r="I288">
        <v>302014.21000000002</v>
      </c>
      <c r="J288">
        <v>1.22</v>
      </c>
      <c r="K288">
        <v>105000.43</v>
      </c>
      <c r="L288">
        <v>0</v>
      </c>
      <c r="M288">
        <v>0</v>
      </c>
      <c r="N288">
        <v>2021</v>
      </c>
      <c r="O288">
        <v>4</v>
      </c>
    </row>
    <row r="289" spans="1:15" x14ac:dyDescent="0.3">
      <c r="A289">
        <v>33126</v>
      </c>
      <c r="B289">
        <v>3204005</v>
      </c>
      <c r="C289" t="s">
        <v>68</v>
      </c>
      <c r="D289">
        <v>0.47</v>
      </c>
      <c r="E289">
        <v>1314145.51</v>
      </c>
      <c r="F289">
        <v>98726.74</v>
      </c>
      <c r="G289">
        <v>1412872.25</v>
      </c>
      <c r="H289">
        <v>32700.54</v>
      </c>
      <c r="I289">
        <v>58233.599999999999</v>
      </c>
      <c r="J289">
        <v>0.47</v>
      </c>
      <c r="K289">
        <v>40838.25</v>
      </c>
      <c r="L289">
        <v>0</v>
      </c>
      <c r="M289">
        <v>0</v>
      </c>
      <c r="N289">
        <v>2021</v>
      </c>
      <c r="O289">
        <v>4</v>
      </c>
    </row>
    <row r="290" spans="1:15" x14ac:dyDescent="0.3">
      <c r="A290">
        <v>33127</v>
      </c>
      <c r="B290">
        <v>3204054</v>
      </c>
      <c r="C290" t="s">
        <v>69</v>
      </c>
      <c r="D290">
        <v>0.32</v>
      </c>
      <c r="E290">
        <v>890759.73</v>
      </c>
      <c r="F290">
        <v>66919.41</v>
      </c>
      <c r="G290">
        <v>957679.14</v>
      </c>
      <c r="H290">
        <v>22165.22</v>
      </c>
      <c r="I290">
        <v>120312.05</v>
      </c>
      <c r="J290">
        <v>0.32</v>
      </c>
      <c r="K290">
        <v>27681.16</v>
      </c>
      <c r="L290">
        <v>0</v>
      </c>
      <c r="M290">
        <v>0</v>
      </c>
      <c r="N290">
        <v>2021</v>
      </c>
      <c r="O290">
        <v>4</v>
      </c>
    </row>
    <row r="291" spans="1:15" x14ac:dyDescent="0.3">
      <c r="A291">
        <v>33128</v>
      </c>
      <c r="B291">
        <v>3204104</v>
      </c>
      <c r="C291" t="s">
        <v>70</v>
      </c>
      <c r="D291">
        <v>0.66</v>
      </c>
      <c r="E291">
        <v>1828256.83</v>
      </c>
      <c r="F291">
        <v>137350.01999999999</v>
      </c>
      <c r="G291">
        <v>1965606.85</v>
      </c>
      <c r="H291">
        <v>45493.43</v>
      </c>
      <c r="I291">
        <v>109642.8</v>
      </c>
      <c r="J291">
        <v>0.66</v>
      </c>
      <c r="K291">
        <v>56814.720000000001</v>
      </c>
      <c r="L291">
        <v>0</v>
      </c>
      <c r="M291">
        <v>0</v>
      </c>
      <c r="N291">
        <v>2021</v>
      </c>
      <c r="O291">
        <v>4</v>
      </c>
    </row>
    <row r="292" spans="1:15" x14ac:dyDescent="0.3">
      <c r="A292">
        <v>33129</v>
      </c>
      <c r="B292">
        <v>3204203</v>
      </c>
      <c r="C292" t="s">
        <v>71</v>
      </c>
      <c r="D292">
        <v>0.15</v>
      </c>
      <c r="E292">
        <v>420636.53</v>
      </c>
      <c r="F292">
        <v>31600.83</v>
      </c>
      <c r="G292">
        <v>452237.36</v>
      </c>
      <c r="H292">
        <v>10466.91</v>
      </c>
      <c r="I292">
        <v>223262.32</v>
      </c>
      <c r="J292">
        <v>0.15</v>
      </c>
      <c r="K292">
        <v>13071.66</v>
      </c>
      <c r="L292">
        <v>0</v>
      </c>
      <c r="M292">
        <v>0</v>
      </c>
      <c r="N292">
        <v>2021</v>
      </c>
      <c r="O292">
        <v>4</v>
      </c>
    </row>
    <row r="293" spans="1:15" x14ac:dyDescent="0.3">
      <c r="A293">
        <v>33130</v>
      </c>
      <c r="B293">
        <v>3204252</v>
      </c>
      <c r="C293" t="s">
        <v>72</v>
      </c>
      <c r="D293">
        <v>0.23</v>
      </c>
      <c r="E293">
        <v>632329.43999999994</v>
      </c>
      <c r="F293">
        <v>47504.5</v>
      </c>
      <c r="G293">
        <v>679833.94</v>
      </c>
      <c r="H293">
        <v>15734.57</v>
      </c>
      <c r="I293">
        <v>20222.27</v>
      </c>
      <c r="J293">
        <v>0.23</v>
      </c>
      <c r="K293">
        <v>19650.2</v>
      </c>
      <c r="L293">
        <v>0</v>
      </c>
      <c r="M293">
        <v>0</v>
      </c>
      <c r="N293">
        <v>2021</v>
      </c>
      <c r="O293">
        <v>4</v>
      </c>
    </row>
    <row r="294" spans="1:15" x14ac:dyDescent="0.3">
      <c r="A294">
        <v>33131</v>
      </c>
      <c r="B294">
        <v>1718402</v>
      </c>
      <c r="C294" t="s">
        <v>73</v>
      </c>
      <c r="D294">
        <v>0.33</v>
      </c>
      <c r="E294">
        <v>918252.3</v>
      </c>
      <c r="F294">
        <v>68984.820000000007</v>
      </c>
      <c r="G294">
        <v>987237.12</v>
      </c>
      <c r="H294">
        <v>22849.33</v>
      </c>
      <c r="I294">
        <v>128598.98</v>
      </c>
      <c r="J294">
        <v>0.33</v>
      </c>
      <c r="K294">
        <v>28535.51</v>
      </c>
      <c r="L294">
        <v>0</v>
      </c>
      <c r="M294">
        <v>0</v>
      </c>
      <c r="N294">
        <v>2021</v>
      </c>
      <c r="O294">
        <v>4</v>
      </c>
    </row>
    <row r="295" spans="1:15" x14ac:dyDescent="0.3">
      <c r="A295">
        <v>33132</v>
      </c>
      <c r="B295">
        <v>3204351</v>
      </c>
      <c r="C295" t="s">
        <v>74</v>
      </c>
      <c r="D295">
        <v>0.76</v>
      </c>
      <c r="E295">
        <v>2114179.71</v>
      </c>
      <c r="F295">
        <v>158830.32</v>
      </c>
      <c r="G295">
        <v>2273010.0299999998</v>
      </c>
      <c r="H295">
        <v>52608.19</v>
      </c>
      <c r="I295">
        <v>166527.88</v>
      </c>
      <c r="J295">
        <v>0.76</v>
      </c>
      <c r="K295">
        <v>65700.03</v>
      </c>
      <c r="L295">
        <v>0</v>
      </c>
      <c r="M295">
        <v>0</v>
      </c>
      <c r="N295">
        <v>2021</v>
      </c>
      <c r="O295">
        <v>4</v>
      </c>
    </row>
    <row r="296" spans="1:15" x14ac:dyDescent="0.3">
      <c r="A296">
        <v>33133</v>
      </c>
      <c r="B296">
        <v>3204401</v>
      </c>
      <c r="C296" t="s">
        <v>75</v>
      </c>
      <c r="D296">
        <v>0.26</v>
      </c>
      <c r="E296">
        <v>728553.49</v>
      </c>
      <c r="F296">
        <v>54733.47</v>
      </c>
      <c r="G296">
        <v>783286.96</v>
      </c>
      <c r="H296">
        <v>18128.96</v>
      </c>
      <c r="I296">
        <v>71864.97</v>
      </c>
      <c r="J296">
        <v>0.26</v>
      </c>
      <c r="K296">
        <v>22640.45</v>
      </c>
      <c r="L296">
        <v>0</v>
      </c>
      <c r="M296">
        <v>0</v>
      </c>
      <c r="N296">
        <v>2021</v>
      </c>
      <c r="O296">
        <v>4</v>
      </c>
    </row>
    <row r="297" spans="1:15" x14ac:dyDescent="0.3">
      <c r="A297">
        <v>33134</v>
      </c>
      <c r="B297">
        <v>3204500</v>
      </c>
      <c r="C297" t="s">
        <v>76</v>
      </c>
      <c r="D297">
        <v>0.49</v>
      </c>
      <c r="E297">
        <v>1363632.16</v>
      </c>
      <c r="F297">
        <v>102444.52</v>
      </c>
      <c r="G297">
        <v>1466076.68</v>
      </c>
      <c r="H297">
        <v>33931.94</v>
      </c>
      <c r="I297">
        <v>53167.41</v>
      </c>
      <c r="J297">
        <v>0.49</v>
      </c>
      <c r="K297">
        <v>42376.09</v>
      </c>
      <c r="L297">
        <v>0</v>
      </c>
      <c r="M297">
        <v>0</v>
      </c>
      <c r="N297">
        <v>2021</v>
      </c>
      <c r="O297">
        <v>4</v>
      </c>
    </row>
    <row r="298" spans="1:15" x14ac:dyDescent="0.3">
      <c r="A298">
        <v>33135</v>
      </c>
      <c r="B298">
        <v>3204559</v>
      </c>
      <c r="C298" t="s">
        <v>77</v>
      </c>
      <c r="D298">
        <v>2.2400000000000002</v>
      </c>
      <c r="E298">
        <v>6174834.3899999997</v>
      </c>
      <c r="F298">
        <v>463891.9</v>
      </c>
      <c r="G298">
        <v>6638726.29</v>
      </c>
      <c r="H298">
        <v>153651.48000000001</v>
      </c>
      <c r="I298">
        <v>451023.91</v>
      </c>
      <c r="J298">
        <v>2.2400000000000002</v>
      </c>
      <c r="K298">
        <v>191888.51</v>
      </c>
      <c r="L298">
        <v>0</v>
      </c>
      <c r="M298">
        <v>0</v>
      </c>
      <c r="N298">
        <v>2021</v>
      </c>
      <c r="O298">
        <v>4</v>
      </c>
    </row>
    <row r="299" spans="1:15" x14ac:dyDescent="0.3">
      <c r="A299">
        <v>33136</v>
      </c>
      <c r="B299">
        <v>3204609</v>
      </c>
      <c r="C299" t="s">
        <v>78</v>
      </c>
      <c r="D299">
        <v>0.69</v>
      </c>
      <c r="E299">
        <v>1899737.54</v>
      </c>
      <c r="F299">
        <v>142720.06</v>
      </c>
      <c r="G299">
        <v>2042457.6</v>
      </c>
      <c r="H299">
        <v>47272.12</v>
      </c>
      <c r="I299">
        <v>208748.63</v>
      </c>
      <c r="J299">
        <v>0.69</v>
      </c>
      <c r="K299">
        <v>59036.05</v>
      </c>
      <c r="L299">
        <v>0</v>
      </c>
      <c r="M299">
        <v>0</v>
      </c>
      <c r="N299">
        <v>2021</v>
      </c>
      <c r="O299">
        <v>4</v>
      </c>
    </row>
    <row r="300" spans="1:15" x14ac:dyDescent="0.3">
      <c r="A300">
        <v>33137</v>
      </c>
      <c r="B300">
        <v>3204658</v>
      </c>
      <c r="C300" t="s">
        <v>79</v>
      </c>
      <c r="D300">
        <v>0.45</v>
      </c>
      <c r="E300">
        <v>1245414.06</v>
      </c>
      <c r="F300">
        <v>93563.24</v>
      </c>
      <c r="G300">
        <v>1338977.3</v>
      </c>
      <c r="H300">
        <v>30990.26</v>
      </c>
      <c r="I300">
        <v>80730.880000000005</v>
      </c>
      <c r="J300">
        <v>0.45</v>
      </c>
      <c r="K300">
        <v>38702.36</v>
      </c>
      <c r="L300">
        <v>0</v>
      </c>
      <c r="M300">
        <v>0</v>
      </c>
      <c r="N300">
        <v>2021</v>
      </c>
      <c r="O300">
        <v>4</v>
      </c>
    </row>
    <row r="301" spans="1:15" x14ac:dyDescent="0.3">
      <c r="A301">
        <v>33138</v>
      </c>
      <c r="B301">
        <v>3204708</v>
      </c>
      <c r="C301" t="s">
        <v>80</v>
      </c>
      <c r="D301">
        <v>0.72</v>
      </c>
      <c r="E301">
        <v>2004209.37</v>
      </c>
      <c r="F301">
        <v>150568.64000000001</v>
      </c>
      <c r="G301">
        <v>2154778.0099999998</v>
      </c>
      <c r="H301">
        <v>49871.74</v>
      </c>
      <c r="I301">
        <v>184387.39</v>
      </c>
      <c r="J301">
        <v>0.72</v>
      </c>
      <c r="K301">
        <v>62282.6</v>
      </c>
      <c r="L301">
        <v>0</v>
      </c>
      <c r="M301">
        <v>0</v>
      </c>
      <c r="N301">
        <v>2021</v>
      </c>
      <c r="O301">
        <v>4</v>
      </c>
    </row>
    <row r="302" spans="1:15" x14ac:dyDescent="0.3">
      <c r="A302">
        <v>33139</v>
      </c>
      <c r="B302">
        <v>3204807</v>
      </c>
      <c r="C302" t="s">
        <v>81</v>
      </c>
      <c r="D302">
        <v>0.22</v>
      </c>
      <c r="E302">
        <v>607586.11</v>
      </c>
      <c r="F302">
        <v>45645.62</v>
      </c>
      <c r="G302">
        <v>653231.73</v>
      </c>
      <c r="H302">
        <v>15118.87</v>
      </c>
      <c r="I302">
        <v>88191.44</v>
      </c>
      <c r="J302">
        <v>0.22</v>
      </c>
      <c r="K302">
        <v>18881.28</v>
      </c>
      <c r="L302">
        <v>0</v>
      </c>
      <c r="M302">
        <v>0</v>
      </c>
      <c r="N302">
        <v>2021</v>
      </c>
      <c r="O302">
        <v>4</v>
      </c>
    </row>
    <row r="303" spans="1:15" x14ac:dyDescent="0.3">
      <c r="A303">
        <v>33140</v>
      </c>
      <c r="B303">
        <v>3204906</v>
      </c>
      <c r="C303" t="s">
        <v>82</v>
      </c>
      <c r="D303">
        <v>1.8</v>
      </c>
      <c r="E303">
        <v>4951414.3899999997</v>
      </c>
      <c r="F303">
        <v>371980.99</v>
      </c>
      <c r="G303">
        <v>5323395.38</v>
      </c>
      <c r="H303">
        <v>123208.51</v>
      </c>
      <c r="I303">
        <v>739130.16</v>
      </c>
      <c r="J303">
        <v>1.8</v>
      </c>
      <c r="K303">
        <v>153869.64000000001</v>
      </c>
      <c r="L303">
        <v>0</v>
      </c>
      <c r="M303">
        <v>0</v>
      </c>
      <c r="N303">
        <v>2021</v>
      </c>
      <c r="O303">
        <v>4</v>
      </c>
    </row>
    <row r="304" spans="1:15" x14ac:dyDescent="0.3">
      <c r="A304">
        <v>33141</v>
      </c>
      <c r="B304">
        <v>3204955</v>
      </c>
      <c r="C304" t="s">
        <v>83</v>
      </c>
      <c r="D304">
        <v>0.32</v>
      </c>
      <c r="E304">
        <v>901756.77</v>
      </c>
      <c r="F304">
        <v>67745.58</v>
      </c>
      <c r="G304">
        <v>969502.35</v>
      </c>
      <c r="H304">
        <v>22438.86</v>
      </c>
      <c r="I304">
        <v>68036.899999999994</v>
      </c>
      <c r="J304">
        <v>0.32</v>
      </c>
      <c r="K304">
        <v>28022.9</v>
      </c>
      <c r="L304">
        <v>0</v>
      </c>
      <c r="M304">
        <v>0</v>
      </c>
      <c r="N304">
        <v>2021</v>
      </c>
      <c r="O304">
        <v>4</v>
      </c>
    </row>
    <row r="305" spans="1:15" x14ac:dyDescent="0.3">
      <c r="A305">
        <v>33142</v>
      </c>
      <c r="B305">
        <v>3205002</v>
      </c>
      <c r="C305" t="s">
        <v>84</v>
      </c>
      <c r="D305">
        <v>13.06</v>
      </c>
      <c r="E305">
        <v>35924559.619999997</v>
      </c>
      <c r="F305">
        <v>2698875.97</v>
      </c>
      <c r="G305">
        <v>38623435.590000004</v>
      </c>
      <c r="H305">
        <v>893928.72</v>
      </c>
      <c r="I305">
        <v>3031493.35</v>
      </c>
      <c r="J305">
        <v>13.06</v>
      </c>
      <c r="K305">
        <v>1116387.8600000001</v>
      </c>
      <c r="L305">
        <v>0</v>
      </c>
      <c r="M305">
        <v>0</v>
      </c>
      <c r="N305">
        <v>2021</v>
      </c>
      <c r="O305">
        <v>4</v>
      </c>
    </row>
    <row r="306" spans="1:15" x14ac:dyDescent="0.3">
      <c r="A306">
        <v>33143</v>
      </c>
      <c r="B306">
        <v>3205010</v>
      </c>
      <c r="C306" t="s">
        <v>85</v>
      </c>
      <c r="D306">
        <v>0.7</v>
      </c>
      <c r="E306">
        <v>1938227.18</v>
      </c>
      <c r="F306">
        <v>145611.65</v>
      </c>
      <c r="G306">
        <v>2083838.83</v>
      </c>
      <c r="H306">
        <v>48229.87</v>
      </c>
      <c r="I306">
        <v>93270.46</v>
      </c>
      <c r="J306">
        <v>0.7</v>
      </c>
      <c r="K306">
        <v>60232.15</v>
      </c>
      <c r="L306">
        <v>0</v>
      </c>
      <c r="M306">
        <v>0</v>
      </c>
      <c r="N306">
        <v>2021</v>
      </c>
      <c r="O306">
        <v>4</v>
      </c>
    </row>
    <row r="307" spans="1:15" x14ac:dyDescent="0.3">
      <c r="A307">
        <v>33144</v>
      </c>
      <c r="B307">
        <v>3205036</v>
      </c>
      <c r="C307" t="s">
        <v>86</v>
      </c>
      <c r="D307">
        <v>0.47</v>
      </c>
      <c r="E307">
        <v>1308646.98</v>
      </c>
      <c r="F307">
        <v>98313.68</v>
      </c>
      <c r="G307">
        <v>1406960.66</v>
      </c>
      <c r="H307">
        <v>32563.72</v>
      </c>
      <c r="I307">
        <v>175039.03</v>
      </c>
      <c r="J307">
        <v>0.47</v>
      </c>
      <c r="K307">
        <v>40667.379999999997</v>
      </c>
      <c r="L307">
        <v>0</v>
      </c>
      <c r="M307">
        <v>0</v>
      </c>
      <c r="N307">
        <v>2021</v>
      </c>
      <c r="O307">
        <v>4</v>
      </c>
    </row>
    <row r="308" spans="1:15" x14ac:dyDescent="0.3">
      <c r="A308">
        <v>33145</v>
      </c>
      <c r="B308">
        <v>3205069</v>
      </c>
      <c r="C308" t="s">
        <v>87</v>
      </c>
      <c r="D308">
        <v>0.72</v>
      </c>
      <c r="E308">
        <v>1982215.32</v>
      </c>
      <c r="F308">
        <v>148916.31</v>
      </c>
      <c r="G308">
        <v>2131131.63</v>
      </c>
      <c r="H308">
        <v>49324.45</v>
      </c>
      <c r="I308">
        <v>311231.59999999998</v>
      </c>
      <c r="J308">
        <v>0.72</v>
      </c>
      <c r="K308">
        <v>61599.12</v>
      </c>
      <c r="L308">
        <v>0</v>
      </c>
      <c r="M308">
        <v>0</v>
      </c>
      <c r="N308">
        <v>2021</v>
      </c>
      <c r="O308">
        <v>4</v>
      </c>
    </row>
    <row r="309" spans="1:15" x14ac:dyDescent="0.3">
      <c r="A309">
        <v>33146</v>
      </c>
      <c r="B309">
        <v>2112803</v>
      </c>
      <c r="C309" t="s">
        <v>88</v>
      </c>
      <c r="D309">
        <v>2.25</v>
      </c>
      <c r="E309">
        <v>6194079.1799999997</v>
      </c>
      <c r="F309">
        <v>465337.68</v>
      </c>
      <c r="G309">
        <v>6659416.8600000003</v>
      </c>
      <c r="H309">
        <v>154130.35999999999</v>
      </c>
      <c r="I309">
        <v>473467.15</v>
      </c>
      <c r="J309">
        <v>2.25</v>
      </c>
      <c r="K309">
        <v>192486.56</v>
      </c>
      <c r="L309">
        <v>0</v>
      </c>
      <c r="M309">
        <v>0</v>
      </c>
      <c r="N309">
        <v>2021</v>
      </c>
      <c r="O309">
        <v>4</v>
      </c>
    </row>
    <row r="310" spans="1:15" x14ac:dyDescent="0.3">
      <c r="A310">
        <v>33147</v>
      </c>
      <c r="B310">
        <v>3205150</v>
      </c>
      <c r="C310" t="s">
        <v>89</v>
      </c>
      <c r="D310">
        <v>0.32</v>
      </c>
      <c r="E310">
        <v>899007.48</v>
      </c>
      <c r="F310">
        <v>67539.03</v>
      </c>
      <c r="G310">
        <v>966546.51</v>
      </c>
      <c r="H310">
        <v>22370.45</v>
      </c>
      <c r="I310">
        <v>40087.82</v>
      </c>
      <c r="J310">
        <v>0.32</v>
      </c>
      <c r="K310">
        <v>27937.47</v>
      </c>
      <c r="L310">
        <v>0</v>
      </c>
      <c r="M310">
        <v>0</v>
      </c>
      <c r="N310">
        <v>2021</v>
      </c>
      <c r="O310">
        <v>4</v>
      </c>
    </row>
    <row r="311" spans="1:15" x14ac:dyDescent="0.3">
      <c r="A311">
        <v>33148</v>
      </c>
      <c r="B311">
        <v>3205176</v>
      </c>
      <c r="C311" t="s">
        <v>90</v>
      </c>
      <c r="D311">
        <v>0.61</v>
      </c>
      <c r="E311">
        <v>1693543.18</v>
      </c>
      <c r="F311">
        <v>127229.5</v>
      </c>
      <c r="G311">
        <v>1820772.68</v>
      </c>
      <c r="H311">
        <v>42141.279999999999</v>
      </c>
      <c r="I311">
        <v>82103.05</v>
      </c>
      <c r="J311">
        <v>0.61</v>
      </c>
      <c r="K311">
        <v>52628.37</v>
      </c>
      <c r="L311">
        <v>0</v>
      </c>
      <c r="M311">
        <v>0</v>
      </c>
      <c r="N311">
        <v>2021</v>
      </c>
      <c r="O311">
        <v>4</v>
      </c>
    </row>
    <row r="312" spans="1:15" x14ac:dyDescent="0.3">
      <c r="A312">
        <v>33149</v>
      </c>
      <c r="B312">
        <v>3205200</v>
      </c>
      <c r="C312" t="s">
        <v>91</v>
      </c>
      <c r="D312">
        <v>5.55</v>
      </c>
      <c r="E312">
        <v>15277628.970000001</v>
      </c>
      <c r="F312">
        <v>1147750.3500000001</v>
      </c>
      <c r="G312">
        <v>16425379.32</v>
      </c>
      <c r="H312">
        <v>380160.86</v>
      </c>
      <c r="I312">
        <v>3844881.49</v>
      </c>
      <c r="J312">
        <v>5.55</v>
      </c>
      <c r="K312">
        <v>474766</v>
      </c>
      <c r="L312">
        <v>0</v>
      </c>
      <c r="M312">
        <v>0</v>
      </c>
      <c r="N312">
        <v>2021</v>
      </c>
      <c r="O312">
        <v>4</v>
      </c>
    </row>
    <row r="313" spans="1:15" x14ac:dyDescent="0.3">
      <c r="A313">
        <v>33150</v>
      </c>
      <c r="B313">
        <v>3205309</v>
      </c>
      <c r="C313" t="s">
        <v>92</v>
      </c>
      <c r="D313">
        <v>15.84</v>
      </c>
      <c r="E313">
        <v>43556501.090000004</v>
      </c>
      <c r="F313">
        <v>3272234.89</v>
      </c>
      <c r="G313">
        <v>46828735.979999997</v>
      </c>
      <c r="H313">
        <v>1083838.1200000001</v>
      </c>
      <c r="I313">
        <v>5157627.08</v>
      </c>
      <c r="J313">
        <v>15.84</v>
      </c>
      <c r="K313">
        <v>1353557.28</v>
      </c>
      <c r="L313">
        <v>0</v>
      </c>
      <c r="M313">
        <v>0</v>
      </c>
      <c r="N313">
        <v>2021</v>
      </c>
      <c r="O313">
        <v>4</v>
      </c>
    </row>
    <row r="314" spans="1:15" x14ac:dyDescent="0.3">
      <c r="A314">
        <v>33151</v>
      </c>
      <c r="B314">
        <v>3200102</v>
      </c>
      <c r="C314" t="s">
        <v>15</v>
      </c>
      <c r="D314">
        <v>0.79</v>
      </c>
      <c r="E314">
        <v>1960418.61</v>
      </c>
      <c r="F314">
        <v>152645.76999999999</v>
      </c>
      <c r="G314">
        <v>2113064.38</v>
      </c>
      <c r="H314">
        <v>47374.33</v>
      </c>
      <c r="I314">
        <v>118677.66</v>
      </c>
      <c r="J314">
        <v>0.79</v>
      </c>
      <c r="K314">
        <v>79100.77</v>
      </c>
      <c r="L314">
        <v>0</v>
      </c>
      <c r="M314">
        <v>0</v>
      </c>
      <c r="N314">
        <v>2021</v>
      </c>
      <c r="O314">
        <v>5</v>
      </c>
    </row>
    <row r="315" spans="1:15" x14ac:dyDescent="0.3">
      <c r="A315">
        <v>33152</v>
      </c>
      <c r="B315">
        <v>3200169</v>
      </c>
      <c r="C315" t="s">
        <v>16</v>
      </c>
      <c r="D315">
        <v>0.28999999999999998</v>
      </c>
      <c r="E315">
        <v>732086.14</v>
      </c>
      <c r="F315">
        <v>57003.08</v>
      </c>
      <c r="G315">
        <v>789089.22</v>
      </c>
      <c r="H315">
        <v>17691.169999999998</v>
      </c>
      <c r="I315">
        <v>35131.980000000003</v>
      </c>
      <c r="J315">
        <v>0.28999999999999998</v>
      </c>
      <c r="K315">
        <v>29538.880000000001</v>
      </c>
      <c r="L315">
        <v>0</v>
      </c>
      <c r="M315">
        <v>0</v>
      </c>
      <c r="N315">
        <v>2021</v>
      </c>
      <c r="O315">
        <v>5</v>
      </c>
    </row>
    <row r="316" spans="1:15" x14ac:dyDescent="0.3">
      <c r="A316">
        <v>33153</v>
      </c>
      <c r="B316">
        <v>3200136</v>
      </c>
      <c r="C316" t="s">
        <v>17</v>
      </c>
      <c r="D316">
        <v>0.42</v>
      </c>
      <c r="E316">
        <v>1044082.61</v>
      </c>
      <c r="F316">
        <v>81296.3</v>
      </c>
      <c r="G316">
        <v>1125378.9099999999</v>
      </c>
      <c r="H316">
        <v>25230.69</v>
      </c>
      <c r="I316">
        <v>31659.67</v>
      </c>
      <c r="J316">
        <v>0.42</v>
      </c>
      <c r="K316">
        <v>42127.6</v>
      </c>
      <c r="L316">
        <v>0</v>
      </c>
      <c r="M316">
        <v>0</v>
      </c>
      <c r="N316">
        <v>2021</v>
      </c>
      <c r="O316">
        <v>5</v>
      </c>
    </row>
    <row r="317" spans="1:15" x14ac:dyDescent="0.3">
      <c r="A317">
        <v>33154</v>
      </c>
      <c r="B317">
        <v>3200201</v>
      </c>
      <c r="C317" t="s">
        <v>18</v>
      </c>
      <c r="D317">
        <v>0.48</v>
      </c>
      <c r="E317">
        <v>1189025.81</v>
      </c>
      <c r="F317">
        <v>92582.14</v>
      </c>
      <c r="G317">
        <v>1281607.95</v>
      </c>
      <c r="H317">
        <v>28733.3</v>
      </c>
      <c r="I317">
        <v>79471.53</v>
      </c>
      <c r="J317">
        <v>0.48</v>
      </c>
      <c r="K317">
        <v>47975.9</v>
      </c>
      <c r="L317">
        <v>0</v>
      </c>
      <c r="M317">
        <v>0</v>
      </c>
      <c r="N317">
        <v>2021</v>
      </c>
      <c r="O317">
        <v>5</v>
      </c>
    </row>
    <row r="318" spans="1:15" x14ac:dyDescent="0.3">
      <c r="A318">
        <v>33155</v>
      </c>
      <c r="B318">
        <v>3200300</v>
      </c>
      <c r="C318" t="s">
        <v>19</v>
      </c>
      <c r="D318">
        <v>0.48</v>
      </c>
      <c r="E318">
        <v>1179199.17</v>
      </c>
      <c r="F318">
        <v>91816.97</v>
      </c>
      <c r="G318">
        <v>1271016.1399999999</v>
      </c>
      <c r="H318">
        <v>28495.84</v>
      </c>
      <c r="I318">
        <v>91835.28</v>
      </c>
      <c r="J318">
        <v>0.48</v>
      </c>
      <c r="K318">
        <v>47579.41</v>
      </c>
      <c r="L318">
        <v>0</v>
      </c>
      <c r="M318">
        <v>0</v>
      </c>
      <c r="N318">
        <v>2021</v>
      </c>
      <c r="O318">
        <v>5</v>
      </c>
    </row>
    <row r="319" spans="1:15" x14ac:dyDescent="0.3">
      <c r="A319">
        <v>33156</v>
      </c>
      <c r="B319">
        <v>3200359</v>
      </c>
      <c r="C319" t="s">
        <v>20</v>
      </c>
      <c r="D319">
        <v>0.22</v>
      </c>
      <c r="E319">
        <v>562576.27</v>
      </c>
      <c r="F319">
        <v>43804.33</v>
      </c>
      <c r="G319">
        <v>606380.6</v>
      </c>
      <c r="H319">
        <v>13594.89</v>
      </c>
      <c r="I319">
        <v>22382.76</v>
      </c>
      <c r="J319">
        <v>0.22</v>
      </c>
      <c r="K319">
        <v>22699.34</v>
      </c>
      <c r="L319">
        <v>0</v>
      </c>
      <c r="M319">
        <v>0</v>
      </c>
      <c r="N319">
        <v>2021</v>
      </c>
      <c r="O319">
        <v>5</v>
      </c>
    </row>
    <row r="320" spans="1:15" x14ac:dyDescent="0.3">
      <c r="A320">
        <v>33157</v>
      </c>
      <c r="B320">
        <v>3200409</v>
      </c>
      <c r="C320" t="s">
        <v>21</v>
      </c>
      <c r="D320">
        <v>2.59</v>
      </c>
      <c r="E320">
        <v>6382415.4500000002</v>
      </c>
      <c r="F320">
        <v>496959.54</v>
      </c>
      <c r="G320">
        <v>6879374.9900000002</v>
      </c>
      <c r="H320">
        <v>154233.72</v>
      </c>
      <c r="I320">
        <v>136180.65</v>
      </c>
      <c r="J320">
        <v>2.59</v>
      </c>
      <c r="K320">
        <v>257523.55</v>
      </c>
      <c r="L320">
        <v>0</v>
      </c>
      <c r="M320">
        <v>0</v>
      </c>
      <c r="N320">
        <v>2021</v>
      </c>
      <c r="O320">
        <v>5</v>
      </c>
    </row>
    <row r="321" spans="1:15" x14ac:dyDescent="0.3">
      <c r="A321">
        <v>33158</v>
      </c>
      <c r="B321">
        <v>3200508</v>
      </c>
      <c r="C321" t="s">
        <v>22</v>
      </c>
      <c r="D321">
        <v>0.19</v>
      </c>
      <c r="E321">
        <v>479049.65</v>
      </c>
      <c r="F321">
        <v>37300.65</v>
      </c>
      <c r="G321">
        <v>516350.3</v>
      </c>
      <c r="H321">
        <v>11576.43</v>
      </c>
      <c r="I321">
        <v>62592.98</v>
      </c>
      <c r="J321">
        <v>0.19</v>
      </c>
      <c r="K321">
        <v>19329.13</v>
      </c>
      <c r="L321">
        <v>0</v>
      </c>
      <c r="M321">
        <v>0</v>
      </c>
      <c r="N321">
        <v>2021</v>
      </c>
      <c r="O321">
        <v>5</v>
      </c>
    </row>
    <row r="322" spans="1:15" x14ac:dyDescent="0.3">
      <c r="A322">
        <v>33159</v>
      </c>
      <c r="B322">
        <v>3200607</v>
      </c>
      <c r="C322" t="s">
        <v>23</v>
      </c>
      <c r="D322">
        <v>5.18</v>
      </c>
      <c r="E322">
        <v>12725524.25</v>
      </c>
      <c r="F322">
        <v>990858.53</v>
      </c>
      <c r="G322">
        <v>13716382.779999999</v>
      </c>
      <c r="H322">
        <v>307517.58</v>
      </c>
      <c r="I322">
        <v>383706.45</v>
      </c>
      <c r="J322">
        <v>5.18</v>
      </c>
      <c r="K322">
        <v>513461.12</v>
      </c>
      <c r="L322">
        <v>0</v>
      </c>
      <c r="M322">
        <v>0</v>
      </c>
      <c r="N322">
        <v>2021</v>
      </c>
      <c r="O322">
        <v>5</v>
      </c>
    </row>
    <row r="323" spans="1:15" x14ac:dyDescent="0.3">
      <c r="A323">
        <v>33160</v>
      </c>
      <c r="B323">
        <v>3200706</v>
      </c>
      <c r="C323" t="s">
        <v>24</v>
      </c>
      <c r="D323">
        <v>0.36</v>
      </c>
      <c r="E323">
        <v>906509.36</v>
      </c>
      <c r="F323">
        <v>70584.33</v>
      </c>
      <c r="G323">
        <v>977093.69</v>
      </c>
      <c r="H323">
        <v>21906.17</v>
      </c>
      <c r="I323">
        <v>30057.279999999999</v>
      </c>
      <c r="J323">
        <v>0.36</v>
      </c>
      <c r="K323">
        <v>36576.67</v>
      </c>
      <c r="L323">
        <v>0</v>
      </c>
      <c r="M323">
        <v>0</v>
      </c>
      <c r="N323">
        <v>2021</v>
      </c>
      <c r="O323">
        <v>5</v>
      </c>
    </row>
    <row r="324" spans="1:15" x14ac:dyDescent="0.3">
      <c r="A324">
        <v>33161</v>
      </c>
      <c r="B324">
        <v>3200805</v>
      </c>
      <c r="C324" t="s">
        <v>25</v>
      </c>
      <c r="D324">
        <v>0.65</v>
      </c>
      <c r="E324">
        <v>1618942.19</v>
      </c>
      <c r="F324">
        <v>126057.09</v>
      </c>
      <c r="G324">
        <v>1744999.28</v>
      </c>
      <c r="H324">
        <v>39122.410000000003</v>
      </c>
      <c r="I324">
        <v>172250.01</v>
      </c>
      <c r="J324">
        <v>0.65</v>
      </c>
      <c r="K324">
        <v>65322.559999999998</v>
      </c>
      <c r="L324">
        <v>0</v>
      </c>
      <c r="M324">
        <v>0</v>
      </c>
      <c r="N324">
        <v>2021</v>
      </c>
      <c r="O324">
        <v>5</v>
      </c>
    </row>
    <row r="325" spans="1:15" x14ac:dyDescent="0.3">
      <c r="A325">
        <v>33162</v>
      </c>
      <c r="B325">
        <v>3200904</v>
      </c>
      <c r="C325" t="s">
        <v>26</v>
      </c>
      <c r="D325">
        <v>0.9</v>
      </c>
      <c r="E325">
        <v>2225738.4</v>
      </c>
      <c r="F325">
        <v>173304.59</v>
      </c>
      <c r="G325">
        <v>2399042.9900000002</v>
      </c>
      <c r="H325">
        <v>53785.89</v>
      </c>
      <c r="I325">
        <v>196439.19</v>
      </c>
      <c r="J325">
        <v>0.9</v>
      </c>
      <c r="K325">
        <v>89806.13</v>
      </c>
      <c r="L325">
        <v>0</v>
      </c>
      <c r="M325">
        <v>0</v>
      </c>
      <c r="N325">
        <v>2021</v>
      </c>
      <c r="O325">
        <v>5</v>
      </c>
    </row>
    <row r="326" spans="1:15" x14ac:dyDescent="0.3">
      <c r="A326">
        <v>33163</v>
      </c>
      <c r="B326">
        <v>3107109</v>
      </c>
      <c r="C326" t="s">
        <v>27</v>
      </c>
      <c r="D326">
        <v>0.41</v>
      </c>
      <c r="E326">
        <v>1017059.27</v>
      </c>
      <c r="F326">
        <v>79192.17</v>
      </c>
      <c r="G326">
        <v>1096251.44</v>
      </c>
      <c r="H326">
        <v>24577.66</v>
      </c>
      <c r="I326">
        <v>40878.61</v>
      </c>
      <c r="J326">
        <v>0.41</v>
      </c>
      <c r="K326">
        <v>41037.24</v>
      </c>
      <c r="L326">
        <v>0</v>
      </c>
      <c r="M326">
        <v>0</v>
      </c>
      <c r="N326">
        <v>2021</v>
      </c>
      <c r="O326">
        <v>5</v>
      </c>
    </row>
    <row r="327" spans="1:15" x14ac:dyDescent="0.3">
      <c r="A327">
        <v>33164</v>
      </c>
      <c r="B327">
        <v>3201100</v>
      </c>
      <c r="C327" t="s">
        <v>28</v>
      </c>
      <c r="D327">
        <v>0.17</v>
      </c>
      <c r="E327">
        <v>417633.03</v>
      </c>
      <c r="F327">
        <v>32518.51</v>
      </c>
      <c r="G327">
        <v>450151.54</v>
      </c>
      <c r="H327">
        <v>10092.280000000001</v>
      </c>
      <c r="I327">
        <v>130273.72</v>
      </c>
      <c r="J327">
        <v>0.17</v>
      </c>
      <c r="K327">
        <v>16851.04</v>
      </c>
      <c r="L327">
        <v>0</v>
      </c>
      <c r="M327">
        <v>0</v>
      </c>
      <c r="N327">
        <v>2021</v>
      </c>
      <c r="O327">
        <v>5</v>
      </c>
    </row>
    <row r="328" spans="1:15" x14ac:dyDescent="0.3">
      <c r="A328">
        <v>33165</v>
      </c>
      <c r="B328">
        <v>3201159</v>
      </c>
      <c r="C328" t="s">
        <v>29</v>
      </c>
      <c r="D328">
        <v>0.43</v>
      </c>
      <c r="E328">
        <v>1076019.23</v>
      </c>
      <c r="F328">
        <v>83783.009999999995</v>
      </c>
      <c r="G328">
        <v>1159802.24</v>
      </c>
      <c r="H328">
        <v>26002.45</v>
      </c>
      <c r="I328">
        <v>34332.29</v>
      </c>
      <c r="J328">
        <v>0.43</v>
      </c>
      <c r="K328">
        <v>43416.21</v>
      </c>
      <c r="L328">
        <v>0</v>
      </c>
      <c r="M328">
        <v>0</v>
      </c>
      <c r="N328">
        <v>2021</v>
      </c>
      <c r="O328">
        <v>5</v>
      </c>
    </row>
    <row r="329" spans="1:15" x14ac:dyDescent="0.3">
      <c r="A329">
        <v>33166</v>
      </c>
      <c r="B329">
        <v>3201209</v>
      </c>
      <c r="C329" t="s">
        <v>30</v>
      </c>
      <c r="D329">
        <v>3.11</v>
      </c>
      <c r="E329">
        <v>7645141.2199999997</v>
      </c>
      <c r="F329">
        <v>595280.25</v>
      </c>
      <c r="G329">
        <v>8240421.4699999997</v>
      </c>
      <c r="H329">
        <v>184748.01</v>
      </c>
      <c r="I329">
        <v>832860.5</v>
      </c>
      <c r="J329">
        <v>3.11</v>
      </c>
      <c r="K329">
        <v>308473.17</v>
      </c>
      <c r="L329">
        <v>0</v>
      </c>
      <c r="M329">
        <v>0</v>
      </c>
      <c r="N329">
        <v>2021</v>
      </c>
      <c r="O329">
        <v>5</v>
      </c>
    </row>
    <row r="330" spans="1:15" x14ac:dyDescent="0.3">
      <c r="A330">
        <v>33167</v>
      </c>
      <c r="B330">
        <v>3201308</v>
      </c>
      <c r="C330" t="s">
        <v>31</v>
      </c>
      <c r="D330">
        <v>6.51</v>
      </c>
      <c r="E330">
        <v>16002715.25</v>
      </c>
      <c r="F330">
        <v>1246033.28</v>
      </c>
      <c r="G330">
        <v>17248748.530000001</v>
      </c>
      <c r="H330">
        <v>386712.26</v>
      </c>
      <c r="I330">
        <v>1106349.1599999999</v>
      </c>
      <c r="J330">
        <v>6.51</v>
      </c>
      <c r="K330">
        <v>645692.23</v>
      </c>
      <c r="L330">
        <v>0</v>
      </c>
      <c r="M330">
        <v>0</v>
      </c>
      <c r="N330">
        <v>2021</v>
      </c>
      <c r="O330">
        <v>5</v>
      </c>
    </row>
    <row r="331" spans="1:15" x14ac:dyDescent="0.3">
      <c r="A331">
        <v>33168</v>
      </c>
      <c r="B331">
        <v>3201407</v>
      </c>
      <c r="C331" t="s">
        <v>32</v>
      </c>
      <c r="D331">
        <v>0.93</v>
      </c>
      <c r="E331">
        <v>2299438.38</v>
      </c>
      <c r="F331">
        <v>179043.14</v>
      </c>
      <c r="G331">
        <v>2478481.52</v>
      </c>
      <c r="H331">
        <v>55566.879999999997</v>
      </c>
      <c r="I331">
        <v>198433.81</v>
      </c>
      <c r="J331">
        <v>0.93</v>
      </c>
      <c r="K331">
        <v>92779.85</v>
      </c>
      <c r="L331">
        <v>0</v>
      </c>
      <c r="M331">
        <v>0</v>
      </c>
      <c r="N331">
        <v>2021</v>
      </c>
      <c r="O331">
        <v>5</v>
      </c>
    </row>
    <row r="332" spans="1:15" x14ac:dyDescent="0.3">
      <c r="A332">
        <v>33169</v>
      </c>
      <c r="B332">
        <v>3201506</v>
      </c>
      <c r="C332" t="s">
        <v>33</v>
      </c>
      <c r="D332">
        <v>2.2000000000000002</v>
      </c>
      <c r="E332">
        <v>5407119.4800000004</v>
      </c>
      <c r="F332">
        <v>421019.22</v>
      </c>
      <c r="G332">
        <v>5828138.7000000002</v>
      </c>
      <c r="H332">
        <v>130665.29</v>
      </c>
      <c r="I332">
        <v>513772.15</v>
      </c>
      <c r="J332">
        <v>2.2000000000000002</v>
      </c>
      <c r="K332">
        <v>218171.41</v>
      </c>
      <c r="L332">
        <v>0</v>
      </c>
      <c r="M332">
        <v>0</v>
      </c>
      <c r="N332">
        <v>2021</v>
      </c>
      <c r="O332">
        <v>5</v>
      </c>
    </row>
    <row r="333" spans="1:15" x14ac:dyDescent="0.3">
      <c r="A333">
        <v>33170</v>
      </c>
      <c r="B333">
        <v>3201605</v>
      </c>
      <c r="C333" t="s">
        <v>34</v>
      </c>
      <c r="D333">
        <v>0.57999999999999996</v>
      </c>
      <c r="E333">
        <v>1437148.99</v>
      </c>
      <c r="F333">
        <v>111901.98</v>
      </c>
      <c r="G333">
        <v>1549050.97</v>
      </c>
      <c r="H333">
        <v>34729.300000000003</v>
      </c>
      <c r="I333">
        <v>52695.32</v>
      </c>
      <c r="J333">
        <v>0.57999999999999996</v>
      </c>
      <c r="K333">
        <v>57987.4</v>
      </c>
      <c r="L333">
        <v>0</v>
      </c>
      <c r="M333">
        <v>0</v>
      </c>
      <c r="N333">
        <v>2021</v>
      </c>
      <c r="O333">
        <v>5</v>
      </c>
    </row>
    <row r="334" spans="1:15" x14ac:dyDescent="0.3">
      <c r="A334">
        <v>33171</v>
      </c>
      <c r="B334">
        <v>3201704</v>
      </c>
      <c r="C334" t="s">
        <v>35</v>
      </c>
      <c r="D334">
        <v>0.45</v>
      </c>
      <c r="E334">
        <v>1120239.19</v>
      </c>
      <c r="F334">
        <v>87226.18</v>
      </c>
      <c r="G334">
        <v>1207465.3700000001</v>
      </c>
      <c r="H334">
        <v>27071.05</v>
      </c>
      <c r="I334">
        <v>56490.23</v>
      </c>
      <c r="J334">
        <v>0.45</v>
      </c>
      <c r="K334">
        <v>45200.44</v>
      </c>
      <c r="L334">
        <v>0</v>
      </c>
      <c r="M334">
        <v>0</v>
      </c>
      <c r="N334">
        <v>2021</v>
      </c>
      <c r="O334">
        <v>5</v>
      </c>
    </row>
    <row r="335" spans="1:15" x14ac:dyDescent="0.3">
      <c r="A335">
        <v>33172</v>
      </c>
      <c r="B335">
        <v>3201803</v>
      </c>
      <c r="C335" t="s">
        <v>36</v>
      </c>
      <c r="D335">
        <v>0.19</v>
      </c>
      <c r="E335">
        <v>466766.34</v>
      </c>
      <c r="F335">
        <v>36344.239999999998</v>
      </c>
      <c r="G335">
        <v>503110.58</v>
      </c>
      <c r="H335">
        <v>11279.6</v>
      </c>
      <c r="I335">
        <v>13656.99</v>
      </c>
      <c r="J335">
        <v>0.19</v>
      </c>
      <c r="K335">
        <v>18833.52</v>
      </c>
      <c r="L335">
        <v>0</v>
      </c>
      <c r="M335">
        <v>0</v>
      </c>
      <c r="N335">
        <v>2021</v>
      </c>
      <c r="O335">
        <v>5</v>
      </c>
    </row>
    <row r="336" spans="1:15" x14ac:dyDescent="0.3">
      <c r="A336">
        <v>33173</v>
      </c>
      <c r="B336">
        <v>3201902</v>
      </c>
      <c r="C336" t="s">
        <v>37</v>
      </c>
      <c r="D336">
        <v>1.22</v>
      </c>
      <c r="E336">
        <v>3006957.85</v>
      </c>
      <c r="F336">
        <v>234133.37</v>
      </c>
      <c r="G336">
        <v>3241091.22</v>
      </c>
      <c r="H336">
        <v>72664.38</v>
      </c>
      <c r="I336">
        <v>212931.5</v>
      </c>
      <c r="J336">
        <v>1.22</v>
      </c>
      <c r="K336">
        <v>121327.49</v>
      </c>
      <c r="L336">
        <v>0</v>
      </c>
      <c r="M336">
        <v>0</v>
      </c>
      <c r="N336">
        <v>2021</v>
      </c>
      <c r="O336">
        <v>5</v>
      </c>
    </row>
    <row r="337" spans="1:15" x14ac:dyDescent="0.3">
      <c r="A337">
        <v>33174</v>
      </c>
      <c r="B337">
        <v>3202009</v>
      </c>
      <c r="C337" t="s">
        <v>38</v>
      </c>
      <c r="D337">
        <v>0.24</v>
      </c>
      <c r="E337">
        <v>599426.24</v>
      </c>
      <c r="F337">
        <v>46673.63</v>
      </c>
      <c r="G337">
        <v>646099.87</v>
      </c>
      <c r="H337">
        <v>14485.38</v>
      </c>
      <c r="I337">
        <v>45059.33</v>
      </c>
      <c r="J337">
        <v>0.24</v>
      </c>
      <c r="K337">
        <v>24186.2</v>
      </c>
      <c r="L337">
        <v>0</v>
      </c>
      <c r="M337">
        <v>0</v>
      </c>
      <c r="N337">
        <v>2021</v>
      </c>
      <c r="O337">
        <v>5</v>
      </c>
    </row>
    <row r="338" spans="1:15" x14ac:dyDescent="0.3">
      <c r="A338">
        <v>33175</v>
      </c>
      <c r="B338">
        <v>3202108</v>
      </c>
      <c r="C338" t="s">
        <v>39</v>
      </c>
      <c r="D338">
        <v>0.69</v>
      </c>
      <c r="E338">
        <v>1717208.76</v>
      </c>
      <c r="F338">
        <v>133708.51</v>
      </c>
      <c r="G338">
        <v>1850917.27</v>
      </c>
      <c r="H338">
        <v>41497.06</v>
      </c>
      <c r="I338">
        <v>50092.31</v>
      </c>
      <c r="J338">
        <v>0.69</v>
      </c>
      <c r="K338">
        <v>69287.509999999995</v>
      </c>
      <c r="L338">
        <v>0</v>
      </c>
      <c r="M338">
        <v>0</v>
      </c>
      <c r="N338">
        <v>2021</v>
      </c>
      <c r="O338">
        <v>5</v>
      </c>
    </row>
    <row r="339" spans="1:15" x14ac:dyDescent="0.3">
      <c r="A339">
        <v>33176</v>
      </c>
      <c r="B339">
        <v>3202207</v>
      </c>
      <c r="C339" t="s">
        <v>40</v>
      </c>
      <c r="D339">
        <v>0.33</v>
      </c>
      <c r="E339">
        <v>813156.09</v>
      </c>
      <c r="F339">
        <v>63315.48</v>
      </c>
      <c r="G339">
        <v>876471.57</v>
      </c>
      <c r="H339">
        <v>19650.25</v>
      </c>
      <c r="I339">
        <v>52448.93</v>
      </c>
      <c r="J339">
        <v>0.33</v>
      </c>
      <c r="K339">
        <v>32809.97</v>
      </c>
      <c r="L339">
        <v>0</v>
      </c>
      <c r="M339">
        <v>0</v>
      </c>
      <c r="N339">
        <v>2021</v>
      </c>
      <c r="O339">
        <v>5</v>
      </c>
    </row>
    <row r="340" spans="1:15" x14ac:dyDescent="0.3">
      <c r="A340">
        <v>33177</v>
      </c>
      <c r="B340">
        <v>3202256</v>
      </c>
      <c r="C340" t="s">
        <v>41</v>
      </c>
      <c r="D340">
        <v>0.44</v>
      </c>
      <c r="E340">
        <v>1088302.57</v>
      </c>
      <c r="F340">
        <v>84739.45</v>
      </c>
      <c r="G340">
        <v>1173042.02</v>
      </c>
      <c r="H340">
        <v>26299.279999999999</v>
      </c>
      <c r="I340">
        <v>46868</v>
      </c>
      <c r="J340">
        <v>0.44</v>
      </c>
      <c r="K340">
        <v>43911.83</v>
      </c>
      <c r="L340">
        <v>0</v>
      </c>
      <c r="M340">
        <v>0</v>
      </c>
      <c r="N340">
        <v>2021</v>
      </c>
      <c r="O340">
        <v>5</v>
      </c>
    </row>
    <row r="341" spans="1:15" x14ac:dyDescent="0.3">
      <c r="A341">
        <v>33178</v>
      </c>
      <c r="B341">
        <v>3202306</v>
      </c>
      <c r="C341" t="s">
        <v>42</v>
      </c>
      <c r="D341">
        <v>0.39</v>
      </c>
      <c r="E341">
        <v>960555.99</v>
      </c>
      <c r="F341">
        <v>74792.61</v>
      </c>
      <c r="G341">
        <v>1035348.6</v>
      </c>
      <c r="H341">
        <v>23212.23</v>
      </c>
      <c r="I341">
        <v>167691.98000000001</v>
      </c>
      <c r="J341">
        <v>0.39</v>
      </c>
      <c r="K341">
        <v>38757.39</v>
      </c>
      <c r="L341">
        <v>0</v>
      </c>
      <c r="M341">
        <v>0</v>
      </c>
      <c r="N341">
        <v>2021</v>
      </c>
      <c r="O341">
        <v>5</v>
      </c>
    </row>
    <row r="342" spans="1:15" x14ac:dyDescent="0.3">
      <c r="A342">
        <v>33179</v>
      </c>
      <c r="B342">
        <v>3202405</v>
      </c>
      <c r="C342" t="s">
        <v>43</v>
      </c>
      <c r="D342">
        <v>0.91</v>
      </c>
      <c r="E342">
        <v>2240478.39</v>
      </c>
      <c r="F342">
        <v>174452.28</v>
      </c>
      <c r="G342">
        <v>2414930.67</v>
      </c>
      <c r="H342">
        <v>54142.09</v>
      </c>
      <c r="I342">
        <v>934932.15</v>
      </c>
      <c r="J342">
        <v>0.91</v>
      </c>
      <c r="K342">
        <v>90400.88</v>
      </c>
      <c r="L342">
        <v>0</v>
      </c>
      <c r="M342">
        <v>0</v>
      </c>
      <c r="N342">
        <v>2021</v>
      </c>
      <c r="O342">
        <v>5</v>
      </c>
    </row>
    <row r="343" spans="1:15" x14ac:dyDescent="0.3">
      <c r="A343">
        <v>33180</v>
      </c>
      <c r="B343">
        <v>3202454</v>
      </c>
      <c r="C343" t="s">
        <v>44</v>
      </c>
      <c r="D343">
        <v>0.36</v>
      </c>
      <c r="E343">
        <v>884399.37</v>
      </c>
      <c r="F343">
        <v>68862.77</v>
      </c>
      <c r="G343">
        <v>953262.14</v>
      </c>
      <c r="H343">
        <v>21371.88</v>
      </c>
      <c r="I343">
        <v>101324.55</v>
      </c>
      <c r="J343">
        <v>0.36</v>
      </c>
      <c r="K343">
        <v>35684.559999999998</v>
      </c>
      <c r="L343">
        <v>0</v>
      </c>
      <c r="M343">
        <v>0</v>
      </c>
      <c r="N343">
        <v>2021</v>
      </c>
      <c r="O343">
        <v>5</v>
      </c>
    </row>
    <row r="344" spans="1:15" x14ac:dyDescent="0.3">
      <c r="A344">
        <v>33181</v>
      </c>
      <c r="B344">
        <v>3202504</v>
      </c>
      <c r="C344" t="s">
        <v>45</v>
      </c>
      <c r="D344">
        <v>0.27</v>
      </c>
      <c r="E344">
        <v>670669.52</v>
      </c>
      <c r="F344">
        <v>52220.9</v>
      </c>
      <c r="G344">
        <v>722890.42</v>
      </c>
      <c r="H344">
        <v>16207.01</v>
      </c>
      <c r="I344">
        <v>47690.17</v>
      </c>
      <c r="J344">
        <v>0.27</v>
      </c>
      <c r="K344">
        <v>27060.79</v>
      </c>
      <c r="L344">
        <v>0</v>
      </c>
      <c r="M344">
        <v>0</v>
      </c>
      <c r="N344">
        <v>2021</v>
      </c>
      <c r="O344">
        <v>5</v>
      </c>
    </row>
    <row r="345" spans="1:15" x14ac:dyDescent="0.3">
      <c r="A345">
        <v>33182</v>
      </c>
      <c r="B345">
        <v>3202553</v>
      </c>
      <c r="C345" t="s">
        <v>46</v>
      </c>
      <c r="D345">
        <v>0.24</v>
      </c>
      <c r="E345">
        <v>601882.9</v>
      </c>
      <c r="F345">
        <v>46864.92</v>
      </c>
      <c r="G345">
        <v>648747.81999999995</v>
      </c>
      <c r="H345">
        <v>14544.75</v>
      </c>
      <c r="I345">
        <v>23998.31</v>
      </c>
      <c r="J345">
        <v>0.24</v>
      </c>
      <c r="K345">
        <v>24285.32</v>
      </c>
      <c r="L345">
        <v>0</v>
      </c>
      <c r="M345">
        <v>0</v>
      </c>
      <c r="N345">
        <v>2021</v>
      </c>
      <c r="O345">
        <v>5</v>
      </c>
    </row>
    <row r="346" spans="1:15" x14ac:dyDescent="0.3">
      <c r="A346">
        <v>33183</v>
      </c>
      <c r="B346">
        <v>3202603</v>
      </c>
      <c r="C346" t="s">
        <v>47</v>
      </c>
      <c r="D346">
        <v>0.37</v>
      </c>
      <c r="E346">
        <v>913879.37</v>
      </c>
      <c r="F346">
        <v>71158.179999999993</v>
      </c>
      <c r="G346">
        <v>985037.55</v>
      </c>
      <c r="H346">
        <v>22084.27</v>
      </c>
      <c r="I346">
        <v>124443.01</v>
      </c>
      <c r="J346">
        <v>0.37</v>
      </c>
      <c r="K346">
        <v>36874.04</v>
      </c>
      <c r="L346">
        <v>0</v>
      </c>
      <c r="M346">
        <v>0</v>
      </c>
      <c r="N346">
        <v>2021</v>
      </c>
      <c r="O346">
        <v>5</v>
      </c>
    </row>
    <row r="347" spans="1:15" x14ac:dyDescent="0.3">
      <c r="A347">
        <v>33184</v>
      </c>
      <c r="B347">
        <v>3202652</v>
      </c>
      <c r="C347" t="s">
        <v>48</v>
      </c>
      <c r="D347">
        <v>0.3</v>
      </c>
      <c r="E347">
        <v>759109.46</v>
      </c>
      <c r="F347">
        <v>59107.22</v>
      </c>
      <c r="G347">
        <v>818216.68</v>
      </c>
      <c r="H347">
        <v>18344.2</v>
      </c>
      <c r="I347">
        <v>57354.32</v>
      </c>
      <c r="J347">
        <v>0.3</v>
      </c>
      <c r="K347">
        <v>30629.24</v>
      </c>
      <c r="L347">
        <v>0</v>
      </c>
      <c r="M347">
        <v>0</v>
      </c>
      <c r="N347">
        <v>2021</v>
      </c>
      <c r="O347">
        <v>5</v>
      </c>
    </row>
    <row r="348" spans="1:15" x14ac:dyDescent="0.3">
      <c r="A348">
        <v>33185</v>
      </c>
      <c r="B348">
        <v>3202702</v>
      </c>
      <c r="C348" t="s">
        <v>49</v>
      </c>
      <c r="D348">
        <v>0.38</v>
      </c>
      <c r="E348">
        <v>940902.66</v>
      </c>
      <c r="F348">
        <v>73262.320000000007</v>
      </c>
      <c r="G348">
        <v>1014164.98</v>
      </c>
      <c r="H348">
        <v>22737.3</v>
      </c>
      <c r="I348">
        <v>36158.58</v>
      </c>
      <c r="J348">
        <v>0.38</v>
      </c>
      <c r="K348">
        <v>37964.400000000001</v>
      </c>
      <c r="L348">
        <v>0</v>
      </c>
      <c r="M348">
        <v>0</v>
      </c>
      <c r="N348">
        <v>2021</v>
      </c>
      <c r="O348">
        <v>5</v>
      </c>
    </row>
    <row r="349" spans="1:15" x14ac:dyDescent="0.3">
      <c r="A349">
        <v>33186</v>
      </c>
      <c r="B349">
        <v>3202801</v>
      </c>
      <c r="C349" t="s">
        <v>50</v>
      </c>
      <c r="D349">
        <v>2.66</v>
      </c>
      <c r="E349">
        <v>6547011.9900000002</v>
      </c>
      <c r="F349">
        <v>509775.69</v>
      </c>
      <c r="G349">
        <v>7056787.6799999997</v>
      </c>
      <c r="H349">
        <v>158211.26</v>
      </c>
      <c r="I349">
        <v>117942.45</v>
      </c>
      <c r="J349">
        <v>2.66</v>
      </c>
      <c r="K349">
        <v>264164.84000000003</v>
      </c>
      <c r="L349">
        <v>0</v>
      </c>
      <c r="M349">
        <v>0</v>
      </c>
      <c r="N349">
        <v>2021</v>
      </c>
      <c r="O349">
        <v>5</v>
      </c>
    </row>
    <row r="350" spans="1:15" x14ac:dyDescent="0.3">
      <c r="A350">
        <v>33187</v>
      </c>
      <c r="B350">
        <v>3202900</v>
      </c>
      <c r="C350" t="s">
        <v>51</v>
      </c>
      <c r="D350">
        <v>0.34</v>
      </c>
      <c r="E350">
        <v>840179.4</v>
      </c>
      <c r="F350">
        <v>65419.62</v>
      </c>
      <c r="G350">
        <v>905599.02</v>
      </c>
      <c r="H350">
        <v>20303.28</v>
      </c>
      <c r="I350">
        <v>58892.11</v>
      </c>
      <c r="J350">
        <v>0.34</v>
      </c>
      <c r="K350">
        <v>33900.33</v>
      </c>
      <c r="L350">
        <v>0</v>
      </c>
      <c r="M350">
        <v>0</v>
      </c>
      <c r="N350">
        <v>2021</v>
      </c>
      <c r="O350">
        <v>5</v>
      </c>
    </row>
    <row r="351" spans="1:15" x14ac:dyDescent="0.3">
      <c r="A351">
        <v>33188</v>
      </c>
      <c r="B351">
        <v>3203007</v>
      </c>
      <c r="C351" t="s">
        <v>52</v>
      </c>
      <c r="D351">
        <v>0.47</v>
      </c>
      <c r="E351">
        <v>1159545.83</v>
      </c>
      <c r="F351">
        <v>90286.73</v>
      </c>
      <c r="G351">
        <v>1249832.56</v>
      </c>
      <c r="H351">
        <v>28020.91</v>
      </c>
      <c r="I351">
        <v>87963.43</v>
      </c>
      <c r="J351">
        <v>0.47</v>
      </c>
      <c r="K351">
        <v>46786.42</v>
      </c>
      <c r="L351">
        <v>0</v>
      </c>
      <c r="M351">
        <v>0</v>
      </c>
      <c r="N351">
        <v>2021</v>
      </c>
      <c r="O351">
        <v>5</v>
      </c>
    </row>
    <row r="352" spans="1:15" x14ac:dyDescent="0.3">
      <c r="A352">
        <v>33189</v>
      </c>
      <c r="B352">
        <v>3203056</v>
      </c>
      <c r="C352" t="s">
        <v>53</v>
      </c>
      <c r="D352">
        <v>0.86</v>
      </c>
      <c r="E352">
        <v>2125015.13</v>
      </c>
      <c r="F352">
        <v>165461.91</v>
      </c>
      <c r="G352">
        <v>2290477.04</v>
      </c>
      <c r="H352">
        <v>51351.87</v>
      </c>
      <c r="I352">
        <v>98724.86</v>
      </c>
      <c r="J352">
        <v>0.86</v>
      </c>
      <c r="K352">
        <v>85742.06</v>
      </c>
      <c r="L352">
        <v>0</v>
      </c>
      <c r="M352">
        <v>0</v>
      </c>
      <c r="N352">
        <v>2021</v>
      </c>
      <c r="O352">
        <v>5</v>
      </c>
    </row>
    <row r="353" spans="1:15" x14ac:dyDescent="0.3">
      <c r="A353">
        <v>33190</v>
      </c>
      <c r="B353">
        <v>3203106</v>
      </c>
      <c r="C353" t="s">
        <v>54</v>
      </c>
      <c r="D353">
        <v>0.21</v>
      </c>
      <c r="E353">
        <v>525726.31000000006</v>
      </c>
      <c r="F353">
        <v>40935.08</v>
      </c>
      <c r="G353">
        <v>566661.39</v>
      </c>
      <c r="H353">
        <v>12704.39</v>
      </c>
      <c r="I353">
        <v>27544.46</v>
      </c>
      <c r="J353">
        <v>0.21</v>
      </c>
      <c r="K353">
        <v>21212.49</v>
      </c>
      <c r="L353">
        <v>0</v>
      </c>
      <c r="M353">
        <v>0</v>
      </c>
      <c r="N353">
        <v>2021</v>
      </c>
      <c r="O353">
        <v>5</v>
      </c>
    </row>
    <row r="354" spans="1:15" x14ac:dyDescent="0.3">
      <c r="A354">
        <v>33191</v>
      </c>
      <c r="B354">
        <v>3203130</v>
      </c>
      <c r="C354" t="s">
        <v>55</v>
      </c>
      <c r="D354">
        <v>0.42</v>
      </c>
      <c r="E354">
        <v>1048995.94</v>
      </c>
      <c r="F354">
        <v>81678.86</v>
      </c>
      <c r="G354">
        <v>1130674.8</v>
      </c>
      <c r="H354">
        <v>25349.42</v>
      </c>
      <c r="I354">
        <v>83204.31</v>
      </c>
      <c r="J354">
        <v>0.42</v>
      </c>
      <c r="K354">
        <v>42325.85</v>
      </c>
      <c r="L354">
        <v>0</v>
      </c>
      <c r="M354">
        <v>0</v>
      </c>
      <c r="N354">
        <v>2021</v>
      </c>
      <c r="O354">
        <v>5</v>
      </c>
    </row>
    <row r="355" spans="1:15" x14ac:dyDescent="0.3">
      <c r="A355">
        <v>33192</v>
      </c>
      <c r="B355">
        <v>3203163</v>
      </c>
      <c r="C355" t="s">
        <v>56</v>
      </c>
      <c r="D355">
        <v>0.38</v>
      </c>
      <c r="E355">
        <v>933532.69</v>
      </c>
      <c r="F355">
        <v>72688.460000000006</v>
      </c>
      <c r="G355">
        <v>1006221.15</v>
      </c>
      <c r="H355">
        <v>22559.200000000001</v>
      </c>
      <c r="I355">
        <v>50358.19</v>
      </c>
      <c r="J355">
        <v>0.38</v>
      </c>
      <c r="K355">
        <v>37667.03</v>
      </c>
      <c r="L355">
        <v>0</v>
      </c>
      <c r="M355">
        <v>0</v>
      </c>
      <c r="N355">
        <v>2021</v>
      </c>
      <c r="O355">
        <v>5</v>
      </c>
    </row>
    <row r="356" spans="1:15" x14ac:dyDescent="0.3">
      <c r="A356">
        <v>33193</v>
      </c>
      <c r="B356">
        <v>3203205</v>
      </c>
      <c r="C356" t="s">
        <v>57</v>
      </c>
      <c r="D356">
        <v>5.75</v>
      </c>
      <c r="E356">
        <v>14133193.23</v>
      </c>
      <c r="F356">
        <v>1100465.06</v>
      </c>
      <c r="G356">
        <v>15233658.289999999</v>
      </c>
      <c r="H356">
        <v>341534.48</v>
      </c>
      <c r="I356">
        <v>673294.03</v>
      </c>
      <c r="J356">
        <v>5.75</v>
      </c>
      <c r="K356">
        <v>570259.04</v>
      </c>
      <c r="L356">
        <v>0</v>
      </c>
      <c r="M356">
        <v>0</v>
      </c>
      <c r="N356">
        <v>2021</v>
      </c>
      <c r="O356">
        <v>5</v>
      </c>
    </row>
    <row r="357" spans="1:15" x14ac:dyDescent="0.3">
      <c r="A357">
        <v>33194</v>
      </c>
      <c r="B357">
        <v>3203304</v>
      </c>
      <c r="C357" t="s">
        <v>58</v>
      </c>
      <c r="D357">
        <v>0.25</v>
      </c>
      <c r="E357">
        <v>626449.57999999996</v>
      </c>
      <c r="F357">
        <v>48777.79</v>
      </c>
      <c r="G357">
        <v>675227.37</v>
      </c>
      <c r="H357">
        <v>15138.41</v>
      </c>
      <c r="I357">
        <v>41037.480000000003</v>
      </c>
      <c r="J357">
        <v>0.25</v>
      </c>
      <c r="K357">
        <v>25276.560000000001</v>
      </c>
      <c r="L357">
        <v>0</v>
      </c>
      <c r="M357">
        <v>0</v>
      </c>
      <c r="N357">
        <v>2021</v>
      </c>
      <c r="O357">
        <v>5</v>
      </c>
    </row>
    <row r="358" spans="1:15" x14ac:dyDescent="0.3">
      <c r="A358">
        <v>33195</v>
      </c>
      <c r="B358">
        <v>3203320</v>
      </c>
      <c r="C358" t="s">
        <v>59</v>
      </c>
      <c r="D358">
        <v>0.61</v>
      </c>
      <c r="E358">
        <v>1515762.27</v>
      </c>
      <c r="F358">
        <v>118023.13</v>
      </c>
      <c r="G358">
        <v>1633785.4</v>
      </c>
      <c r="H358">
        <v>36629.019999999997</v>
      </c>
      <c r="I358">
        <v>182516.85</v>
      </c>
      <c r="J358">
        <v>0.61</v>
      </c>
      <c r="K358">
        <v>61159.37</v>
      </c>
      <c r="L358">
        <v>0</v>
      </c>
      <c r="M358">
        <v>0</v>
      </c>
      <c r="N358">
        <v>2021</v>
      </c>
      <c r="O358">
        <v>5</v>
      </c>
    </row>
    <row r="359" spans="1:15" x14ac:dyDescent="0.3">
      <c r="A359">
        <v>33196</v>
      </c>
      <c r="B359">
        <v>3203346</v>
      </c>
      <c r="C359" t="s">
        <v>60</v>
      </c>
      <c r="D359">
        <v>0.65</v>
      </c>
      <c r="E359">
        <v>1614028.82</v>
      </c>
      <c r="F359">
        <v>125674.55</v>
      </c>
      <c r="G359">
        <v>1739703.37</v>
      </c>
      <c r="H359">
        <v>39003.68</v>
      </c>
      <c r="I359">
        <v>138328.42000000001</v>
      </c>
      <c r="J359">
        <v>0.65</v>
      </c>
      <c r="K359">
        <v>65124.32</v>
      </c>
      <c r="L359">
        <v>0</v>
      </c>
      <c r="M359">
        <v>0</v>
      </c>
      <c r="N359">
        <v>2021</v>
      </c>
      <c r="O359">
        <v>5</v>
      </c>
    </row>
    <row r="360" spans="1:15" x14ac:dyDescent="0.3">
      <c r="A360">
        <v>33197</v>
      </c>
      <c r="B360">
        <v>3203353</v>
      </c>
      <c r="C360" t="s">
        <v>61</v>
      </c>
      <c r="D360">
        <v>0.43</v>
      </c>
      <c r="E360">
        <v>1076019.23</v>
      </c>
      <c r="F360">
        <v>83783.009999999995</v>
      </c>
      <c r="G360">
        <v>1159802.24</v>
      </c>
      <c r="H360">
        <v>26002.45</v>
      </c>
      <c r="I360">
        <v>62288.45</v>
      </c>
      <c r="J360">
        <v>0.43</v>
      </c>
      <c r="K360">
        <v>43416.21</v>
      </c>
      <c r="L360">
        <v>0</v>
      </c>
      <c r="M360">
        <v>0</v>
      </c>
      <c r="N360">
        <v>2021</v>
      </c>
      <c r="O360">
        <v>5</v>
      </c>
    </row>
    <row r="361" spans="1:15" x14ac:dyDescent="0.3">
      <c r="A361">
        <v>33198</v>
      </c>
      <c r="B361">
        <v>3203403</v>
      </c>
      <c r="C361" t="s">
        <v>62</v>
      </c>
      <c r="D361">
        <v>0.5</v>
      </c>
      <c r="E361">
        <v>1228332.49</v>
      </c>
      <c r="F361">
        <v>95642.72</v>
      </c>
      <c r="G361">
        <v>1323975.21</v>
      </c>
      <c r="H361">
        <v>29683.16</v>
      </c>
      <c r="I361">
        <v>104332.02</v>
      </c>
      <c r="J361">
        <v>0.5</v>
      </c>
      <c r="K361">
        <v>49561.88</v>
      </c>
      <c r="L361">
        <v>0</v>
      </c>
      <c r="M361">
        <v>0</v>
      </c>
      <c r="N361">
        <v>2021</v>
      </c>
      <c r="O361">
        <v>5</v>
      </c>
    </row>
    <row r="362" spans="1:15" x14ac:dyDescent="0.3">
      <c r="A362">
        <v>33199</v>
      </c>
      <c r="B362">
        <v>3203502</v>
      </c>
      <c r="C362" t="s">
        <v>63</v>
      </c>
      <c r="D362">
        <v>0.52</v>
      </c>
      <c r="E362">
        <v>1289749.08</v>
      </c>
      <c r="F362">
        <v>100424.86</v>
      </c>
      <c r="G362">
        <v>1390173.94</v>
      </c>
      <c r="H362">
        <v>31167.32</v>
      </c>
      <c r="I362">
        <v>66476.59</v>
      </c>
      <c r="J362">
        <v>0.52</v>
      </c>
      <c r="K362">
        <v>52039.98</v>
      </c>
      <c r="L362">
        <v>0</v>
      </c>
      <c r="M362">
        <v>0</v>
      </c>
      <c r="N362">
        <v>2021</v>
      </c>
      <c r="O362">
        <v>5</v>
      </c>
    </row>
    <row r="363" spans="1:15" x14ac:dyDescent="0.3">
      <c r="A363">
        <v>33200</v>
      </c>
      <c r="B363">
        <v>3203601</v>
      </c>
      <c r="C363" t="s">
        <v>64</v>
      </c>
      <c r="D363">
        <v>0.28000000000000003</v>
      </c>
      <c r="E363">
        <v>709976.14</v>
      </c>
      <c r="F363">
        <v>55281.51</v>
      </c>
      <c r="G363">
        <v>765257.65</v>
      </c>
      <c r="H363">
        <v>17156.87</v>
      </c>
      <c r="I363">
        <v>15716.7</v>
      </c>
      <c r="J363">
        <v>0.28000000000000003</v>
      </c>
      <c r="K363">
        <v>28646.77</v>
      </c>
      <c r="L363">
        <v>0</v>
      </c>
      <c r="M363">
        <v>0</v>
      </c>
      <c r="N363">
        <v>2021</v>
      </c>
      <c r="O363">
        <v>5</v>
      </c>
    </row>
    <row r="364" spans="1:15" x14ac:dyDescent="0.3">
      <c r="A364">
        <v>33201</v>
      </c>
      <c r="B364">
        <v>3203700</v>
      </c>
      <c r="C364" t="s">
        <v>65</v>
      </c>
      <c r="D364">
        <v>0.5</v>
      </c>
      <c r="E364">
        <v>1250442.45</v>
      </c>
      <c r="F364">
        <v>97364.28</v>
      </c>
      <c r="G364">
        <v>1347806.73</v>
      </c>
      <c r="H364">
        <v>30217.46</v>
      </c>
      <c r="I364">
        <v>42129.24</v>
      </c>
      <c r="J364">
        <v>0.5</v>
      </c>
      <c r="K364">
        <v>50454</v>
      </c>
      <c r="L364">
        <v>0</v>
      </c>
      <c r="M364">
        <v>0</v>
      </c>
      <c r="N364">
        <v>2021</v>
      </c>
      <c r="O364">
        <v>5</v>
      </c>
    </row>
    <row r="365" spans="1:15" x14ac:dyDescent="0.3">
      <c r="A365">
        <v>33202</v>
      </c>
      <c r="B365">
        <v>3203809</v>
      </c>
      <c r="C365" t="s">
        <v>66</v>
      </c>
      <c r="D365">
        <v>0.28999999999999998</v>
      </c>
      <c r="E365">
        <v>717346.14</v>
      </c>
      <c r="F365">
        <v>55855.360000000001</v>
      </c>
      <c r="G365">
        <v>773201.5</v>
      </c>
      <c r="H365">
        <v>17334.97</v>
      </c>
      <c r="I365">
        <v>42131.4</v>
      </c>
      <c r="J365">
        <v>0.28999999999999998</v>
      </c>
      <c r="K365">
        <v>28944.14</v>
      </c>
      <c r="L365">
        <v>0</v>
      </c>
      <c r="M365">
        <v>0</v>
      </c>
      <c r="N365">
        <v>2021</v>
      </c>
      <c r="O365">
        <v>5</v>
      </c>
    </row>
    <row r="366" spans="1:15" x14ac:dyDescent="0.3">
      <c r="A366">
        <v>33203</v>
      </c>
      <c r="B366">
        <v>3203908</v>
      </c>
      <c r="C366" t="s">
        <v>67</v>
      </c>
      <c r="D366">
        <v>1.22</v>
      </c>
      <c r="E366">
        <v>3019241.19</v>
      </c>
      <c r="F366">
        <v>235089.79</v>
      </c>
      <c r="G366">
        <v>3254330.98</v>
      </c>
      <c r="H366">
        <v>72961.22</v>
      </c>
      <c r="I366">
        <v>185095.22</v>
      </c>
      <c r="J366">
        <v>1.22</v>
      </c>
      <c r="K366">
        <v>121823.11</v>
      </c>
      <c r="L366">
        <v>0</v>
      </c>
      <c r="M366">
        <v>0</v>
      </c>
      <c r="N366">
        <v>2021</v>
      </c>
      <c r="O366">
        <v>5</v>
      </c>
    </row>
    <row r="367" spans="1:15" x14ac:dyDescent="0.3">
      <c r="A367">
        <v>33204</v>
      </c>
      <c r="B367">
        <v>3204005</v>
      </c>
      <c r="C367" t="s">
        <v>68</v>
      </c>
      <c r="D367">
        <v>0.47</v>
      </c>
      <c r="E367">
        <v>1174285.8500000001</v>
      </c>
      <c r="F367">
        <v>91434.44</v>
      </c>
      <c r="G367">
        <v>1265720.29</v>
      </c>
      <c r="H367">
        <v>28377.1</v>
      </c>
      <c r="I367">
        <v>45972.68</v>
      </c>
      <c r="J367">
        <v>0.47</v>
      </c>
      <c r="K367">
        <v>47381.16</v>
      </c>
      <c r="L367">
        <v>0</v>
      </c>
      <c r="M367">
        <v>0</v>
      </c>
      <c r="N367">
        <v>2021</v>
      </c>
      <c r="O367">
        <v>5</v>
      </c>
    </row>
    <row r="368" spans="1:15" x14ac:dyDescent="0.3">
      <c r="A368">
        <v>33205</v>
      </c>
      <c r="B368">
        <v>3204054</v>
      </c>
      <c r="C368" t="s">
        <v>69</v>
      </c>
      <c r="D368">
        <v>0.32</v>
      </c>
      <c r="E368">
        <v>795959.42</v>
      </c>
      <c r="F368">
        <v>61976.5</v>
      </c>
      <c r="G368">
        <v>857935.92</v>
      </c>
      <c r="H368">
        <v>19234.689999999999</v>
      </c>
      <c r="I368">
        <v>66200.28</v>
      </c>
      <c r="J368">
        <v>0.32</v>
      </c>
      <c r="K368">
        <v>32116.1</v>
      </c>
      <c r="L368">
        <v>0</v>
      </c>
      <c r="M368">
        <v>0</v>
      </c>
      <c r="N368">
        <v>2021</v>
      </c>
      <c r="O368">
        <v>5</v>
      </c>
    </row>
    <row r="369" spans="1:15" x14ac:dyDescent="0.3">
      <c r="A369">
        <v>33206</v>
      </c>
      <c r="B369">
        <v>3204104</v>
      </c>
      <c r="C369" t="s">
        <v>70</v>
      </c>
      <c r="D369">
        <v>0.66</v>
      </c>
      <c r="E369">
        <v>1633682.17</v>
      </c>
      <c r="F369">
        <v>127204.8</v>
      </c>
      <c r="G369">
        <v>1760886.97</v>
      </c>
      <c r="H369">
        <v>39478.61</v>
      </c>
      <c r="I369">
        <v>73195.3</v>
      </c>
      <c r="J369">
        <v>0.66</v>
      </c>
      <c r="K369">
        <v>65917.31</v>
      </c>
      <c r="L369">
        <v>0</v>
      </c>
      <c r="M369">
        <v>0</v>
      </c>
      <c r="N369">
        <v>2021</v>
      </c>
      <c r="O369">
        <v>5</v>
      </c>
    </row>
    <row r="370" spans="1:15" x14ac:dyDescent="0.3">
      <c r="A370">
        <v>33207</v>
      </c>
      <c r="B370">
        <v>3204203</v>
      </c>
      <c r="C370" t="s">
        <v>71</v>
      </c>
      <c r="D370">
        <v>0.15</v>
      </c>
      <c r="E370">
        <v>375869.74</v>
      </c>
      <c r="F370">
        <v>29266.66</v>
      </c>
      <c r="G370">
        <v>405136.4</v>
      </c>
      <c r="H370">
        <v>9083.0499999999993</v>
      </c>
      <c r="I370">
        <v>105375.03</v>
      </c>
      <c r="J370">
        <v>0.15</v>
      </c>
      <c r="K370">
        <v>15165.94</v>
      </c>
      <c r="L370">
        <v>0</v>
      </c>
      <c r="M370">
        <v>0</v>
      </c>
      <c r="N370">
        <v>2021</v>
      </c>
      <c r="O370">
        <v>5</v>
      </c>
    </row>
    <row r="371" spans="1:15" x14ac:dyDescent="0.3">
      <c r="A371">
        <v>33208</v>
      </c>
      <c r="B371">
        <v>3204252</v>
      </c>
      <c r="C371" t="s">
        <v>72</v>
      </c>
      <c r="D371">
        <v>0.23</v>
      </c>
      <c r="E371">
        <v>565032.92000000004</v>
      </c>
      <c r="F371">
        <v>43995.63</v>
      </c>
      <c r="G371">
        <v>609028.55000000005</v>
      </c>
      <c r="H371">
        <v>13654.26</v>
      </c>
      <c r="I371">
        <v>14926.26</v>
      </c>
      <c r="J371">
        <v>0.23</v>
      </c>
      <c r="K371">
        <v>22798.47</v>
      </c>
      <c r="L371">
        <v>0</v>
      </c>
      <c r="M371">
        <v>0</v>
      </c>
      <c r="N371">
        <v>2021</v>
      </c>
      <c r="O371">
        <v>5</v>
      </c>
    </row>
    <row r="372" spans="1:15" x14ac:dyDescent="0.3">
      <c r="A372">
        <v>33209</v>
      </c>
      <c r="B372">
        <v>1718402</v>
      </c>
      <c r="C372" t="s">
        <v>73</v>
      </c>
      <c r="D372">
        <v>0.33</v>
      </c>
      <c r="E372">
        <v>820526.06</v>
      </c>
      <c r="F372">
        <v>63889.34</v>
      </c>
      <c r="G372">
        <v>884415.4</v>
      </c>
      <c r="H372">
        <v>19828.349999999999</v>
      </c>
      <c r="I372">
        <v>80220.399999999994</v>
      </c>
      <c r="J372">
        <v>0.33</v>
      </c>
      <c r="K372">
        <v>33107.339999999997</v>
      </c>
      <c r="L372">
        <v>0</v>
      </c>
      <c r="M372">
        <v>0</v>
      </c>
      <c r="N372">
        <v>2021</v>
      </c>
      <c r="O372">
        <v>5</v>
      </c>
    </row>
    <row r="373" spans="1:15" x14ac:dyDescent="0.3">
      <c r="A373">
        <v>33210</v>
      </c>
      <c r="B373">
        <v>3204351</v>
      </c>
      <c r="C373" t="s">
        <v>74</v>
      </c>
      <c r="D373">
        <v>0.76</v>
      </c>
      <c r="E373">
        <v>1889175.31</v>
      </c>
      <c r="F373">
        <v>147098.5</v>
      </c>
      <c r="G373">
        <v>2036273.81</v>
      </c>
      <c r="H373">
        <v>45652.71</v>
      </c>
      <c r="I373">
        <v>85685.83</v>
      </c>
      <c r="J373">
        <v>0.76</v>
      </c>
      <c r="K373">
        <v>76226.179999999993</v>
      </c>
      <c r="L373">
        <v>0</v>
      </c>
      <c r="M373">
        <v>0</v>
      </c>
      <c r="N373">
        <v>2021</v>
      </c>
      <c r="O373">
        <v>5</v>
      </c>
    </row>
    <row r="374" spans="1:15" x14ac:dyDescent="0.3">
      <c r="A374">
        <v>33211</v>
      </c>
      <c r="B374">
        <v>3204401</v>
      </c>
      <c r="C374" t="s">
        <v>75</v>
      </c>
      <c r="D374">
        <v>0.26</v>
      </c>
      <c r="E374">
        <v>651016.22</v>
      </c>
      <c r="F374">
        <v>50690.63</v>
      </c>
      <c r="G374">
        <v>701706.85</v>
      </c>
      <c r="H374">
        <v>15732.08</v>
      </c>
      <c r="I374">
        <v>46273.14</v>
      </c>
      <c r="J374">
        <v>0.26</v>
      </c>
      <c r="K374">
        <v>26267.8</v>
      </c>
      <c r="L374">
        <v>0</v>
      </c>
      <c r="M374">
        <v>0</v>
      </c>
      <c r="N374">
        <v>2021</v>
      </c>
      <c r="O374">
        <v>5</v>
      </c>
    </row>
    <row r="375" spans="1:15" x14ac:dyDescent="0.3">
      <c r="A375">
        <v>33212</v>
      </c>
      <c r="B375">
        <v>3204500</v>
      </c>
      <c r="C375" t="s">
        <v>76</v>
      </c>
      <c r="D375">
        <v>0.49</v>
      </c>
      <c r="E375">
        <v>1218505.78</v>
      </c>
      <c r="F375">
        <v>94877.57</v>
      </c>
      <c r="G375">
        <v>1313383.3500000001</v>
      </c>
      <c r="H375">
        <v>29445.7</v>
      </c>
      <c r="I375">
        <v>55812.29</v>
      </c>
      <c r="J375">
        <v>0.49</v>
      </c>
      <c r="K375">
        <v>49165.39</v>
      </c>
      <c r="L375">
        <v>0</v>
      </c>
      <c r="M375">
        <v>0</v>
      </c>
      <c r="N375">
        <v>2021</v>
      </c>
      <c r="O375">
        <v>5</v>
      </c>
    </row>
    <row r="376" spans="1:15" x14ac:dyDescent="0.3">
      <c r="A376">
        <v>33213</v>
      </c>
      <c r="B376">
        <v>3204559</v>
      </c>
      <c r="C376" t="s">
        <v>77</v>
      </c>
      <c r="D376">
        <v>2.2400000000000002</v>
      </c>
      <c r="E376">
        <v>5517669.4199999999</v>
      </c>
      <c r="F376">
        <v>429627.08</v>
      </c>
      <c r="G376">
        <v>5947296.5</v>
      </c>
      <c r="H376">
        <v>133336.76999999999</v>
      </c>
      <c r="I376">
        <v>362608.27</v>
      </c>
      <c r="J376">
        <v>2.2400000000000002</v>
      </c>
      <c r="K376">
        <v>222631.98</v>
      </c>
      <c r="L376">
        <v>0</v>
      </c>
      <c r="M376">
        <v>0</v>
      </c>
      <c r="N376">
        <v>2021</v>
      </c>
      <c r="O376">
        <v>5</v>
      </c>
    </row>
    <row r="377" spans="1:15" x14ac:dyDescent="0.3">
      <c r="A377">
        <v>33214</v>
      </c>
      <c r="B377">
        <v>3204609</v>
      </c>
      <c r="C377" t="s">
        <v>78</v>
      </c>
      <c r="D377">
        <v>0.69</v>
      </c>
      <c r="E377">
        <v>1697555.45</v>
      </c>
      <c r="F377">
        <v>132178.21</v>
      </c>
      <c r="G377">
        <v>1829733.66</v>
      </c>
      <c r="H377">
        <v>41022.129999999997</v>
      </c>
      <c r="I377">
        <v>131531.19</v>
      </c>
      <c r="J377">
        <v>0.69</v>
      </c>
      <c r="K377">
        <v>68494.52</v>
      </c>
      <c r="L377">
        <v>0</v>
      </c>
      <c r="M377">
        <v>0</v>
      </c>
      <c r="N377">
        <v>2021</v>
      </c>
      <c r="O377">
        <v>5</v>
      </c>
    </row>
    <row r="378" spans="1:15" x14ac:dyDescent="0.3">
      <c r="A378">
        <v>33215</v>
      </c>
      <c r="B378">
        <v>3204658</v>
      </c>
      <c r="C378" t="s">
        <v>79</v>
      </c>
      <c r="D378">
        <v>0.45</v>
      </c>
      <c r="E378">
        <v>1112869.23</v>
      </c>
      <c r="F378">
        <v>86652.29</v>
      </c>
      <c r="G378">
        <v>1199521.52</v>
      </c>
      <c r="H378">
        <v>26892.95</v>
      </c>
      <c r="I378">
        <v>32381</v>
      </c>
      <c r="J378">
        <v>0.45</v>
      </c>
      <c r="K378">
        <v>44903.07</v>
      </c>
      <c r="L378">
        <v>0</v>
      </c>
      <c r="M378">
        <v>0</v>
      </c>
      <c r="N378">
        <v>2021</v>
      </c>
      <c r="O378">
        <v>5</v>
      </c>
    </row>
    <row r="379" spans="1:15" x14ac:dyDescent="0.3">
      <c r="A379">
        <v>33216</v>
      </c>
      <c r="B379">
        <v>3204708</v>
      </c>
      <c r="C379" t="s">
        <v>80</v>
      </c>
      <c r="D379">
        <v>0.72</v>
      </c>
      <c r="E379">
        <v>1790908.71</v>
      </c>
      <c r="F379">
        <v>139447.09</v>
      </c>
      <c r="G379">
        <v>1930355.8</v>
      </c>
      <c r="H379">
        <v>43278.05</v>
      </c>
      <c r="I379">
        <v>108227.49</v>
      </c>
      <c r="J379">
        <v>0.72</v>
      </c>
      <c r="K379">
        <v>72261.23</v>
      </c>
      <c r="L379">
        <v>0</v>
      </c>
      <c r="M379">
        <v>0</v>
      </c>
      <c r="N379">
        <v>2021</v>
      </c>
      <c r="O379">
        <v>5</v>
      </c>
    </row>
    <row r="380" spans="1:15" x14ac:dyDescent="0.3">
      <c r="A380">
        <v>33217</v>
      </c>
      <c r="B380">
        <v>3204807</v>
      </c>
      <c r="C380" t="s">
        <v>81</v>
      </c>
      <c r="D380">
        <v>0.22</v>
      </c>
      <c r="E380">
        <v>542922.92000000004</v>
      </c>
      <c r="F380">
        <v>42274.09</v>
      </c>
      <c r="G380">
        <v>585197.01</v>
      </c>
      <c r="H380">
        <v>13119.96</v>
      </c>
      <c r="I380">
        <v>51017.24</v>
      </c>
      <c r="J380">
        <v>0.22</v>
      </c>
      <c r="K380">
        <v>21906.35</v>
      </c>
      <c r="L380">
        <v>0</v>
      </c>
      <c r="M380">
        <v>0</v>
      </c>
      <c r="N380">
        <v>2021</v>
      </c>
      <c r="O380">
        <v>5</v>
      </c>
    </row>
    <row r="381" spans="1:15" x14ac:dyDescent="0.3">
      <c r="A381">
        <v>33218</v>
      </c>
      <c r="B381">
        <v>3204906</v>
      </c>
      <c r="C381" t="s">
        <v>82</v>
      </c>
      <c r="D381">
        <v>1.8</v>
      </c>
      <c r="E381">
        <v>4424453.5199999996</v>
      </c>
      <c r="F381">
        <v>344505.09</v>
      </c>
      <c r="G381">
        <v>4768958.6100000003</v>
      </c>
      <c r="H381">
        <v>106918.76</v>
      </c>
      <c r="I381">
        <v>416140.16</v>
      </c>
      <c r="J381">
        <v>1.8</v>
      </c>
      <c r="K381">
        <v>178521.91</v>
      </c>
      <c r="L381">
        <v>0</v>
      </c>
      <c r="M381">
        <v>0</v>
      </c>
      <c r="N381">
        <v>2021</v>
      </c>
      <c r="O381">
        <v>5</v>
      </c>
    </row>
    <row r="382" spans="1:15" x14ac:dyDescent="0.3">
      <c r="A382">
        <v>33219</v>
      </c>
      <c r="B382">
        <v>3204955</v>
      </c>
      <c r="C382" t="s">
        <v>83</v>
      </c>
      <c r="D382">
        <v>0.32</v>
      </c>
      <c r="E382">
        <v>805786.08</v>
      </c>
      <c r="F382">
        <v>62741.61</v>
      </c>
      <c r="G382">
        <v>868527.69</v>
      </c>
      <c r="H382">
        <v>19472.16</v>
      </c>
      <c r="I382">
        <v>41862.21</v>
      </c>
      <c r="J382">
        <v>0.32</v>
      </c>
      <c r="K382">
        <v>32512.6</v>
      </c>
      <c r="L382">
        <v>0</v>
      </c>
      <c r="M382">
        <v>0</v>
      </c>
      <c r="N382">
        <v>2021</v>
      </c>
      <c r="O382">
        <v>5</v>
      </c>
    </row>
    <row r="383" spans="1:15" x14ac:dyDescent="0.3">
      <c r="A383">
        <v>33220</v>
      </c>
      <c r="B383">
        <v>3205002</v>
      </c>
      <c r="C383" t="s">
        <v>84</v>
      </c>
      <c r="D383">
        <v>13.06</v>
      </c>
      <c r="E383">
        <v>32101240.420000002</v>
      </c>
      <c r="F383">
        <v>2499526.69</v>
      </c>
      <c r="G383">
        <v>34600767.109999999</v>
      </c>
      <c r="H383">
        <v>775739.8</v>
      </c>
      <c r="I383">
        <v>1809018.33</v>
      </c>
      <c r="J383">
        <v>13.06</v>
      </c>
      <c r="K383">
        <v>1295250.28</v>
      </c>
      <c r="L383">
        <v>0</v>
      </c>
      <c r="M383">
        <v>0</v>
      </c>
      <c r="N383">
        <v>2021</v>
      </c>
      <c r="O383">
        <v>5</v>
      </c>
    </row>
    <row r="384" spans="1:15" x14ac:dyDescent="0.3">
      <c r="A384">
        <v>33221</v>
      </c>
      <c r="B384">
        <v>3205010</v>
      </c>
      <c r="C384" t="s">
        <v>85</v>
      </c>
      <c r="D384">
        <v>0.7</v>
      </c>
      <c r="E384">
        <v>1731948.76</v>
      </c>
      <c r="F384">
        <v>134856.23000000001</v>
      </c>
      <c r="G384">
        <v>1866804.99</v>
      </c>
      <c r="H384">
        <v>41853.26</v>
      </c>
      <c r="I384">
        <v>59853.440000000002</v>
      </c>
      <c r="J384">
        <v>0.7</v>
      </c>
      <c r="K384">
        <v>69882.259999999995</v>
      </c>
      <c r="L384">
        <v>0</v>
      </c>
      <c r="M384">
        <v>0</v>
      </c>
      <c r="N384">
        <v>2021</v>
      </c>
      <c r="O384">
        <v>5</v>
      </c>
    </row>
    <row r="385" spans="1:15" x14ac:dyDescent="0.3">
      <c r="A385">
        <v>33222</v>
      </c>
      <c r="B385">
        <v>3205036</v>
      </c>
      <c r="C385" t="s">
        <v>86</v>
      </c>
      <c r="D385">
        <v>0.47</v>
      </c>
      <c r="E385">
        <v>1169372.52</v>
      </c>
      <c r="F385">
        <v>91051.87</v>
      </c>
      <c r="G385">
        <v>1260424.3899999999</v>
      </c>
      <c r="H385">
        <v>28258.37</v>
      </c>
      <c r="I385">
        <v>82840.59</v>
      </c>
      <c r="J385">
        <v>0.47</v>
      </c>
      <c r="K385">
        <v>47182.91</v>
      </c>
      <c r="L385">
        <v>0</v>
      </c>
      <c r="M385">
        <v>0</v>
      </c>
      <c r="N385">
        <v>2021</v>
      </c>
      <c r="O385">
        <v>5</v>
      </c>
    </row>
    <row r="386" spans="1:15" x14ac:dyDescent="0.3">
      <c r="A386">
        <v>33223</v>
      </c>
      <c r="B386">
        <v>3205069</v>
      </c>
      <c r="C386" t="s">
        <v>87</v>
      </c>
      <c r="D386">
        <v>0.72</v>
      </c>
      <c r="E386">
        <v>1771255.4</v>
      </c>
      <c r="F386">
        <v>137916.81</v>
      </c>
      <c r="G386">
        <v>1909172.21</v>
      </c>
      <c r="H386">
        <v>42803.12</v>
      </c>
      <c r="I386">
        <v>178668.74</v>
      </c>
      <c r="J386">
        <v>0.72</v>
      </c>
      <c r="K386">
        <v>71468.240000000005</v>
      </c>
      <c r="L386">
        <v>0</v>
      </c>
      <c r="M386">
        <v>0</v>
      </c>
      <c r="N386">
        <v>2021</v>
      </c>
      <c r="O386">
        <v>5</v>
      </c>
    </row>
    <row r="387" spans="1:15" x14ac:dyDescent="0.3">
      <c r="A387">
        <v>33224</v>
      </c>
      <c r="B387">
        <v>2112803</v>
      </c>
      <c r="C387" t="s">
        <v>88</v>
      </c>
      <c r="D387">
        <v>2.25</v>
      </c>
      <c r="E387">
        <v>5534866.0499999998</v>
      </c>
      <c r="F387">
        <v>430966.1</v>
      </c>
      <c r="G387">
        <v>5965832.1500000004</v>
      </c>
      <c r="H387">
        <v>133752.34</v>
      </c>
      <c r="I387">
        <v>296180.53000000003</v>
      </c>
      <c r="J387">
        <v>2.25</v>
      </c>
      <c r="K387">
        <v>223325.85</v>
      </c>
      <c r="L387">
        <v>0</v>
      </c>
      <c r="M387">
        <v>0</v>
      </c>
      <c r="N387">
        <v>2021</v>
      </c>
      <c r="O387">
        <v>5</v>
      </c>
    </row>
    <row r="388" spans="1:15" x14ac:dyDescent="0.3">
      <c r="A388">
        <v>33225</v>
      </c>
      <c r="B388">
        <v>3205150</v>
      </c>
      <c r="C388" t="s">
        <v>89</v>
      </c>
      <c r="D388">
        <v>0.32</v>
      </c>
      <c r="E388">
        <v>803329.42</v>
      </c>
      <c r="F388">
        <v>62550.34</v>
      </c>
      <c r="G388">
        <v>865879.76</v>
      </c>
      <c r="H388">
        <v>19412.79</v>
      </c>
      <c r="I388">
        <v>31916.92</v>
      </c>
      <c r="J388">
        <v>0.32</v>
      </c>
      <c r="K388">
        <v>32413.47</v>
      </c>
      <c r="L388">
        <v>0</v>
      </c>
      <c r="M388">
        <v>0</v>
      </c>
      <c r="N388">
        <v>2021</v>
      </c>
      <c r="O388">
        <v>5</v>
      </c>
    </row>
    <row r="389" spans="1:15" x14ac:dyDescent="0.3">
      <c r="A389">
        <v>33226</v>
      </c>
      <c r="B389">
        <v>3205176</v>
      </c>
      <c r="C389" t="s">
        <v>90</v>
      </c>
      <c r="D389">
        <v>0.61</v>
      </c>
      <c r="E389">
        <v>1513305.59</v>
      </c>
      <c r="F389">
        <v>117831.84</v>
      </c>
      <c r="G389">
        <v>1631137.43</v>
      </c>
      <c r="H389">
        <v>36569.660000000003</v>
      </c>
      <c r="I389">
        <v>64237.95</v>
      </c>
      <c r="J389">
        <v>0.61</v>
      </c>
      <c r="K389">
        <v>61060.24</v>
      </c>
      <c r="L389">
        <v>0</v>
      </c>
      <c r="M389">
        <v>0</v>
      </c>
      <c r="N389">
        <v>2021</v>
      </c>
      <c r="O389">
        <v>5</v>
      </c>
    </row>
    <row r="390" spans="1:15" x14ac:dyDescent="0.3">
      <c r="A390">
        <v>33227</v>
      </c>
      <c r="B390">
        <v>3205200</v>
      </c>
      <c r="C390" t="s">
        <v>91</v>
      </c>
      <c r="D390">
        <v>5.55</v>
      </c>
      <c r="E390">
        <v>13651686.939999999</v>
      </c>
      <c r="F390">
        <v>1062973.1200000001</v>
      </c>
      <c r="G390">
        <v>14714660.060000001</v>
      </c>
      <c r="H390">
        <v>329898.68</v>
      </c>
      <c r="I390">
        <v>2079442.12</v>
      </c>
      <c r="J390">
        <v>5.55</v>
      </c>
      <c r="K390">
        <v>550830.78</v>
      </c>
      <c r="L390">
        <v>0</v>
      </c>
      <c r="M390">
        <v>0</v>
      </c>
      <c r="N390">
        <v>2021</v>
      </c>
      <c r="O390">
        <v>5</v>
      </c>
    </row>
    <row r="391" spans="1:15" x14ac:dyDescent="0.3">
      <c r="A391">
        <v>33228</v>
      </c>
      <c r="B391">
        <v>3205309</v>
      </c>
      <c r="C391" t="s">
        <v>92</v>
      </c>
      <c r="D391">
        <v>15.84</v>
      </c>
      <c r="E391">
        <v>38920942.109999999</v>
      </c>
      <c r="F391">
        <v>3030534.78</v>
      </c>
      <c r="G391">
        <v>41951476.890000001</v>
      </c>
      <c r="H391">
        <v>940540.73</v>
      </c>
      <c r="I391">
        <v>2398038.79</v>
      </c>
      <c r="J391">
        <v>15.84</v>
      </c>
      <c r="K391">
        <v>1570417.87</v>
      </c>
      <c r="L391">
        <v>0</v>
      </c>
      <c r="M391">
        <v>0</v>
      </c>
      <c r="N391">
        <v>2021</v>
      </c>
      <c r="O391">
        <v>5</v>
      </c>
    </row>
    <row r="392" spans="1:15" x14ac:dyDescent="0.3">
      <c r="A392">
        <v>33229</v>
      </c>
      <c r="B392">
        <v>3200102</v>
      </c>
      <c r="C392" t="s">
        <v>15</v>
      </c>
      <c r="D392">
        <v>0.79</v>
      </c>
      <c r="E392">
        <v>1960418.61</v>
      </c>
      <c r="F392">
        <v>152645.76999999999</v>
      </c>
      <c r="G392">
        <v>2113064.38</v>
      </c>
      <c r="H392">
        <v>49420.59</v>
      </c>
      <c r="I392">
        <v>169954.06</v>
      </c>
      <c r="J392">
        <v>0.79</v>
      </c>
      <c r="K392">
        <v>82361.06</v>
      </c>
      <c r="L392">
        <v>0</v>
      </c>
      <c r="M392">
        <v>0</v>
      </c>
      <c r="N392">
        <v>2021</v>
      </c>
      <c r="O392">
        <v>6</v>
      </c>
    </row>
    <row r="393" spans="1:15" x14ac:dyDescent="0.3">
      <c r="A393">
        <v>33230</v>
      </c>
      <c r="B393">
        <v>3200169</v>
      </c>
      <c r="C393" t="s">
        <v>16</v>
      </c>
      <c r="D393">
        <v>0.28999999999999998</v>
      </c>
      <c r="E393">
        <v>732086.14</v>
      </c>
      <c r="F393">
        <v>57003.08</v>
      </c>
      <c r="G393">
        <v>789089.22</v>
      </c>
      <c r="H393">
        <v>18455.310000000001</v>
      </c>
      <c r="I393">
        <v>53029.89</v>
      </c>
      <c r="J393">
        <v>0.28999999999999998</v>
      </c>
      <c r="K393">
        <v>30756.39</v>
      </c>
      <c r="L393">
        <v>0</v>
      </c>
      <c r="M393">
        <v>0</v>
      </c>
      <c r="N393">
        <v>2021</v>
      </c>
      <c r="O393">
        <v>6</v>
      </c>
    </row>
    <row r="394" spans="1:15" x14ac:dyDescent="0.3">
      <c r="A394">
        <v>33231</v>
      </c>
      <c r="B394">
        <v>3200136</v>
      </c>
      <c r="C394" t="s">
        <v>17</v>
      </c>
      <c r="D394">
        <v>0.42</v>
      </c>
      <c r="E394">
        <v>1044082.61</v>
      </c>
      <c r="F394">
        <v>81296.3</v>
      </c>
      <c r="G394">
        <v>1125378.9099999999</v>
      </c>
      <c r="H394">
        <v>26320.49</v>
      </c>
      <c r="I394">
        <v>49786.63</v>
      </c>
      <c r="J394">
        <v>0.42</v>
      </c>
      <c r="K394">
        <v>43863.97</v>
      </c>
      <c r="L394">
        <v>0</v>
      </c>
      <c r="M394">
        <v>0</v>
      </c>
      <c r="N394">
        <v>2021</v>
      </c>
      <c r="O394">
        <v>6</v>
      </c>
    </row>
    <row r="395" spans="1:15" x14ac:dyDescent="0.3">
      <c r="A395">
        <v>33232</v>
      </c>
      <c r="B395">
        <v>3200201</v>
      </c>
      <c r="C395" t="s">
        <v>18</v>
      </c>
      <c r="D395">
        <v>0.48</v>
      </c>
      <c r="E395">
        <v>1189025.81</v>
      </c>
      <c r="F395">
        <v>92582.14</v>
      </c>
      <c r="G395">
        <v>1281607.95</v>
      </c>
      <c r="H395">
        <v>29974.39</v>
      </c>
      <c r="I395">
        <v>142666.73000000001</v>
      </c>
      <c r="J395">
        <v>0.48</v>
      </c>
      <c r="K395">
        <v>49953.33</v>
      </c>
      <c r="L395">
        <v>0</v>
      </c>
      <c r="M395">
        <v>0</v>
      </c>
      <c r="N395">
        <v>2021</v>
      </c>
      <c r="O395">
        <v>6</v>
      </c>
    </row>
    <row r="396" spans="1:15" x14ac:dyDescent="0.3">
      <c r="A396">
        <v>33233</v>
      </c>
      <c r="B396">
        <v>3200300</v>
      </c>
      <c r="C396" t="s">
        <v>19</v>
      </c>
      <c r="D396">
        <v>0.48</v>
      </c>
      <c r="E396">
        <v>1179199.17</v>
      </c>
      <c r="F396">
        <v>91816.97</v>
      </c>
      <c r="G396">
        <v>1271016.1399999999</v>
      </c>
      <c r="H396">
        <v>29726.67</v>
      </c>
      <c r="I396">
        <v>151420.25</v>
      </c>
      <c r="J396">
        <v>0.48</v>
      </c>
      <c r="K396">
        <v>49540.480000000003</v>
      </c>
      <c r="L396">
        <v>0</v>
      </c>
      <c r="M396">
        <v>0</v>
      </c>
      <c r="N396">
        <v>2021</v>
      </c>
      <c r="O396">
        <v>6</v>
      </c>
    </row>
    <row r="397" spans="1:15" x14ac:dyDescent="0.3">
      <c r="A397">
        <v>33234</v>
      </c>
      <c r="B397">
        <v>3200359</v>
      </c>
      <c r="C397" t="s">
        <v>20</v>
      </c>
      <c r="D397">
        <v>0.22</v>
      </c>
      <c r="E397">
        <v>562576.27</v>
      </c>
      <c r="F397">
        <v>43804.33</v>
      </c>
      <c r="G397">
        <v>606380.6</v>
      </c>
      <c r="H397">
        <v>14182.1</v>
      </c>
      <c r="I397">
        <v>29716.46</v>
      </c>
      <c r="J397">
        <v>0.22</v>
      </c>
      <c r="K397">
        <v>23634.94</v>
      </c>
      <c r="L397">
        <v>0</v>
      </c>
      <c r="M397">
        <v>0</v>
      </c>
      <c r="N397">
        <v>2021</v>
      </c>
      <c r="O397">
        <v>6</v>
      </c>
    </row>
    <row r="398" spans="1:15" x14ac:dyDescent="0.3">
      <c r="A398">
        <v>33235</v>
      </c>
      <c r="B398">
        <v>3200409</v>
      </c>
      <c r="C398" t="s">
        <v>21</v>
      </c>
      <c r="D398">
        <v>2.59</v>
      </c>
      <c r="E398">
        <v>6382415.4500000002</v>
      </c>
      <c r="F398">
        <v>496959.54</v>
      </c>
      <c r="G398">
        <v>6879374.9900000002</v>
      </c>
      <c r="H398">
        <v>160895.60999999999</v>
      </c>
      <c r="I398">
        <v>153748.54999999999</v>
      </c>
      <c r="J398">
        <v>2.59</v>
      </c>
      <c r="K398">
        <v>268137.86</v>
      </c>
      <c r="L398">
        <v>0</v>
      </c>
      <c r="M398">
        <v>0</v>
      </c>
      <c r="N398">
        <v>2021</v>
      </c>
      <c r="O398">
        <v>6</v>
      </c>
    </row>
    <row r="399" spans="1:15" x14ac:dyDescent="0.3">
      <c r="A399">
        <v>33236</v>
      </c>
      <c r="B399">
        <v>3200508</v>
      </c>
      <c r="C399" t="s">
        <v>22</v>
      </c>
      <c r="D399">
        <v>0.19</v>
      </c>
      <c r="E399">
        <v>479049.65</v>
      </c>
      <c r="F399">
        <v>37300.65</v>
      </c>
      <c r="G399">
        <v>516350.3</v>
      </c>
      <c r="H399">
        <v>12076.46</v>
      </c>
      <c r="I399">
        <v>65945.23</v>
      </c>
      <c r="J399">
        <v>0.19</v>
      </c>
      <c r="K399">
        <v>20125.82</v>
      </c>
      <c r="L399">
        <v>0</v>
      </c>
      <c r="M399">
        <v>0</v>
      </c>
      <c r="N399">
        <v>2021</v>
      </c>
      <c r="O399">
        <v>6</v>
      </c>
    </row>
    <row r="400" spans="1:15" x14ac:dyDescent="0.3">
      <c r="A400">
        <v>33237</v>
      </c>
      <c r="B400">
        <v>3200607</v>
      </c>
      <c r="C400" t="s">
        <v>23</v>
      </c>
      <c r="D400">
        <v>5.18</v>
      </c>
      <c r="E400">
        <v>12725524.25</v>
      </c>
      <c r="F400">
        <v>990858.53</v>
      </c>
      <c r="G400">
        <v>13716382.779999999</v>
      </c>
      <c r="H400">
        <v>320800.34000000003</v>
      </c>
      <c r="I400">
        <v>484851.88</v>
      </c>
      <c r="J400">
        <v>5.18</v>
      </c>
      <c r="K400">
        <v>534624.39</v>
      </c>
      <c r="L400">
        <v>0</v>
      </c>
      <c r="M400">
        <v>0</v>
      </c>
      <c r="N400">
        <v>2021</v>
      </c>
      <c r="O400">
        <v>6</v>
      </c>
    </row>
    <row r="401" spans="1:15" x14ac:dyDescent="0.3">
      <c r="A401">
        <v>33238</v>
      </c>
      <c r="B401">
        <v>3200706</v>
      </c>
      <c r="C401" t="s">
        <v>24</v>
      </c>
      <c r="D401">
        <v>0.36</v>
      </c>
      <c r="E401">
        <v>906509.36</v>
      </c>
      <c r="F401">
        <v>70584.33</v>
      </c>
      <c r="G401">
        <v>977093.69</v>
      </c>
      <c r="H401">
        <v>22852.38</v>
      </c>
      <c r="I401">
        <v>40668.06</v>
      </c>
      <c r="J401">
        <v>0.36</v>
      </c>
      <c r="K401">
        <v>38084.25</v>
      </c>
      <c r="L401">
        <v>0</v>
      </c>
      <c r="M401">
        <v>0</v>
      </c>
      <c r="N401">
        <v>2021</v>
      </c>
      <c r="O401">
        <v>6</v>
      </c>
    </row>
    <row r="402" spans="1:15" x14ac:dyDescent="0.3">
      <c r="A402">
        <v>33239</v>
      </c>
      <c r="B402">
        <v>3200805</v>
      </c>
      <c r="C402" t="s">
        <v>25</v>
      </c>
      <c r="D402">
        <v>0.65</v>
      </c>
      <c r="E402">
        <v>1618942.19</v>
      </c>
      <c r="F402">
        <v>126057.09</v>
      </c>
      <c r="G402">
        <v>1744999.28</v>
      </c>
      <c r="H402">
        <v>40812.239999999998</v>
      </c>
      <c r="I402">
        <v>263814.02</v>
      </c>
      <c r="J402">
        <v>0.65</v>
      </c>
      <c r="K402">
        <v>68014.95</v>
      </c>
      <c r="L402">
        <v>0</v>
      </c>
      <c r="M402">
        <v>0</v>
      </c>
      <c r="N402">
        <v>2021</v>
      </c>
      <c r="O402">
        <v>6</v>
      </c>
    </row>
    <row r="403" spans="1:15" x14ac:dyDescent="0.3">
      <c r="A403">
        <v>33240</v>
      </c>
      <c r="B403">
        <v>3200904</v>
      </c>
      <c r="C403" t="s">
        <v>26</v>
      </c>
      <c r="D403">
        <v>0.9</v>
      </c>
      <c r="E403">
        <v>2225738.4</v>
      </c>
      <c r="F403">
        <v>173304.59</v>
      </c>
      <c r="G403">
        <v>2399042.9900000002</v>
      </c>
      <c r="H403">
        <v>56109.09</v>
      </c>
      <c r="I403">
        <v>300087.7</v>
      </c>
      <c r="J403">
        <v>0.9</v>
      </c>
      <c r="K403">
        <v>93507.66</v>
      </c>
      <c r="L403">
        <v>0</v>
      </c>
      <c r="M403">
        <v>0</v>
      </c>
      <c r="N403">
        <v>2021</v>
      </c>
      <c r="O403">
        <v>6</v>
      </c>
    </row>
    <row r="404" spans="1:15" x14ac:dyDescent="0.3">
      <c r="A404">
        <v>33241</v>
      </c>
      <c r="B404">
        <v>3107109</v>
      </c>
      <c r="C404" t="s">
        <v>27</v>
      </c>
      <c r="D404">
        <v>0.41</v>
      </c>
      <c r="E404">
        <v>1017059.27</v>
      </c>
      <c r="F404">
        <v>79192.17</v>
      </c>
      <c r="G404">
        <v>1096251.44</v>
      </c>
      <c r="H404">
        <v>25639.25</v>
      </c>
      <c r="I404">
        <v>66109.78</v>
      </c>
      <c r="J404">
        <v>0.41</v>
      </c>
      <c r="K404">
        <v>42728.67</v>
      </c>
      <c r="L404">
        <v>0</v>
      </c>
      <c r="M404">
        <v>0</v>
      </c>
      <c r="N404">
        <v>2021</v>
      </c>
      <c r="O404">
        <v>6</v>
      </c>
    </row>
    <row r="405" spans="1:15" x14ac:dyDescent="0.3">
      <c r="A405">
        <v>33242</v>
      </c>
      <c r="B405">
        <v>3201100</v>
      </c>
      <c r="C405" t="s">
        <v>28</v>
      </c>
      <c r="D405">
        <v>0.17</v>
      </c>
      <c r="E405">
        <v>417633.03</v>
      </c>
      <c r="F405">
        <v>32518.51</v>
      </c>
      <c r="G405">
        <v>450151.54</v>
      </c>
      <c r="H405">
        <v>10528.2</v>
      </c>
      <c r="I405">
        <v>152916.60999999999</v>
      </c>
      <c r="J405">
        <v>0.17</v>
      </c>
      <c r="K405">
        <v>17545.59</v>
      </c>
      <c r="L405">
        <v>0</v>
      </c>
      <c r="M405">
        <v>0</v>
      </c>
      <c r="N405">
        <v>2021</v>
      </c>
      <c r="O405">
        <v>6</v>
      </c>
    </row>
    <row r="406" spans="1:15" x14ac:dyDescent="0.3">
      <c r="A406">
        <v>33243</v>
      </c>
      <c r="B406">
        <v>3201159</v>
      </c>
      <c r="C406" t="s">
        <v>29</v>
      </c>
      <c r="D406">
        <v>0.43</v>
      </c>
      <c r="E406">
        <v>1076019.23</v>
      </c>
      <c r="F406">
        <v>83783.009999999995</v>
      </c>
      <c r="G406">
        <v>1159802.24</v>
      </c>
      <c r="H406">
        <v>27125.59</v>
      </c>
      <c r="I406">
        <v>59057.73</v>
      </c>
      <c r="J406">
        <v>0.43</v>
      </c>
      <c r="K406">
        <v>45205.7</v>
      </c>
      <c r="L406">
        <v>0</v>
      </c>
      <c r="M406">
        <v>0</v>
      </c>
      <c r="N406">
        <v>2021</v>
      </c>
      <c r="O406">
        <v>6</v>
      </c>
    </row>
    <row r="407" spans="1:15" x14ac:dyDescent="0.3">
      <c r="A407">
        <v>33244</v>
      </c>
      <c r="B407">
        <v>3201209</v>
      </c>
      <c r="C407" t="s">
        <v>30</v>
      </c>
      <c r="D407">
        <v>3.11</v>
      </c>
      <c r="E407">
        <v>7645141.2199999997</v>
      </c>
      <c r="F407">
        <v>595280.25</v>
      </c>
      <c r="G407">
        <v>8240421.4699999997</v>
      </c>
      <c r="H407">
        <v>192727.92</v>
      </c>
      <c r="I407">
        <v>1237433.8899999999</v>
      </c>
      <c r="J407">
        <v>3.11</v>
      </c>
      <c r="K407">
        <v>321187.46999999997</v>
      </c>
      <c r="L407">
        <v>0</v>
      </c>
      <c r="M407">
        <v>0</v>
      </c>
      <c r="N407">
        <v>2021</v>
      </c>
      <c r="O407">
        <v>6</v>
      </c>
    </row>
    <row r="408" spans="1:15" x14ac:dyDescent="0.3">
      <c r="A408">
        <v>33245</v>
      </c>
      <c r="B408">
        <v>3201308</v>
      </c>
      <c r="C408" t="s">
        <v>31</v>
      </c>
      <c r="D408">
        <v>6.51</v>
      </c>
      <c r="E408">
        <v>16002715.25</v>
      </c>
      <c r="F408">
        <v>1246033.28</v>
      </c>
      <c r="G408">
        <v>17248748.530000001</v>
      </c>
      <c r="H408">
        <v>403415.71</v>
      </c>
      <c r="I408">
        <v>1442239.64</v>
      </c>
      <c r="J408">
        <v>6.51</v>
      </c>
      <c r="K408">
        <v>672305.64</v>
      </c>
      <c r="L408">
        <v>0</v>
      </c>
      <c r="M408">
        <v>0</v>
      </c>
      <c r="N408">
        <v>2021</v>
      </c>
      <c r="O408">
        <v>6</v>
      </c>
    </row>
    <row r="409" spans="1:15" x14ac:dyDescent="0.3">
      <c r="A409">
        <v>33246</v>
      </c>
      <c r="B409">
        <v>3201407</v>
      </c>
      <c r="C409" t="s">
        <v>32</v>
      </c>
      <c r="D409">
        <v>0.93</v>
      </c>
      <c r="E409">
        <v>2299438.38</v>
      </c>
      <c r="F409">
        <v>179043.14</v>
      </c>
      <c r="G409">
        <v>2478481.52</v>
      </c>
      <c r="H409">
        <v>57967.01</v>
      </c>
      <c r="I409">
        <v>338065.84</v>
      </c>
      <c r="J409">
        <v>0.93</v>
      </c>
      <c r="K409">
        <v>96603.95</v>
      </c>
      <c r="L409">
        <v>0</v>
      </c>
      <c r="M409">
        <v>0</v>
      </c>
      <c r="N409">
        <v>2021</v>
      </c>
      <c r="O409">
        <v>6</v>
      </c>
    </row>
    <row r="410" spans="1:15" x14ac:dyDescent="0.3">
      <c r="A410">
        <v>33247</v>
      </c>
      <c r="B410">
        <v>3201506</v>
      </c>
      <c r="C410" t="s">
        <v>33</v>
      </c>
      <c r="D410">
        <v>2.2000000000000002</v>
      </c>
      <c r="E410">
        <v>5407119.4800000004</v>
      </c>
      <c r="F410">
        <v>421019.22</v>
      </c>
      <c r="G410">
        <v>5828138.7000000002</v>
      </c>
      <c r="H410">
        <v>136309.18</v>
      </c>
      <c r="I410">
        <v>742557.48</v>
      </c>
      <c r="J410">
        <v>2.2000000000000002</v>
      </c>
      <c r="K410">
        <v>227163.76</v>
      </c>
      <c r="L410">
        <v>0</v>
      </c>
      <c r="M410">
        <v>0</v>
      </c>
      <c r="N410">
        <v>2021</v>
      </c>
      <c r="O410">
        <v>6</v>
      </c>
    </row>
    <row r="411" spans="1:15" x14ac:dyDescent="0.3">
      <c r="A411">
        <v>33248</v>
      </c>
      <c r="B411">
        <v>3201605</v>
      </c>
      <c r="C411" t="s">
        <v>34</v>
      </c>
      <c r="D411">
        <v>0.57999999999999996</v>
      </c>
      <c r="E411">
        <v>1437148.99</v>
      </c>
      <c r="F411">
        <v>111901.98</v>
      </c>
      <c r="G411">
        <v>1549050.97</v>
      </c>
      <c r="H411">
        <v>36229.379999999997</v>
      </c>
      <c r="I411">
        <v>75536.22</v>
      </c>
      <c r="J411">
        <v>0.57999999999999996</v>
      </c>
      <c r="K411">
        <v>60377.46</v>
      </c>
      <c r="L411">
        <v>0</v>
      </c>
      <c r="M411">
        <v>0</v>
      </c>
      <c r="N411">
        <v>2021</v>
      </c>
      <c r="O411">
        <v>6</v>
      </c>
    </row>
    <row r="412" spans="1:15" x14ac:dyDescent="0.3">
      <c r="A412">
        <v>33249</v>
      </c>
      <c r="B412">
        <v>3201704</v>
      </c>
      <c r="C412" t="s">
        <v>35</v>
      </c>
      <c r="D412">
        <v>0.45</v>
      </c>
      <c r="E412">
        <v>1120239.19</v>
      </c>
      <c r="F412">
        <v>87226.18</v>
      </c>
      <c r="G412">
        <v>1207465.3700000001</v>
      </c>
      <c r="H412">
        <v>28240.34</v>
      </c>
      <c r="I412">
        <v>84449.48</v>
      </c>
      <c r="J412">
        <v>0.45</v>
      </c>
      <c r="K412">
        <v>47063.46</v>
      </c>
      <c r="L412">
        <v>0</v>
      </c>
      <c r="M412">
        <v>0</v>
      </c>
      <c r="N412">
        <v>2021</v>
      </c>
      <c r="O412">
        <v>6</v>
      </c>
    </row>
    <row r="413" spans="1:15" x14ac:dyDescent="0.3">
      <c r="A413">
        <v>33250</v>
      </c>
      <c r="B413">
        <v>3201803</v>
      </c>
      <c r="C413" t="s">
        <v>36</v>
      </c>
      <c r="D413">
        <v>0.19</v>
      </c>
      <c r="E413">
        <v>466766.34</v>
      </c>
      <c r="F413">
        <v>36344.239999999998</v>
      </c>
      <c r="G413">
        <v>503110.58</v>
      </c>
      <c r="H413">
        <v>11766.81</v>
      </c>
      <c r="I413">
        <v>21528.17</v>
      </c>
      <c r="J413">
        <v>0.19</v>
      </c>
      <c r="K413">
        <v>19609.77</v>
      </c>
      <c r="L413">
        <v>0</v>
      </c>
      <c r="M413">
        <v>0</v>
      </c>
      <c r="N413">
        <v>2021</v>
      </c>
      <c r="O413">
        <v>6</v>
      </c>
    </row>
    <row r="414" spans="1:15" x14ac:dyDescent="0.3">
      <c r="A414">
        <v>33251</v>
      </c>
      <c r="B414">
        <v>3201902</v>
      </c>
      <c r="C414" t="s">
        <v>37</v>
      </c>
      <c r="D414">
        <v>1.22</v>
      </c>
      <c r="E414">
        <v>3006957.85</v>
      </c>
      <c r="F414">
        <v>234133.37</v>
      </c>
      <c r="G414">
        <v>3241091.22</v>
      </c>
      <c r="H414">
        <v>75803.009999999995</v>
      </c>
      <c r="I414">
        <v>280002.63</v>
      </c>
      <c r="J414">
        <v>1.22</v>
      </c>
      <c r="K414">
        <v>126328.23</v>
      </c>
      <c r="L414">
        <v>0</v>
      </c>
      <c r="M414">
        <v>0</v>
      </c>
      <c r="N414">
        <v>2021</v>
      </c>
      <c r="O414">
        <v>6</v>
      </c>
    </row>
    <row r="415" spans="1:15" x14ac:dyDescent="0.3">
      <c r="A415">
        <v>33252</v>
      </c>
      <c r="B415">
        <v>3202009</v>
      </c>
      <c r="C415" t="s">
        <v>38</v>
      </c>
      <c r="D415">
        <v>0.24</v>
      </c>
      <c r="E415">
        <v>599426.24</v>
      </c>
      <c r="F415">
        <v>46673.63</v>
      </c>
      <c r="G415">
        <v>646099.87</v>
      </c>
      <c r="H415">
        <v>15111.06</v>
      </c>
      <c r="I415">
        <v>56058.95</v>
      </c>
      <c r="J415">
        <v>0.24</v>
      </c>
      <c r="K415">
        <v>25183.08</v>
      </c>
      <c r="L415">
        <v>0</v>
      </c>
      <c r="M415">
        <v>0</v>
      </c>
      <c r="N415">
        <v>2021</v>
      </c>
      <c r="O415">
        <v>6</v>
      </c>
    </row>
    <row r="416" spans="1:15" x14ac:dyDescent="0.3">
      <c r="A416">
        <v>33253</v>
      </c>
      <c r="B416">
        <v>3202108</v>
      </c>
      <c r="C416" t="s">
        <v>39</v>
      </c>
      <c r="D416">
        <v>0.69</v>
      </c>
      <c r="E416">
        <v>1717208.76</v>
      </c>
      <c r="F416">
        <v>133708.51</v>
      </c>
      <c r="G416">
        <v>1850917.27</v>
      </c>
      <c r="H416">
        <v>43289.47</v>
      </c>
      <c r="I416">
        <v>77233.33</v>
      </c>
      <c r="J416">
        <v>0.69</v>
      </c>
      <c r="K416">
        <v>72143.33</v>
      </c>
      <c r="L416">
        <v>0</v>
      </c>
      <c r="M416">
        <v>0</v>
      </c>
      <c r="N416">
        <v>2021</v>
      </c>
      <c r="O416">
        <v>6</v>
      </c>
    </row>
    <row r="417" spans="1:15" x14ac:dyDescent="0.3">
      <c r="A417">
        <v>33254</v>
      </c>
      <c r="B417">
        <v>3202207</v>
      </c>
      <c r="C417" t="s">
        <v>40</v>
      </c>
      <c r="D417">
        <v>0.33</v>
      </c>
      <c r="E417">
        <v>813156.09</v>
      </c>
      <c r="F417">
        <v>63315.48</v>
      </c>
      <c r="G417">
        <v>876471.57</v>
      </c>
      <c r="H417">
        <v>20499.02</v>
      </c>
      <c r="I417">
        <v>89864.95</v>
      </c>
      <c r="J417">
        <v>0.33</v>
      </c>
      <c r="K417">
        <v>34162.300000000003</v>
      </c>
      <c r="L417">
        <v>0</v>
      </c>
      <c r="M417">
        <v>0</v>
      </c>
      <c r="N417">
        <v>2021</v>
      </c>
      <c r="O417">
        <v>6</v>
      </c>
    </row>
    <row r="418" spans="1:15" x14ac:dyDescent="0.3">
      <c r="A418">
        <v>33255</v>
      </c>
      <c r="B418">
        <v>3202256</v>
      </c>
      <c r="C418" t="s">
        <v>41</v>
      </c>
      <c r="D418">
        <v>0.44</v>
      </c>
      <c r="E418">
        <v>1088302.57</v>
      </c>
      <c r="F418">
        <v>84739.45</v>
      </c>
      <c r="G418">
        <v>1173042.02</v>
      </c>
      <c r="H418">
        <v>27435.24</v>
      </c>
      <c r="I418">
        <v>74736.25</v>
      </c>
      <c r="J418">
        <v>0.44</v>
      </c>
      <c r="K418">
        <v>45721.73</v>
      </c>
      <c r="L418">
        <v>0</v>
      </c>
      <c r="M418">
        <v>0</v>
      </c>
      <c r="N418">
        <v>2021</v>
      </c>
      <c r="O418">
        <v>6</v>
      </c>
    </row>
    <row r="419" spans="1:15" x14ac:dyDescent="0.3">
      <c r="A419">
        <v>33256</v>
      </c>
      <c r="B419">
        <v>3202306</v>
      </c>
      <c r="C419" t="s">
        <v>42</v>
      </c>
      <c r="D419">
        <v>0.39</v>
      </c>
      <c r="E419">
        <v>960555.99</v>
      </c>
      <c r="F419">
        <v>74792.61</v>
      </c>
      <c r="G419">
        <v>1035348.6</v>
      </c>
      <c r="H419">
        <v>24214.85</v>
      </c>
      <c r="I419">
        <v>202270.47</v>
      </c>
      <c r="J419">
        <v>0.39</v>
      </c>
      <c r="K419">
        <v>40354.85</v>
      </c>
      <c r="L419">
        <v>0</v>
      </c>
      <c r="M419">
        <v>0</v>
      </c>
      <c r="N419">
        <v>2021</v>
      </c>
      <c r="O419">
        <v>6</v>
      </c>
    </row>
    <row r="420" spans="1:15" x14ac:dyDescent="0.3">
      <c r="A420">
        <v>33257</v>
      </c>
      <c r="B420">
        <v>3202405</v>
      </c>
      <c r="C420" t="s">
        <v>43</v>
      </c>
      <c r="D420">
        <v>0.91</v>
      </c>
      <c r="E420">
        <v>2240478.39</v>
      </c>
      <c r="F420">
        <v>174452.28</v>
      </c>
      <c r="G420">
        <v>2414930.67</v>
      </c>
      <c r="H420">
        <v>56480.68</v>
      </c>
      <c r="I420">
        <v>1132347.47</v>
      </c>
      <c r="J420">
        <v>0.91</v>
      </c>
      <c r="K420">
        <v>94126.92</v>
      </c>
      <c r="L420">
        <v>0</v>
      </c>
      <c r="M420">
        <v>0</v>
      </c>
      <c r="N420">
        <v>2021</v>
      </c>
      <c r="O420">
        <v>6</v>
      </c>
    </row>
    <row r="421" spans="1:15" x14ac:dyDescent="0.3">
      <c r="A421">
        <v>33258</v>
      </c>
      <c r="B421">
        <v>3202454</v>
      </c>
      <c r="C421" t="s">
        <v>44</v>
      </c>
      <c r="D421">
        <v>0.36</v>
      </c>
      <c r="E421">
        <v>884399.37</v>
      </c>
      <c r="F421">
        <v>68862.77</v>
      </c>
      <c r="G421">
        <v>953262.14</v>
      </c>
      <c r="H421">
        <v>22295</v>
      </c>
      <c r="I421">
        <v>164545.95000000001</v>
      </c>
      <c r="J421">
        <v>0.36</v>
      </c>
      <c r="K421">
        <v>37155.360000000001</v>
      </c>
      <c r="L421">
        <v>0</v>
      </c>
      <c r="M421">
        <v>0</v>
      </c>
      <c r="N421">
        <v>2021</v>
      </c>
      <c r="O421">
        <v>6</v>
      </c>
    </row>
    <row r="422" spans="1:15" x14ac:dyDescent="0.3">
      <c r="A422">
        <v>33259</v>
      </c>
      <c r="B422">
        <v>3202504</v>
      </c>
      <c r="C422" t="s">
        <v>45</v>
      </c>
      <c r="D422">
        <v>0.27</v>
      </c>
      <c r="E422">
        <v>670669.52</v>
      </c>
      <c r="F422">
        <v>52220.9</v>
      </c>
      <c r="G422">
        <v>722890.42</v>
      </c>
      <c r="H422">
        <v>16907.04</v>
      </c>
      <c r="I422">
        <v>60833.98</v>
      </c>
      <c r="J422">
        <v>0.27</v>
      </c>
      <c r="K422">
        <v>28176.15</v>
      </c>
      <c r="L422">
        <v>0</v>
      </c>
      <c r="M422">
        <v>0</v>
      </c>
      <c r="N422">
        <v>2021</v>
      </c>
      <c r="O422">
        <v>6</v>
      </c>
    </row>
    <row r="423" spans="1:15" x14ac:dyDescent="0.3">
      <c r="A423">
        <v>33260</v>
      </c>
      <c r="B423">
        <v>3202553</v>
      </c>
      <c r="C423" t="s">
        <v>46</v>
      </c>
      <c r="D423">
        <v>0.24</v>
      </c>
      <c r="E423">
        <v>601882.9</v>
      </c>
      <c r="F423">
        <v>46864.92</v>
      </c>
      <c r="G423">
        <v>648747.81999999995</v>
      </c>
      <c r="H423">
        <v>15172.99</v>
      </c>
      <c r="I423">
        <v>34101.1</v>
      </c>
      <c r="J423">
        <v>0.24</v>
      </c>
      <c r="K423">
        <v>25286.29</v>
      </c>
      <c r="L423">
        <v>0</v>
      </c>
      <c r="M423">
        <v>0</v>
      </c>
      <c r="N423">
        <v>2021</v>
      </c>
      <c r="O423">
        <v>6</v>
      </c>
    </row>
    <row r="424" spans="1:15" x14ac:dyDescent="0.3">
      <c r="A424">
        <v>33261</v>
      </c>
      <c r="B424">
        <v>3202603</v>
      </c>
      <c r="C424" t="s">
        <v>47</v>
      </c>
      <c r="D424">
        <v>0.37</v>
      </c>
      <c r="E424">
        <v>913879.37</v>
      </c>
      <c r="F424">
        <v>71158.179999999993</v>
      </c>
      <c r="G424">
        <v>985037.55</v>
      </c>
      <c r="H424">
        <v>23038.17</v>
      </c>
      <c r="I424">
        <v>198708.43</v>
      </c>
      <c r="J424">
        <v>0.37</v>
      </c>
      <c r="K424">
        <v>38393.879999999997</v>
      </c>
      <c r="L424">
        <v>0</v>
      </c>
      <c r="M424">
        <v>0</v>
      </c>
      <c r="N424">
        <v>2021</v>
      </c>
      <c r="O424">
        <v>6</v>
      </c>
    </row>
    <row r="425" spans="1:15" x14ac:dyDescent="0.3">
      <c r="A425">
        <v>33262</v>
      </c>
      <c r="B425">
        <v>3202652</v>
      </c>
      <c r="C425" t="s">
        <v>48</v>
      </c>
      <c r="D425">
        <v>0.3</v>
      </c>
      <c r="E425">
        <v>759109.46</v>
      </c>
      <c r="F425">
        <v>59107.22</v>
      </c>
      <c r="G425">
        <v>818216.68</v>
      </c>
      <c r="H425">
        <v>19136.55</v>
      </c>
      <c r="I425">
        <v>79273.350000000006</v>
      </c>
      <c r="J425">
        <v>0.3</v>
      </c>
      <c r="K425">
        <v>31891.69</v>
      </c>
      <c r="L425">
        <v>0</v>
      </c>
      <c r="M425">
        <v>0</v>
      </c>
      <c r="N425">
        <v>2021</v>
      </c>
      <c r="O425">
        <v>6</v>
      </c>
    </row>
    <row r="426" spans="1:15" x14ac:dyDescent="0.3">
      <c r="A426">
        <v>33263</v>
      </c>
      <c r="B426">
        <v>3202702</v>
      </c>
      <c r="C426" t="s">
        <v>49</v>
      </c>
      <c r="D426">
        <v>0.38</v>
      </c>
      <c r="E426">
        <v>940902.66</v>
      </c>
      <c r="F426">
        <v>73262.320000000007</v>
      </c>
      <c r="G426">
        <v>1014164.98</v>
      </c>
      <c r="H426">
        <v>23719.41</v>
      </c>
      <c r="I426">
        <v>64014.64</v>
      </c>
      <c r="J426">
        <v>0.38</v>
      </c>
      <c r="K426">
        <v>39529.18</v>
      </c>
      <c r="L426">
        <v>0</v>
      </c>
      <c r="M426">
        <v>0</v>
      </c>
      <c r="N426">
        <v>2021</v>
      </c>
      <c r="O426">
        <v>6</v>
      </c>
    </row>
    <row r="427" spans="1:15" x14ac:dyDescent="0.3">
      <c r="A427">
        <v>33264</v>
      </c>
      <c r="B427">
        <v>3202801</v>
      </c>
      <c r="C427" t="s">
        <v>50</v>
      </c>
      <c r="D427">
        <v>2.66</v>
      </c>
      <c r="E427">
        <v>6547011.9900000002</v>
      </c>
      <c r="F427">
        <v>509775.69</v>
      </c>
      <c r="G427">
        <v>7056787.6799999997</v>
      </c>
      <c r="H427">
        <v>165044.96</v>
      </c>
      <c r="I427">
        <v>166847.67000000001</v>
      </c>
      <c r="J427">
        <v>2.66</v>
      </c>
      <c r="K427">
        <v>275052.90000000002</v>
      </c>
      <c r="L427">
        <v>0</v>
      </c>
      <c r="M427">
        <v>0</v>
      </c>
      <c r="N427">
        <v>2021</v>
      </c>
      <c r="O427">
        <v>6</v>
      </c>
    </row>
    <row r="428" spans="1:15" x14ac:dyDescent="0.3">
      <c r="A428">
        <v>33265</v>
      </c>
      <c r="B428">
        <v>3202900</v>
      </c>
      <c r="C428" t="s">
        <v>51</v>
      </c>
      <c r="D428">
        <v>0.34</v>
      </c>
      <c r="E428">
        <v>840179.4</v>
      </c>
      <c r="F428">
        <v>65419.62</v>
      </c>
      <c r="G428">
        <v>905599.02</v>
      </c>
      <c r="H428">
        <v>21180.25</v>
      </c>
      <c r="I428">
        <v>77701.84</v>
      </c>
      <c r="J428">
        <v>0.34</v>
      </c>
      <c r="K428">
        <v>35297.599999999999</v>
      </c>
      <c r="L428">
        <v>0</v>
      </c>
      <c r="M428">
        <v>0</v>
      </c>
      <c r="N428">
        <v>2021</v>
      </c>
      <c r="O428">
        <v>6</v>
      </c>
    </row>
    <row r="429" spans="1:15" x14ac:dyDescent="0.3">
      <c r="A429">
        <v>33266</v>
      </c>
      <c r="B429">
        <v>3203007</v>
      </c>
      <c r="C429" t="s">
        <v>52</v>
      </c>
      <c r="D429">
        <v>0.47</v>
      </c>
      <c r="E429">
        <v>1159545.83</v>
      </c>
      <c r="F429">
        <v>90286.73</v>
      </c>
      <c r="G429">
        <v>1249832.56</v>
      </c>
      <c r="H429">
        <v>29231.23</v>
      </c>
      <c r="I429">
        <v>140273.32</v>
      </c>
      <c r="J429">
        <v>0.47</v>
      </c>
      <c r="K429">
        <v>48714.81</v>
      </c>
      <c r="L429">
        <v>0</v>
      </c>
      <c r="M429">
        <v>0</v>
      </c>
      <c r="N429">
        <v>2021</v>
      </c>
      <c r="O429">
        <v>6</v>
      </c>
    </row>
    <row r="430" spans="1:15" x14ac:dyDescent="0.3">
      <c r="A430">
        <v>33267</v>
      </c>
      <c r="B430">
        <v>3203056</v>
      </c>
      <c r="C430" t="s">
        <v>53</v>
      </c>
      <c r="D430">
        <v>0.86</v>
      </c>
      <c r="E430">
        <v>2125015.13</v>
      </c>
      <c r="F430">
        <v>165461.91</v>
      </c>
      <c r="G430">
        <v>2290477.04</v>
      </c>
      <c r="H430">
        <v>53569.94</v>
      </c>
      <c r="I430">
        <v>165662.85999999999</v>
      </c>
      <c r="J430">
        <v>0.86</v>
      </c>
      <c r="K430">
        <v>89276.08</v>
      </c>
      <c r="L430">
        <v>0</v>
      </c>
      <c r="M430">
        <v>0</v>
      </c>
      <c r="N430">
        <v>2021</v>
      </c>
      <c r="O430">
        <v>6</v>
      </c>
    </row>
    <row r="431" spans="1:15" x14ac:dyDescent="0.3">
      <c r="A431">
        <v>33268</v>
      </c>
      <c r="B431">
        <v>3203106</v>
      </c>
      <c r="C431" t="s">
        <v>54</v>
      </c>
      <c r="D431">
        <v>0.21</v>
      </c>
      <c r="E431">
        <v>525726.31000000006</v>
      </c>
      <c r="F431">
        <v>40935.08</v>
      </c>
      <c r="G431">
        <v>566661.39</v>
      </c>
      <c r="H431">
        <v>13253.14</v>
      </c>
      <c r="I431">
        <v>58695.67</v>
      </c>
      <c r="J431">
        <v>0.21</v>
      </c>
      <c r="K431">
        <v>22086.799999999999</v>
      </c>
      <c r="L431">
        <v>0</v>
      </c>
      <c r="M431">
        <v>0</v>
      </c>
      <c r="N431">
        <v>2021</v>
      </c>
      <c r="O431">
        <v>6</v>
      </c>
    </row>
    <row r="432" spans="1:15" x14ac:dyDescent="0.3">
      <c r="A432">
        <v>33269</v>
      </c>
      <c r="B432">
        <v>3203130</v>
      </c>
      <c r="C432" t="s">
        <v>55</v>
      </c>
      <c r="D432">
        <v>0.42</v>
      </c>
      <c r="E432">
        <v>1048995.94</v>
      </c>
      <c r="F432">
        <v>81678.86</v>
      </c>
      <c r="G432">
        <v>1130674.8</v>
      </c>
      <c r="H432">
        <v>26444.35</v>
      </c>
      <c r="I432">
        <v>106738.91</v>
      </c>
      <c r="J432">
        <v>0.42</v>
      </c>
      <c r="K432">
        <v>44070.39</v>
      </c>
      <c r="L432">
        <v>0</v>
      </c>
      <c r="M432">
        <v>0</v>
      </c>
      <c r="N432">
        <v>2021</v>
      </c>
      <c r="O432">
        <v>6</v>
      </c>
    </row>
    <row r="433" spans="1:15" x14ac:dyDescent="0.3">
      <c r="A433">
        <v>33270</v>
      </c>
      <c r="B433">
        <v>3203163</v>
      </c>
      <c r="C433" t="s">
        <v>56</v>
      </c>
      <c r="D433">
        <v>0.38</v>
      </c>
      <c r="E433">
        <v>933532.69</v>
      </c>
      <c r="F433">
        <v>72688.460000000006</v>
      </c>
      <c r="G433">
        <v>1006221.15</v>
      </c>
      <c r="H433">
        <v>23533.62</v>
      </c>
      <c r="I433">
        <v>79123.05</v>
      </c>
      <c r="J433">
        <v>0.38</v>
      </c>
      <c r="K433">
        <v>39219.550000000003</v>
      </c>
      <c r="L433">
        <v>0</v>
      </c>
      <c r="M433">
        <v>0</v>
      </c>
      <c r="N433">
        <v>2021</v>
      </c>
      <c r="O433">
        <v>6</v>
      </c>
    </row>
    <row r="434" spans="1:15" x14ac:dyDescent="0.3">
      <c r="A434">
        <v>33271</v>
      </c>
      <c r="B434">
        <v>3203205</v>
      </c>
      <c r="C434" t="s">
        <v>57</v>
      </c>
      <c r="D434">
        <v>5.75</v>
      </c>
      <c r="E434">
        <v>14133193.23</v>
      </c>
      <c r="F434">
        <v>1100465.06</v>
      </c>
      <c r="G434">
        <v>15233658.289999999</v>
      </c>
      <c r="H434">
        <v>356286.55</v>
      </c>
      <c r="I434">
        <v>914052.65</v>
      </c>
      <c r="J434">
        <v>5.75</v>
      </c>
      <c r="K434">
        <v>593763.34</v>
      </c>
      <c r="L434">
        <v>0</v>
      </c>
      <c r="M434">
        <v>0</v>
      </c>
      <c r="N434">
        <v>2021</v>
      </c>
      <c r="O434">
        <v>6</v>
      </c>
    </row>
    <row r="435" spans="1:15" x14ac:dyDescent="0.3">
      <c r="A435">
        <v>33272</v>
      </c>
      <c r="B435">
        <v>3203304</v>
      </c>
      <c r="C435" t="s">
        <v>58</v>
      </c>
      <c r="D435">
        <v>0.25</v>
      </c>
      <c r="E435">
        <v>626449.57999999996</v>
      </c>
      <c r="F435">
        <v>48777.79</v>
      </c>
      <c r="G435">
        <v>675227.37</v>
      </c>
      <c r="H435">
        <v>15792.29</v>
      </c>
      <c r="I435">
        <v>75144.62</v>
      </c>
      <c r="J435">
        <v>0.25</v>
      </c>
      <c r="K435">
        <v>26318.38</v>
      </c>
      <c r="L435">
        <v>0</v>
      </c>
      <c r="M435">
        <v>0</v>
      </c>
      <c r="N435">
        <v>2021</v>
      </c>
      <c r="O435">
        <v>6</v>
      </c>
    </row>
    <row r="436" spans="1:15" x14ac:dyDescent="0.3">
      <c r="A436">
        <v>33273</v>
      </c>
      <c r="B436">
        <v>3203320</v>
      </c>
      <c r="C436" t="s">
        <v>59</v>
      </c>
      <c r="D436">
        <v>0.61</v>
      </c>
      <c r="E436">
        <v>1515762.27</v>
      </c>
      <c r="F436">
        <v>118023.13</v>
      </c>
      <c r="G436">
        <v>1633785.4</v>
      </c>
      <c r="H436">
        <v>38211.160000000003</v>
      </c>
      <c r="I436">
        <v>264156.58</v>
      </c>
      <c r="J436">
        <v>0.61</v>
      </c>
      <c r="K436">
        <v>63680.17</v>
      </c>
      <c r="L436">
        <v>0</v>
      </c>
      <c r="M436">
        <v>0</v>
      </c>
      <c r="N436">
        <v>2021</v>
      </c>
      <c r="O436">
        <v>6</v>
      </c>
    </row>
    <row r="437" spans="1:15" x14ac:dyDescent="0.3">
      <c r="A437">
        <v>33274</v>
      </c>
      <c r="B437">
        <v>3203346</v>
      </c>
      <c r="C437" t="s">
        <v>60</v>
      </c>
      <c r="D437">
        <v>0.65</v>
      </c>
      <c r="E437">
        <v>1614028.82</v>
      </c>
      <c r="F437">
        <v>125674.55</v>
      </c>
      <c r="G437">
        <v>1739703.37</v>
      </c>
      <c r="H437">
        <v>40688.379999999997</v>
      </c>
      <c r="I437">
        <v>164861.16</v>
      </c>
      <c r="J437">
        <v>0.65</v>
      </c>
      <c r="K437">
        <v>67808.53</v>
      </c>
      <c r="L437">
        <v>0</v>
      </c>
      <c r="M437">
        <v>0</v>
      </c>
      <c r="N437">
        <v>2021</v>
      </c>
      <c r="O437">
        <v>6</v>
      </c>
    </row>
    <row r="438" spans="1:15" x14ac:dyDescent="0.3">
      <c r="A438">
        <v>33275</v>
      </c>
      <c r="B438">
        <v>3203353</v>
      </c>
      <c r="C438" t="s">
        <v>61</v>
      </c>
      <c r="D438">
        <v>0.43</v>
      </c>
      <c r="E438">
        <v>1076019.23</v>
      </c>
      <c r="F438">
        <v>83783.009999999995</v>
      </c>
      <c r="G438">
        <v>1159802.24</v>
      </c>
      <c r="H438">
        <v>27125.59</v>
      </c>
      <c r="I438">
        <v>118440.28</v>
      </c>
      <c r="J438">
        <v>0.43</v>
      </c>
      <c r="K438">
        <v>45205.7</v>
      </c>
      <c r="L438">
        <v>0</v>
      </c>
      <c r="M438">
        <v>0</v>
      </c>
      <c r="N438">
        <v>2021</v>
      </c>
      <c r="O438">
        <v>6</v>
      </c>
    </row>
    <row r="439" spans="1:15" x14ac:dyDescent="0.3">
      <c r="A439">
        <v>33276</v>
      </c>
      <c r="B439">
        <v>3203403</v>
      </c>
      <c r="C439" t="s">
        <v>62</v>
      </c>
      <c r="D439">
        <v>0.5</v>
      </c>
      <c r="E439">
        <v>1228332.49</v>
      </c>
      <c r="F439">
        <v>95642.72</v>
      </c>
      <c r="G439">
        <v>1323975.21</v>
      </c>
      <c r="H439">
        <v>30965.279999999999</v>
      </c>
      <c r="I439">
        <v>154514.51</v>
      </c>
      <c r="J439">
        <v>0.5</v>
      </c>
      <c r="K439">
        <v>51604.67</v>
      </c>
      <c r="L439">
        <v>0</v>
      </c>
      <c r="M439">
        <v>0</v>
      </c>
      <c r="N439">
        <v>2021</v>
      </c>
      <c r="O439">
        <v>6</v>
      </c>
    </row>
    <row r="440" spans="1:15" x14ac:dyDescent="0.3">
      <c r="A440">
        <v>33277</v>
      </c>
      <c r="B440">
        <v>3203502</v>
      </c>
      <c r="C440" t="s">
        <v>63</v>
      </c>
      <c r="D440">
        <v>0.52</v>
      </c>
      <c r="E440">
        <v>1289749.08</v>
      </c>
      <c r="F440">
        <v>100424.86</v>
      </c>
      <c r="G440">
        <v>1390173.94</v>
      </c>
      <c r="H440">
        <v>32513.55</v>
      </c>
      <c r="I440">
        <v>81078.84</v>
      </c>
      <c r="J440">
        <v>0.52</v>
      </c>
      <c r="K440">
        <v>54184.91</v>
      </c>
      <c r="L440">
        <v>0</v>
      </c>
      <c r="M440">
        <v>0</v>
      </c>
      <c r="N440">
        <v>2021</v>
      </c>
      <c r="O440">
        <v>6</v>
      </c>
    </row>
    <row r="441" spans="1:15" x14ac:dyDescent="0.3">
      <c r="A441">
        <v>33278</v>
      </c>
      <c r="B441">
        <v>3203601</v>
      </c>
      <c r="C441" t="s">
        <v>64</v>
      </c>
      <c r="D441">
        <v>0.28000000000000003</v>
      </c>
      <c r="E441">
        <v>709976.14</v>
      </c>
      <c r="F441">
        <v>55281.51</v>
      </c>
      <c r="G441">
        <v>765257.65</v>
      </c>
      <c r="H441">
        <v>17897.93</v>
      </c>
      <c r="I441">
        <v>16642.12</v>
      </c>
      <c r="J441">
        <v>0.28000000000000003</v>
      </c>
      <c r="K441">
        <v>29827.5</v>
      </c>
      <c r="L441">
        <v>0</v>
      </c>
      <c r="M441">
        <v>0</v>
      </c>
      <c r="N441">
        <v>2021</v>
      </c>
      <c r="O441">
        <v>6</v>
      </c>
    </row>
    <row r="442" spans="1:15" x14ac:dyDescent="0.3">
      <c r="A442">
        <v>33279</v>
      </c>
      <c r="B442">
        <v>3203700</v>
      </c>
      <c r="C442" t="s">
        <v>65</v>
      </c>
      <c r="D442">
        <v>0.5</v>
      </c>
      <c r="E442">
        <v>1250442.45</v>
      </c>
      <c r="F442">
        <v>97364.28</v>
      </c>
      <c r="G442">
        <v>1347806.73</v>
      </c>
      <c r="H442">
        <v>31522.66</v>
      </c>
      <c r="I442">
        <v>70073.55</v>
      </c>
      <c r="J442">
        <v>0.5</v>
      </c>
      <c r="K442">
        <v>52533.55</v>
      </c>
      <c r="L442">
        <v>0</v>
      </c>
      <c r="M442">
        <v>0</v>
      </c>
      <c r="N442">
        <v>2021</v>
      </c>
      <c r="O442">
        <v>6</v>
      </c>
    </row>
    <row r="443" spans="1:15" x14ac:dyDescent="0.3">
      <c r="A443">
        <v>33280</v>
      </c>
      <c r="B443">
        <v>3203809</v>
      </c>
      <c r="C443" t="s">
        <v>66</v>
      </c>
      <c r="D443">
        <v>0.28999999999999998</v>
      </c>
      <c r="E443">
        <v>717346.14</v>
      </c>
      <c r="F443">
        <v>55855.360000000001</v>
      </c>
      <c r="G443">
        <v>773201.5</v>
      </c>
      <c r="H443">
        <v>18083.73</v>
      </c>
      <c r="I443">
        <v>59800.34</v>
      </c>
      <c r="J443">
        <v>0.28999999999999998</v>
      </c>
      <c r="K443">
        <v>30137.119999999999</v>
      </c>
      <c r="L443">
        <v>0</v>
      </c>
      <c r="M443">
        <v>0</v>
      </c>
      <c r="N443">
        <v>2021</v>
      </c>
      <c r="O443">
        <v>6</v>
      </c>
    </row>
    <row r="444" spans="1:15" x14ac:dyDescent="0.3">
      <c r="A444">
        <v>33281</v>
      </c>
      <c r="B444">
        <v>3203908</v>
      </c>
      <c r="C444" t="s">
        <v>67</v>
      </c>
      <c r="D444">
        <v>1.22</v>
      </c>
      <c r="E444">
        <v>3019241.19</v>
      </c>
      <c r="F444">
        <v>235089.79</v>
      </c>
      <c r="G444">
        <v>3254330.98</v>
      </c>
      <c r="H444">
        <v>76112.67</v>
      </c>
      <c r="I444">
        <v>293572.78999999998</v>
      </c>
      <c r="J444">
        <v>1.22</v>
      </c>
      <c r="K444">
        <v>126844.28</v>
      </c>
      <c r="L444">
        <v>0</v>
      </c>
      <c r="M444">
        <v>0</v>
      </c>
      <c r="N444">
        <v>2021</v>
      </c>
      <c r="O444">
        <v>6</v>
      </c>
    </row>
    <row r="445" spans="1:15" x14ac:dyDescent="0.3">
      <c r="A445">
        <v>33282</v>
      </c>
      <c r="B445">
        <v>3204005</v>
      </c>
      <c r="C445" t="s">
        <v>68</v>
      </c>
      <c r="D445">
        <v>0.47</v>
      </c>
      <c r="E445">
        <v>1174285.8500000001</v>
      </c>
      <c r="F445">
        <v>91434.44</v>
      </c>
      <c r="G445">
        <v>1265720.29</v>
      </c>
      <c r="H445">
        <v>29602.81</v>
      </c>
      <c r="I445">
        <v>78346.679999999993</v>
      </c>
      <c r="J445">
        <v>0.47</v>
      </c>
      <c r="K445">
        <v>49334.06</v>
      </c>
      <c r="L445">
        <v>0</v>
      </c>
      <c r="M445">
        <v>0</v>
      </c>
      <c r="N445">
        <v>2021</v>
      </c>
      <c r="O445">
        <v>6</v>
      </c>
    </row>
    <row r="446" spans="1:15" x14ac:dyDescent="0.3">
      <c r="A446">
        <v>33283</v>
      </c>
      <c r="B446">
        <v>3204054</v>
      </c>
      <c r="C446" t="s">
        <v>69</v>
      </c>
      <c r="D446">
        <v>0.32</v>
      </c>
      <c r="E446">
        <v>795959.42</v>
      </c>
      <c r="F446">
        <v>61976.5</v>
      </c>
      <c r="G446">
        <v>857935.92</v>
      </c>
      <c r="H446">
        <v>20065.5</v>
      </c>
      <c r="I446">
        <v>103789.48</v>
      </c>
      <c r="J446">
        <v>0.32</v>
      </c>
      <c r="K446">
        <v>33439.83</v>
      </c>
      <c r="L446">
        <v>0</v>
      </c>
      <c r="M446">
        <v>0</v>
      </c>
      <c r="N446">
        <v>2021</v>
      </c>
      <c r="O446">
        <v>6</v>
      </c>
    </row>
    <row r="447" spans="1:15" x14ac:dyDescent="0.3">
      <c r="A447">
        <v>33284</v>
      </c>
      <c r="B447">
        <v>3204104</v>
      </c>
      <c r="C447" t="s">
        <v>70</v>
      </c>
      <c r="D447">
        <v>0.66</v>
      </c>
      <c r="E447">
        <v>1633682.17</v>
      </c>
      <c r="F447">
        <v>127204.8</v>
      </c>
      <c r="G447">
        <v>1760886.97</v>
      </c>
      <c r="H447">
        <v>41183.83</v>
      </c>
      <c r="I447">
        <v>66745.179999999993</v>
      </c>
      <c r="J447">
        <v>0.66</v>
      </c>
      <c r="K447">
        <v>68634.210000000006</v>
      </c>
      <c r="L447">
        <v>0</v>
      </c>
      <c r="M447">
        <v>0</v>
      </c>
      <c r="N447">
        <v>2021</v>
      </c>
      <c r="O447">
        <v>6</v>
      </c>
    </row>
    <row r="448" spans="1:15" x14ac:dyDescent="0.3">
      <c r="A448">
        <v>33285</v>
      </c>
      <c r="B448">
        <v>3204203</v>
      </c>
      <c r="C448" t="s">
        <v>71</v>
      </c>
      <c r="D448">
        <v>0.15</v>
      </c>
      <c r="E448">
        <v>375869.74</v>
      </c>
      <c r="F448">
        <v>29266.66</v>
      </c>
      <c r="G448">
        <v>405136.4</v>
      </c>
      <c r="H448">
        <v>9475.3799999999992</v>
      </c>
      <c r="I448">
        <v>156882.72</v>
      </c>
      <c r="J448">
        <v>0.15</v>
      </c>
      <c r="K448">
        <v>15791.03</v>
      </c>
      <c r="L448">
        <v>0</v>
      </c>
      <c r="M448">
        <v>0</v>
      </c>
      <c r="N448">
        <v>2021</v>
      </c>
      <c r="O448">
        <v>6</v>
      </c>
    </row>
    <row r="449" spans="1:15" x14ac:dyDescent="0.3">
      <c r="A449">
        <v>33286</v>
      </c>
      <c r="B449">
        <v>3204252</v>
      </c>
      <c r="C449" t="s">
        <v>72</v>
      </c>
      <c r="D449">
        <v>0.23</v>
      </c>
      <c r="E449">
        <v>565032.92000000004</v>
      </c>
      <c r="F449">
        <v>43995.63</v>
      </c>
      <c r="G449">
        <v>609028.55000000005</v>
      </c>
      <c r="H449">
        <v>14244.03</v>
      </c>
      <c r="I449">
        <v>18227.45</v>
      </c>
      <c r="J449">
        <v>0.23</v>
      </c>
      <c r="K449">
        <v>23738.15</v>
      </c>
      <c r="L449">
        <v>0</v>
      </c>
      <c r="M449">
        <v>0</v>
      </c>
      <c r="N449">
        <v>2021</v>
      </c>
      <c r="O449">
        <v>6</v>
      </c>
    </row>
    <row r="450" spans="1:15" x14ac:dyDescent="0.3">
      <c r="A450">
        <v>33287</v>
      </c>
      <c r="B450">
        <v>1718402</v>
      </c>
      <c r="C450" t="s">
        <v>73</v>
      </c>
      <c r="D450">
        <v>0.33</v>
      </c>
      <c r="E450">
        <v>820526.06</v>
      </c>
      <c r="F450">
        <v>63889.34</v>
      </c>
      <c r="G450">
        <v>884415.4</v>
      </c>
      <c r="H450">
        <v>20684.810000000001</v>
      </c>
      <c r="I450">
        <v>101230.01</v>
      </c>
      <c r="J450">
        <v>0.33</v>
      </c>
      <c r="K450">
        <v>34471.919999999998</v>
      </c>
      <c r="L450">
        <v>0</v>
      </c>
      <c r="M450">
        <v>0</v>
      </c>
      <c r="N450">
        <v>2021</v>
      </c>
      <c r="O450">
        <v>6</v>
      </c>
    </row>
    <row r="451" spans="1:15" x14ac:dyDescent="0.3">
      <c r="A451">
        <v>33288</v>
      </c>
      <c r="B451">
        <v>3204351</v>
      </c>
      <c r="C451" t="s">
        <v>74</v>
      </c>
      <c r="D451">
        <v>0.76</v>
      </c>
      <c r="E451">
        <v>1889175.31</v>
      </c>
      <c r="F451">
        <v>147098.5</v>
      </c>
      <c r="G451">
        <v>2036273.81</v>
      </c>
      <c r="H451">
        <v>47624.61</v>
      </c>
      <c r="I451">
        <v>163921.41</v>
      </c>
      <c r="J451">
        <v>0.76</v>
      </c>
      <c r="K451">
        <v>79367.98</v>
      </c>
      <c r="L451">
        <v>0</v>
      </c>
      <c r="M451">
        <v>0</v>
      </c>
      <c r="N451">
        <v>2021</v>
      </c>
      <c r="O451">
        <v>6</v>
      </c>
    </row>
    <row r="452" spans="1:15" x14ac:dyDescent="0.3">
      <c r="A452">
        <v>33289</v>
      </c>
      <c r="B452">
        <v>3204401</v>
      </c>
      <c r="C452" t="s">
        <v>75</v>
      </c>
      <c r="D452">
        <v>0.26</v>
      </c>
      <c r="E452">
        <v>651016.22</v>
      </c>
      <c r="F452">
        <v>50690.63</v>
      </c>
      <c r="G452">
        <v>701706.85</v>
      </c>
      <c r="H452">
        <v>16411.599999999999</v>
      </c>
      <c r="I452">
        <v>65772.47</v>
      </c>
      <c r="J452">
        <v>0.26</v>
      </c>
      <c r="K452">
        <v>27350.48</v>
      </c>
      <c r="L452">
        <v>0</v>
      </c>
      <c r="M452">
        <v>0</v>
      </c>
      <c r="N452">
        <v>2021</v>
      </c>
      <c r="O452">
        <v>6</v>
      </c>
    </row>
    <row r="453" spans="1:15" x14ac:dyDescent="0.3">
      <c r="A453">
        <v>33290</v>
      </c>
      <c r="B453">
        <v>3204500</v>
      </c>
      <c r="C453" t="s">
        <v>76</v>
      </c>
      <c r="D453">
        <v>0.49</v>
      </c>
      <c r="E453">
        <v>1218505.78</v>
      </c>
      <c r="F453">
        <v>94877.57</v>
      </c>
      <c r="G453">
        <v>1313383.3500000001</v>
      </c>
      <c r="H453">
        <v>30717.56</v>
      </c>
      <c r="I453">
        <v>78956.19</v>
      </c>
      <c r="J453">
        <v>0.49</v>
      </c>
      <c r="K453">
        <v>51191.83</v>
      </c>
      <c r="L453">
        <v>0</v>
      </c>
      <c r="M453">
        <v>0</v>
      </c>
      <c r="N453">
        <v>2021</v>
      </c>
      <c r="O453">
        <v>6</v>
      </c>
    </row>
    <row r="454" spans="1:15" x14ac:dyDescent="0.3">
      <c r="A454">
        <v>33291</v>
      </c>
      <c r="B454">
        <v>3204559</v>
      </c>
      <c r="C454" t="s">
        <v>77</v>
      </c>
      <c r="D454">
        <v>2.2400000000000002</v>
      </c>
      <c r="E454">
        <v>5517669.4199999999</v>
      </c>
      <c r="F454">
        <v>429627.08</v>
      </c>
      <c r="G454">
        <v>5947296.5</v>
      </c>
      <c r="H454">
        <v>139096.04999999999</v>
      </c>
      <c r="I454">
        <v>405293.84</v>
      </c>
      <c r="J454">
        <v>2.2400000000000002</v>
      </c>
      <c r="K454">
        <v>231808.18</v>
      </c>
      <c r="L454">
        <v>0</v>
      </c>
      <c r="M454">
        <v>0</v>
      </c>
      <c r="N454">
        <v>2021</v>
      </c>
      <c r="O454">
        <v>6</v>
      </c>
    </row>
    <row r="455" spans="1:15" x14ac:dyDescent="0.3">
      <c r="A455">
        <v>33292</v>
      </c>
      <c r="B455">
        <v>3204609</v>
      </c>
      <c r="C455" t="s">
        <v>78</v>
      </c>
      <c r="D455">
        <v>0.69</v>
      </c>
      <c r="E455">
        <v>1697555.45</v>
      </c>
      <c r="F455">
        <v>132178.21</v>
      </c>
      <c r="G455">
        <v>1829733.66</v>
      </c>
      <c r="H455">
        <v>42794.02</v>
      </c>
      <c r="I455">
        <v>165714.62</v>
      </c>
      <c r="J455">
        <v>0.69</v>
      </c>
      <c r="K455">
        <v>71317.66</v>
      </c>
      <c r="L455">
        <v>0</v>
      </c>
      <c r="M455">
        <v>0</v>
      </c>
      <c r="N455">
        <v>2021</v>
      </c>
      <c r="O455">
        <v>6</v>
      </c>
    </row>
    <row r="456" spans="1:15" x14ac:dyDescent="0.3">
      <c r="A456">
        <v>33293</v>
      </c>
      <c r="B456">
        <v>3204658</v>
      </c>
      <c r="C456" t="s">
        <v>79</v>
      </c>
      <c r="D456">
        <v>0.45</v>
      </c>
      <c r="E456">
        <v>1112869.23</v>
      </c>
      <c r="F456">
        <v>86652.29</v>
      </c>
      <c r="G456">
        <v>1199521.52</v>
      </c>
      <c r="H456">
        <v>28054.55</v>
      </c>
      <c r="I456">
        <v>51098.85</v>
      </c>
      <c r="J456">
        <v>0.45</v>
      </c>
      <c r="K456">
        <v>46753.83</v>
      </c>
      <c r="L456">
        <v>0</v>
      </c>
      <c r="M456">
        <v>0</v>
      </c>
      <c r="N456">
        <v>2021</v>
      </c>
      <c r="O456">
        <v>6</v>
      </c>
    </row>
    <row r="457" spans="1:15" x14ac:dyDescent="0.3">
      <c r="A457">
        <v>33294</v>
      </c>
      <c r="B457">
        <v>3204708</v>
      </c>
      <c r="C457" t="s">
        <v>80</v>
      </c>
      <c r="D457">
        <v>0.72</v>
      </c>
      <c r="E457">
        <v>1790908.71</v>
      </c>
      <c r="F457">
        <v>139447.09</v>
      </c>
      <c r="G457">
        <v>1930355.8</v>
      </c>
      <c r="H457">
        <v>45147.38</v>
      </c>
      <c r="I457">
        <v>163988.43</v>
      </c>
      <c r="J457">
        <v>0.72</v>
      </c>
      <c r="K457">
        <v>75239.600000000006</v>
      </c>
      <c r="L457">
        <v>0</v>
      </c>
      <c r="M457">
        <v>0</v>
      </c>
      <c r="N457">
        <v>2021</v>
      </c>
      <c r="O457">
        <v>6</v>
      </c>
    </row>
    <row r="458" spans="1:15" x14ac:dyDescent="0.3">
      <c r="A458">
        <v>33295</v>
      </c>
      <c r="B458">
        <v>3204807</v>
      </c>
      <c r="C458" t="s">
        <v>81</v>
      </c>
      <c r="D458">
        <v>0.22</v>
      </c>
      <c r="E458">
        <v>542922.92000000004</v>
      </c>
      <c r="F458">
        <v>42274.09</v>
      </c>
      <c r="G458">
        <v>585197.01</v>
      </c>
      <c r="H458">
        <v>13686.66</v>
      </c>
      <c r="I458">
        <v>54039.99</v>
      </c>
      <c r="J458">
        <v>0.22</v>
      </c>
      <c r="K458">
        <v>22809.27</v>
      </c>
      <c r="L458">
        <v>0</v>
      </c>
      <c r="M458">
        <v>0</v>
      </c>
      <c r="N458">
        <v>2021</v>
      </c>
      <c r="O458">
        <v>6</v>
      </c>
    </row>
    <row r="459" spans="1:15" x14ac:dyDescent="0.3">
      <c r="A459">
        <v>33296</v>
      </c>
      <c r="B459">
        <v>3204906</v>
      </c>
      <c r="C459" t="s">
        <v>82</v>
      </c>
      <c r="D459">
        <v>1.8</v>
      </c>
      <c r="E459">
        <v>4424453.5199999996</v>
      </c>
      <c r="F459">
        <v>344505.09</v>
      </c>
      <c r="G459">
        <v>4768958.6100000003</v>
      </c>
      <c r="H459">
        <v>111536.95</v>
      </c>
      <c r="I459">
        <v>584829.37</v>
      </c>
      <c r="J459">
        <v>1.8</v>
      </c>
      <c r="K459">
        <v>185880.02</v>
      </c>
      <c r="L459">
        <v>0</v>
      </c>
      <c r="M459">
        <v>0</v>
      </c>
      <c r="N459">
        <v>2021</v>
      </c>
      <c r="O459">
        <v>6</v>
      </c>
    </row>
    <row r="460" spans="1:15" x14ac:dyDescent="0.3">
      <c r="A460">
        <v>33297</v>
      </c>
      <c r="B460">
        <v>3204955</v>
      </c>
      <c r="C460" t="s">
        <v>83</v>
      </c>
      <c r="D460">
        <v>0.32</v>
      </c>
      <c r="E460">
        <v>805786.08</v>
      </c>
      <c r="F460">
        <v>62741.61</v>
      </c>
      <c r="G460">
        <v>868527.69</v>
      </c>
      <c r="H460">
        <v>20313.23</v>
      </c>
      <c r="I460">
        <v>62839.13</v>
      </c>
      <c r="J460">
        <v>0.32</v>
      </c>
      <c r="K460">
        <v>33852.660000000003</v>
      </c>
      <c r="L460">
        <v>0</v>
      </c>
      <c r="M460">
        <v>0</v>
      </c>
      <c r="N460">
        <v>2021</v>
      </c>
      <c r="O460">
        <v>6</v>
      </c>
    </row>
    <row r="461" spans="1:15" x14ac:dyDescent="0.3">
      <c r="A461">
        <v>33298</v>
      </c>
      <c r="B461">
        <v>3205002</v>
      </c>
      <c r="C461" t="s">
        <v>84</v>
      </c>
      <c r="D461">
        <v>13.06</v>
      </c>
      <c r="E461">
        <v>32101240.420000002</v>
      </c>
      <c r="F461">
        <v>2499526.69</v>
      </c>
      <c r="G461">
        <v>34600767.109999999</v>
      </c>
      <c r="H461">
        <v>809246.71999999997</v>
      </c>
      <c r="I461">
        <v>2226274.27</v>
      </c>
      <c r="J461">
        <v>13.06</v>
      </c>
      <c r="K461">
        <v>1348636.45</v>
      </c>
      <c r="L461">
        <v>0</v>
      </c>
      <c r="M461">
        <v>0</v>
      </c>
      <c r="N461">
        <v>2021</v>
      </c>
      <c r="O461">
        <v>6</v>
      </c>
    </row>
    <row r="462" spans="1:15" x14ac:dyDescent="0.3">
      <c r="A462">
        <v>33299</v>
      </c>
      <c r="B462">
        <v>3205010</v>
      </c>
      <c r="C462" t="s">
        <v>85</v>
      </c>
      <c r="D462">
        <v>0.7</v>
      </c>
      <c r="E462">
        <v>1731948.76</v>
      </c>
      <c r="F462">
        <v>134856.23000000001</v>
      </c>
      <c r="G462">
        <v>1866804.99</v>
      </c>
      <c r="H462">
        <v>43661.05</v>
      </c>
      <c r="I462">
        <v>96918.63</v>
      </c>
      <c r="J462">
        <v>0.7</v>
      </c>
      <c r="K462">
        <v>72762.58</v>
      </c>
      <c r="L462">
        <v>0</v>
      </c>
      <c r="M462">
        <v>0</v>
      </c>
      <c r="N462">
        <v>2021</v>
      </c>
      <c r="O462">
        <v>6</v>
      </c>
    </row>
    <row r="463" spans="1:15" x14ac:dyDescent="0.3">
      <c r="A463">
        <v>33300</v>
      </c>
      <c r="B463">
        <v>3205036</v>
      </c>
      <c r="C463" t="s">
        <v>86</v>
      </c>
      <c r="D463">
        <v>0.47</v>
      </c>
      <c r="E463">
        <v>1169372.52</v>
      </c>
      <c r="F463">
        <v>91051.87</v>
      </c>
      <c r="G463">
        <v>1260424.3899999999</v>
      </c>
      <c r="H463">
        <v>29478.95</v>
      </c>
      <c r="I463">
        <v>132752.9</v>
      </c>
      <c r="J463">
        <v>0.47</v>
      </c>
      <c r="K463">
        <v>49127.64</v>
      </c>
      <c r="L463">
        <v>0</v>
      </c>
      <c r="M463">
        <v>0</v>
      </c>
      <c r="N463">
        <v>2021</v>
      </c>
      <c r="O463">
        <v>6</v>
      </c>
    </row>
    <row r="464" spans="1:15" x14ac:dyDescent="0.3">
      <c r="A464">
        <v>33301</v>
      </c>
      <c r="B464">
        <v>3205069</v>
      </c>
      <c r="C464" t="s">
        <v>87</v>
      </c>
      <c r="D464">
        <v>0.72</v>
      </c>
      <c r="E464">
        <v>1771255.4</v>
      </c>
      <c r="F464">
        <v>137916.81</v>
      </c>
      <c r="G464">
        <v>1909172.21</v>
      </c>
      <c r="H464">
        <v>44651.94</v>
      </c>
      <c r="I464">
        <v>238772.32</v>
      </c>
      <c r="J464">
        <v>0.72</v>
      </c>
      <c r="K464">
        <v>74413.929999999993</v>
      </c>
      <c r="L464">
        <v>0</v>
      </c>
      <c r="M464">
        <v>0</v>
      </c>
      <c r="N464">
        <v>2021</v>
      </c>
      <c r="O464">
        <v>6</v>
      </c>
    </row>
    <row r="465" spans="1:15" x14ac:dyDescent="0.3">
      <c r="A465">
        <v>33302</v>
      </c>
      <c r="B465">
        <v>2112803</v>
      </c>
      <c r="C465" t="s">
        <v>88</v>
      </c>
      <c r="D465">
        <v>2.25</v>
      </c>
      <c r="E465">
        <v>5534866.0499999998</v>
      </c>
      <c r="F465">
        <v>430966.1</v>
      </c>
      <c r="G465">
        <v>5965832.1500000004</v>
      </c>
      <c r="H465">
        <v>139529.57</v>
      </c>
      <c r="I465">
        <v>420191.1</v>
      </c>
      <c r="J465">
        <v>2.25</v>
      </c>
      <c r="K465">
        <v>232530.64</v>
      </c>
      <c r="L465">
        <v>0</v>
      </c>
      <c r="M465">
        <v>0</v>
      </c>
      <c r="N465">
        <v>2021</v>
      </c>
      <c r="O465">
        <v>6</v>
      </c>
    </row>
    <row r="466" spans="1:15" x14ac:dyDescent="0.3">
      <c r="A466">
        <v>33303</v>
      </c>
      <c r="B466">
        <v>3205150</v>
      </c>
      <c r="C466" t="s">
        <v>89</v>
      </c>
      <c r="D466">
        <v>0.32</v>
      </c>
      <c r="E466">
        <v>803329.42</v>
      </c>
      <c r="F466">
        <v>62550.34</v>
      </c>
      <c r="G466">
        <v>865879.76</v>
      </c>
      <c r="H466">
        <v>20251.3</v>
      </c>
      <c r="I466">
        <v>55651.43</v>
      </c>
      <c r="J466">
        <v>0.32</v>
      </c>
      <c r="K466">
        <v>33749.449999999997</v>
      </c>
      <c r="L466">
        <v>0</v>
      </c>
      <c r="M466">
        <v>0</v>
      </c>
      <c r="N466">
        <v>2021</v>
      </c>
      <c r="O466">
        <v>6</v>
      </c>
    </row>
    <row r="467" spans="1:15" x14ac:dyDescent="0.3">
      <c r="A467">
        <v>33304</v>
      </c>
      <c r="B467">
        <v>3205176</v>
      </c>
      <c r="C467" t="s">
        <v>90</v>
      </c>
      <c r="D467">
        <v>0.61</v>
      </c>
      <c r="E467">
        <v>1513305.59</v>
      </c>
      <c r="F467">
        <v>117831.84</v>
      </c>
      <c r="G467">
        <v>1631137.43</v>
      </c>
      <c r="H467">
        <v>38149.230000000003</v>
      </c>
      <c r="I467">
        <v>118490.76</v>
      </c>
      <c r="J467">
        <v>0.61</v>
      </c>
      <c r="K467">
        <v>63576.95</v>
      </c>
      <c r="L467">
        <v>0</v>
      </c>
      <c r="M467">
        <v>0</v>
      </c>
      <c r="N467">
        <v>2021</v>
      </c>
      <c r="O467">
        <v>6</v>
      </c>
    </row>
    <row r="468" spans="1:15" x14ac:dyDescent="0.3">
      <c r="A468">
        <v>33305</v>
      </c>
      <c r="B468">
        <v>3205200</v>
      </c>
      <c r="C468" t="s">
        <v>91</v>
      </c>
      <c r="D468">
        <v>5.55</v>
      </c>
      <c r="E468">
        <v>13651686.939999999</v>
      </c>
      <c r="F468">
        <v>1062973.1200000001</v>
      </c>
      <c r="G468">
        <v>14714660.060000001</v>
      </c>
      <c r="H468">
        <v>344148.16</v>
      </c>
      <c r="I468">
        <v>2810474.04</v>
      </c>
      <c r="J468">
        <v>5.55</v>
      </c>
      <c r="K468">
        <v>573534.30000000005</v>
      </c>
      <c r="L468">
        <v>0</v>
      </c>
      <c r="M468">
        <v>0</v>
      </c>
      <c r="N468">
        <v>2021</v>
      </c>
      <c r="O468">
        <v>6</v>
      </c>
    </row>
    <row r="469" spans="1:15" x14ac:dyDescent="0.3">
      <c r="A469">
        <v>33306</v>
      </c>
      <c r="B469">
        <v>3205309</v>
      </c>
      <c r="C469" t="s">
        <v>92</v>
      </c>
      <c r="D469">
        <v>15.84</v>
      </c>
      <c r="E469">
        <v>38920942.109999999</v>
      </c>
      <c r="F469">
        <v>3030534.78</v>
      </c>
      <c r="G469">
        <v>41951476.890000001</v>
      </c>
      <c r="H469">
        <v>981165.97</v>
      </c>
      <c r="I469">
        <v>2894422.65</v>
      </c>
      <c r="J469">
        <v>15.84</v>
      </c>
      <c r="K469">
        <v>1635145.56</v>
      </c>
      <c r="L469">
        <v>0</v>
      </c>
      <c r="M469">
        <v>0</v>
      </c>
      <c r="N469">
        <v>2021</v>
      </c>
      <c r="O469">
        <v>6</v>
      </c>
    </row>
    <row r="470" spans="1:15" x14ac:dyDescent="0.3">
      <c r="A470">
        <v>33307</v>
      </c>
      <c r="B470">
        <v>3200102</v>
      </c>
      <c r="C470" t="s">
        <v>15</v>
      </c>
      <c r="D470">
        <v>0.79</v>
      </c>
      <c r="E470">
        <v>2371039.88</v>
      </c>
      <c r="F470">
        <v>190591.64</v>
      </c>
      <c r="G470">
        <v>2561631.52</v>
      </c>
      <c r="H470">
        <v>53520.23</v>
      </c>
      <c r="I470">
        <v>517444.87</v>
      </c>
      <c r="J470">
        <v>0.79</v>
      </c>
      <c r="K470">
        <v>77625.210000000006</v>
      </c>
      <c r="L470">
        <v>0</v>
      </c>
      <c r="M470">
        <v>0</v>
      </c>
      <c r="N470">
        <v>2021</v>
      </c>
      <c r="O470">
        <v>7</v>
      </c>
    </row>
    <row r="471" spans="1:15" x14ac:dyDescent="0.3">
      <c r="A471">
        <v>33308</v>
      </c>
      <c r="B471">
        <v>3200169</v>
      </c>
      <c r="C471" t="s">
        <v>16</v>
      </c>
      <c r="D471">
        <v>0.28999999999999998</v>
      </c>
      <c r="E471">
        <v>885425.91</v>
      </c>
      <c r="F471">
        <v>71173.33</v>
      </c>
      <c r="G471">
        <v>956599.24</v>
      </c>
      <c r="H471">
        <v>19986.25</v>
      </c>
      <c r="I471">
        <v>152272.51999999999</v>
      </c>
      <c r="J471">
        <v>0.28999999999999998</v>
      </c>
      <c r="K471">
        <v>28987.85</v>
      </c>
      <c r="L471">
        <v>0</v>
      </c>
      <c r="M471">
        <v>0</v>
      </c>
      <c r="N471">
        <v>2021</v>
      </c>
      <c r="O471">
        <v>7</v>
      </c>
    </row>
    <row r="472" spans="1:15" x14ac:dyDescent="0.3">
      <c r="A472">
        <v>33309</v>
      </c>
      <c r="B472">
        <v>3200136</v>
      </c>
      <c r="C472" t="s">
        <v>17</v>
      </c>
      <c r="D472">
        <v>0.42</v>
      </c>
      <c r="E472">
        <v>1262771.8600000001</v>
      </c>
      <c r="F472">
        <v>101505.56</v>
      </c>
      <c r="G472">
        <v>1364277.42</v>
      </c>
      <c r="H472">
        <v>28503.88</v>
      </c>
      <c r="I472">
        <v>167498</v>
      </c>
      <c r="J472">
        <v>0.42</v>
      </c>
      <c r="K472">
        <v>41341.74</v>
      </c>
      <c r="L472">
        <v>0</v>
      </c>
      <c r="M472">
        <v>0</v>
      </c>
      <c r="N472">
        <v>2021</v>
      </c>
      <c r="O472">
        <v>7</v>
      </c>
    </row>
    <row r="473" spans="1:15" x14ac:dyDescent="0.3">
      <c r="A473">
        <v>33310</v>
      </c>
      <c r="B473">
        <v>3200201</v>
      </c>
      <c r="C473" t="s">
        <v>18</v>
      </c>
      <c r="D473">
        <v>0.48</v>
      </c>
      <c r="E473">
        <v>1438074.3</v>
      </c>
      <c r="F473">
        <v>115596.9</v>
      </c>
      <c r="G473">
        <v>1553671.2</v>
      </c>
      <c r="H473">
        <v>32460.89</v>
      </c>
      <c r="I473">
        <v>504801.35</v>
      </c>
      <c r="J473">
        <v>0.48</v>
      </c>
      <c r="K473">
        <v>47080.95</v>
      </c>
      <c r="L473">
        <v>0</v>
      </c>
      <c r="M473">
        <v>0</v>
      </c>
      <c r="N473">
        <v>2021</v>
      </c>
      <c r="O473">
        <v>7</v>
      </c>
    </row>
    <row r="474" spans="1:15" x14ac:dyDescent="0.3">
      <c r="A474">
        <v>33311</v>
      </c>
      <c r="B474">
        <v>3200300</v>
      </c>
      <c r="C474" t="s">
        <v>19</v>
      </c>
      <c r="D474">
        <v>0.48</v>
      </c>
      <c r="E474">
        <v>1426189.38</v>
      </c>
      <c r="F474">
        <v>114641.61</v>
      </c>
      <c r="G474">
        <v>1540830.99</v>
      </c>
      <c r="H474">
        <v>32192.62</v>
      </c>
      <c r="I474">
        <v>356411.91</v>
      </c>
      <c r="J474">
        <v>0.48</v>
      </c>
      <c r="K474">
        <v>46691.85</v>
      </c>
      <c r="L474">
        <v>0</v>
      </c>
      <c r="M474">
        <v>0</v>
      </c>
      <c r="N474">
        <v>2021</v>
      </c>
      <c r="O474">
        <v>7</v>
      </c>
    </row>
    <row r="475" spans="1:15" x14ac:dyDescent="0.3">
      <c r="A475">
        <v>33312</v>
      </c>
      <c r="B475">
        <v>3200359</v>
      </c>
      <c r="C475" t="s">
        <v>20</v>
      </c>
      <c r="D475">
        <v>0.22</v>
      </c>
      <c r="E475">
        <v>680411.22</v>
      </c>
      <c r="F475">
        <v>54693.58</v>
      </c>
      <c r="G475">
        <v>735104.8</v>
      </c>
      <c r="H475">
        <v>15358.56</v>
      </c>
      <c r="I475">
        <v>85898.05</v>
      </c>
      <c r="J475">
        <v>0.22</v>
      </c>
      <c r="K475">
        <v>22275.9</v>
      </c>
      <c r="L475">
        <v>0</v>
      </c>
      <c r="M475">
        <v>0</v>
      </c>
      <c r="N475">
        <v>2021</v>
      </c>
      <c r="O475">
        <v>7</v>
      </c>
    </row>
    <row r="476" spans="1:15" x14ac:dyDescent="0.3">
      <c r="A476">
        <v>33313</v>
      </c>
      <c r="B476">
        <v>3200409</v>
      </c>
      <c r="C476" t="s">
        <v>21</v>
      </c>
      <c r="D476">
        <v>2.59</v>
      </c>
      <c r="E476">
        <v>7719250.0499999998</v>
      </c>
      <c r="F476">
        <v>620497.57999999996</v>
      </c>
      <c r="G476">
        <v>8339747.6299999999</v>
      </c>
      <c r="H476">
        <v>174242.54</v>
      </c>
      <c r="I476">
        <v>505353.8</v>
      </c>
      <c r="J476">
        <v>2.59</v>
      </c>
      <c r="K476">
        <v>252719.65</v>
      </c>
      <c r="L476">
        <v>0</v>
      </c>
      <c r="M476">
        <v>0</v>
      </c>
      <c r="N476">
        <v>2021</v>
      </c>
      <c r="O476">
        <v>7</v>
      </c>
    </row>
    <row r="477" spans="1:15" x14ac:dyDescent="0.3">
      <c r="A477">
        <v>33314</v>
      </c>
      <c r="B477">
        <v>3200508</v>
      </c>
      <c r="C477" t="s">
        <v>22</v>
      </c>
      <c r="D477">
        <v>0.19</v>
      </c>
      <c r="E477">
        <v>579389.44999999995</v>
      </c>
      <c r="F477">
        <v>46573.14</v>
      </c>
      <c r="G477">
        <v>625962.59</v>
      </c>
      <c r="H477">
        <v>13078.25</v>
      </c>
      <c r="I477">
        <v>175531.05</v>
      </c>
      <c r="J477">
        <v>0.19</v>
      </c>
      <c r="K477">
        <v>18968.57</v>
      </c>
      <c r="L477">
        <v>0</v>
      </c>
      <c r="M477">
        <v>0</v>
      </c>
      <c r="N477">
        <v>2021</v>
      </c>
      <c r="O477">
        <v>7</v>
      </c>
    </row>
    <row r="478" spans="1:15" x14ac:dyDescent="0.3">
      <c r="A478">
        <v>33315</v>
      </c>
      <c r="B478">
        <v>3200607</v>
      </c>
      <c r="C478" t="s">
        <v>23</v>
      </c>
      <c r="D478">
        <v>5.18</v>
      </c>
      <c r="E478">
        <v>15390960.470000001</v>
      </c>
      <c r="F478">
        <v>1237173.8</v>
      </c>
      <c r="G478">
        <v>16628134.27</v>
      </c>
      <c r="H478">
        <v>347411.99</v>
      </c>
      <c r="I478">
        <v>1659207.91</v>
      </c>
      <c r="J478">
        <v>5.18</v>
      </c>
      <c r="K478">
        <v>503882.91</v>
      </c>
      <c r="L478">
        <v>0</v>
      </c>
      <c r="M478">
        <v>0</v>
      </c>
      <c r="N478">
        <v>2021</v>
      </c>
      <c r="O478">
        <v>7</v>
      </c>
    </row>
    <row r="479" spans="1:15" x14ac:dyDescent="0.3">
      <c r="A479">
        <v>33316</v>
      </c>
      <c r="B479">
        <v>3200706</v>
      </c>
      <c r="C479" t="s">
        <v>24</v>
      </c>
      <c r="D479">
        <v>0.36</v>
      </c>
      <c r="E479">
        <v>1096383.08</v>
      </c>
      <c r="F479">
        <v>88130.72</v>
      </c>
      <c r="G479">
        <v>1184513.8</v>
      </c>
      <c r="H479">
        <v>24748.07</v>
      </c>
      <c r="I479">
        <v>173651.86</v>
      </c>
      <c r="J479">
        <v>0.36</v>
      </c>
      <c r="K479">
        <v>35894.36</v>
      </c>
      <c r="L479">
        <v>0</v>
      </c>
      <c r="M479">
        <v>0</v>
      </c>
      <c r="N479">
        <v>2021</v>
      </c>
      <c r="O479">
        <v>7</v>
      </c>
    </row>
    <row r="480" spans="1:15" x14ac:dyDescent="0.3">
      <c r="A480">
        <v>33317</v>
      </c>
      <c r="B480">
        <v>3200805</v>
      </c>
      <c r="C480" t="s">
        <v>25</v>
      </c>
      <c r="D480">
        <v>0.65</v>
      </c>
      <c r="E480">
        <v>1958039.18</v>
      </c>
      <c r="F480">
        <v>157393.35999999999</v>
      </c>
      <c r="G480">
        <v>2115432.54</v>
      </c>
      <c r="H480">
        <v>44197.78</v>
      </c>
      <c r="I480">
        <v>638993.4</v>
      </c>
      <c r="J480">
        <v>0.65</v>
      </c>
      <c r="K480">
        <v>64104.03</v>
      </c>
      <c r="L480">
        <v>0</v>
      </c>
      <c r="M480">
        <v>0</v>
      </c>
      <c r="N480">
        <v>2021</v>
      </c>
      <c r="O480">
        <v>7</v>
      </c>
    </row>
    <row r="481" spans="1:15" x14ac:dyDescent="0.3">
      <c r="A481">
        <v>33318</v>
      </c>
      <c r="B481">
        <v>3200904</v>
      </c>
      <c r="C481" t="s">
        <v>26</v>
      </c>
      <c r="D481">
        <v>0.9</v>
      </c>
      <c r="E481">
        <v>2691932.47</v>
      </c>
      <c r="F481">
        <v>216385.99</v>
      </c>
      <c r="G481">
        <v>2908318.46</v>
      </c>
      <c r="H481">
        <v>60763.57</v>
      </c>
      <c r="I481">
        <v>820632.3</v>
      </c>
      <c r="J481">
        <v>0.9</v>
      </c>
      <c r="K481">
        <v>88130.87</v>
      </c>
      <c r="L481">
        <v>0</v>
      </c>
      <c r="M481">
        <v>0</v>
      </c>
      <c r="N481">
        <v>2021</v>
      </c>
      <c r="O481">
        <v>7</v>
      </c>
    </row>
    <row r="482" spans="1:15" x14ac:dyDescent="0.3">
      <c r="A482">
        <v>33319</v>
      </c>
      <c r="B482">
        <v>3107109</v>
      </c>
      <c r="C482" t="s">
        <v>27</v>
      </c>
      <c r="D482">
        <v>0.41</v>
      </c>
      <c r="E482">
        <v>1230088.33</v>
      </c>
      <c r="F482">
        <v>98878.34</v>
      </c>
      <c r="G482">
        <v>1328966.67</v>
      </c>
      <c r="H482">
        <v>27766.13</v>
      </c>
      <c r="I482">
        <v>195541.85</v>
      </c>
      <c r="J482">
        <v>0.41</v>
      </c>
      <c r="K482">
        <v>40271.72</v>
      </c>
      <c r="L482">
        <v>0</v>
      </c>
      <c r="M482">
        <v>0</v>
      </c>
      <c r="N482">
        <v>2021</v>
      </c>
      <c r="O482">
        <v>7</v>
      </c>
    </row>
    <row r="483" spans="1:15" x14ac:dyDescent="0.3">
      <c r="A483">
        <v>33320</v>
      </c>
      <c r="B483">
        <v>3201100</v>
      </c>
      <c r="C483" t="s">
        <v>28</v>
      </c>
      <c r="D483">
        <v>0.17</v>
      </c>
      <c r="E483">
        <v>505108.74</v>
      </c>
      <c r="F483">
        <v>40602.239999999998</v>
      </c>
      <c r="G483">
        <v>545710.98</v>
      </c>
      <c r="H483">
        <v>11401.55</v>
      </c>
      <c r="I483">
        <v>426523.7</v>
      </c>
      <c r="J483">
        <v>0.17</v>
      </c>
      <c r="K483">
        <v>16536.7</v>
      </c>
      <c r="L483">
        <v>0</v>
      </c>
      <c r="M483">
        <v>0</v>
      </c>
      <c r="N483">
        <v>2021</v>
      </c>
      <c r="O483">
        <v>7</v>
      </c>
    </row>
    <row r="484" spans="1:15" x14ac:dyDescent="0.3">
      <c r="A484">
        <v>33321</v>
      </c>
      <c r="B484">
        <v>3201159</v>
      </c>
      <c r="C484" t="s">
        <v>29</v>
      </c>
      <c r="D484">
        <v>0.43</v>
      </c>
      <c r="E484">
        <v>1301397.81</v>
      </c>
      <c r="F484">
        <v>104610.43</v>
      </c>
      <c r="G484">
        <v>1406008.24</v>
      </c>
      <c r="H484">
        <v>29375.759999999998</v>
      </c>
      <c r="I484">
        <v>167538.85999999999</v>
      </c>
      <c r="J484">
        <v>0.43</v>
      </c>
      <c r="K484">
        <v>42606.32</v>
      </c>
      <c r="L484">
        <v>0</v>
      </c>
      <c r="M484">
        <v>0</v>
      </c>
      <c r="N484">
        <v>2021</v>
      </c>
      <c r="O484">
        <v>7</v>
      </c>
    </row>
    <row r="485" spans="1:15" x14ac:dyDescent="0.3">
      <c r="A485">
        <v>33322</v>
      </c>
      <c r="B485">
        <v>3201209</v>
      </c>
      <c r="C485" t="s">
        <v>30</v>
      </c>
      <c r="D485">
        <v>3.11</v>
      </c>
      <c r="E485">
        <v>9246461.1699999999</v>
      </c>
      <c r="F485">
        <v>743259.63</v>
      </c>
      <c r="G485">
        <v>9989720.8000000007</v>
      </c>
      <c r="H485">
        <v>208715.47</v>
      </c>
      <c r="I485">
        <v>4201844.33</v>
      </c>
      <c r="J485">
        <v>3.11</v>
      </c>
      <c r="K485">
        <v>302718.84999999998</v>
      </c>
      <c r="L485">
        <v>0</v>
      </c>
      <c r="M485">
        <v>0</v>
      </c>
      <c r="N485">
        <v>2021</v>
      </c>
      <c r="O485">
        <v>7</v>
      </c>
    </row>
    <row r="486" spans="1:15" x14ac:dyDescent="0.3">
      <c r="A486">
        <v>33323</v>
      </c>
      <c r="B486">
        <v>3201308</v>
      </c>
      <c r="C486" t="s">
        <v>31</v>
      </c>
      <c r="D486">
        <v>6.51</v>
      </c>
      <c r="E486">
        <v>19354578.43</v>
      </c>
      <c r="F486">
        <v>1555781.88</v>
      </c>
      <c r="G486">
        <v>20910360.309999999</v>
      </c>
      <c r="H486">
        <v>436880.64000000001</v>
      </c>
      <c r="I486">
        <v>5305464.38</v>
      </c>
      <c r="J486">
        <v>6.51</v>
      </c>
      <c r="K486">
        <v>633647.35999999999</v>
      </c>
      <c r="L486">
        <v>0</v>
      </c>
      <c r="M486">
        <v>0</v>
      </c>
      <c r="N486">
        <v>2021</v>
      </c>
      <c r="O486">
        <v>7</v>
      </c>
    </row>
    <row r="487" spans="1:15" x14ac:dyDescent="0.3">
      <c r="A487">
        <v>33324</v>
      </c>
      <c r="B487">
        <v>3201407</v>
      </c>
      <c r="C487" t="s">
        <v>32</v>
      </c>
      <c r="D487">
        <v>0.93</v>
      </c>
      <c r="E487">
        <v>2781069.29</v>
      </c>
      <c r="F487">
        <v>223551.08</v>
      </c>
      <c r="G487">
        <v>3004620.37</v>
      </c>
      <c r="H487">
        <v>62775.6</v>
      </c>
      <c r="I487">
        <v>1106561.83</v>
      </c>
      <c r="J487">
        <v>0.93</v>
      </c>
      <c r="K487">
        <v>91049.11</v>
      </c>
      <c r="L487">
        <v>0</v>
      </c>
      <c r="M487">
        <v>0</v>
      </c>
      <c r="N487">
        <v>2021</v>
      </c>
      <c r="O487">
        <v>7</v>
      </c>
    </row>
    <row r="488" spans="1:15" x14ac:dyDescent="0.3">
      <c r="A488">
        <v>33325</v>
      </c>
      <c r="B488">
        <v>3201506</v>
      </c>
      <c r="C488" t="s">
        <v>33</v>
      </c>
      <c r="D488">
        <v>2.2000000000000002</v>
      </c>
      <c r="E488">
        <v>6539672.5800000001</v>
      </c>
      <c r="F488">
        <v>525679.44999999995</v>
      </c>
      <c r="G488">
        <v>7065352.0300000003</v>
      </c>
      <c r="H488">
        <v>147616.56</v>
      </c>
      <c r="I488">
        <v>2619868.19</v>
      </c>
      <c r="J488">
        <v>2.2000000000000002</v>
      </c>
      <c r="K488">
        <v>214101.6</v>
      </c>
      <c r="L488">
        <v>0</v>
      </c>
      <c r="M488">
        <v>0</v>
      </c>
      <c r="N488">
        <v>2021</v>
      </c>
      <c r="O488">
        <v>7</v>
      </c>
    </row>
    <row r="489" spans="1:15" x14ac:dyDescent="0.3">
      <c r="A489">
        <v>33326</v>
      </c>
      <c r="B489">
        <v>3201605</v>
      </c>
      <c r="C489" t="s">
        <v>34</v>
      </c>
      <c r="D489">
        <v>0.57999999999999996</v>
      </c>
      <c r="E489">
        <v>1738168.29</v>
      </c>
      <c r="F489">
        <v>139719.42000000001</v>
      </c>
      <c r="G489">
        <v>1877887.71</v>
      </c>
      <c r="H489">
        <v>39234.75</v>
      </c>
      <c r="I489">
        <v>237481.58</v>
      </c>
      <c r="J489">
        <v>0.57999999999999996</v>
      </c>
      <c r="K489">
        <v>56905.7</v>
      </c>
      <c r="L489">
        <v>0</v>
      </c>
      <c r="M489">
        <v>0</v>
      </c>
      <c r="N489">
        <v>2021</v>
      </c>
      <c r="O489">
        <v>7</v>
      </c>
    </row>
    <row r="490" spans="1:15" x14ac:dyDescent="0.3">
      <c r="A490">
        <v>33327</v>
      </c>
      <c r="B490">
        <v>3201704</v>
      </c>
      <c r="C490" t="s">
        <v>35</v>
      </c>
      <c r="D490">
        <v>0.45</v>
      </c>
      <c r="E490">
        <v>1354879.9</v>
      </c>
      <c r="F490">
        <v>108909.51</v>
      </c>
      <c r="G490">
        <v>1463789.41</v>
      </c>
      <c r="H490">
        <v>30582.99</v>
      </c>
      <c r="I490">
        <v>228038.26</v>
      </c>
      <c r="J490">
        <v>0.45</v>
      </c>
      <c r="K490">
        <v>44357.27</v>
      </c>
      <c r="L490">
        <v>0</v>
      </c>
      <c r="M490">
        <v>0</v>
      </c>
      <c r="N490">
        <v>2021</v>
      </c>
      <c r="O490">
        <v>7</v>
      </c>
    </row>
    <row r="491" spans="1:15" x14ac:dyDescent="0.3">
      <c r="A491">
        <v>33328</v>
      </c>
      <c r="B491">
        <v>3201803</v>
      </c>
      <c r="C491" t="s">
        <v>36</v>
      </c>
      <c r="D491">
        <v>0.19</v>
      </c>
      <c r="E491">
        <v>564533.29</v>
      </c>
      <c r="F491">
        <v>45378.96</v>
      </c>
      <c r="G491">
        <v>609912.25</v>
      </c>
      <c r="H491">
        <v>12742.91</v>
      </c>
      <c r="I491">
        <v>57560.91</v>
      </c>
      <c r="J491">
        <v>0.19</v>
      </c>
      <c r="K491">
        <v>18482.2</v>
      </c>
      <c r="L491">
        <v>0</v>
      </c>
      <c r="M491">
        <v>0</v>
      </c>
      <c r="N491">
        <v>2021</v>
      </c>
      <c r="O491">
        <v>7</v>
      </c>
    </row>
    <row r="492" spans="1:15" x14ac:dyDescent="0.3">
      <c r="A492">
        <v>33329</v>
      </c>
      <c r="B492">
        <v>3201902</v>
      </c>
      <c r="C492" t="s">
        <v>37</v>
      </c>
      <c r="D492">
        <v>1.22</v>
      </c>
      <c r="E492">
        <v>3636782.9</v>
      </c>
      <c r="F492">
        <v>292336.07</v>
      </c>
      <c r="G492">
        <v>3929118.97</v>
      </c>
      <c r="H492">
        <v>82091.17</v>
      </c>
      <c r="I492">
        <v>817768.09</v>
      </c>
      <c r="J492">
        <v>1.22</v>
      </c>
      <c r="K492">
        <v>119064.22</v>
      </c>
      <c r="L492">
        <v>0</v>
      </c>
      <c r="M492">
        <v>0</v>
      </c>
      <c r="N492">
        <v>2021</v>
      </c>
      <c r="O492">
        <v>7</v>
      </c>
    </row>
    <row r="493" spans="1:15" x14ac:dyDescent="0.3">
      <c r="A493">
        <v>33330</v>
      </c>
      <c r="B493">
        <v>3202009</v>
      </c>
      <c r="C493" t="s">
        <v>38</v>
      </c>
      <c r="D493">
        <v>0.24</v>
      </c>
      <c r="E493">
        <v>724979.6</v>
      </c>
      <c r="F493">
        <v>58276.160000000003</v>
      </c>
      <c r="G493">
        <v>783255.76</v>
      </c>
      <c r="H493">
        <v>16364.58</v>
      </c>
      <c r="I493">
        <v>159407.03</v>
      </c>
      <c r="J493">
        <v>0.24</v>
      </c>
      <c r="K493">
        <v>23735.03</v>
      </c>
      <c r="L493">
        <v>0</v>
      </c>
      <c r="M493">
        <v>0</v>
      </c>
      <c r="N493">
        <v>2021</v>
      </c>
      <c r="O493">
        <v>7</v>
      </c>
    </row>
    <row r="494" spans="1:15" x14ac:dyDescent="0.3">
      <c r="A494">
        <v>33331</v>
      </c>
      <c r="B494">
        <v>3202108</v>
      </c>
      <c r="C494" t="s">
        <v>39</v>
      </c>
      <c r="D494">
        <v>0.69</v>
      </c>
      <c r="E494">
        <v>2076888.31</v>
      </c>
      <c r="F494">
        <v>166946.82</v>
      </c>
      <c r="G494">
        <v>2243835.13</v>
      </c>
      <c r="H494">
        <v>46880.5</v>
      </c>
      <c r="I494">
        <v>251120.63</v>
      </c>
      <c r="J494">
        <v>0.69</v>
      </c>
      <c r="K494">
        <v>67995.009999999995</v>
      </c>
      <c r="L494">
        <v>0</v>
      </c>
      <c r="M494">
        <v>0</v>
      </c>
      <c r="N494">
        <v>2021</v>
      </c>
      <c r="O494">
        <v>7</v>
      </c>
    </row>
    <row r="495" spans="1:15" x14ac:dyDescent="0.3">
      <c r="A495">
        <v>33332</v>
      </c>
      <c r="B495">
        <v>3202207</v>
      </c>
      <c r="C495" t="s">
        <v>40</v>
      </c>
      <c r="D495">
        <v>0.33</v>
      </c>
      <c r="E495">
        <v>983476.42</v>
      </c>
      <c r="F495">
        <v>79054.91</v>
      </c>
      <c r="G495">
        <v>1062531.33</v>
      </c>
      <c r="H495">
        <v>22199.49</v>
      </c>
      <c r="I495">
        <v>282602.46999999997</v>
      </c>
      <c r="J495">
        <v>0.33</v>
      </c>
      <c r="K495">
        <v>32197.919999999998</v>
      </c>
      <c r="L495">
        <v>0</v>
      </c>
      <c r="M495">
        <v>0</v>
      </c>
      <c r="N495">
        <v>2021</v>
      </c>
      <c r="O495">
        <v>7</v>
      </c>
    </row>
    <row r="496" spans="1:15" x14ac:dyDescent="0.3">
      <c r="A496">
        <v>33333</v>
      </c>
      <c r="B496">
        <v>3202256</v>
      </c>
      <c r="C496" t="s">
        <v>41</v>
      </c>
      <c r="D496">
        <v>0.44</v>
      </c>
      <c r="E496">
        <v>1316253.94</v>
      </c>
      <c r="F496">
        <v>105804.64</v>
      </c>
      <c r="G496">
        <v>1422058.58</v>
      </c>
      <c r="H496">
        <v>29711.1</v>
      </c>
      <c r="I496">
        <v>222261.23</v>
      </c>
      <c r="J496">
        <v>0.44</v>
      </c>
      <c r="K496">
        <v>43092.69</v>
      </c>
      <c r="L496">
        <v>0</v>
      </c>
      <c r="M496">
        <v>0</v>
      </c>
      <c r="N496">
        <v>2021</v>
      </c>
      <c r="O496">
        <v>7</v>
      </c>
    </row>
    <row r="497" spans="1:15" x14ac:dyDescent="0.3">
      <c r="A497">
        <v>33334</v>
      </c>
      <c r="B497">
        <v>3202306</v>
      </c>
      <c r="C497" t="s">
        <v>42</v>
      </c>
      <c r="D497">
        <v>0.39</v>
      </c>
      <c r="E497">
        <v>1161750.1200000001</v>
      </c>
      <c r="F497">
        <v>93385.13</v>
      </c>
      <c r="G497">
        <v>1255135.25</v>
      </c>
      <c r="H497">
        <v>26223.57</v>
      </c>
      <c r="I497">
        <v>636126.74</v>
      </c>
      <c r="J497">
        <v>0.39</v>
      </c>
      <c r="K497">
        <v>38034.400000000001</v>
      </c>
      <c r="L497">
        <v>0</v>
      </c>
      <c r="M497">
        <v>0</v>
      </c>
      <c r="N497">
        <v>2021</v>
      </c>
      <c r="O497">
        <v>7</v>
      </c>
    </row>
    <row r="498" spans="1:15" x14ac:dyDescent="0.3">
      <c r="A498">
        <v>33335</v>
      </c>
      <c r="B498">
        <v>3202405</v>
      </c>
      <c r="C498" t="s">
        <v>43</v>
      </c>
      <c r="D498">
        <v>0.91</v>
      </c>
      <c r="E498">
        <v>2709759.82</v>
      </c>
      <c r="F498">
        <v>217819.02</v>
      </c>
      <c r="G498">
        <v>2927578.84</v>
      </c>
      <c r="H498">
        <v>61165.97</v>
      </c>
      <c r="I498">
        <v>3815756.77</v>
      </c>
      <c r="J498">
        <v>0.91</v>
      </c>
      <c r="K498">
        <v>88714.52</v>
      </c>
      <c r="L498">
        <v>0</v>
      </c>
      <c r="M498">
        <v>0</v>
      </c>
      <c r="N498">
        <v>2021</v>
      </c>
      <c r="O498">
        <v>7</v>
      </c>
    </row>
    <row r="499" spans="1:15" x14ac:dyDescent="0.3">
      <c r="A499">
        <v>33336</v>
      </c>
      <c r="B499">
        <v>3202454</v>
      </c>
      <c r="C499" t="s">
        <v>44</v>
      </c>
      <c r="D499">
        <v>0.36</v>
      </c>
      <c r="E499">
        <v>1069642.02</v>
      </c>
      <c r="F499">
        <v>85981.18</v>
      </c>
      <c r="G499">
        <v>1155623.2</v>
      </c>
      <c r="H499">
        <v>24144.46</v>
      </c>
      <c r="I499">
        <v>482057.03</v>
      </c>
      <c r="J499">
        <v>0.36</v>
      </c>
      <c r="K499">
        <v>35018.89</v>
      </c>
      <c r="L499">
        <v>0</v>
      </c>
      <c r="M499">
        <v>0</v>
      </c>
      <c r="N499">
        <v>2021</v>
      </c>
      <c r="O499">
        <v>7</v>
      </c>
    </row>
    <row r="500" spans="1:15" x14ac:dyDescent="0.3">
      <c r="A500">
        <v>33337</v>
      </c>
      <c r="B500">
        <v>3202504</v>
      </c>
      <c r="C500" t="s">
        <v>45</v>
      </c>
      <c r="D500">
        <v>0.27</v>
      </c>
      <c r="E500">
        <v>811145.21</v>
      </c>
      <c r="F500">
        <v>65202.42</v>
      </c>
      <c r="G500">
        <v>876347.63</v>
      </c>
      <c r="H500">
        <v>18309.55</v>
      </c>
      <c r="I500">
        <v>258300.49</v>
      </c>
      <c r="J500">
        <v>0.27</v>
      </c>
      <c r="K500">
        <v>26555.99</v>
      </c>
      <c r="L500">
        <v>0</v>
      </c>
      <c r="M500">
        <v>0</v>
      </c>
      <c r="N500">
        <v>2021</v>
      </c>
      <c r="O500">
        <v>7</v>
      </c>
    </row>
    <row r="501" spans="1:15" x14ac:dyDescent="0.3">
      <c r="A501">
        <v>33338</v>
      </c>
      <c r="B501">
        <v>3202553</v>
      </c>
      <c r="C501" t="s">
        <v>46</v>
      </c>
      <c r="D501">
        <v>0.24</v>
      </c>
      <c r="E501">
        <v>727950.83</v>
      </c>
      <c r="F501">
        <v>58514.95</v>
      </c>
      <c r="G501">
        <v>786465.78</v>
      </c>
      <c r="H501">
        <v>16431.650000000001</v>
      </c>
      <c r="I501">
        <v>110852.22</v>
      </c>
      <c r="J501">
        <v>0.24</v>
      </c>
      <c r="K501">
        <v>23832.3</v>
      </c>
      <c r="L501">
        <v>0</v>
      </c>
      <c r="M501">
        <v>0</v>
      </c>
      <c r="N501">
        <v>2021</v>
      </c>
      <c r="O501">
        <v>7</v>
      </c>
    </row>
    <row r="502" spans="1:15" x14ac:dyDescent="0.3">
      <c r="A502">
        <v>33339</v>
      </c>
      <c r="B502">
        <v>3202603</v>
      </c>
      <c r="C502" t="s">
        <v>47</v>
      </c>
      <c r="D502">
        <v>0.37</v>
      </c>
      <c r="E502">
        <v>1105296.77</v>
      </c>
      <c r="F502">
        <v>88847.23</v>
      </c>
      <c r="G502">
        <v>1194144</v>
      </c>
      <c r="H502">
        <v>24949.279999999999</v>
      </c>
      <c r="I502">
        <v>516406.41</v>
      </c>
      <c r="J502">
        <v>0.37</v>
      </c>
      <c r="K502">
        <v>36186.19</v>
      </c>
      <c r="L502">
        <v>0</v>
      </c>
      <c r="M502">
        <v>0</v>
      </c>
      <c r="N502">
        <v>2021</v>
      </c>
      <c r="O502">
        <v>7</v>
      </c>
    </row>
    <row r="503" spans="1:15" x14ac:dyDescent="0.3">
      <c r="A503">
        <v>33340</v>
      </c>
      <c r="B503">
        <v>3202652</v>
      </c>
      <c r="C503" t="s">
        <v>48</v>
      </c>
      <c r="D503">
        <v>0.3</v>
      </c>
      <c r="E503">
        <v>918109.41</v>
      </c>
      <c r="F503">
        <v>73800.509999999995</v>
      </c>
      <c r="G503">
        <v>991909.92</v>
      </c>
      <c r="H503">
        <v>20724</v>
      </c>
      <c r="I503">
        <v>192744.44</v>
      </c>
      <c r="J503">
        <v>0.3</v>
      </c>
      <c r="K503">
        <v>30057.88</v>
      </c>
      <c r="L503">
        <v>0</v>
      </c>
      <c r="M503">
        <v>0</v>
      </c>
      <c r="N503">
        <v>2021</v>
      </c>
      <c r="O503">
        <v>7</v>
      </c>
    </row>
    <row r="504" spans="1:15" x14ac:dyDescent="0.3">
      <c r="A504">
        <v>33341</v>
      </c>
      <c r="B504">
        <v>3202702</v>
      </c>
      <c r="C504" t="s">
        <v>49</v>
      </c>
      <c r="D504">
        <v>0.38</v>
      </c>
      <c r="E504">
        <v>1137980.28</v>
      </c>
      <c r="F504">
        <v>91474.44</v>
      </c>
      <c r="G504">
        <v>1229454.72</v>
      </c>
      <c r="H504">
        <v>25687.03</v>
      </c>
      <c r="I504">
        <v>209324.24</v>
      </c>
      <c r="J504">
        <v>0.38</v>
      </c>
      <c r="K504">
        <v>37256.21</v>
      </c>
      <c r="L504">
        <v>0</v>
      </c>
      <c r="M504">
        <v>0</v>
      </c>
      <c r="N504">
        <v>2021</v>
      </c>
      <c r="O504">
        <v>7</v>
      </c>
    </row>
    <row r="505" spans="1:15" x14ac:dyDescent="0.3">
      <c r="A505">
        <v>33342</v>
      </c>
      <c r="B505">
        <v>3202801</v>
      </c>
      <c r="C505" t="s">
        <v>50</v>
      </c>
      <c r="D505">
        <v>2.66</v>
      </c>
      <c r="E505">
        <v>7918322.29</v>
      </c>
      <c r="F505">
        <v>636499.64</v>
      </c>
      <c r="G505">
        <v>8554821.9299999997</v>
      </c>
      <c r="H505">
        <v>178736.09</v>
      </c>
      <c r="I505">
        <v>445622.14</v>
      </c>
      <c r="J505">
        <v>2.66</v>
      </c>
      <c r="K505">
        <v>259237.06</v>
      </c>
      <c r="L505">
        <v>0</v>
      </c>
      <c r="M505">
        <v>0</v>
      </c>
      <c r="N505">
        <v>2021</v>
      </c>
      <c r="O505">
        <v>7</v>
      </c>
    </row>
    <row r="506" spans="1:15" x14ac:dyDescent="0.3">
      <c r="A506">
        <v>33343</v>
      </c>
      <c r="B506">
        <v>3202900</v>
      </c>
      <c r="C506" t="s">
        <v>51</v>
      </c>
      <c r="D506">
        <v>0.34</v>
      </c>
      <c r="E506">
        <v>1016159.94</v>
      </c>
      <c r="F506">
        <v>81682.149999999994</v>
      </c>
      <c r="G506">
        <v>1097842.0900000001</v>
      </c>
      <c r="H506">
        <v>22937.24</v>
      </c>
      <c r="I506">
        <v>212884.26</v>
      </c>
      <c r="J506">
        <v>0.34</v>
      </c>
      <c r="K506">
        <v>33267.94</v>
      </c>
      <c r="L506">
        <v>0</v>
      </c>
      <c r="M506">
        <v>0</v>
      </c>
      <c r="N506">
        <v>2021</v>
      </c>
      <c r="O506">
        <v>7</v>
      </c>
    </row>
    <row r="507" spans="1:15" x14ac:dyDescent="0.3">
      <c r="A507">
        <v>33344</v>
      </c>
      <c r="B507">
        <v>3203007</v>
      </c>
      <c r="C507" t="s">
        <v>52</v>
      </c>
      <c r="D507">
        <v>0.47</v>
      </c>
      <c r="E507">
        <v>1402419.54</v>
      </c>
      <c r="F507">
        <v>112730.89</v>
      </c>
      <c r="G507">
        <v>1515150.43</v>
      </c>
      <c r="H507">
        <v>31656.07</v>
      </c>
      <c r="I507">
        <v>411585.27</v>
      </c>
      <c r="J507">
        <v>0.47</v>
      </c>
      <c r="K507">
        <v>45913.66</v>
      </c>
      <c r="L507">
        <v>0</v>
      </c>
      <c r="M507">
        <v>0</v>
      </c>
      <c r="N507">
        <v>2021</v>
      </c>
      <c r="O507">
        <v>7</v>
      </c>
    </row>
    <row r="508" spans="1:15" x14ac:dyDescent="0.3">
      <c r="A508">
        <v>33345</v>
      </c>
      <c r="B508">
        <v>3203056</v>
      </c>
      <c r="C508" t="s">
        <v>53</v>
      </c>
      <c r="D508">
        <v>0.86</v>
      </c>
      <c r="E508">
        <v>2570112.15</v>
      </c>
      <c r="F508">
        <v>206593.7</v>
      </c>
      <c r="G508">
        <v>2776705.85</v>
      </c>
      <c r="H508">
        <v>58013.78</v>
      </c>
      <c r="I508">
        <v>543708.93999999994</v>
      </c>
      <c r="J508">
        <v>0.86</v>
      </c>
      <c r="K508">
        <v>84142.61</v>
      </c>
      <c r="L508">
        <v>0</v>
      </c>
      <c r="M508">
        <v>0</v>
      </c>
      <c r="N508">
        <v>2021</v>
      </c>
      <c r="O508">
        <v>7</v>
      </c>
    </row>
    <row r="509" spans="1:15" x14ac:dyDescent="0.3">
      <c r="A509">
        <v>33346</v>
      </c>
      <c r="B509">
        <v>3203106</v>
      </c>
      <c r="C509" t="s">
        <v>54</v>
      </c>
      <c r="D509">
        <v>0.21</v>
      </c>
      <c r="E509">
        <v>635842.77</v>
      </c>
      <c r="F509">
        <v>51111.05</v>
      </c>
      <c r="G509">
        <v>686953.82</v>
      </c>
      <c r="H509">
        <v>14352.54</v>
      </c>
      <c r="I509">
        <v>140926.62</v>
      </c>
      <c r="J509">
        <v>0.21</v>
      </c>
      <c r="K509">
        <v>20816.78</v>
      </c>
      <c r="L509">
        <v>0</v>
      </c>
      <c r="M509">
        <v>0</v>
      </c>
      <c r="N509">
        <v>2021</v>
      </c>
      <c r="O509">
        <v>7</v>
      </c>
    </row>
    <row r="510" spans="1:15" x14ac:dyDescent="0.3">
      <c r="A510">
        <v>33347</v>
      </c>
      <c r="B510">
        <v>3203130</v>
      </c>
      <c r="C510" t="s">
        <v>55</v>
      </c>
      <c r="D510">
        <v>0.42</v>
      </c>
      <c r="E510">
        <v>1268714.3</v>
      </c>
      <c r="F510">
        <v>101983.26</v>
      </c>
      <c r="G510">
        <v>1370697.56</v>
      </c>
      <c r="H510">
        <v>28638.02</v>
      </c>
      <c r="I510">
        <v>356972.41</v>
      </c>
      <c r="J510">
        <v>0.42</v>
      </c>
      <c r="K510">
        <v>41536.300000000003</v>
      </c>
      <c r="L510">
        <v>0</v>
      </c>
      <c r="M510">
        <v>0</v>
      </c>
      <c r="N510">
        <v>2021</v>
      </c>
      <c r="O510">
        <v>7</v>
      </c>
    </row>
    <row r="511" spans="1:15" x14ac:dyDescent="0.3">
      <c r="A511">
        <v>33348</v>
      </c>
      <c r="B511">
        <v>3203163</v>
      </c>
      <c r="C511" t="s">
        <v>56</v>
      </c>
      <c r="D511">
        <v>0.38</v>
      </c>
      <c r="E511">
        <v>1129066.6000000001</v>
      </c>
      <c r="F511">
        <v>90757.9</v>
      </c>
      <c r="G511">
        <v>1219824.5</v>
      </c>
      <c r="H511">
        <v>25485.82</v>
      </c>
      <c r="I511">
        <v>169133.12</v>
      </c>
      <c r="J511">
        <v>0.38</v>
      </c>
      <c r="K511">
        <v>36964.379999999997</v>
      </c>
      <c r="L511">
        <v>0</v>
      </c>
      <c r="M511">
        <v>0</v>
      </c>
      <c r="N511">
        <v>2021</v>
      </c>
      <c r="O511">
        <v>7</v>
      </c>
    </row>
    <row r="512" spans="1:15" x14ac:dyDescent="0.3">
      <c r="A512">
        <v>33349</v>
      </c>
      <c r="B512">
        <v>3203205</v>
      </c>
      <c r="C512" t="s">
        <v>57</v>
      </c>
      <c r="D512">
        <v>5.75</v>
      </c>
      <c r="E512">
        <v>17093474.02</v>
      </c>
      <c r="F512">
        <v>1374027.21</v>
      </c>
      <c r="G512">
        <v>18467501.23</v>
      </c>
      <c r="H512">
        <v>385841.93</v>
      </c>
      <c r="I512">
        <v>3274427.14</v>
      </c>
      <c r="J512">
        <v>5.75</v>
      </c>
      <c r="K512">
        <v>559621.31999999995</v>
      </c>
      <c r="L512">
        <v>0</v>
      </c>
      <c r="M512">
        <v>0</v>
      </c>
      <c r="N512">
        <v>2021</v>
      </c>
      <c r="O512">
        <v>7</v>
      </c>
    </row>
    <row r="513" spans="1:15" x14ac:dyDescent="0.3">
      <c r="A513">
        <v>33350</v>
      </c>
      <c r="B513">
        <v>3203304</v>
      </c>
      <c r="C513" t="s">
        <v>58</v>
      </c>
      <c r="D513">
        <v>0.25</v>
      </c>
      <c r="E513">
        <v>757663.14</v>
      </c>
      <c r="F513">
        <v>60903.34</v>
      </c>
      <c r="G513">
        <v>818566.48</v>
      </c>
      <c r="H513">
        <v>17102.330000000002</v>
      </c>
      <c r="I513">
        <v>239669.65</v>
      </c>
      <c r="J513">
        <v>0.25</v>
      </c>
      <c r="K513">
        <v>24805.05</v>
      </c>
      <c r="L513">
        <v>0</v>
      </c>
      <c r="M513">
        <v>0</v>
      </c>
      <c r="N513">
        <v>2021</v>
      </c>
      <c r="O513">
        <v>7</v>
      </c>
    </row>
    <row r="514" spans="1:15" x14ac:dyDescent="0.3">
      <c r="A514">
        <v>33351</v>
      </c>
      <c r="B514">
        <v>3203320</v>
      </c>
      <c r="C514" t="s">
        <v>59</v>
      </c>
      <c r="D514">
        <v>0.61</v>
      </c>
      <c r="E514">
        <v>1833247.61</v>
      </c>
      <c r="F514">
        <v>147362.19</v>
      </c>
      <c r="G514">
        <v>1980609.8</v>
      </c>
      <c r="H514">
        <v>41380.93</v>
      </c>
      <c r="I514">
        <v>694008.13</v>
      </c>
      <c r="J514">
        <v>0.61</v>
      </c>
      <c r="K514">
        <v>60018.48</v>
      </c>
      <c r="L514">
        <v>0</v>
      </c>
      <c r="M514">
        <v>0</v>
      </c>
      <c r="N514">
        <v>2021</v>
      </c>
      <c r="O514">
        <v>7</v>
      </c>
    </row>
    <row r="515" spans="1:15" x14ac:dyDescent="0.3">
      <c r="A515">
        <v>33352</v>
      </c>
      <c r="B515">
        <v>3203346</v>
      </c>
      <c r="C515" t="s">
        <v>60</v>
      </c>
      <c r="D515">
        <v>0.65</v>
      </c>
      <c r="E515">
        <v>1952096.73</v>
      </c>
      <c r="F515">
        <v>156915.66</v>
      </c>
      <c r="G515">
        <v>2109012.39</v>
      </c>
      <c r="H515">
        <v>44063.64</v>
      </c>
      <c r="I515">
        <v>400951.17</v>
      </c>
      <c r="J515">
        <v>0.65</v>
      </c>
      <c r="K515">
        <v>63909.47</v>
      </c>
      <c r="L515">
        <v>0</v>
      </c>
      <c r="M515">
        <v>0</v>
      </c>
      <c r="N515">
        <v>2021</v>
      </c>
      <c r="O515">
        <v>7</v>
      </c>
    </row>
    <row r="516" spans="1:15" x14ac:dyDescent="0.3">
      <c r="A516">
        <v>33353</v>
      </c>
      <c r="B516">
        <v>3203353</v>
      </c>
      <c r="C516" t="s">
        <v>61</v>
      </c>
      <c r="D516">
        <v>0.43</v>
      </c>
      <c r="E516">
        <v>1301397.81</v>
      </c>
      <c r="F516">
        <v>104610.43</v>
      </c>
      <c r="G516">
        <v>1406008.24</v>
      </c>
      <c r="H516">
        <v>29375.759999999998</v>
      </c>
      <c r="I516">
        <v>291955.56</v>
      </c>
      <c r="J516">
        <v>0.43</v>
      </c>
      <c r="K516">
        <v>42606.32</v>
      </c>
      <c r="L516">
        <v>0</v>
      </c>
      <c r="M516">
        <v>0</v>
      </c>
      <c r="N516">
        <v>2021</v>
      </c>
      <c r="O516">
        <v>7</v>
      </c>
    </row>
    <row r="517" spans="1:15" x14ac:dyDescent="0.3">
      <c r="A517">
        <v>33354</v>
      </c>
      <c r="B517">
        <v>3203403</v>
      </c>
      <c r="C517" t="s">
        <v>62</v>
      </c>
      <c r="D517">
        <v>0.5</v>
      </c>
      <c r="E517">
        <v>1485613.95</v>
      </c>
      <c r="F517">
        <v>119418.33</v>
      </c>
      <c r="G517">
        <v>1605032.28</v>
      </c>
      <c r="H517">
        <v>33533.980000000003</v>
      </c>
      <c r="I517">
        <v>431883.22</v>
      </c>
      <c r="J517">
        <v>0.5</v>
      </c>
      <c r="K517">
        <v>48637.34</v>
      </c>
      <c r="L517">
        <v>0</v>
      </c>
      <c r="M517">
        <v>0</v>
      </c>
      <c r="N517">
        <v>2021</v>
      </c>
      <c r="O517">
        <v>7</v>
      </c>
    </row>
    <row r="518" spans="1:15" x14ac:dyDescent="0.3">
      <c r="A518">
        <v>33355</v>
      </c>
      <c r="B518">
        <v>3203502</v>
      </c>
      <c r="C518" t="s">
        <v>63</v>
      </c>
      <c r="D518">
        <v>0.52</v>
      </c>
      <c r="E518">
        <v>1559894.65</v>
      </c>
      <c r="F518">
        <v>125389.24</v>
      </c>
      <c r="G518">
        <v>1685283.89</v>
      </c>
      <c r="H518">
        <v>35210.68</v>
      </c>
      <c r="I518">
        <v>272114.34999999998</v>
      </c>
      <c r="J518">
        <v>0.52</v>
      </c>
      <c r="K518">
        <v>51069.22</v>
      </c>
      <c r="L518">
        <v>0</v>
      </c>
      <c r="M518">
        <v>0</v>
      </c>
      <c r="N518">
        <v>2021</v>
      </c>
      <c r="O518">
        <v>7</v>
      </c>
    </row>
    <row r="519" spans="1:15" x14ac:dyDescent="0.3">
      <c r="A519">
        <v>33356</v>
      </c>
      <c r="B519">
        <v>3203601</v>
      </c>
      <c r="C519" t="s">
        <v>64</v>
      </c>
      <c r="D519">
        <v>0.28000000000000003</v>
      </c>
      <c r="E519">
        <v>858684.87</v>
      </c>
      <c r="F519">
        <v>69023.78</v>
      </c>
      <c r="G519">
        <v>927708.65</v>
      </c>
      <c r="H519">
        <v>19382.64</v>
      </c>
      <c r="I519">
        <v>58721.51</v>
      </c>
      <c r="J519">
        <v>0.28000000000000003</v>
      </c>
      <c r="K519">
        <v>28112.39</v>
      </c>
      <c r="L519">
        <v>0</v>
      </c>
      <c r="M519">
        <v>0</v>
      </c>
      <c r="N519">
        <v>2021</v>
      </c>
      <c r="O519">
        <v>7</v>
      </c>
    </row>
    <row r="520" spans="1:15" x14ac:dyDescent="0.3">
      <c r="A520">
        <v>33357</v>
      </c>
      <c r="B520">
        <v>3203700</v>
      </c>
      <c r="C520" t="s">
        <v>65</v>
      </c>
      <c r="D520">
        <v>0.5</v>
      </c>
      <c r="E520">
        <v>1512355</v>
      </c>
      <c r="F520">
        <v>121567.84</v>
      </c>
      <c r="G520">
        <v>1633922.84</v>
      </c>
      <c r="H520">
        <v>34137.589999999997</v>
      </c>
      <c r="I520">
        <v>220167.27</v>
      </c>
      <c r="J520">
        <v>0.5</v>
      </c>
      <c r="K520">
        <v>49512.82</v>
      </c>
      <c r="L520">
        <v>0</v>
      </c>
      <c r="M520">
        <v>0</v>
      </c>
      <c r="N520">
        <v>2021</v>
      </c>
      <c r="O520">
        <v>7</v>
      </c>
    </row>
    <row r="521" spans="1:15" x14ac:dyDescent="0.3">
      <c r="A521">
        <v>33358</v>
      </c>
      <c r="B521">
        <v>3203809</v>
      </c>
      <c r="C521" t="s">
        <v>66</v>
      </c>
      <c r="D521">
        <v>0.28999999999999998</v>
      </c>
      <c r="E521">
        <v>867598.54</v>
      </c>
      <c r="F521">
        <v>69740.289999999994</v>
      </c>
      <c r="G521">
        <v>937338.83</v>
      </c>
      <c r="H521">
        <v>19583.84</v>
      </c>
      <c r="I521">
        <v>202625.62</v>
      </c>
      <c r="J521">
        <v>0.28999999999999998</v>
      </c>
      <c r="K521">
        <v>28404.21</v>
      </c>
      <c r="L521">
        <v>0</v>
      </c>
      <c r="M521">
        <v>0</v>
      </c>
      <c r="N521">
        <v>2021</v>
      </c>
      <c r="O521">
        <v>7</v>
      </c>
    </row>
    <row r="522" spans="1:15" x14ac:dyDescent="0.3">
      <c r="A522">
        <v>33359</v>
      </c>
      <c r="B522">
        <v>3203908</v>
      </c>
      <c r="C522" t="s">
        <v>67</v>
      </c>
      <c r="D522">
        <v>1.22</v>
      </c>
      <c r="E522">
        <v>3651639.07</v>
      </c>
      <c r="F522">
        <v>293530.25</v>
      </c>
      <c r="G522">
        <v>3945169.32</v>
      </c>
      <c r="H522">
        <v>82426.509999999995</v>
      </c>
      <c r="I522">
        <v>940705.19</v>
      </c>
      <c r="J522">
        <v>1.22</v>
      </c>
      <c r="K522">
        <v>119550.59</v>
      </c>
      <c r="L522">
        <v>0</v>
      </c>
      <c r="M522">
        <v>0</v>
      </c>
      <c r="N522">
        <v>2021</v>
      </c>
      <c r="O522">
        <v>7</v>
      </c>
    </row>
    <row r="523" spans="1:15" x14ac:dyDescent="0.3">
      <c r="A523">
        <v>33360</v>
      </c>
      <c r="B523">
        <v>3204005</v>
      </c>
      <c r="C523" t="s">
        <v>68</v>
      </c>
      <c r="D523">
        <v>0.47</v>
      </c>
      <c r="E523">
        <v>1420246.92</v>
      </c>
      <c r="F523">
        <v>114163.91</v>
      </c>
      <c r="G523">
        <v>1534410.83</v>
      </c>
      <c r="H523">
        <v>32058.48</v>
      </c>
      <c r="I523">
        <v>219274.02</v>
      </c>
      <c r="J523">
        <v>0.47</v>
      </c>
      <c r="K523">
        <v>46497.3</v>
      </c>
      <c r="L523">
        <v>0</v>
      </c>
      <c r="M523">
        <v>0</v>
      </c>
      <c r="N523">
        <v>2021</v>
      </c>
      <c r="O523">
        <v>7</v>
      </c>
    </row>
    <row r="524" spans="1:15" x14ac:dyDescent="0.3">
      <c r="A524">
        <v>33361</v>
      </c>
      <c r="B524">
        <v>3204054</v>
      </c>
      <c r="C524" t="s">
        <v>69</v>
      </c>
      <c r="D524">
        <v>0.32</v>
      </c>
      <c r="E524">
        <v>962677.85</v>
      </c>
      <c r="F524">
        <v>77383.06</v>
      </c>
      <c r="G524">
        <v>1040060.91</v>
      </c>
      <c r="H524">
        <v>21730.02</v>
      </c>
      <c r="I524">
        <v>287770.84999999998</v>
      </c>
      <c r="J524">
        <v>0.32</v>
      </c>
      <c r="K524">
        <v>31517</v>
      </c>
      <c r="L524">
        <v>0</v>
      </c>
      <c r="M524">
        <v>0</v>
      </c>
      <c r="N524">
        <v>2021</v>
      </c>
      <c r="O524">
        <v>7</v>
      </c>
    </row>
    <row r="525" spans="1:15" x14ac:dyDescent="0.3">
      <c r="A525">
        <v>33362</v>
      </c>
      <c r="B525">
        <v>3204104</v>
      </c>
      <c r="C525" t="s">
        <v>70</v>
      </c>
      <c r="D525">
        <v>0.66</v>
      </c>
      <c r="E525">
        <v>1975866.55</v>
      </c>
      <c r="F525">
        <v>158826.4</v>
      </c>
      <c r="G525">
        <v>2134692.9500000002</v>
      </c>
      <c r="H525">
        <v>44600.19</v>
      </c>
      <c r="I525">
        <v>267507.84000000003</v>
      </c>
      <c r="J525">
        <v>0.66</v>
      </c>
      <c r="K525">
        <v>64687.67</v>
      </c>
      <c r="L525">
        <v>0</v>
      </c>
      <c r="M525">
        <v>0</v>
      </c>
      <c r="N525">
        <v>2021</v>
      </c>
      <c r="O525">
        <v>7</v>
      </c>
    </row>
    <row r="526" spans="1:15" x14ac:dyDescent="0.3">
      <c r="A526">
        <v>33363</v>
      </c>
      <c r="B526">
        <v>3204203</v>
      </c>
      <c r="C526" t="s">
        <v>71</v>
      </c>
      <c r="D526">
        <v>0.15</v>
      </c>
      <c r="E526">
        <v>454597.88</v>
      </c>
      <c r="F526">
        <v>36542.03</v>
      </c>
      <c r="G526">
        <v>491139.91</v>
      </c>
      <c r="H526">
        <v>10261.4</v>
      </c>
      <c r="I526">
        <v>450229.8</v>
      </c>
      <c r="J526">
        <v>0.15</v>
      </c>
      <c r="K526">
        <v>14883.03</v>
      </c>
      <c r="L526">
        <v>0</v>
      </c>
      <c r="M526">
        <v>0</v>
      </c>
      <c r="N526">
        <v>2021</v>
      </c>
      <c r="O526">
        <v>7</v>
      </c>
    </row>
    <row r="527" spans="1:15" x14ac:dyDescent="0.3">
      <c r="A527">
        <v>33364</v>
      </c>
      <c r="B527">
        <v>3204252</v>
      </c>
      <c r="C527" t="s">
        <v>72</v>
      </c>
      <c r="D527">
        <v>0.23</v>
      </c>
      <c r="E527">
        <v>683382.42</v>
      </c>
      <c r="F527">
        <v>54932.42</v>
      </c>
      <c r="G527">
        <v>738314.84</v>
      </c>
      <c r="H527">
        <v>15425.63</v>
      </c>
      <c r="I527">
        <v>73071.990000000005</v>
      </c>
      <c r="J527">
        <v>0.23</v>
      </c>
      <c r="K527">
        <v>22373.18</v>
      </c>
      <c r="L527">
        <v>0</v>
      </c>
      <c r="M527">
        <v>0</v>
      </c>
      <c r="N527">
        <v>2021</v>
      </c>
      <c r="O527">
        <v>7</v>
      </c>
    </row>
    <row r="528" spans="1:15" x14ac:dyDescent="0.3">
      <c r="A528">
        <v>33365</v>
      </c>
      <c r="B528">
        <v>1718402</v>
      </c>
      <c r="C528" t="s">
        <v>73</v>
      </c>
      <c r="D528">
        <v>0.33</v>
      </c>
      <c r="E528">
        <v>992390.12</v>
      </c>
      <c r="F528">
        <v>79771.460000000006</v>
      </c>
      <c r="G528">
        <v>1072161.58</v>
      </c>
      <c r="H528">
        <v>22400.7</v>
      </c>
      <c r="I528">
        <v>274821.81</v>
      </c>
      <c r="J528">
        <v>0.33</v>
      </c>
      <c r="K528">
        <v>32489.75</v>
      </c>
      <c r="L528">
        <v>0</v>
      </c>
      <c r="M528">
        <v>0</v>
      </c>
      <c r="N528">
        <v>2021</v>
      </c>
      <c r="O528">
        <v>7</v>
      </c>
    </row>
    <row r="529" spans="1:15" x14ac:dyDescent="0.3">
      <c r="A529">
        <v>33366</v>
      </c>
      <c r="B529">
        <v>3204351</v>
      </c>
      <c r="C529" t="s">
        <v>74</v>
      </c>
      <c r="D529">
        <v>0.76</v>
      </c>
      <c r="E529">
        <v>2284874.2200000002</v>
      </c>
      <c r="F529">
        <v>183665.38</v>
      </c>
      <c r="G529">
        <v>2468539.6</v>
      </c>
      <c r="H529">
        <v>51575.26</v>
      </c>
      <c r="I529">
        <v>502470.75</v>
      </c>
      <c r="J529">
        <v>0.76</v>
      </c>
      <c r="K529">
        <v>74804.240000000005</v>
      </c>
      <c r="L529">
        <v>0</v>
      </c>
      <c r="M529">
        <v>0</v>
      </c>
      <c r="N529">
        <v>2021</v>
      </c>
      <c r="O529">
        <v>7</v>
      </c>
    </row>
    <row r="530" spans="1:15" x14ac:dyDescent="0.3">
      <c r="A530">
        <v>33367</v>
      </c>
      <c r="B530">
        <v>3204401</v>
      </c>
      <c r="C530" t="s">
        <v>75</v>
      </c>
      <c r="D530">
        <v>0.26</v>
      </c>
      <c r="E530">
        <v>787375.39</v>
      </c>
      <c r="F530">
        <v>63291.71</v>
      </c>
      <c r="G530">
        <v>850667.1</v>
      </c>
      <c r="H530">
        <v>17773.009999999998</v>
      </c>
      <c r="I530">
        <v>204099.6</v>
      </c>
      <c r="J530">
        <v>0.26</v>
      </c>
      <c r="K530">
        <v>25777.8</v>
      </c>
      <c r="L530">
        <v>0</v>
      </c>
      <c r="M530">
        <v>0</v>
      </c>
      <c r="N530">
        <v>2021</v>
      </c>
      <c r="O530">
        <v>7</v>
      </c>
    </row>
    <row r="531" spans="1:15" x14ac:dyDescent="0.3">
      <c r="A531">
        <v>33368</v>
      </c>
      <c r="B531">
        <v>3204500</v>
      </c>
      <c r="C531" t="s">
        <v>76</v>
      </c>
      <c r="D531">
        <v>0.49</v>
      </c>
      <c r="E531">
        <v>1473729.01</v>
      </c>
      <c r="F531">
        <v>118462.97</v>
      </c>
      <c r="G531">
        <v>1592191.98</v>
      </c>
      <c r="H531">
        <v>33265.699999999997</v>
      </c>
      <c r="I531">
        <v>175142.75</v>
      </c>
      <c r="J531">
        <v>0.49</v>
      </c>
      <c r="K531">
        <v>48248.25</v>
      </c>
      <c r="L531">
        <v>0</v>
      </c>
      <c r="M531">
        <v>0</v>
      </c>
      <c r="N531">
        <v>2021</v>
      </c>
      <c r="O531">
        <v>7</v>
      </c>
    </row>
    <row r="532" spans="1:15" x14ac:dyDescent="0.3">
      <c r="A532">
        <v>33369</v>
      </c>
      <c r="B532">
        <v>3204559</v>
      </c>
      <c r="C532" t="s">
        <v>77</v>
      </c>
      <c r="D532">
        <v>2.2400000000000002</v>
      </c>
      <c r="E532">
        <v>6673377.8300000001</v>
      </c>
      <c r="F532">
        <v>536427.1</v>
      </c>
      <c r="G532">
        <v>7209804.9299999997</v>
      </c>
      <c r="H532">
        <v>150634.62</v>
      </c>
      <c r="I532">
        <v>903454.55</v>
      </c>
      <c r="J532">
        <v>2.2400000000000002</v>
      </c>
      <c r="K532">
        <v>218478.96</v>
      </c>
      <c r="L532">
        <v>0</v>
      </c>
      <c r="M532">
        <v>0</v>
      </c>
      <c r="N532">
        <v>2021</v>
      </c>
      <c r="O532">
        <v>7</v>
      </c>
    </row>
    <row r="533" spans="1:15" x14ac:dyDescent="0.3">
      <c r="A533">
        <v>33370</v>
      </c>
      <c r="B533">
        <v>3204609</v>
      </c>
      <c r="C533" t="s">
        <v>78</v>
      </c>
      <c r="D533">
        <v>0.69</v>
      </c>
      <c r="E533">
        <v>2053118.46</v>
      </c>
      <c r="F533">
        <v>165036.1</v>
      </c>
      <c r="G533">
        <v>2218154.56</v>
      </c>
      <c r="H533">
        <v>46343.96</v>
      </c>
      <c r="I533">
        <v>603158.68000000005</v>
      </c>
      <c r="J533">
        <v>0.69</v>
      </c>
      <c r="K533">
        <v>67216.81</v>
      </c>
      <c r="L533">
        <v>0</v>
      </c>
      <c r="M533">
        <v>0</v>
      </c>
      <c r="N533">
        <v>2021</v>
      </c>
      <c r="O533">
        <v>7</v>
      </c>
    </row>
    <row r="534" spans="1:15" x14ac:dyDescent="0.3">
      <c r="A534">
        <v>33371</v>
      </c>
      <c r="B534">
        <v>3204658</v>
      </c>
      <c r="C534" t="s">
        <v>79</v>
      </c>
      <c r="D534">
        <v>0.45</v>
      </c>
      <c r="E534">
        <v>1345966.21</v>
      </c>
      <c r="F534">
        <v>108193.01</v>
      </c>
      <c r="G534">
        <v>1454159.22</v>
      </c>
      <c r="H534">
        <v>30381.78</v>
      </c>
      <c r="I534">
        <v>155409.54999999999</v>
      </c>
      <c r="J534">
        <v>0.45</v>
      </c>
      <c r="K534">
        <v>44065.440000000002</v>
      </c>
      <c r="L534">
        <v>0</v>
      </c>
      <c r="M534">
        <v>0</v>
      </c>
      <c r="N534">
        <v>2021</v>
      </c>
      <c r="O534">
        <v>7</v>
      </c>
    </row>
    <row r="535" spans="1:15" x14ac:dyDescent="0.3">
      <c r="A535">
        <v>33372</v>
      </c>
      <c r="B535">
        <v>3204708</v>
      </c>
      <c r="C535" t="s">
        <v>80</v>
      </c>
      <c r="D535">
        <v>0.72</v>
      </c>
      <c r="E535">
        <v>2166025.13</v>
      </c>
      <c r="F535">
        <v>174111.92</v>
      </c>
      <c r="G535">
        <v>2340137.0499999998</v>
      </c>
      <c r="H535">
        <v>48892.54</v>
      </c>
      <c r="I535">
        <v>662161.38</v>
      </c>
      <c r="J535">
        <v>0.72</v>
      </c>
      <c r="K535">
        <v>70913.25</v>
      </c>
      <c r="L535">
        <v>0</v>
      </c>
      <c r="M535">
        <v>0</v>
      </c>
      <c r="N535">
        <v>2021</v>
      </c>
      <c r="O535">
        <v>7</v>
      </c>
    </row>
    <row r="536" spans="1:15" x14ac:dyDescent="0.3">
      <c r="A536">
        <v>33373</v>
      </c>
      <c r="B536">
        <v>3204807</v>
      </c>
      <c r="C536" t="s">
        <v>81</v>
      </c>
      <c r="D536">
        <v>0.22</v>
      </c>
      <c r="E536">
        <v>656641.36</v>
      </c>
      <c r="F536">
        <v>52782.9</v>
      </c>
      <c r="G536">
        <v>709424.26</v>
      </c>
      <c r="H536">
        <v>14822.02</v>
      </c>
      <c r="I536">
        <v>156571.46</v>
      </c>
      <c r="J536">
        <v>0.22</v>
      </c>
      <c r="K536">
        <v>21497.71</v>
      </c>
      <c r="L536">
        <v>0</v>
      </c>
      <c r="M536">
        <v>0</v>
      </c>
      <c r="N536">
        <v>2021</v>
      </c>
      <c r="O536">
        <v>7</v>
      </c>
    </row>
    <row r="537" spans="1:15" x14ac:dyDescent="0.3">
      <c r="A537">
        <v>33374</v>
      </c>
      <c r="B537">
        <v>3204906</v>
      </c>
      <c r="C537" t="s">
        <v>82</v>
      </c>
      <c r="D537">
        <v>1.8</v>
      </c>
      <c r="E537">
        <v>5351181.4000000004</v>
      </c>
      <c r="F537">
        <v>430144.79</v>
      </c>
      <c r="G537">
        <v>5781326.1900000004</v>
      </c>
      <c r="H537">
        <v>120789.38</v>
      </c>
      <c r="I537">
        <v>1847823.18</v>
      </c>
      <c r="J537">
        <v>1.8</v>
      </c>
      <c r="K537">
        <v>175191.73</v>
      </c>
      <c r="L537">
        <v>0</v>
      </c>
      <c r="M537">
        <v>0</v>
      </c>
      <c r="N537">
        <v>2021</v>
      </c>
      <c r="O537">
        <v>7</v>
      </c>
    </row>
    <row r="538" spans="1:15" x14ac:dyDescent="0.3">
      <c r="A538">
        <v>33375</v>
      </c>
      <c r="B538">
        <v>3204955</v>
      </c>
      <c r="C538" t="s">
        <v>83</v>
      </c>
      <c r="D538">
        <v>0.32</v>
      </c>
      <c r="E538">
        <v>974562.73</v>
      </c>
      <c r="F538">
        <v>78338.44</v>
      </c>
      <c r="G538">
        <v>1052901.17</v>
      </c>
      <c r="H538">
        <v>21998.29</v>
      </c>
      <c r="I538">
        <v>208384.55</v>
      </c>
      <c r="J538">
        <v>0.32</v>
      </c>
      <c r="K538">
        <v>31906.1</v>
      </c>
      <c r="L538">
        <v>0</v>
      </c>
      <c r="M538">
        <v>0</v>
      </c>
      <c r="N538">
        <v>2021</v>
      </c>
      <c r="O538">
        <v>7</v>
      </c>
    </row>
    <row r="539" spans="1:15" x14ac:dyDescent="0.3">
      <c r="A539">
        <v>33376</v>
      </c>
      <c r="B539">
        <v>3205002</v>
      </c>
      <c r="C539" t="s">
        <v>84</v>
      </c>
      <c r="D539">
        <v>13.06</v>
      </c>
      <c r="E539">
        <v>38825034.770000003</v>
      </c>
      <c r="F539">
        <v>3120878.38</v>
      </c>
      <c r="G539">
        <v>41945913.149999999</v>
      </c>
      <c r="H539">
        <v>876376.94</v>
      </c>
      <c r="I539">
        <v>7868594.25</v>
      </c>
      <c r="J539">
        <v>13.06</v>
      </c>
      <c r="K539">
        <v>1271088.43</v>
      </c>
      <c r="L539">
        <v>0</v>
      </c>
      <c r="M539">
        <v>0</v>
      </c>
      <c r="N539">
        <v>2021</v>
      </c>
      <c r="O539">
        <v>7</v>
      </c>
    </row>
    <row r="540" spans="1:15" x14ac:dyDescent="0.3">
      <c r="A540">
        <v>33377</v>
      </c>
      <c r="B540">
        <v>3205010</v>
      </c>
      <c r="C540" t="s">
        <v>85</v>
      </c>
      <c r="D540">
        <v>0.7</v>
      </c>
      <c r="E540">
        <v>2094715.66</v>
      </c>
      <c r="F540">
        <v>168379.83</v>
      </c>
      <c r="G540">
        <v>2263095.4900000002</v>
      </c>
      <c r="H540">
        <v>47282.91</v>
      </c>
      <c r="I540">
        <v>300818.58</v>
      </c>
      <c r="J540">
        <v>0.7</v>
      </c>
      <c r="K540">
        <v>68578.66</v>
      </c>
      <c r="L540">
        <v>0</v>
      </c>
      <c r="M540">
        <v>0</v>
      </c>
      <c r="N540">
        <v>2021</v>
      </c>
      <c r="O540">
        <v>7</v>
      </c>
    </row>
    <row r="541" spans="1:15" x14ac:dyDescent="0.3">
      <c r="A541">
        <v>33378</v>
      </c>
      <c r="B541">
        <v>3205036</v>
      </c>
      <c r="C541" t="s">
        <v>86</v>
      </c>
      <c r="D541">
        <v>0.47</v>
      </c>
      <c r="E541">
        <v>1414304.48</v>
      </c>
      <c r="F541">
        <v>113686.23</v>
      </c>
      <c r="G541">
        <v>1527990.71</v>
      </c>
      <c r="H541">
        <v>31924.35</v>
      </c>
      <c r="I541">
        <v>378091.57</v>
      </c>
      <c r="J541">
        <v>0.47</v>
      </c>
      <c r="K541">
        <v>46302.76</v>
      </c>
      <c r="L541">
        <v>0</v>
      </c>
      <c r="M541">
        <v>0</v>
      </c>
      <c r="N541">
        <v>2021</v>
      </c>
      <c r="O541">
        <v>7</v>
      </c>
    </row>
    <row r="542" spans="1:15" x14ac:dyDescent="0.3">
      <c r="A542">
        <v>33379</v>
      </c>
      <c r="B542">
        <v>3205069</v>
      </c>
      <c r="C542" t="s">
        <v>87</v>
      </c>
      <c r="D542">
        <v>0.72</v>
      </c>
      <c r="E542">
        <v>2142255.2999999998</v>
      </c>
      <c r="F542">
        <v>172201.23</v>
      </c>
      <c r="G542">
        <v>2314456.5299999998</v>
      </c>
      <c r="H542">
        <v>48355.99</v>
      </c>
      <c r="I542">
        <v>780065.42</v>
      </c>
      <c r="J542">
        <v>0.72</v>
      </c>
      <c r="K542">
        <v>70135.05</v>
      </c>
      <c r="L542">
        <v>0</v>
      </c>
      <c r="M542">
        <v>0</v>
      </c>
      <c r="N542">
        <v>2021</v>
      </c>
      <c r="O542">
        <v>7</v>
      </c>
    </row>
    <row r="543" spans="1:15" x14ac:dyDescent="0.3">
      <c r="A543">
        <v>33380</v>
      </c>
      <c r="B543">
        <v>2112803</v>
      </c>
      <c r="C543" t="s">
        <v>88</v>
      </c>
      <c r="D543">
        <v>2.25</v>
      </c>
      <c r="E543">
        <v>6694176.4199999999</v>
      </c>
      <c r="F543">
        <v>538098.93999999994</v>
      </c>
      <c r="G543">
        <v>7232275.3600000003</v>
      </c>
      <c r="H543">
        <v>151104.1</v>
      </c>
      <c r="I543">
        <v>1016663.68</v>
      </c>
      <c r="J543">
        <v>2.25</v>
      </c>
      <c r="K543">
        <v>219159.88</v>
      </c>
      <c r="L543">
        <v>0</v>
      </c>
      <c r="M543">
        <v>0</v>
      </c>
      <c r="N543">
        <v>2021</v>
      </c>
      <c r="O543">
        <v>7</v>
      </c>
    </row>
    <row r="544" spans="1:15" x14ac:dyDescent="0.3">
      <c r="A544">
        <v>33381</v>
      </c>
      <c r="B544">
        <v>3205150</v>
      </c>
      <c r="C544" t="s">
        <v>89</v>
      </c>
      <c r="D544">
        <v>0.32</v>
      </c>
      <c r="E544">
        <v>971591.51</v>
      </c>
      <c r="F544">
        <v>78099.58</v>
      </c>
      <c r="G544">
        <v>1049691.0900000001</v>
      </c>
      <c r="H544">
        <v>21931.22</v>
      </c>
      <c r="I544">
        <v>158320.04999999999</v>
      </c>
      <c r="J544">
        <v>0.32</v>
      </c>
      <c r="K544">
        <v>31808.82</v>
      </c>
      <c r="L544">
        <v>0</v>
      </c>
      <c r="M544">
        <v>0</v>
      </c>
      <c r="N544">
        <v>2021</v>
      </c>
      <c r="O544">
        <v>7</v>
      </c>
    </row>
    <row r="545" spans="1:15" x14ac:dyDescent="0.3">
      <c r="A545">
        <v>33382</v>
      </c>
      <c r="B545">
        <v>3205176</v>
      </c>
      <c r="C545" t="s">
        <v>90</v>
      </c>
      <c r="D545">
        <v>0.61</v>
      </c>
      <c r="E545">
        <v>1830276.37</v>
      </c>
      <c r="F545">
        <v>147123.35</v>
      </c>
      <c r="G545">
        <v>1977399.72</v>
      </c>
      <c r="H545">
        <v>41313.86</v>
      </c>
      <c r="I545">
        <v>357050.2</v>
      </c>
      <c r="J545">
        <v>0.61</v>
      </c>
      <c r="K545">
        <v>59921.21</v>
      </c>
      <c r="L545">
        <v>0</v>
      </c>
      <c r="M545">
        <v>0</v>
      </c>
      <c r="N545">
        <v>2021</v>
      </c>
      <c r="O545">
        <v>7</v>
      </c>
    </row>
    <row r="546" spans="1:15" x14ac:dyDescent="0.3">
      <c r="A546">
        <v>33383</v>
      </c>
      <c r="B546">
        <v>3205200</v>
      </c>
      <c r="C546" t="s">
        <v>91</v>
      </c>
      <c r="D546">
        <v>5.55</v>
      </c>
      <c r="E546">
        <v>16511113.359999999</v>
      </c>
      <c r="F546">
        <v>1327215.2</v>
      </c>
      <c r="G546">
        <v>17838328.559999999</v>
      </c>
      <c r="H546">
        <v>372696.61</v>
      </c>
      <c r="I546">
        <v>11456913.869999999</v>
      </c>
      <c r="J546">
        <v>5.55</v>
      </c>
      <c r="K546">
        <v>540555.48</v>
      </c>
      <c r="L546">
        <v>0</v>
      </c>
      <c r="M546">
        <v>0</v>
      </c>
      <c r="N546">
        <v>2021</v>
      </c>
      <c r="O546">
        <v>7</v>
      </c>
    </row>
    <row r="547" spans="1:15" x14ac:dyDescent="0.3">
      <c r="A547">
        <v>33384</v>
      </c>
      <c r="B547">
        <v>3205309</v>
      </c>
      <c r="C547" t="s">
        <v>92</v>
      </c>
      <c r="D547">
        <v>15.84</v>
      </c>
      <c r="E547">
        <v>47073163.310000002</v>
      </c>
      <c r="F547">
        <v>3783889</v>
      </c>
      <c r="G547">
        <v>50857052.310000002</v>
      </c>
      <c r="H547">
        <v>1062557.57</v>
      </c>
      <c r="I547">
        <v>12447044.439999999</v>
      </c>
      <c r="J547">
        <v>15.84</v>
      </c>
      <c r="K547">
        <v>1541123</v>
      </c>
      <c r="L547">
        <v>0</v>
      </c>
      <c r="M547">
        <v>0</v>
      </c>
      <c r="N547">
        <v>2021</v>
      </c>
      <c r="O547">
        <v>7</v>
      </c>
    </row>
    <row r="548" spans="1:15" x14ac:dyDescent="0.3">
      <c r="A548">
        <v>33385</v>
      </c>
      <c r="B548">
        <v>3200102</v>
      </c>
      <c r="C548" t="s">
        <v>15</v>
      </c>
      <c r="D548">
        <v>0.79</v>
      </c>
      <c r="E548">
        <v>2613674.5299999998</v>
      </c>
      <c r="F548">
        <v>193780.55</v>
      </c>
      <c r="G548">
        <v>2807455.08</v>
      </c>
      <c r="H548">
        <v>42707.040000000001</v>
      </c>
      <c r="I548">
        <v>198129.26</v>
      </c>
      <c r="J548">
        <v>0.79</v>
      </c>
      <c r="K548">
        <v>62504.82</v>
      </c>
      <c r="L548">
        <v>0</v>
      </c>
      <c r="M548">
        <v>0</v>
      </c>
      <c r="N548">
        <v>2021</v>
      </c>
      <c r="O548">
        <v>8</v>
      </c>
    </row>
    <row r="549" spans="1:15" x14ac:dyDescent="0.3">
      <c r="A549">
        <v>33386</v>
      </c>
      <c r="B549">
        <v>3200169</v>
      </c>
      <c r="C549" t="s">
        <v>16</v>
      </c>
      <c r="D549">
        <v>0.28999999999999998</v>
      </c>
      <c r="E549">
        <v>976033.86</v>
      </c>
      <c r="F549">
        <v>72364.149999999994</v>
      </c>
      <c r="G549">
        <v>1048398.01</v>
      </c>
      <c r="H549">
        <v>15948.24</v>
      </c>
      <c r="I549">
        <v>78899.649999999994</v>
      </c>
      <c r="J549">
        <v>0.28999999999999998</v>
      </c>
      <c r="K549">
        <v>23341.4</v>
      </c>
      <c r="L549">
        <v>0</v>
      </c>
      <c r="M549">
        <v>0</v>
      </c>
      <c r="N549">
        <v>2021</v>
      </c>
      <c r="O549">
        <v>8</v>
      </c>
    </row>
    <row r="550" spans="1:15" x14ac:dyDescent="0.3">
      <c r="A550">
        <v>33387</v>
      </c>
      <c r="B550">
        <v>3200136</v>
      </c>
      <c r="C550" t="s">
        <v>17</v>
      </c>
      <c r="D550">
        <v>0.42</v>
      </c>
      <c r="E550">
        <v>1391994.58</v>
      </c>
      <c r="F550">
        <v>103203.93</v>
      </c>
      <c r="G550">
        <v>1495198.51</v>
      </c>
      <c r="H550">
        <v>22744.98</v>
      </c>
      <c r="I550">
        <v>81652.09</v>
      </c>
      <c r="J550">
        <v>0.42</v>
      </c>
      <c r="K550">
        <v>33288.910000000003</v>
      </c>
      <c r="L550">
        <v>0</v>
      </c>
      <c r="M550">
        <v>0</v>
      </c>
      <c r="N550">
        <v>2021</v>
      </c>
      <c r="O550">
        <v>8</v>
      </c>
    </row>
    <row r="551" spans="1:15" x14ac:dyDescent="0.3">
      <c r="A551">
        <v>33388</v>
      </c>
      <c r="B551">
        <v>3200201</v>
      </c>
      <c r="C551" t="s">
        <v>18</v>
      </c>
      <c r="D551">
        <v>0.48</v>
      </c>
      <c r="E551">
        <v>1585236.2</v>
      </c>
      <c r="F551">
        <v>117531.04</v>
      </c>
      <c r="G551">
        <v>1702767.24</v>
      </c>
      <c r="H551">
        <v>25902.52</v>
      </c>
      <c r="I551">
        <v>178917.08</v>
      </c>
      <c r="J551">
        <v>0.48</v>
      </c>
      <c r="K551">
        <v>37910.199999999997</v>
      </c>
      <c r="L551">
        <v>0</v>
      </c>
      <c r="M551">
        <v>0</v>
      </c>
      <c r="N551">
        <v>2021</v>
      </c>
      <c r="O551">
        <v>8</v>
      </c>
    </row>
    <row r="552" spans="1:15" x14ac:dyDescent="0.3">
      <c r="A552">
        <v>33389</v>
      </c>
      <c r="B552">
        <v>3200300</v>
      </c>
      <c r="C552" t="s">
        <v>19</v>
      </c>
      <c r="D552">
        <v>0.48</v>
      </c>
      <c r="E552">
        <v>1572135.07</v>
      </c>
      <c r="F552">
        <v>116559.75</v>
      </c>
      <c r="G552">
        <v>1688694.82</v>
      </c>
      <c r="H552">
        <v>25688.45</v>
      </c>
      <c r="I552">
        <v>174128.95</v>
      </c>
      <c r="J552">
        <v>0.48</v>
      </c>
      <c r="K552">
        <v>37596.89</v>
      </c>
      <c r="L552">
        <v>0</v>
      </c>
      <c r="M552">
        <v>0</v>
      </c>
      <c r="N552">
        <v>2021</v>
      </c>
      <c r="O552">
        <v>8</v>
      </c>
    </row>
    <row r="553" spans="1:15" x14ac:dyDescent="0.3">
      <c r="A553">
        <v>33390</v>
      </c>
      <c r="B553">
        <v>3200359</v>
      </c>
      <c r="C553" t="s">
        <v>20</v>
      </c>
      <c r="D553">
        <v>0.22</v>
      </c>
      <c r="E553">
        <v>750039.41</v>
      </c>
      <c r="F553">
        <v>55608.71</v>
      </c>
      <c r="G553">
        <v>805648.12</v>
      </c>
      <c r="H553">
        <v>12255.53</v>
      </c>
      <c r="I553">
        <v>44068.89</v>
      </c>
      <c r="J553">
        <v>0.22</v>
      </c>
      <c r="K553">
        <v>17936.849999999999</v>
      </c>
      <c r="L553">
        <v>0</v>
      </c>
      <c r="M553">
        <v>0</v>
      </c>
      <c r="N553">
        <v>2021</v>
      </c>
      <c r="O553">
        <v>8</v>
      </c>
    </row>
    <row r="554" spans="1:15" x14ac:dyDescent="0.3">
      <c r="A554">
        <v>33391</v>
      </c>
      <c r="B554">
        <v>3200409</v>
      </c>
      <c r="C554" t="s">
        <v>21</v>
      </c>
      <c r="D554">
        <v>2.59</v>
      </c>
      <c r="E554">
        <v>8509180.9800000004</v>
      </c>
      <c r="F554">
        <v>630879.6</v>
      </c>
      <c r="G554">
        <v>9140060.5800000001</v>
      </c>
      <c r="H554">
        <v>139038.72</v>
      </c>
      <c r="I554">
        <v>220919.19</v>
      </c>
      <c r="J554">
        <v>2.59</v>
      </c>
      <c r="K554">
        <v>203493.16</v>
      </c>
      <c r="L554">
        <v>0</v>
      </c>
      <c r="M554">
        <v>0</v>
      </c>
      <c r="N554">
        <v>2021</v>
      </c>
      <c r="O554">
        <v>8</v>
      </c>
    </row>
    <row r="555" spans="1:15" x14ac:dyDescent="0.3">
      <c r="A555">
        <v>33392</v>
      </c>
      <c r="B555">
        <v>3200508</v>
      </c>
      <c r="C555" t="s">
        <v>22</v>
      </c>
      <c r="D555">
        <v>0.19</v>
      </c>
      <c r="E555">
        <v>638679.89</v>
      </c>
      <c r="F555">
        <v>47352.4</v>
      </c>
      <c r="G555">
        <v>686032.29</v>
      </c>
      <c r="H555">
        <v>10435.93</v>
      </c>
      <c r="I555">
        <v>82364.77</v>
      </c>
      <c r="J555">
        <v>0.19</v>
      </c>
      <c r="K555">
        <v>15273.73</v>
      </c>
      <c r="L555">
        <v>0</v>
      </c>
      <c r="M555">
        <v>0</v>
      </c>
      <c r="N555">
        <v>2021</v>
      </c>
      <c r="O555">
        <v>8</v>
      </c>
    </row>
    <row r="556" spans="1:15" x14ac:dyDescent="0.3">
      <c r="A556">
        <v>33393</v>
      </c>
      <c r="B556">
        <v>3200607</v>
      </c>
      <c r="C556" t="s">
        <v>23</v>
      </c>
      <c r="D556">
        <v>5.18</v>
      </c>
      <c r="E556">
        <v>16965957.43</v>
      </c>
      <c r="F556">
        <v>1257873.8600000001</v>
      </c>
      <c r="G556">
        <v>18223831.289999999</v>
      </c>
      <c r="H556">
        <v>277221.17</v>
      </c>
      <c r="I556">
        <v>773334.98</v>
      </c>
      <c r="J556">
        <v>5.18</v>
      </c>
      <c r="K556">
        <v>405733.09</v>
      </c>
      <c r="L556">
        <v>0</v>
      </c>
      <c r="M556">
        <v>0</v>
      </c>
      <c r="N556">
        <v>2021</v>
      </c>
      <c r="O556">
        <v>8</v>
      </c>
    </row>
    <row r="557" spans="1:15" x14ac:dyDescent="0.3">
      <c r="A557">
        <v>33394</v>
      </c>
      <c r="B557">
        <v>3200706</v>
      </c>
      <c r="C557" t="s">
        <v>24</v>
      </c>
      <c r="D557">
        <v>0.36</v>
      </c>
      <c r="E557">
        <v>1208578.82</v>
      </c>
      <c r="F557">
        <v>89605.31</v>
      </c>
      <c r="G557">
        <v>1298184.1299999999</v>
      </c>
      <c r="H557">
        <v>19747.990000000002</v>
      </c>
      <c r="I557">
        <v>68377.61</v>
      </c>
      <c r="J557">
        <v>0.36</v>
      </c>
      <c r="K557">
        <v>28902.6</v>
      </c>
      <c r="L557">
        <v>0</v>
      </c>
      <c r="M557">
        <v>0</v>
      </c>
      <c r="N557">
        <v>2021</v>
      </c>
      <c r="O557">
        <v>8</v>
      </c>
    </row>
    <row r="558" spans="1:15" x14ac:dyDescent="0.3">
      <c r="A558">
        <v>33395</v>
      </c>
      <c r="B558">
        <v>3200805</v>
      </c>
      <c r="C558" t="s">
        <v>25</v>
      </c>
      <c r="D558">
        <v>0.65</v>
      </c>
      <c r="E558">
        <v>2158410.4300000002</v>
      </c>
      <c r="F558">
        <v>160026.79999999999</v>
      </c>
      <c r="G558">
        <v>2318437.23</v>
      </c>
      <c r="H558">
        <v>35268.1</v>
      </c>
      <c r="I558">
        <v>309280.36</v>
      </c>
      <c r="J558">
        <v>0.65</v>
      </c>
      <c r="K558">
        <v>51617.4</v>
      </c>
      <c r="L558">
        <v>0</v>
      </c>
      <c r="M558">
        <v>0</v>
      </c>
      <c r="N558">
        <v>2021</v>
      </c>
      <c r="O558">
        <v>8</v>
      </c>
    </row>
    <row r="559" spans="1:15" x14ac:dyDescent="0.3">
      <c r="A559">
        <v>33396</v>
      </c>
      <c r="B559">
        <v>3200904</v>
      </c>
      <c r="C559" t="s">
        <v>26</v>
      </c>
      <c r="D559">
        <v>0.9</v>
      </c>
      <c r="E559">
        <v>2967404.9</v>
      </c>
      <c r="F559">
        <v>220006.54</v>
      </c>
      <c r="G559">
        <v>3187411.44</v>
      </c>
      <c r="H559">
        <v>48486.95</v>
      </c>
      <c r="I559">
        <v>342750.58</v>
      </c>
      <c r="J559">
        <v>0.9</v>
      </c>
      <c r="K559">
        <v>70964.12</v>
      </c>
      <c r="L559">
        <v>0</v>
      </c>
      <c r="M559">
        <v>0</v>
      </c>
      <c r="N559">
        <v>2021</v>
      </c>
      <c r="O559">
        <v>8</v>
      </c>
    </row>
    <row r="560" spans="1:15" x14ac:dyDescent="0.3">
      <c r="A560">
        <v>33397</v>
      </c>
      <c r="B560">
        <v>3107109</v>
      </c>
      <c r="C560" t="s">
        <v>27</v>
      </c>
      <c r="D560">
        <v>0.41</v>
      </c>
      <c r="E560">
        <v>1355966.47</v>
      </c>
      <c r="F560">
        <v>100532.77</v>
      </c>
      <c r="G560">
        <v>1456499.24</v>
      </c>
      <c r="H560">
        <v>22156.29</v>
      </c>
      <c r="I560">
        <v>94396.99</v>
      </c>
      <c r="J560">
        <v>0.41</v>
      </c>
      <c r="K560">
        <v>32427.32</v>
      </c>
      <c r="L560">
        <v>0</v>
      </c>
      <c r="M560">
        <v>0</v>
      </c>
      <c r="N560">
        <v>2021</v>
      </c>
      <c r="O560">
        <v>8</v>
      </c>
    </row>
    <row r="561" spans="1:15" x14ac:dyDescent="0.3">
      <c r="A561">
        <v>33398</v>
      </c>
      <c r="B561">
        <v>3201100</v>
      </c>
      <c r="C561" t="s">
        <v>28</v>
      </c>
      <c r="D561">
        <v>0.17</v>
      </c>
      <c r="E561">
        <v>556797.81999999995</v>
      </c>
      <c r="F561">
        <v>41281.56</v>
      </c>
      <c r="G561">
        <v>598079.38</v>
      </c>
      <c r="H561">
        <v>9097.99</v>
      </c>
      <c r="I561">
        <v>175249.87</v>
      </c>
      <c r="J561">
        <v>0.17</v>
      </c>
      <c r="K561">
        <v>13315.56</v>
      </c>
      <c r="L561">
        <v>0</v>
      </c>
      <c r="M561">
        <v>0</v>
      </c>
      <c r="N561">
        <v>2021</v>
      </c>
      <c r="O561">
        <v>8</v>
      </c>
    </row>
    <row r="562" spans="1:15" x14ac:dyDescent="0.3">
      <c r="A562">
        <v>33399</v>
      </c>
      <c r="B562">
        <v>3201159</v>
      </c>
      <c r="C562" t="s">
        <v>29</v>
      </c>
      <c r="D562">
        <v>0.43</v>
      </c>
      <c r="E562">
        <v>1434573.26</v>
      </c>
      <c r="F562">
        <v>106360.76</v>
      </c>
      <c r="G562">
        <v>1540934.02</v>
      </c>
      <c r="H562">
        <v>23440.71</v>
      </c>
      <c r="I562">
        <v>87605.39</v>
      </c>
      <c r="J562">
        <v>0.43</v>
      </c>
      <c r="K562">
        <v>34307.160000000003</v>
      </c>
      <c r="L562">
        <v>0</v>
      </c>
      <c r="M562">
        <v>0</v>
      </c>
      <c r="N562">
        <v>2021</v>
      </c>
      <c r="O562">
        <v>8</v>
      </c>
    </row>
    <row r="563" spans="1:15" x14ac:dyDescent="0.3">
      <c r="A563">
        <v>33400</v>
      </c>
      <c r="B563">
        <v>3201209</v>
      </c>
      <c r="C563" t="s">
        <v>30</v>
      </c>
      <c r="D563">
        <v>3.11</v>
      </c>
      <c r="E563">
        <v>10192675.59</v>
      </c>
      <c r="F563">
        <v>755695.65</v>
      </c>
      <c r="G563">
        <v>10948371.24</v>
      </c>
      <c r="H563">
        <v>166546.76999999999</v>
      </c>
      <c r="I563">
        <v>1884862.34</v>
      </c>
      <c r="J563">
        <v>3.11</v>
      </c>
      <c r="K563">
        <v>243753.16</v>
      </c>
      <c r="L563">
        <v>0</v>
      </c>
      <c r="M563">
        <v>0</v>
      </c>
      <c r="N563">
        <v>2021</v>
      </c>
      <c r="O563">
        <v>8</v>
      </c>
    </row>
    <row r="564" spans="1:15" x14ac:dyDescent="0.3">
      <c r="A564">
        <v>33401</v>
      </c>
      <c r="B564">
        <v>3201308</v>
      </c>
      <c r="C564" t="s">
        <v>31</v>
      </c>
      <c r="D564">
        <v>6.51</v>
      </c>
      <c r="E564">
        <v>21335182.780000001</v>
      </c>
      <c r="F564">
        <v>1581812.84</v>
      </c>
      <c r="G564">
        <v>22916995.620000001</v>
      </c>
      <c r="H564">
        <v>348613.64</v>
      </c>
      <c r="I564">
        <v>2535385.75</v>
      </c>
      <c r="J564">
        <v>6.51</v>
      </c>
      <c r="K564">
        <v>510221.11</v>
      </c>
      <c r="L564">
        <v>0</v>
      </c>
      <c r="M564">
        <v>0</v>
      </c>
      <c r="N564">
        <v>2021</v>
      </c>
      <c r="O564">
        <v>8</v>
      </c>
    </row>
    <row r="565" spans="1:15" x14ac:dyDescent="0.3">
      <c r="A565">
        <v>33402</v>
      </c>
      <c r="B565">
        <v>3201407</v>
      </c>
      <c r="C565" t="s">
        <v>32</v>
      </c>
      <c r="D565">
        <v>0.93</v>
      </c>
      <c r="E565">
        <v>3065663.35</v>
      </c>
      <c r="F565">
        <v>227291.49</v>
      </c>
      <c r="G565">
        <v>3292954.84</v>
      </c>
      <c r="H565">
        <v>50092.47</v>
      </c>
      <c r="I565">
        <v>424479.47</v>
      </c>
      <c r="J565">
        <v>0.93</v>
      </c>
      <c r="K565">
        <v>73313.94</v>
      </c>
      <c r="L565">
        <v>0</v>
      </c>
      <c r="M565">
        <v>0</v>
      </c>
      <c r="N565">
        <v>2021</v>
      </c>
      <c r="O565">
        <v>8</v>
      </c>
    </row>
    <row r="566" spans="1:15" x14ac:dyDescent="0.3">
      <c r="A566">
        <v>33403</v>
      </c>
      <c r="B566">
        <v>3201506</v>
      </c>
      <c r="C566" t="s">
        <v>33</v>
      </c>
      <c r="D566">
        <v>2.2000000000000002</v>
      </c>
      <c r="E566">
        <v>7208894.2599999998</v>
      </c>
      <c r="F566">
        <v>534474.99</v>
      </c>
      <c r="G566">
        <v>7743369.25</v>
      </c>
      <c r="H566">
        <v>117792.24</v>
      </c>
      <c r="I566">
        <v>1223719.07</v>
      </c>
      <c r="J566">
        <v>2.2000000000000002</v>
      </c>
      <c r="K566">
        <v>172397.4</v>
      </c>
      <c r="L566">
        <v>0</v>
      </c>
      <c r="M566">
        <v>0</v>
      </c>
      <c r="N566">
        <v>2021</v>
      </c>
      <c r="O566">
        <v>8</v>
      </c>
    </row>
    <row r="567" spans="1:15" x14ac:dyDescent="0.3">
      <c r="A567">
        <v>33404</v>
      </c>
      <c r="B567">
        <v>3201605</v>
      </c>
      <c r="C567" t="s">
        <v>34</v>
      </c>
      <c r="D567">
        <v>0.57999999999999996</v>
      </c>
      <c r="E567">
        <v>1916039.59</v>
      </c>
      <c r="F567">
        <v>142057.18</v>
      </c>
      <c r="G567">
        <v>2058096.77</v>
      </c>
      <c r="H567">
        <v>31307.8</v>
      </c>
      <c r="I567">
        <v>144623.74</v>
      </c>
      <c r="J567">
        <v>0.57999999999999996</v>
      </c>
      <c r="K567">
        <v>45821.21</v>
      </c>
      <c r="L567">
        <v>0</v>
      </c>
      <c r="M567">
        <v>0</v>
      </c>
      <c r="N567">
        <v>2021</v>
      </c>
      <c r="O567">
        <v>8</v>
      </c>
    </row>
    <row r="568" spans="1:15" x14ac:dyDescent="0.3">
      <c r="A568">
        <v>33405</v>
      </c>
      <c r="B568">
        <v>3201704</v>
      </c>
      <c r="C568" t="s">
        <v>35</v>
      </c>
      <c r="D568">
        <v>0.45</v>
      </c>
      <c r="E568">
        <v>1493528.31</v>
      </c>
      <c r="F568">
        <v>110731.78</v>
      </c>
      <c r="G568">
        <v>1604260.09</v>
      </c>
      <c r="H568">
        <v>24404.03</v>
      </c>
      <c r="I568">
        <v>107212.07</v>
      </c>
      <c r="J568">
        <v>0.45</v>
      </c>
      <c r="K568">
        <v>35717.050000000003</v>
      </c>
      <c r="L568">
        <v>0</v>
      </c>
      <c r="M568">
        <v>0</v>
      </c>
      <c r="N568">
        <v>2021</v>
      </c>
      <c r="O568">
        <v>8</v>
      </c>
    </row>
    <row r="569" spans="1:15" x14ac:dyDescent="0.3">
      <c r="A569">
        <v>33406</v>
      </c>
      <c r="B569">
        <v>3201803</v>
      </c>
      <c r="C569" t="s">
        <v>36</v>
      </c>
      <c r="D569">
        <v>0.19</v>
      </c>
      <c r="E569">
        <v>622303.46</v>
      </c>
      <c r="F569">
        <v>46138.25</v>
      </c>
      <c r="G569">
        <v>668441.71</v>
      </c>
      <c r="H569">
        <v>10168.34</v>
      </c>
      <c r="I569">
        <v>25342.29</v>
      </c>
      <c r="J569">
        <v>0.19</v>
      </c>
      <c r="K569">
        <v>14882.1</v>
      </c>
      <c r="L569">
        <v>0</v>
      </c>
      <c r="M569">
        <v>0</v>
      </c>
      <c r="N569">
        <v>2021</v>
      </c>
      <c r="O569">
        <v>8</v>
      </c>
    </row>
    <row r="570" spans="1:15" x14ac:dyDescent="0.3">
      <c r="A570">
        <v>33407</v>
      </c>
      <c r="B570">
        <v>3201902</v>
      </c>
      <c r="C570" t="s">
        <v>37</v>
      </c>
      <c r="D570">
        <v>1.22</v>
      </c>
      <c r="E570">
        <v>4008944.4</v>
      </c>
      <c r="F570">
        <v>297227.33</v>
      </c>
      <c r="G570">
        <v>4306171.7300000004</v>
      </c>
      <c r="H570">
        <v>65505.54</v>
      </c>
      <c r="I570">
        <v>364425.79</v>
      </c>
      <c r="J570">
        <v>1.22</v>
      </c>
      <c r="K570">
        <v>95872.07</v>
      </c>
      <c r="L570">
        <v>0</v>
      </c>
      <c r="M570">
        <v>0</v>
      </c>
      <c r="N570">
        <v>2021</v>
      </c>
      <c r="O570">
        <v>8</v>
      </c>
    </row>
    <row r="571" spans="1:15" x14ac:dyDescent="0.3">
      <c r="A571">
        <v>33408</v>
      </c>
      <c r="B571">
        <v>3202009</v>
      </c>
      <c r="C571" t="s">
        <v>38</v>
      </c>
      <c r="D571">
        <v>0.24</v>
      </c>
      <c r="E571">
        <v>799168.66</v>
      </c>
      <c r="F571">
        <v>59251.199999999997</v>
      </c>
      <c r="G571">
        <v>858419.86</v>
      </c>
      <c r="H571">
        <v>13058.29</v>
      </c>
      <c r="I571">
        <v>61371.92</v>
      </c>
      <c r="J571">
        <v>0.24</v>
      </c>
      <c r="K571">
        <v>19111.75</v>
      </c>
      <c r="L571">
        <v>0</v>
      </c>
      <c r="M571">
        <v>0</v>
      </c>
      <c r="N571">
        <v>2021</v>
      </c>
      <c r="O571">
        <v>8</v>
      </c>
    </row>
    <row r="572" spans="1:15" x14ac:dyDescent="0.3">
      <c r="A572">
        <v>33409</v>
      </c>
      <c r="B572">
        <v>3202108</v>
      </c>
      <c r="C572" t="s">
        <v>39</v>
      </c>
      <c r="D572">
        <v>0.69</v>
      </c>
      <c r="E572">
        <v>2289421.6800000002</v>
      </c>
      <c r="F572">
        <v>169740.13</v>
      </c>
      <c r="G572">
        <v>2459161.81</v>
      </c>
      <c r="H572">
        <v>37408.800000000003</v>
      </c>
      <c r="I572">
        <v>130160.3</v>
      </c>
      <c r="J572">
        <v>0.69</v>
      </c>
      <c r="K572">
        <v>54750.46</v>
      </c>
      <c r="L572">
        <v>0</v>
      </c>
      <c r="M572">
        <v>0</v>
      </c>
      <c r="N572">
        <v>2021</v>
      </c>
      <c r="O572">
        <v>8</v>
      </c>
    </row>
    <row r="573" spans="1:15" x14ac:dyDescent="0.3">
      <c r="A573">
        <v>33410</v>
      </c>
      <c r="B573">
        <v>3202207</v>
      </c>
      <c r="C573" t="s">
        <v>40</v>
      </c>
      <c r="D573">
        <v>0.33</v>
      </c>
      <c r="E573">
        <v>1084118.1599999999</v>
      </c>
      <c r="F573">
        <v>80377.679999999993</v>
      </c>
      <c r="G573">
        <v>1164495.8400000001</v>
      </c>
      <c r="H573">
        <v>17714.330000000002</v>
      </c>
      <c r="I573">
        <v>139068.53</v>
      </c>
      <c r="J573">
        <v>0.33</v>
      </c>
      <c r="K573">
        <v>25926.19</v>
      </c>
      <c r="L573">
        <v>0</v>
      </c>
      <c r="M573">
        <v>0</v>
      </c>
      <c r="N573">
        <v>2021</v>
      </c>
      <c r="O573">
        <v>8</v>
      </c>
    </row>
    <row r="574" spans="1:15" x14ac:dyDescent="0.3">
      <c r="A574">
        <v>33411</v>
      </c>
      <c r="B574">
        <v>3202256</v>
      </c>
      <c r="C574" t="s">
        <v>41</v>
      </c>
      <c r="D574">
        <v>0.44</v>
      </c>
      <c r="E574">
        <v>1450949.65</v>
      </c>
      <c r="F574">
        <v>107574.93</v>
      </c>
      <c r="G574">
        <v>1558524.58</v>
      </c>
      <c r="H574">
        <v>23708.3</v>
      </c>
      <c r="I574">
        <v>115836.89</v>
      </c>
      <c r="J574">
        <v>0.44</v>
      </c>
      <c r="K574">
        <v>34698.79</v>
      </c>
      <c r="L574">
        <v>0</v>
      </c>
      <c r="M574">
        <v>0</v>
      </c>
      <c r="N574">
        <v>2021</v>
      </c>
      <c r="O574">
        <v>8</v>
      </c>
    </row>
    <row r="575" spans="1:15" x14ac:dyDescent="0.3">
      <c r="A575">
        <v>33412</v>
      </c>
      <c r="B575">
        <v>3202306</v>
      </c>
      <c r="C575" t="s">
        <v>42</v>
      </c>
      <c r="D575">
        <v>0.39</v>
      </c>
      <c r="E575">
        <v>1280635.01</v>
      </c>
      <c r="F575">
        <v>94947.63</v>
      </c>
      <c r="G575">
        <v>1375582.64</v>
      </c>
      <c r="H575">
        <v>20925.38</v>
      </c>
      <c r="I575">
        <v>261540.7</v>
      </c>
      <c r="J575">
        <v>0.39</v>
      </c>
      <c r="K575">
        <v>30625.8</v>
      </c>
      <c r="L575">
        <v>0</v>
      </c>
      <c r="M575">
        <v>0</v>
      </c>
      <c r="N575">
        <v>2021</v>
      </c>
      <c r="O575">
        <v>8</v>
      </c>
    </row>
    <row r="576" spans="1:15" x14ac:dyDescent="0.3">
      <c r="A576">
        <v>33413</v>
      </c>
      <c r="B576">
        <v>3202405</v>
      </c>
      <c r="C576" t="s">
        <v>43</v>
      </c>
      <c r="D576">
        <v>0.91</v>
      </c>
      <c r="E576">
        <v>2987056.59</v>
      </c>
      <c r="F576">
        <v>221463.51</v>
      </c>
      <c r="G576">
        <v>3208520.1</v>
      </c>
      <c r="H576">
        <v>48808.05</v>
      </c>
      <c r="I576">
        <v>1497076.83</v>
      </c>
      <c r="J576">
        <v>0.91</v>
      </c>
      <c r="K576">
        <v>71434.09</v>
      </c>
      <c r="L576">
        <v>0</v>
      </c>
      <c r="M576">
        <v>0</v>
      </c>
      <c r="N576">
        <v>2021</v>
      </c>
      <c r="O576">
        <v>8</v>
      </c>
    </row>
    <row r="577" spans="1:15" x14ac:dyDescent="0.3">
      <c r="A577">
        <v>33414</v>
      </c>
      <c r="B577">
        <v>3202454</v>
      </c>
      <c r="C577" t="s">
        <v>44</v>
      </c>
      <c r="D577">
        <v>0.36</v>
      </c>
      <c r="E577">
        <v>1179101.31</v>
      </c>
      <c r="F577">
        <v>87419.8</v>
      </c>
      <c r="G577">
        <v>1266521.1100000001</v>
      </c>
      <c r="H577">
        <v>19266.34</v>
      </c>
      <c r="I577">
        <v>214475.55</v>
      </c>
      <c r="J577">
        <v>0.36</v>
      </c>
      <c r="K577">
        <v>28197.66</v>
      </c>
      <c r="L577">
        <v>0</v>
      </c>
      <c r="M577">
        <v>0</v>
      </c>
      <c r="N577">
        <v>2021</v>
      </c>
      <c r="O577">
        <v>8</v>
      </c>
    </row>
    <row r="578" spans="1:15" x14ac:dyDescent="0.3">
      <c r="A578">
        <v>33415</v>
      </c>
      <c r="B578">
        <v>3202504</v>
      </c>
      <c r="C578" t="s">
        <v>45</v>
      </c>
      <c r="D578">
        <v>0.27</v>
      </c>
      <c r="E578">
        <v>894151.83</v>
      </c>
      <c r="F578">
        <v>66293.36</v>
      </c>
      <c r="G578">
        <v>960445.19</v>
      </c>
      <c r="H578">
        <v>14610.3</v>
      </c>
      <c r="I578">
        <v>116143.63</v>
      </c>
      <c r="J578">
        <v>0.27</v>
      </c>
      <c r="K578">
        <v>21383.23</v>
      </c>
      <c r="L578">
        <v>0</v>
      </c>
      <c r="M578">
        <v>0</v>
      </c>
      <c r="N578">
        <v>2021</v>
      </c>
      <c r="O578">
        <v>8</v>
      </c>
    </row>
    <row r="579" spans="1:15" x14ac:dyDescent="0.3">
      <c r="A579">
        <v>33416</v>
      </c>
      <c r="B579">
        <v>3202553</v>
      </c>
      <c r="C579" t="s">
        <v>46</v>
      </c>
      <c r="D579">
        <v>0.24</v>
      </c>
      <c r="E579">
        <v>802443.92</v>
      </c>
      <c r="F579">
        <v>59494.05</v>
      </c>
      <c r="G579">
        <v>861937.97</v>
      </c>
      <c r="H579">
        <v>13111.81</v>
      </c>
      <c r="I579">
        <v>53579.15</v>
      </c>
      <c r="J579">
        <v>0.24</v>
      </c>
      <c r="K579">
        <v>19190.080000000002</v>
      </c>
      <c r="L579">
        <v>0</v>
      </c>
      <c r="M579">
        <v>0</v>
      </c>
      <c r="N579">
        <v>2021</v>
      </c>
      <c r="O579">
        <v>8</v>
      </c>
    </row>
    <row r="580" spans="1:15" x14ac:dyDescent="0.3">
      <c r="A580">
        <v>33417</v>
      </c>
      <c r="B580">
        <v>3202603</v>
      </c>
      <c r="C580" t="s">
        <v>47</v>
      </c>
      <c r="D580">
        <v>0.37</v>
      </c>
      <c r="E580">
        <v>1218404.67</v>
      </c>
      <c r="F580">
        <v>90333.79</v>
      </c>
      <c r="G580">
        <v>1308738.46</v>
      </c>
      <c r="H580">
        <v>19908.55</v>
      </c>
      <c r="I580">
        <v>209002.44</v>
      </c>
      <c r="J580">
        <v>0.37</v>
      </c>
      <c r="K580">
        <v>29137.59</v>
      </c>
      <c r="L580">
        <v>0</v>
      </c>
      <c r="M580">
        <v>0</v>
      </c>
      <c r="N580">
        <v>2021</v>
      </c>
      <c r="O580">
        <v>8</v>
      </c>
    </row>
    <row r="581" spans="1:15" x14ac:dyDescent="0.3">
      <c r="A581">
        <v>33418</v>
      </c>
      <c r="B581">
        <v>3202652</v>
      </c>
      <c r="C581" t="s">
        <v>48</v>
      </c>
      <c r="D581">
        <v>0.3</v>
      </c>
      <c r="E581">
        <v>1012061.96</v>
      </c>
      <c r="F581">
        <v>75035.33</v>
      </c>
      <c r="G581">
        <v>1087097.29</v>
      </c>
      <c r="H581">
        <v>16536.939999999999</v>
      </c>
      <c r="I581">
        <v>114915.73</v>
      </c>
      <c r="J581">
        <v>0.3</v>
      </c>
      <c r="K581">
        <v>24203</v>
      </c>
      <c r="L581">
        <v>0</v>
      </c>
      <c r="M581">
        <v>0</v>
      </c>
      <c r="N581">
        <v>2021</v>
      </c>
      <c r="O581">
        <v>8</v>
      </c>
    </row>
    <row r="582" spans="1:15" x14ac:dyDescent="0.3">
      <c r="A582">
        <v>33419</v>
      </c>
      <c r="B582">
        <v>3202702</v>
      </c>
      <c r="C582" t="s">
        <v>49</v>
      </c>
      <c r="D582">
        <v>0.38</v>
      </c>
      <c r="E582">
        <v>1254432.76</v>
      </c>
      <c r="F582">
        <v>93004.95</v>
      </c>
      <c r="G582">
        <v>1347437.71</v>
      </c>
      <c r="H582">
        <v>20497.240000000002</v>
      </c>
      <c r="I582">
        <v>84291.51</v>
      </c>
      <c r="J582">
        <v>0.38</v>
      </c>
      <c r="K582">
        <v>29999.18</v>
      </c>
      <c r="L582">
        <v>0</v>
      </c>
      <c r="M582">
        <v>0</v>
      </c>
      <c r="N582">
        <v>2021</v>
      </c>
      <c r="O582">
        <v>8</v>
      </c>
    </row>
    <row r="583" spans="1:15" x14ac:dyDescent="0.3">
      <c r="A583">
        <v>33420</v>
      </c>
      <c r="B583">
        <v>3202801</v>
      </c>
      <c r="C583" t="s">
        <v>50</v>
      </c>
      <c r="D583">
        <v>2.66</v>
      </c>
      <c r="E583">
        <v>8728624.8100000005</v>
      </c>
      <c r="F583">
        <v>647149.42000000004</v>
      </c>
      <c r="G583">
        <v>9375774.2300000004</v>
      </c>
      <c r="H583">
        <v>142624.4</v>
      </c>
      <c r="I583">
        <v>263350.83</v>
      </c>
      <c r="J583">
        <v>2.66</v>
      </c>
      <c r="K583">
        <v>208741.06</v>
      </c>
      <c r="L583">
        <v>0</v>
      </c>
      <c r="M583">
        <v>0</v>
      </c>
      <c r="N583">
        <v>2021</v>
      </c>
      <c r="O583">
        <v>8</v>
      </c>
    </row>
    <row r="584" spans="1:15" x14ac:dyDescent="0.3">
      <c r="A584">
        <v>33421</v>
      </c>
      <c r="B584">
        <v>3202900</v>
      </c>
      <c r="C584" t="s">
        <v>51</v>
      </c>
      <c r="D584">
        <v>0.34</v>
      </c>
      <c r="E584">
        <v>1120146.2</v>
      </c>
      <c r="F584">
        <v>83048.820000000007</v>
      </c>
      <c r="G584">
        <v>1203195.02</v>
      </c>
      <c r="H584">
        <v>18303.02</v>
      </c>
      <c r="I584">
        <v>94387.01</v>
      </c>
      <c r="J584">
        <v>0.34</v>
      </c>
      <c r="K584">
        <v>26787.79</v>
      </c>
      <c r="L584">
        <v>0</v>
      </c>
      <c r="M584">
        <v>0</v>
      </c>
      <c r="N584">
        <v>2021</v>
      </c>
      <c r="O584">
        <v>8</v>
      </c>
    </row>
    <row r="585" spans="1:15" x14ac:dyDescent="0.3">
      <c r="A585">
        <v>33422</v>
      </c>
      <c r="B585">
        <v>3203007</v>
      </c>
      <c r="C585" t="s">
        <v>52</v>
      </c>
      <c r="D585">
        <v>0.47</v>
      </c>
      <c r="E585">
        <v>1545932.77</v>
      </c>
      <c r="F585">
        <v>114617.07</v>
      </c>
      <c r="G585">
        <v>1660549.84</v>
      </c>
      <c r="H585">
        <v>25260.31</v>
      </c>
      <c r="I585">
        <v>212369.84</v>
      </c>
      <c r="J585">
        <v>0.47</v>
      </c>
      <c r="K585">
        <v>36970.269999999997</v>
      </c>
      <c r="L585">
        <v>0</v>
      </c>
      <c r="M585">
        <v>0</v>
      </c>
      <c r="N585">
        <v>2021</v>
      </c>
      <c r="O585">
        <v>8</v>
      </c>
    </row>
    <row r="586" spans="1:15" x14ac:dyDescent="0.3">
      <c r="A586">
        <v>33423</v>
      </c>
      <c r="B586">
        <v>3203056</v>
      </c>
      <c r="C586" t="s">
        <v>53</v>
      </c>
      <c r="D586">
        <v>0.86</v>
      </c>
      <c r="E586">
        <v>2833118.39</v>
      </c>
      <c r="F586">
        <v>210050.37</v>
      </c>
      <c r="G586">
        <v>3043168.76</v>
      </c>
      <c r="H586">
        <v>46292.72</v>
      </c>
      <c r="I586">
        <v>240342.14</v>
      </c>
      <c r="J586">
        <v>0.86</v>
      </c>
      <c r="K586">
        <v>67752.73</v>
      </c>
      <c r="L586">
        <v>0</v>
      </c>
      <c r="M586">
        <v>0</v>
      </c>
      <c r="N586">
        <v>2021</v>
      </c>
      <c r="O586">
        <v>8</v>
      </c>
    </row>
    <row r="587" spans="1:15" x14ac:dyDescent="0.3">
      <c r="A587">
        <v>33424</v>
      </c>
      <c r="B587">
        <v>3203106</v>
      </c>
      <c r="C587" t="s">
        <v>54</v>
      </c>
      <c r="D587">
        <v>0.21</v>
      </c>
      <c r="E587">
        <v>700910.22</v>
      </c>
      <c r="F587">
        <v>51966.21</v>
      </c>
      <c r="G587">
        <v>752876.43</v>
      </c>
      <c r="H587">
        <v>11452.77</v>
      </c>
      <c r="I587">
        <v>73659.710000000006</v>
      </c>
      <c r="J587">
        <v>0.21</v>
      </c>
      <c r="K587">
        <v>16761.939999999999</v>
      </c>
      <c r="L587">
        <v>0</v>
      </c>
      <c r="M587">
        <v>0</v>
      </c>
      <c r="N587">
        <v>2021</v>
      </c>
      <c r="O587">
        <v>8</v>
      </c>
    </row>
    <row r="588" spans="1:15" x14ac:dyDescent="0.3">
      <c r="A588">
        <v>33425</v>
      </c>
      <c r="B588">
        <v>3203130</v>
      </c>
      <c r="C588" t="s">
        <v>55</v>
      </c>
      <c r="D588">
        <v>0.42</v>
      </c>
      <c r="E588">
        <v>1398545.12</v>
      </c>
      <c r="F588">
        <v>103689.60000000001</v>
      </c>
      <c r="G588">
        <v>1502234.72</v>
      </c>
      <c r="H588">
        <v>22852.01</v>
      </c>
      <c r="I588">
        <v>146579.03</v>
      </c>
      <c r="J588">
        <v>0.42</v>
      </c>
      <c r="K588">
        <v>33445.57</v>
      </c>
      <c r="L588">
        <v>0</v>
      </c>
      <c r="M588">
        <v>0</v>
      </c>
      <c r="N588">
        <v>2021</v>
      </c>
      <c r="O588">
        <v>8</v>
      </c>
    </row>
    <row r="589" spans="1:15" x14ac:dyDescent="0.3">
      <c r="A589">
        <v>33426</v>
      </c>
      <c r="B589">
        <v>3203163</v>
      </c>
      <c r="C589" t="s">
        <v>56</v>
      </c>
      <c r="D589">
        <v>0.38</v>
      </c>
      <c r="E589">
        <v>1244606.92</v>
      </c>
      <c r="F589">
        <v>92276.46</v>
      </c>
      <c r="G589">
        <v>1336883.3799999999</v>
      </c>
      <c r="H589">
        <v>20336.689999999999</v>
      </c>
      <c r="I589">
        <v>51102.13</v>
      </c>
      <c r="J589">
        <v>0.38</v>
      </c>
      <c r="K589">
        <v>29764.21</v>
      </c>
      <c r="L589">
        <v>0</v>
      </c>
      <c r="M589">
        <v>0</v>
      </c>
      <c r="N589">
        <v>2021</v>
      </c>
      <c r="O589">
        <v>8</v>
      </c>
    </row>
    <row r="590" spans="1:15" x14ac:dyDescent="0.3">
      <c r="A590">
        <v>33427</v>
      </c>
      <c r="B590">
        <v>3203205</v>
      </c>
      <c r="C590" t="s">
        <v>57</v>
      </c>
      <c r="D590">
        <v>5.75</v>
      </c>
      <c r="E590">
        <v>18842693.68</v>
      </c>
      <c r="F590">
        <v>1397017.04</v>
      </c>
      <c r="G590">
        <v>20239710.719999999</v>
      </c>
      <c r="H590">
        <v>307886.75</v>
      </c>
      <c r="I590">
        <v>1660166.22</v>
      </c>
      <c r="J590">
        <v>5.75</v>
      </c>
      <c r="K590">
        <v>450614.38</v>
      </c>
      <c r="L590">
        <v>0</v>
      </c>
      <c r="M590">
        <v>0</v>
      </c>
      <c r="N590">
        <v>2021</v>
      </c>
      <c r="O590">
        <v>8</v>
      </c>
    </row>
    <row r="591" spans="1:15" x14ac:dyDescent="0.3">
      <c r="A591">
        <v>33428</v>
      </c>
      <c r="B591">
        <v>3203304</v>
      </c>
      <c r="C591" t="s">
        <v>58</v>
      </c>
      <c r="D591">
        <v>0.25</v>
      </c>
      <c r="E591">
        <v>835196.73</v>
      </c>
      <c r="F591">
        <v>61922.34</v>
      </c>
      <c r="G591">
        <v>897119.07</v>
      </c>
      <c r="H591">
        <v>13646.99</v>
      </c>
      <c r="I591">
        <v>107173.27</v>
      </c>
      <c r="J591">
        <v>0.25</v>
      </c>
      <c r="K591">
        <v>19973.349999999999</v>
      </c>
      <c r="L591">
        <v>0</v>
      </c>
      <c r="M591">
        <v>0</v>
      </c>
      <c r="N591">
        <v>2021</v>
      </c>
      <c r="O591">
        <v>8</v>
      </c>
    </row>
    <row r="592" spans="1:15" x14ac:dyDescent="0.3">
      <c r="A592">
        <v>33429</v>
      </c>
      <c r="B592">
        <v>3203320</v>
      </c>
      <c r="C592" t="s">
        <v>59</v>
      </c>
      <c r="D592">
        <v>0.61</v>
      </c>
      <c r="E592">
        <v>2020848.61</v>
      </c>
      <c r="F592">
        <v>149827.81</v>
      </c>
      <c r="G592">
        <v>2170676.42</v>
      </c>
      <c r="H592">
        <v>33020.36</v>
      </c>
      <c r="I592">
        <v>348383.75</v>
      </c>
      <c r="J592">
        <v>0.61</v>
      </c>
      <c r="K592">
        <v>48327.67</v>
      </c>
      <c r="L592">
        <v>0</v>
      </c>
      <c r="M592">
        <v>0</v>
      </c>
      <c r="N592">
        <v>2021</v>
      </c>
      <c r="O592">
        <v>8</v>
      </c>
    </row>
    <row r="593" spans="1:15" x14ac:dyDescent="0.3">
      <c r="A593">
        <v>33430</v>
      </c>
      <c r="B593">
        <v>3203346</v>
      </c>
      <c r="C593" t="s">
        <v>60</v>
      </c>
      <c r="D593">
        <v>0.65</v>
      </c>
      <c r="E593">
        <v>2151859.84</v>
      </c>
      <c r="F593">
        <v>159541.17000000001</v>
      </c>
      <c r="G593">
        <v>2311401.0099999998</v>
      </c>
      <c r="H593">
        <v>35161.06</v>
      </c>
      <c r="I593">
        <v>171106.96</v>
      </c>
      <c r="J593">
        <v>0.65</v>
      </c>
      <c r="K593">
        <v>51460.75</v>
      </c>
      <c r="L593">
        <v>0</v>
      </c>
      <c r="M593">
        <v>0</v>
      </c>
      <c r="N593">
        <v>2021</v>
      </c>
      <c r="O593">
        <v>8</v>
      </c>
    </row>
    <row r="594" spans="1:15" x14ac:dyDescent="0.3">
      <c r="A594">
        <v>33431</v>
      </c>
      <c r="B594">
        <v>3203353</v>
      </c>
      <c r="C594" t="s">
        <v>61</v>
      </c>
      <c r="D594">
        <v>0.43</v>
      </c>
      <c r="E594">
        <v>1434573.26</v>
      </c>
      <c r="F594">
        <v>106360.76</v>
      </c>
      <c r="G594">
        <v>1540934.02</v>
      </c>
      <c r="H594">
        <v>23440.71</v>
      </c>
      <c r="I594">
        <v>98740.64</v>
      </c>
      <c r="J594">
        <v>0.43</v>
      </c>
      <c r="K594">
        <v>34307.160000000003</v>
      </c>
      <c r="L594">
        <v>0</v>
      </c>
      <c r="M594">
        <v>0</v>
      </c>
      <c r="N594">
        <v>2021</v>
      </c>
      <c r="O594">
        <v>8</v>
      </c>
    </row>
    <row r="595" spans="1:15" x14ac:dyDescent="0.3">
      <c r="A595">
        <v>33432</v>
      </c>
      <c r="B595">
        <v>3203403</v>
      </c>
      <c r="C595" t="s">
        <v>62</v>
      </c>
      <c r="D595">
        <v>0.5</v>
      </c>
      <c r="E595">
        <v>1637640.7</v>
      </c>
      <c r="F595">
        <v>121416.39</v>
      </c>
      <c r="G595">
        <v>1759057.09</v>
      </c>
      <c r="H595">
        <v>26758.799999999999</v>
      </c>
      <c r="I595">
        <v>150176.72</v>
      </c>
      <c r="J595">
        <v>0.5</v>
      </c>
      <c r="K595">
        <v>39163.42</v>
      </c>
      <c r="L595">
        <v>0</v>
      </c>
      <c r="M595">
        <v>0</v>
      </c>
      <c r="N595">
        <v>2021</v>
      </c>
      <c r="O595">
        <v>8</v>
      </c>
    </row>
    <row r="596" spans="1:15" x14ac:dyDescent="0.3">
      <c r="A596">
        <v>33433</v>
      </c>
      <c r="B596">
        <v>3203502</v>
      </c>
      <c r="C596" t="s">
        <v>63</v>
      </c>
      <c r="D596">
        <v>0.52</v>
      </c>
      <c r="E596">
        <v>1719522.69</v>
      </c>
      <c r="F596">
        <v>127487.21</v>
      </c>
      <c r="G596">
        <v>1847009.9</v>
      </c>
      <c r="H596">
        <v>28096.74</v>
      </c>
      <c r="I596">
        <v>142495.95000000001</v>
      </c>
      <c r="J596">
        <v>0.52</v>
      </c>
      <c r="K596">
        <v>41121.589999999997</v>
      </c>
      <c r="L596">
        <v>0</v>
      </c>
      <c r="M596">
        <v>0</v>
      </c>
      <c r="N596">
        <v>2021</v>
      </c>
      <c r="O596">
        <v>8</v>
      </c>
    </row>
    <row r="597" spans="1:15" x14ac:dyDescent="0.3">
      <c r="A597">
        <v>33434</v>
      </c>
      <c r="B597">
        <v>3203601</v>
      </c>
      <c r="C597" t="s">
        <v>64</v>
      </c>
      <c r="D597">
        <v>0.28000000000000003</v>
      </c>
      <c r="E597">
        <v>946556.31</v>
      </c>
      <c r="F597">
        <v>70178.64</v>
      </c>
      <c r="G597">
        <v>1016734.95</v>
      </c>
      <c r="H597">
        <v>15466.59</v>
      </c>
      <c r="I597">
        <v>28103.15</v>
      </c>
      <c r="J597">
        <v>0.28000000000000003</v>
      </c>
      <c r="K597">
        <v>22636.46</v>
      </c>
      <c r="L597">
        <v>0</v>
      </c>
      <c r="M597">
        <v>0</v>
      </c>
      <c r="N597">
        <v>2021</v>
      </c>
      <c r="O597">
        <v>8</v>
      </c>
    </row>
    <row r="598" spans="1:15" x14ac:dyDescent="0.3">
      <c r="A598">
        <v>33435</v>
      </c>
      <c r="B598">
        <v>3203700</v>
      </c>
      <c r="C598" t="s">
        <v>65</v>
      </c>
      <c r="D598">
        <v>0.5</v>
      </c>
      <c r="E598">
        <v>1667118.22</v>
      </c>
      <c r="F598">
        <v>123601.91</v>
      </c>
      <c r="G598">
        <v>1790720.13</v>
      </c>
      <c r="H598">
        <v>27240.46</v>
      </c>
      <c r="I598">
        <v>108950.14</v>
      </c>
      <c r="J598">
        <v>0.5</v>
      </c>
      <c r="K598">
        <v>39868.370000000003</v>
      </c>
      <c r="L598">
        <v>0</v>
      </c>
      <c r="M598">
        <v>0</v>
      </c>
      <c r="N598">
        <v>2021</v>
      </c>
      <c r="O598">
        <v>8</v>
      </c>
    </row>
    <row r="599" spans="1:15" x14ac:dyDescent="0.3">
      <c r="A599">
        <v>33436</v>
      </c>
      <c r="B599">
        <v>3203809</v>
      </c>
      <c r="C599" t="s">
        <v>66</v>
      </c>
      <c r="D599">
        <v>0.28999999999999998</v>
      </c>
      <c r="E599">
        <v>956382.17</v>
      </c>
      <c r="F599">
        <v>70907.179999999993</v>
      </c>
      <c r="G599">
        <v>1027289.35</v>
      </c>
      <c r="H599">
        <v>15627.14</v>
      </c>
      <c r="I599">
        <v>80426.429999999993</v>
      </c>
      <c r="J599">
        <v>0.28999999999999998</v>
      </c>
      <c r="K599">
        <v>22871.439999999999</v>
      </c>
      <c r="L599">
        <v>0</v>
      </c>
      <c r="M599">
        <v>0</v>
      </c>
      <c r="N599">
        <v>2021</v>
      </c>
      <c r="O599">
        <v>8</v>
      </c>
    </row>
    <row r="600" spans="1:15" x14ac:dyDescent="0.3">
      <c r="A600">
        <v>33437</v>
      </c>
      <c r="B600">
        <v>3203908</v>
      </c>
      <c r="C600" t="s">
        <v>67</v>
      </c>
      <c r="D600">
        <v>1.22</v>
      </c>
      <c r="E600">
        <v>4025320.79</v>
      </c>
      <c r="F600">
        <v>298441.52</v>
      </c>
      <c r="G600">
        <v>4323762.3099999996</v>
      </c>
      <c r="H600">
        <v>65773.13</v>
      </c>
      <c r="I600">
        <v>416488.15</v>
      </c>
      <c r="J600">
        <v>1.22</v>
      </c>
      <c r="K600">
        <v>96263.7</v>
      </c>
      <c r="L600">
        <v>0</v>
      </c>
      <c r="M600">
        <v>0</v>
      </c>
      <c r="N600">
        <v>2021</v>
      </c>
      <c r="O600">
        <v>8</v>
      </c>
    </row>
    <row r="601" spans="1:15" x14ac:dyDescent="0.3">
      <c r="A601">
        <v>33438</v>
      </c>
      <c r="B601">
        <v>3204005</v>
      </c>
      <c r="C601" t="s">
        <v>68</v>
      </c>
      <c r="D601">
        <v>0.47</v>
      </c>
      <c r="E601">
        <v>1565584.51</v>
      </c>
      <c r="F601">
        <v>116074.07</v>
      </c>
      <c r="G601">
        <v>1681658.58</v>
      </c>
      <c r="H601">
        <v>25581.41</v>
      </c>
      <c r="I601">
        <v>117612.27</v>
      </c>
      <c r="J601">
        <v>0.47</v>
      </c>
      <c r="K601">
        <v>37440.239999999998</v>
      </c>
      <c r="L601">
        <v>0</v>
      </c>
      <c r="M601">
        <v>0</v>
      </c>
      <c r="N601">
        <v>2021</v>
      </c>
      <c r="O601">
        <v>8</v>
      </c>
    </row>
    <row r="602" spans="1:15" x14ac:dyDescent="0.3">
      <c r="A602">
        <v>33439</v>
      </c>
      <c r="B602">
        <v>3204054</v>
      </c>
      <c r="C602" t="s">
        <v>69</v>
      </c>
      <c r="D602">
        <v>0.32</v>
      </c>
      <c r="E602">
        <v>1061191.1399999999</v>
      </c>
      <c r="F602">
        <v>78677.84</v>
      </c>
      <c r="G602">
        <v>1139868.98</v>
      </c>
      <c r="H602">
        <v>17339.7</v>
      </c>
      <c r="I602">
        <v>176486.19</v>
      </c>
      <c r="J602">
        <v>0.32</v>
      </c>
      <c r="K602">
        <v>25377.9</v>
      </c>
      <c r="L602">
        <v>0</v>
      </c>
      <c r="M602">
        <v>0</v>
      </c>
      <c r="N602">
        <v>2021</v>
      </c>
      <c r="O602">
        <v>8</v>
      </c>
    </row>
    <row r="603" spans="1:15" x14ac:dyDescent="0.3">
      <c r="A603">
        <v>33440</v>
      </c>
      <c r="B603">
        <v>3204104</v>
      </c>
      <c r="C603" t="s">
        <v>70</v>
      </c>
      <c r="D603">
        <v>0.66</v>
      </c>
      <c r="E603">
        <v>2178062.1</v>
      </c>
      <c r="F603">
        <v>161483.79999999999</v>
      </c>
      <c r="G603">
        <v>2339545.9</v>
      </c>
      <c r="H603">
        <v>35589.199999999997</v>
      </c>
      <c r="I603">
        <v>148537.06</v>
      </c>
      <c r="J603">
        <v>0.66</v>
      </c>
      <c r="K603">
        <v>52087.35</v>
      </c>
      <c r="L603">
        <v>0</v>
      </c>
      <c r="M603">
        <v>0</v>
      </c>
      <c r="N603">
        <v>2021</v>
      </c>
      <c r="O603">
        <v>8</v>
      </c>
    </row>
    <row r="604" spans="1:15" x14ac:dyDescent="0.3">
      <c r="A604">
        <v>33441</v>
      </c>
      <c r="B604">
        <v>3204203</v>
      </c>
      <c r="C604" t="s">
        <v>71</v>
      </c>
      <c r="D604">
        <v>0.15</v>
      </c>
      <c r="E604">
        <v>501118.01</v>
      </c>
      <c r="F604">
        <v>37153.42</v>
      </c>
      <c r="G604">
        <v>538271.43000000005</v>
      </c>
      <c r="H604">
        <v>8188.19</v>
      </c>
      <c r="I604">
        <v>195648.2</v>
      </c>
      <c r="J604">
        <v>0.15</v>
      </c>
      <c r="K604">
        <v>11984</v>
      </c>
      <c r="L604">
        <v>0</v>
      </c>
      <c r="M604">
        <v>0</v>
      </c>
      <c r="N604">
        <v>2021</v>
      </c>
      <c r="O604">
        <v>8</v>
      </c>
    </row>
    <row r="605" spans="1:15" x14ac:dyDescent="0.3">
      <c r="A605">
        <v>33442</v>
      </c>
      <c r="B605">
        <v>3204252</v>
      </c>
      <c r="C605" t="s">
        <v>72</v>
      </c>
      <c r="D605">
        <v>0.23</v>
      </c>
      <c r="E605">
        <v>753314.71</v>
      </c>
      <c r="F605">
        <v>55851.54</v>
      </c>
      <c r="G605">
        <v>809166.25</v>
      </c>
      <c r="H605">
        <v>12309.05</v>
      </c>
      <c r="I605">
        <v>59554.35</v>
      </c>
      <c r="J605">
        <v>0.23</v>
      </c>
      <c r="K605">
        <v>18015.18</v>
      </c>
      <c r="L605">
        <v>0</v>
      </c>
      <c r="M605">
        <v>0</v>
      </c>
      <c r="N605">
        <v>2021</v>
      </c>
      <c r="O605">
        <v>8</v>
      </c>
    </row>
    <row r="606" spans="1:15" x14ac:dyDescent="0.3">
      <c r="A606">
        <v>33443</v>
      </c>
      <c r="B606">
        <v>1718402</v>
      </c>
      <c r="C606" t="s">
        <v>73</v>
      </c>
      <c r="D606">
        <v>0.33</v>
      </c>
      <c r="E606">
        <v>1093943.99</v>
      </c>
      <c r="F606">
        <v>81106.14</v>
      </c>
      <c r="G606">
        <v>1175050.1299999999</v>
      </c>
      <c r="H606">
        <v>17874.88</v>
      </c>
      <c r="I606">
        <v>149301.26</v>
      </c>
      <c r="J606">
        <v>0.33</v>
      </c>
      <c r="K606">
        <v>26161.17</v>
      </c>
      <c r="L606">
        <v>0</v>
      </c>
      <c r="M606">
        <v>0</v>
      </c>
      <c r="N606">
        <v>2021</v>
      </c>
      <c r="O606">
        <v>8</v>
      </c>
    </row>
    <row r="607" spans="1:15" x14ac:dyDescent="0.3">
      <c r="A607">
        <v>33444</v>
      </c>
      <c r="B607">
        <v>3204351</v>
      </c>
      <c r="C607" t="s">
        <v>74</v>
      </c>
      <c r="D607">
        <v>0.76</v>
      </c>
      <c r="E607">
        <v>2518691.35</v>
      </c>
      <c r="F607">
        <v>186738.4</v>
      </c>
      <c r="G607">
        <v>2705429.75</v>
      </c>
      <c r="H607">
        <v>41155.03</v>
      </c>
      <c r="I607">
        <v>282830.84000000003</v>
      </c>
      <c r="J607">
        <v>0.76</v>
      </c>
      <c r="K607">
        <v>60233.35</v>
      </c>
      <c r="L607">
        <v>0</v>
      </c>
      <c r="M607">
        <v>0</v>
      </c>
      <c r="N607">
        <v>2021</v>
      </c>
      <c r="O607">
        <v>8</v>
      </c>
    </row>
    <row r="608" spans="1:15" x14ac:dyDescent="0.3">
      <c r="A608">
        <v>33445</v>
      </c>
      <c r="B608">
        <v>3204401</v>
      </c>
      <c r="C608" t="s">
        <v>75</v>
      </c>
      <c r="D608">
        <v>0.26</v>
      </c>
      <c r="E608">
        <v>867949.55</v>
      </c>
      <c r="F608">
        <v>64350.68</v>
      </c>
      <c r="G608">
        <v>932300.23</v>
      </c>
      <c r="H608">
        <v>14182.16</v>
      </c>
      <c r="I608">
        <v>87047.4</v>
      </c>
      <c r="J608">
        <v>0.26</v>
      </c>
      <c r="K608">
        <v>20756.61</v>
      </c>
      <c r="L608">
        <v>0</v>
      </c>
      <c r="M608">
        <v>0</v>
      </c>
      <c r="N608">
        <v>2021</v>
      </c>
      <c r="O608">
        <v>8</v>
      </c>
    </row>
    <row r="609" spans="1:15" x14ac:dyDescent="0.3">
      <c r="A609">
        <v>33446</v>
      </c>
      <c r="B609">
        <v>3204500</v>
      </c>
      <c r="C609" t="s">
        <v>76</v>
      </c>
      <c r="D609">
        <v>0.49</v>
      </c>
      <c r="E609">
        <v>1624539.55</v>
      </c>
      <c r="F609">
        <v>120445.06</v>
      </c>
      <c r="G609">
        <v>1744984.61</v>
      </c>
      <c r="H609">
        <v>26544.73</v>
      </c>
      <c r="I609">
        <v>76423.08</v>
      </c>
      <c r="J609">
        <v>0.49</v>
      </c>
      <c r="K609">
        <v>38850.120000000003</v>
      </c>
      <c r="L609">
        <v>0</v>
      </c>
      <c r="M609">
        <v>0</v>
      </c>
      <c r="N609">
        <v>2021</v>
      </c>
      <c r="O609">
        <v>8</v>
      </c>
    </row>
    <row r="610" spans="1:15" x14ac:dyDescent="0.3">
      <c r="A610">
        <v>33447</v>
      </c>
      <c r="B610">
        <v>3204559</v>
      </c>
      <c r="C610" t="s">
        <v>77</v>
      </c>
      <c r="D610">
        <v>2.2400000000000002</v>
      </c>
      <c r="E610">
        <v>7356281.9400000004</v>
      </c>
      <c r="F610">
        <v>545402.44999999995</v>
      </c>
      <c r="G610">
        <v>7901684.3899999997</v>
      </c>
      <c r="H610">
        <v>120200.53</v>
      </c>
      <c r="I610">
        <v>488610.11</v>
      </c>
      <c r="J610">
        <v>2.2400000000000002</v>
      </c>
      <c r="K610">
        <v>175922.11</v>
      </c>
      <c r="L610">
        <v>0</v>
      </c>
      <c r="M610">
        <v>0</v>
      </c>
      <c r="N610">
        <v>2021</v>
      </c>
      <c r="O610">
        <v>8</v>
      </c>
    </row>
    <row r="611" spans="1:15" x14ac:dyDescent="0.3">
      <c r="A611">
        <v>33448</v>
      </c>
      <c r="B611">
        <v>3204609</v>
      </c>
      <c r="C611" t="s">
        <v>78</v>
      </c>
      <c r="D611">
        <v>0.69</v>
      </c>
      <c r="E611">
        <v>2263219.41</v>
      </c>
      <c r="F611">
        <v>167797.48</v>
      </c>
      <c r="G611">
        <v>2431016.89</v>
      </c>
      <c r="H611">
        <v>36980.660000000003</v>
      </c>
      <c r="I611">
        <v>247412.77</v>
      </c>
      <c r="J611">
        <v>0.69</v>
      </c>
      <c r="K611">
        <v>54123.86</v>
      </c>
      <c r="L611">
        <v>0</v>
      </c>
      <c r="M611">
        <v>0</v>
      </c>
      <c r="N611">
        <v>2021</v>
      </c>
      <c r="O611">
        <v>8</v>
      </c>
    </row>
    <row r="612" spans="1:15" x14ac:dyDescent="0.3">
      <c r="A612">
        <v>33449</v>
      </c>
      <c r="B612">
        <v>3204658</v>
      </c>
      <c r="C612" t="s">
        <v>79</v>
      </c>
      <c r="D612">
        <v>0.45</v>
      </c>
      <c r="E612">
        <v>1483702.47</v>
      </c>
      <c r="F612">
        <v>110003.25</v>
      </c>
      <c r="G612">
        <v>1593705.72</v>
      </c>
      <c r="H612">
        <v>24243.47</v>
      </c>
      <c r="I612">
        <v>77961.73</v>
      </c>
      <c r="J612">
        <v>0.45</v>
      </c>
      <c r="K612">
        <v>35482.06</v>
      </c>
      <c r="L612">
        <v>0</v>
      </c>
      <c r="M612">
        <v>0</v>
      </c>
      <c r="N612">
        <v>2021</v>
      </c>
      <c r="O612">
        <v>8</v>
      </c>
    </row>
    <row r="613" spans="1:15" x14ac:dyDescent="0.3">
      <c r="A613">
        <v>33450</v>
      </c>
      <c r="B613">
        <v>3204708</v>
      </c>
      <c r="C613" t="s">
        <v>80</v>
      </c>
      <c r="D613">
        <v>0.72</v>
      </c>
      <c r="E613">
        <v>2387680.13</v>
      </c>
      <c r="F613">
        <v>177025.09</v>
      </c>
      <c r="G613">
        <v>2564705.2200000002</v>
      </c>
      <c r="H613">
        <v>39014.33</v>
      </c>
      <c r="I613">
        <v>310350.23</v>
      </c>
      <c r="J613">
        <v>0.72</v>
      </c>
      <c r="K613">
        <v>57100.28</v>
      </c>
      <c r="L613">
        <v>0</v>
      </c>
      <c r="M613">
        <v>0</v>
      </c>
      <c r="N613">
        <v>2021</v>
      </c>
      <c r="O613">
        <v>8</v>
      </c>
    </row>
    <row r="614" spans="1:15" x14ac:dyDescent="0.3">
      <c r="A614">
        <v>33451</v>
      </c>
      <c r="B614">
        <v>3204807</v>
      </c>
      <c r="C614" t="s">
        <v>81</v>
      </c>
      <c r="D614">
        <v>0.22</v>
      </c>
      <c r="E614">
        <v>723837.17</v>
      </c>
      <c r="F614">
        <v>53666.05</v>
      </c>
      <c r="G614">
        <v>777503.22</v>
      </c>
      <c r="H614">
        <v>11827.39</v>
      </c>
      <c r="I614">
        <v>69915.509999999995</v>
      </c>
      <c r="J614">
        <v>0.22</v>
      </c>
      <c r="K614">
        <v>17310.23</v>
      </c>
      <c r="L614">
        <v>0</v>
      </c>
      <c r="M614">
        <v>0</v>
      </c>
      <c r="N614">
        <v>2021</v>
      </c>
      <c r="O614">
        <v>8</v>
      </c>
    </row>
    <row r="615" spans="1:15" x14ac:dyDescent="0.3">
      <c r="A615">
        <v>33452</v>
      </c>
      <c r="B615">
        <v>3204906</v>
      </c>
      <c r="C615" t="s">
        <v>82</v>
      </c>
      <c r="D615">
        <v>1.8</v>
      </c>
      <c r="E615">
        <v>5898781.7300000004</v>
      </c>
      <c r="F615">
        <v>437341.87</v>
      </c>
      <c r="G615">
        <v>6336123.5999999996</v>
      </c>
      <c r="H615">
        <v>96385.2</v>
      </c>
      <c r="I615">
        <v>1028955.93</v>
      </c>
      <c r="J615">
        <v>1.8</v>
      </c>
      <c r="K615">
        <v>141066.66</v>
      </c>
      <c r="L615">
        <v>0</v>
      </c>
      <c r="M615">
        <v>0</v>
      </c>
      <c r="N615">
        <v>2021</v>
      </c>
      <c r="O615">
        <v>8</v>
      </c>
    </row>
    <row r="616" spans="1:15" x14ac:dyDescent="0.3">
      <c r="A616">
        <v>33453</v>
      </c>
      <c r="B616">
        <v>3204955</v>
      </c>
      <c r="C616" t="s">
        <v>83</v>
      </c>
      <c r="D616">
        <v>0.32</v>
      </c>
      <c r="E616">
        <v>1074292.3</v>
      </c>
      <c r="F616">
        <v>79649.17</v>
      </c>
      <c r="G616">
        <v>1153941.47</v>
      </c>
      <c r="H616">
        <v>17553.77</v>
      </c>
      <c r="I616">
        <v>86489.19</v>
      </c>
      <c r="J616">
        <v>0.32</v>
      </c>
      <c r="K616">
        <v>25691.21</v>
      </c>
      <c r="L616">
        <v>0</v>
      </c>
      <c r="M616">
        <v>0</v>
      </c>
      <c r="N616">
        <v>2021</v>
      </c>
      <c r="O616">
        <v>8</v>
      </c>
    </row>
    <row r="617" spans="1:15" x14ac:dyDescent="0.3">
      <c r="A617">
        <v>33454</v>
      </c>
      <c r="B617">
        <v>3205002</v>
      </c>
      <c r="C617" t="s">
        <v>84</v>
      </c>
      <c r="D617">
        <v>13.06</v>
      </c>
      <c r="E617">
        <v>42798101.539999999</v>
      </c>
      <c r="F617">
        <v>3173096.15</v>
      </c>
      <c r="G617">
        <v>45971197.689999998</v>
      </c>
      <c r="H617">
        <v>699314.47</v>
      </c>
      <c r="I617">
        <v>4214561.3899999997</v>
      </c>
      <c r="J617">
        <v>13.06</v>
      </c>
      <c r="K617">
        <v>1023496.97</v>
      </c>
      <c r="L617">
        <v>0</v>
      </c>
      <c r="M617">
        <v>0</v>
      </c>
      <c r="N617">
        <v>2021</v>
      </c>
      <c r="O617">
        <v>8</v>
      </c>
    </row>
    <row r="618" spans="1:15" x14ac:dyDescent="0.3">
      <c r="A618">
        <v>33455</v>
      </c>
      <c r="B618">
        <v>3205010</v>
      </c>
      <c r="C618" t="s">
        <v>85</v>
      </c>
      <c r="D618">
        <v>0.7</v>
      </c>
      <c r="E618">
        <v>2309073.37</v>
      </c>
      <c r="F618">
        <v>171197.14</v>
      </c>
      <c r="G618">
        <v>2480270.5099999998</v>
      </c>
      <c r="H618">
        <v>37729.910000000003</v>
      </c>
      <c r="I618">
        <v>138137.01999999999</v>
      </c>
      <c r="J618">
        <v>0.7</v>
      </c>
      <c r="K618">
        <v>55220.43</v>
      </c>
      <c r="L618">
        <v>0</v>
      </c>
      <c r="M618">
        <v>0</v>
      </c>
      <c r="N618">
        <v>2021</v>
      </c>
      <c r="O618">
        <v>8</v>
      </c>
    </row>
    <row r="619" spans="1:15" x14ac:dyDescent="0.3">
      <c r="A619">
        <v>33456</v>
      </c>
      <c r="B619">
        <v>3205036</v>
      </c>
      <c r="C619" t="s">
        <v>86</v>
      </c>
      <c r="D619">
        <v>0.47</v>
      </c>
      <c r="E619">
        <v>1559033.89</v>
      </c>
      <c r="F619">
        <v>115588.4</v>
      </c>
      <c r="G619">
        <v>1674622.29</v>
      </c>
      <c r="H619">
        <v>25474.38</v>
      </c>
      <c r="I619">
        <v>173992.17</v>
      </c>
      <c r="J619">
        <v>0.47</v>
      </c>
      <c r="K619">
        <v>37283.58</v>
      </c>
      <c r="L619">
        <v>0</v>
      </c>
      <c r="M619">
        <v>0</v>
      </c>
      <c r="N619">
        <v>2021</v>
      </c>
      <c r="O619">
        <v>8</v>
      </c>
    </row>
    <row r="620" spans="1:15" x14ac:dyDescent="0.3">
      <c r="A620">
        <v>33457</v>
      </c>
      <c r="B620">
        <v>3205069</v>
      </c>
      <c r="C620" t="s">
        <v>87</v>
      </c>
      <c r="D620">
        <v>0.72</v>
      </c>
      <c r="E620">
        <v>2361477.86</v>
      </c>
      <c r="F620">
        <v>175082.46</v>
      </c>
      <c r="G620">
        <v>2536560.3199999998</v>
      </c>
      <c r="H620">
        <v>38586.19</v>
      </c>
      <c r="I620">
        <v>264453.45</v>
      </c>
      <c r="J620">
        <v>0.72</v>
      </c>
      <c r="K620">
        <v>56473.66</v>
      </c>
      <c r="L620">
        <v>0</v>
      </c>
      <c r="M620">
        <v>0</v>
      </c>
      <c r="N620">
        <v>2021</v>
      </c>
      <c r="O620">
        <v>8</v>
      </c>
    </row>
    <row r="621" spans="1:15" x14ac:dyDescent="0.3">
      <c r="A621">
        <v>33458</v>
      </c>
      <c r="B621">
        <v>2112803</v>
      </c>
      <c r="C621" t="s">
        <v>88</v>
      </c>
      <c r="D621">
        <v>2.25</v>
      </c>
      <c r="E621">
        <v>7379208.9000000004</v>
      </c>
      <c r="F621">
        <v>547102.30000000005</v>
      </c>
      <c r="G621">
        <v>7926311.2000000002</v>
      </c>
      <c r="H621">
        <v>120575.15</v>
      </c>
      <c r="I621">
        <v>533502.31999999995</v>
      </c>
      <c r="J621">
        <v>2.25</v>
      </c>
      <c r="K621">
        <v>176470.39</v>
      </c>
      <c r="L621">
        <v>0</v>
      </c>
      <c r="M621">
        <v>0</v>
      </c>
      <c r="N621">
        <v>2021</v>
      </c>
      <c r="O621">
        <v>8</v>
      </c>
    </row>
    <row r="622" spans="1:15" x14ac:dyDescent="0.3">
      <c r="A622">
        <v>33459</v>
      </c>
      <c r="B622">
        <v>3205150</v>
      </c>
      <c r="C622" t="s">
        <v>89</v>
      </c>
      <c r="D622">
        <v>0.32</v>
      </c>
      <c r="E622">
        <v>1071017.01</v>
      </c>
      <c r="F622">
        <v>79406.3</v>
      </c>
      <c r="G622">
        <v>1150423.31</v>
      </c>
      <c r="H622">
        <v>17500.259999999998</v>
      </c>
      <c r="I622">
        <v>48897.120000000003</v>
      </c>
      <c r="J622">
        <v>0.32</v>
      </c>
      <c r="K622">
        <v>25612.880000000001</v>
      </c>
      <c r="L622">
        <v>0</v>
      </c>
      <c r="M622">
        <v>0</v>
      </c>
      <c r="N622">
        <v>2021</v>
      </c>
      <c r="O622">
        <v>8</v>
      </c>
    </row>
    <row r="623" spans="1:15" x14ac:dyDescent="0.3">
      <c r="A623">
        <v>33460</v>
      </c>
      <c r="B623">
        <v>3205176</v>
      </c>
      <c r="C623" t="s">
        <v>90</v>
      </c>
      <c r="D623">
        <v>0.61</v>
      </c>
      <c r="E623">
        <v>2017573.32</v>
      </c>
      <c r="F623">
        <v>149585.01999999999</v>
      </c>
      <c r="G623">
        <v>2167158.34</v>
      </c>
      <c r="H623">
        <v>32966.839999999997</v>
      </c>
      <c r="I623">
        <v>172833.62</v>
      </c>
      <c r="J623">
        <v>0.61</v>
      </c>
      <c r="K623">
        <v>48249.34</v>
      </c>
      <c r="L623">
        <v>0</v>
      </c>
      <c r="M623">
        <v>0</v>
      </c>
      <c r="N623">
        <v>2021</v>
      </c>
      <c r="O623">
        <v>8</v>
      </c>
    </row>
    <row r="624" spans="1:15" x14ac:dyDescent="0.3">
      <c r="A624">
        <v>33461</v>
      </c>
      <c r="B624">
        <v>3205200</v>
      </c>
      <c r="C624" t="s">
        <v>91</v>
      </c>
      <c r="D624">
        <v>5.55</v>
      </c>
      <c r="E624">
        <v>18200738.52</v>
      </c>
      <c r="F624">
        <v>1349421.83</v>
      </c>
      <c r="G624">
        <v>19550160.350000001</v>
      </c>
      <c r="H624">
        <v>297397.3</v>
      </c>
      <c r="I624">
        <v>4909636.5199999996</v>
      </c>
      <c r="J624">
        <v>5.55</v>
      </c>
      <c r="K624">
        <v>435262.31</v>
      </c>
      <c r="L624">
        <v>0</v>
      </c>
      <c r="M624">
        <v>0</v>
      </c>
      <c r="N624">
        <v>2021</v>
      </c>
      <c r="O624">
        <v>8</v>
      </c>
    </row>
    <row r="625" spans="1:15" x14ac:dyDescent="0.3">
      <c r="A625">
        <v>33462</v>
      </c>
      <c r="B625">
        <v>3205309</v>
      </c>
      <c r="C625" t="s">
        <v>92</v>
      </c>
      <c r="D625">
        <v>15.84</v>
      </c>
      <c r="E625">
        <v>51890282.530000001</v>
      </c>
      <c r="F625">
        <v>3847200.05</v>
      </c>
      <c r="G625">
        <v>55737482.579999998</v>
      </c>
      <c r="H625">
        <v>847879.33</v>
      </c>
      <c r="I625">
        <v>4724103.25</v>
      </c>
      <c r="J625">
        <v>15.84</v>
      </c>
      <c r="K625">
        <v>1240932.3700000001</v>
      </c>
      <c r="L625">
        <v>0</v>
      </c>
      <c r="M625">
        <v>0</v>
      </c>
      <c r="N625">
        <v>2021</v>
      </c>
      <c r="O625">
        <v>8</v>
      </c>
    </row>
    <row r="626" spans="1:15" x14ac:dyDescent="0.3">
      <c r="A626">
        <v>33541</v>
      </c>
      <c r="B626">
        <v>3200102</v>
      </c>
      <c r="C626" t="s">
        <v>15</v>
      </c>
      <c r="D626">
        <v>0.79</v>
      </c>
      <c r="E626">
        <v>2768531.89</v>
      </c>
      <c r="F626">
        <v>166154.1</v>
      </c>
      <c r="G626">
        <v>2934685.99</v>
      </c>
      <c r="H626">
        <v>53970.400000000001</v>
      </c>
      <c r="I626">
        <v>167293.43</v>
      </c>
      <c r="J626">
        <v>0.79</v>
      </c>
      <c r="K626">
        <v>85008.77</v>
      </c>
      <c r="L626">
        <v>0</v>
      </c>
      <c r="M626">
        <v>0</v>
      </c>
      <c r="N626">
        <v>2021</v>
      </c>
      <c r="O626">
        <v>9</v>
      </c>
    </row>
    <row r="627" spans="1:15" x14ac:dyDescent="0.3">
      <c r="A627">
        <v>33542</v>
      </c>
      <c r="B627">
        <v>3200169</v>
      </c>
      <c r="C627" t="s">
        <v>16</v>
      </c>
      <c r="D627">
        <v>0.28999999999999998</v>
      </c>
      <c r="E627">
        <v>1033862.79</v>
      </c>
      <c r="F627">
        <v>62047.5</v>
      </c>
      <c r="G627">
        <v>1095910.29</v>
      </c>
      <c r="H627">
        <v>20154.36</v>
      </c>
      <c r="I627">
        <v>55234.11</v>
      </c>
      <c r="J627">
        <v>0.28999999999999998</v>
      </c>
      <c r="K627">
        <v>31745.13</v>
      </c>
      <c r="L627">
        <v>0</v>
      </c>
      <c r="M627">
        <v>0</v>
      </c>
      <c r="N627">
        <v>2021</v>
      </c>
      <c r="O627">
        <v>9</v>
      </c>
    </row>
    <row r="628" spans="1:15" x14ac:dyDescent="0.3">
      <c r="A628">
        <v>33543</v>
      </c>
      <c r="B628">
        <v>3200136</v>
      </c>
      <c r="C628" t="s">
        <v>17</v>
      </c>
      <c r="D628">
        <v>0.42</v>
      </c>
      <c r="E628">
        <v>1474468.72</v>
      </c>
      <c r="F628">
        <v>88490.6</v>
      </c>
      <c r="G628">
        <v>1562959.32</v>
      </c>
      <c r="H628">
        <v>28743.64</v>
      </c>
      <c r="I628">
        <v>58244.27</v>
      </c>
      <c r="J628">
        <v>0.42</v>
      </c>
      <c r="K628">
        <v>45274.1</v>
      </c>
      <c r="L628">
        <v>0</v>
      </c>
      <c r="M628">
        <v>0</v>
      </c>
      <c r="N628">
        <v>2021</v>
      </c>
      <c r="O628">
        <v>9</v>
      </c>
    </row>
    <row r="629" spans="1:15" x14ac:dyDescent="0.3">
      <c r="A629">
        <v>33544</v>
      </c>
      <c r="B629">
        <v>3200201</v>
      </c>
      <c r="C629" t="s">
        <v>18</v>
      </c>
      <c r="D629">
        <v>0.48</v>
      </c>
      <c r="E629">
        <v>1679159.68</v>
      </c>
      <c r="F629">
        <v>100775.15</v>
      </c>
      <c r="G629">
        <v>1779934.83</v>
      </c>
      <c r="H629">
        <v>32733.93</v>
      </c>
      <c r="I629">
        <v>154837.94</v>
      </c>
      <c r="J629">
        <v>0.48</v>
      </c>
      <c r="K629">
        <v>51559.199999999997</v>
      </c>
      <c r="L629">
        <v>0</v>
      </c>
      <c r="M629">
        <v>0</v>
      </c>
      <c r="N629">
        <v>2021</v>
      </c>
      <c r="O629">
        <v>9</v>
      </c>
    </row>
    <row r="630" spans="1:15" x14ac:dyDescent="0.3">
      <c r="A630">
        <v>33545</v>
      </c>
      <c r="B630">
        <v>3200300</v>
      </c>
      <c r="C630" t="s">
        <v>19</v>
      </c>
      <c r="D630">
        <v>0.48</v>
      </c>
      <c r="E630">
        <v>1665282.33</v>
      </c>
      <c r="F630">
        <v>99942.3</v>
      </c>
      <c r="G630">
        <v>1765224.63</v>
      </c>
      <c r="H630">
        <v>32463.4</v>
      </c>
      <c r="I630">
        <v>139632.84</v>
      </c>
      <c r="J630">
        <v>0.48</v>
      </c>
      <c r="K630">
        <v>51133.1</v>
      </c>
      <c r="L630">
        <v>0</v>
      </c>
      <c r="M630">
        <v>0</v>
      </c>
      <c r="N630">
        <v>2021</v>
      </c>
      <c r="O630">
        <v>9</v>
      </c>
    </row>
    <row r="631" spans="1:15" x14ac:dyDescent="0.3">
      <c r="A631">
        <v>33546</v>
      </c>
      <c r="B631">
        <v>3200359</v>
      </c>
      <c r="C631" t="s">
        <v>20</v>
      </c>
      <c r="D631">
        <v>0.22</v>
      </c>
      <c r="E631">
        <v>794478.46</v>
      </c>
      <c r="F631">
        <v>47680.800000000003</v>
      </c>
      <c r="G631">
        <v>842159.26</v>
      </c>
      <c r="H631">
        <v>15487.75</v>
      </c>
      <c r="I631">
        <v>38263.19</v>
      </c>
      <c r="J631">
        <v>0.22</v>
      </c>
      <c r="K631">
        <v>24394.75</v>
      </c>
      <c r="L631">
        <v>0</v>
      </c>
      <c r="M631">
        <v>0</v>
      </c>
      <c r="N631">
        <v>2021</v>
      </c>
      <c r="O631">
        <v>9</v>
      </c>
    </row>
    <row r="632" spans="1:15" x14ac:dyDescent="0.3">
      <c r="A632">
        <v>33547</v>
      </c>
      <c r="B632">
        <v>3200409</v>
      </c>
      <c r="C632" t="s">
        <v>21</v>
      </c>
      <c r="D632">
        <v>2.59</v>
      </c>
      <c r="E632">
        <v>9013340.6300000008</v>
      </c>
      <c r="F632">
        <v>540937.77</v>
      </c>
      <c r="G632">
        <v>9554278.4000000004</v>
      </c>
      <c r="H632">
        <v>175708.15</v>
      </c>
      <c r="I632">
        <v>203807.13</v>
      </c>
      <c r="J632">
        <v>2.59</v>
      </c>
      <c r="K632">
        <v>276757.88</v>
      </c>
      <c r="L632">
        <v>0</v>
      </c>
      <c r="M632">
        <v>0</v>
      </c>
      <c r="N632">
        <v>2021</v>
      </c>
      <c r="O632">
        <v>9</v>
      </c>
    </row>
    <row r="633" spans="1:15" x14ac:dyDescent="0.3">
      <c r="A633">
        <v>33548</v>
      </c>
      <c r="B633">
        <v>3200508</v>
      </c>
      <c r="C633" t="s">
        <v>22</v>
      </c>
      <c r="D633">
        <v>0.19</v>
      </c>
      <c r="E633">
        <v>676520.95999999996</v>
      </c>
      <c r="F633">
        <v>40601.56</v>
      </c>
      <c r="G633">
        <v>717122.52</v>
      </c>
      <c r="H633">
        <v>13188.26</v>
      </c>
      <c r="I633">
        <v>77636.5</v>
      </c>
      <c r="J633">
        <v>0.19</v>
      </c>
      <c r="K633">
        <v>20772.82</v>
      </c>
      <c r="L633">
        <v>0</v>
      </c>
      <c r="M633">
        <v>0</v>
      </c>
      <c r="N633">
        <v>2021</v>
      </c>
      <c r="O633">
        <v>9</v>
      </c>
    </row>
    <row r="634" spans="1:15" x14ac:dyDescent="0.3">
      <c r="A634">
        <v>33549</v>
      </c>
      <c r="B634">
        <v>3200607</v>
      </c>
      <c r="C634" t="s">
        <v>23</v>
      </c>
      <c r="D634">
        <v>5.18</v>
      </c>
      <c r="E634">
        <v>17971171.850000001</v>
      </c>
      <c r="F634">
        <v>1078544.1299999999</v>
      </c>
      <c r="G634">
        <v>19049715.98</v>
      </c>
      <c r="H634">
        <v>350334.19</v>
      </c>
      <c r="I634">
        <v>750565.29</v>
      </c>
      <c r="J634">
        <v>5.18</v>
      </c>
      <c r="K634">
        <v>551811.31999999995</v>
      </c>
      <c r="L634">
        <v>0</v>
      </c>
      <c r="M634">
        <v>0</v>
      </c>
      <c r="N634">
        <v>2021</v>
      </c>
      <c r="O634">
        <v>9</v>
      </c>
    </row>
    <row r="635" spans="1:15" x14ac:dyDescent="0.3">
      <c r="A635">
        <v>33550</v>
      </c>
      <c r="B635">
        <v>3200706</v>
      </c>
      <c r="C635" t="s">
        <v>24</v>
      </c>
      <c r="D635">
        <v>0.36</v>
      </c>
      <c r="E635">
        <v>1280185.8</v>
      </c>
      <c r="F635">
        <v>76830.64</v>
      </c>
      <c r="G635">
        <v>1357016.44</v>
      </c>
      <c r="H635">
        <v>24956.240000000002</v>
      </c>
      <c r="I635">
        <v>51800.68</v>
      </c>
      <c r="J635">
        <v>0.36</v>
      </c>
      <c r="K635">
        <v>39308.57</v>
      </c>
      <c r="L635">
        <v>0</v>
      </c>
      <c r="M635">
        <v>0</v>
      </c>
      <c r="N635">
        <v>2021</v>
      </c>
      <c r="O635">
        <v>9</v>
      </c>
    </row>
    <row r="636" spans="1:15" x14ac:dyDescent="0.3">
      <c r="A636">
        <v>33551</v>
      </c>
      <c r="B636">
        <v>3200805</v>
      </c>
      <c r="C636" t="s">
        <v>25</v>
      </c>
      <c r="D636">
        <v>0.65</v>
      </c>
      <c r="E636">
        <v>2286293.88</v>
      </c>
      <c r="F636">
        <v>137212.46</v>
      </c>
      <c r="G636">
        <v>2423506.34</v>
      </c>
      <c r="H636">
        <v>44569.54</v>
      </c>
      <c r="I636">
        <v>275249.38</v>
      </c>
      <c r="J636">
        <v>0.65</v>
      </c>
      <c r="K636">
        <v>70201.48</v>
      </c>
      <c r="L636">
        <v>0</v>
      </c>
      <c r="M636">
        <v>0</v>
      </c>
      <c r="N636">
        <v>2021</v>
      </c>
      <c r="O636">
        <v>9</v>
      </c>
    </row>
    <row r="637" spans="1:15" x14ac:dyDescent="0.3">
      <c r="A637">
        <v>33552</v>
      </c>
      <c r="B637">
        <v>3200904</v>
      </c>
      <c r="C637" t="s">
        <v>26</v>
      </c>
      <c r="D637">
        <v>0.9</v>
      </c>
      <c r="E637">
        <v>3143220.39</v>
      </c>
      <c r="F637">
        <v>188641.11</v>
      </c>
      <c r="G637">
        <v>3331861.5</v>
      </c>
      <c r="H637">
        <v>61274.67</v>
      </c>
      <c r="I637">
        <v>294819.73</v>
      </c>
      <c r="J637">
        <v>0.9</v>
      </c>
      <c r="K637">
        <v>96513.72</v>
      </c>
      <c r="L637">
        <v>0</v>
      </c>
      <c r="M637">
        <v>0</v>
      </c>
      <c r="N637">
        <v>2021</v>
      </c>
      <c r="O637">
        <v>9</v>
      </c>
    </row>
    <row r="638" spans="1:15" x14ac:dyDescent="0.3">
      <c r="A638">
        <v>33553</v>
      </c>
      <c r="B638">
        <v>3107109</v>
      </c>
      <c r="C638" t="s">
        <v>27</v>
      </c>
      <c r="D638">
        <v>0.41</v>
      </c>
      <c r="E638">
        <v>1436306.01</v>
      </c>
      <c r="F638">
        <v>86200.23</v>
      </c>
      <c r="G638">
        <v>1522506.24</v>
      </c>
      <c r="H638">
        <v>27999.68</v>
      </c>
      <c r="I638">
        <v>73500.72</v>
      </c>
      <c r="J638">
        <v>0.41</v>
      </c>
      <c r="K638">
        <v>44102.3</v>
      </c>
      <c r="L638">
        <v>0</v>
      </c>
      <c r="M638">
        <v>0</v>
      </c>
      <c r="N638">
        <v>2021</v>
      </c>
      <c r="O638">
        <v>9</v>
      </c>
    </row>
    <row r="639" spans="1:15" x14ac:dyDescent="0.3">
      <c r="A639">
        <v>33554</v>
      </c>
      <c r="B639">
        <v>3201100</v>
      </c>
      <c r="C639" t="s">
        <v>28</v>
      </c>
      <c r="D639">
        <v>0.17</v>
      </c>
      <c r="E639">
        <v>589787.47</v>
      </c>
      <c r="F639">
        <v>35396.25</v>
      </c>
      <c r="G639">
        <v>625183.72</v>
      </c>
      <c r="H639">
        <v>11497.45</v>
      </c>
      <c r="I639">
        <v>150703.84</v>
      </c>
      <c r="J639">
        <v>0.17</v>
      </c>
      <c r="K639">
        <v>18109.64</v>
      </c>
      <c r="L639">
        <v>0</v>
      </c>
      <c r="M639">
        <v>0</v>
      </c>
      <c r="N639">
        <v>2021</v>
      </c>
      <c r="O639">
        <v>9</v>
      </c>
    </row>
    <row r="640" spans="1:15" x14ac:dyDescent="0.3">
      <c r="A640">
        <v>33555</v>
      </c>
      <c r="B640">
        <v>3201159</v>
      </c>
      <c r="C640" t="s">
        <v>29</v>
      </c>
      <c r="D640">
        <v>0.43</v>
      </c>
      <c r="E640">
        <v>1519570.12</v>
      </c>
      <c r="F640">
        <v>91197.37</v>
      </c>
      <c r="G640">
        <v>1610767.49</v>
      </c>
      <c r="H640">
        <v>29622.85</v>
      </c>
      <c r="I640">
        <v>63895.43</v>
      </c>
      <c r="J640">
        <v>0.43</v>
      </c>
      <c r="K640">
        <v>46658.95</v>
      </c>
      <c r="L640">
        <v>0</v>
      </c>
      <c r="M640">
        <v>0</v>
      </c>
      <c r="N640">
        <v>2021</v>
      </c>
      <c r="O640">
        <v>9</v>
      </c>
    </row>
    <row r="641" spans="1:15" x14ac:dyDescent="0.3">
      <c r="A641">
        <v>33556</v>
      </c>
      <c r="B641">
        <v>3201209</v>
      </c>
      <c r="C641" t="s">
        <v>30</v>
      </c>
      <c r="D641">
        <v>3.11</v>
      </c>
      <c r="E641">
        <v>10796580.460000001</v>
      </c>
      <c r="F641">
        <v>647959.31000000006</v>
      </c>
      <c r="G641">
        <v>11444539.77</v>
      </c>
      <c r="H641">
        <v>210471.04000000001</v>
      </c>
      <c r="I641">
        <v>1748781.37</v>
      </c>
      <c r="J641">
        <v>3.11</v>
      </c>
      <c r="K641">
        <v>331512.90000000002</v>
      </c>
      <c r="L641">
        <v>0</v>
      </c>
      <c r="M641">
        <v>0</v>
      </c>
      <c r="N641">
        <v>2021</v>
      </c>
      <c r="O641">
        <v>9</v>
      </c>
    </row>
    <row r="642" spans="1:15" x14ac:dyDescent="0.3">
      <c r="A642">
        <v>33557</v>
      </c>
      <c r="B642">
        <v>3201308</v>
      </c>
      <c r="C642" t="s">
        <v>31</v>
      </c>
      <c r="D642">
        <v>6.51</v>
      </c>
      <c r="E642">
        <v>22599268.960000001</v>
      </c>
      <c r="F642">
        <v>1356300.44</v>
      </c>
      <c r="G642">
        <v>23955569.399999999</v>
      </c>
      <c r="H642">
        <v>440555.39</v>
      </c>
      <c r="I642">
        <v>2532971.2200000002</v>
      </c>
      <c r="J642">
        <v>6.51</v>
      </c>
      <c r="K642">
        <v>693918.71999999997</v>
      </c>
      <c r="L642">
        <v>0</v>
      </c>
      <c r="M642">
        <v>0</v>
      </c>
      <c r="N642">
        <v>2021</v>
      </c>
      <c r="O642">
        <v>9</v>
      </c>
    </row>
    <row r="643" spans="1:15" x14ac:dyDescent="0.3">
      <c r="A643">
        <v>33558</v>
      </c>
      <c r="B643">
        <v>3201407</v>
      </c>
      <c r="C643" t="s">
        <v>32</v>
      </c>
      <c r="D643">
        <v>0.93</v>
      </c>
      <c r="E643">
        <v>3247300.54</v>
      </c>
      <c r="F643">
        <v>194887.53</v>
      </c>
      <c r="G643">
        <v>3442188.07</v>
      </c>
      <c r="H643">
        <v>63303.63</v>
      </c>
      <c r="I643">
        <v>366691.06</v>
      </c>
      <c r="J643">
        <v>0.93</v>
      </c>
      <c r="K643">
        <v>99709.54</v>
      </c>
      <c r="L643">
        <v>0</v>
      </c>
      <c r="M643">
        <v>0</v>
      </c>
      <c r="N643">
        <v>2021</v>
      </c>
      <c r="O643">
        <v>9</v>
      </c>
    </row>
    <row r="644" spans="1:15" x14ac:dyDescent="0.3">
      <c r="A644">
        <v>33559</v>
      </c>
      <c r="B644">
        <v>3201506</v>
      </c>
      <c r="C644" t="s">
        <v>33</v>
      </c>
      <c r="D644">
        <v>2.2000000000000002</v>
      </c>
      <c r="E644">
        <v>7636013.3499999996</v>
      </c>
      <c r="F644">
        <v>458277.13</v>
      </c>
      <c r="G644">
        <v>8094290.4800000004</v>
      </c>
      <c r="H644">
        <v>148858.22</v>
      </c>
      <c r="I644">
        <v>1082480.17</v>
      </c>
      <c r="J644">
        <v>2.2000000000000002</v>
      </c>
      <c r="K644">
        <v>234466.55</v>
      </c>
      <c r="L644">
        <v>0</v>
      </c>
      <c r="M644">
        <v>0</v>
      </c>
      <c r="N644">
        <v>2021</v>
      </c>
      <c r="O644">
        <v>9</v>
      </c>
    </row>
    <row r="645" spans="1:15" x14ac:dyDescent="0.3">
      <c r="A645">
        <v>33560</v>
      </c>
      <c r="B645">
        <v>3201605</v>
      </c>
      <c r="C645" t="s">
        <v>34</v>
      </c>
      <c r="D645">
        <v>0.57999999999999996</v>
      </c>
      <c r="E645">
        <v>2029562.85</v>
      </c>
      <c r="F645">
        <v>121804.7</v>
      </c>
      <c r="G645">
        <v>2151367.5499999998</v>
      </c>
      <c r="H645">
        <v>39564.769999999997</v>
      </c>
      <c r="I645">
        <v>118872.5</v>
      </c>
      <c r="J645">
        <v>0.57999999999999996</v>
      </c>
      <c r="K645">
        <v>62318.46</v>
      </c>
      <c r="L645">
        <v>0</v>
      </c>
      <c r="M645">
        <v>0</v>
      </c>
      <c r="N645">
        <v>2021</v>
      </c>
      <c r="O645">
        <v>9</v>
      </c>
    </row>
    <row r="646" spans="1:15" x14ac:dyDescent="0.3">
      <c r="A646">
        <v>33561</v>
      </c>
      <c r="B646">
        <v>3201704</v>
      </c>
      <c r="C646" t="s">
        <v>35</v>
      </c>
      <c r="D646">
        <v>0.45</v>
      </c>
      <c r="E646">
        <v>1582018.21</v>
      </c>
      <c r="F646">
        <v>94945.2</v>
      </c>
      <c r="G646">
        <v>1676963.41</v>
      </c>
      <c r="H646">
        <v>30840.23</v>
      </c>
      <c r="I646">
        <v>78348.41</v>
      </c>
      <c r="J646">
        <v>0.45</v>
      </c>
      <c r="K646">
        <v>48576.44</v>
      </c>
      <c r="L646">
        <v>0</v>
      </c>
      <c r="M646">
        <v>0</v>
      </c>
      <c r="N646">
        <v>2021</v>
      </c>
      <c r="O646">
        <v>9</v>
      </c>
    </row>
    <row r="647" spans="1:15" x14ac:dyDescent="0.3">
      <c r="A647">
        <v>33562</v>
      </c>
      <c r="B647">
        <v>3201803</v>
      </c>
      <c r="C647" t="s">
        <v>36</v>
      </c>
      <c r="D647">
        <v>0.19</v>
      </c>
      <c r="E647">
        <v>659174.27</v>
      </c>
      <c r="F647">
        <v>39560.51</v>
      </c>
      <c r="G647">
        <v>698734.78</v>
      </c>
      <c r="H647">
        <v>12850.1</v>
      </c>
      <c r="I647">
        <v>16366.03</v>
      </c>
      <c r="J647">
        <v>0.19</v>
      </c>
      <c r="K647">
        <v>20240.189999999999</v>
      </c>
      <c r="L647">
        <v>0</v>
      </c>
      <c r="M647">
        <v>0</v>
      </c>
      <c r="N647">
        <v>2021</v>
      </c>
      <c r="O647">
        <v>9</v>
      </c>
    </row>
    <row r="648" spans="1:15" x14ac:dyDescent="0.3">
      <c r="A648">
        <v>33563</v>
      </c>
      <c r="B648">
        <v>3201902</v>
      </c>
      <c r="C648" t="s">
        <v>37</v>
      </c>
      <c r="D648">
        <v>1.22</v>
      </c>
      <c r="E648">
        <v>4246469.95</v>
      </c>
      <c r="F648">
        <v>254852.9</v>
      </c>
      <c r="G648">
        <v>4501322.8499999996</v>
      </c>
      <c r="H648">
        <v>82781.67</v>
      </c>
      <c r="I648">
        <v>298107.56</v>
      </c>
      <c r="J648">
        <v>1.22</v>
      </c>
      <c r="K648">
        <v>130389.39</v>
      </c>
      <c r="L648">
        <v>0</v>
      </c>
      <c r="M648">
        <v>0</v>
      </c>
      <c r="N648">
        <v>2021</v>
      </c>
      <c r="O648">
        <v>9</v>
      </c>
    </row>
    <row r="649" spans="1:15" x14ac:dyDescent="0.3">
      <c r="A649">
        <v>33564</v>
      </c>
      <c r="B649">
        <v>3202009</v>
      </c>
      <c r="C649" t="s">
        <v>38</v>
      </c>
      <c r="D649">
        <v>0.24</v>
      </c>
      <c r="E649">
        <v>846518.5</v>
      </c>
      <c r="F649">
        <v>50804.01</v>
      </c>
      <c r="G649">
        <v>897322.51</v>
      </c>
      <c r="H649">
        <v>16502.23</v>
      </c>
      <c r="I649">
        <v>54459.360000000001</v>
      </c>
      <c r="J649">
        <v>0.24</v>
      </c>
      <c r="K649">
        <v>25992.65</v>
      </c>
      <c r="L649">
        <v>0</v>
      </c>
      <c r="M649">
        <v>0</v>
      </c>
      <c r="N649">
        <v>2021</v>
      </c>
      <c r="O649">
        <v>9</v>
      </c>
    </row>
    <row r="650" spans="1:15" x14ac:dyDescent="0.3">
      <c r="A650">
        <v>33565</v>
      </c>
      <c r="B650">
        <v>3202108</v>
      </c>
      <c r="C650" t="s">
        <v>39</v>
      </c>
      <c r="D650">
        <v>0.69</v>
      </c>
      <c r="E650">
        <v>2425067.39</v>
      </c>
      <c r="F650">
        <v>145540.99</v>
      </c>
      <c r="G650">
        <v>2570608.38</v>
      </c>
      <c r="H650">
        <v>47274.83</v>
      </c>
      <c r="I650">
        <v>111265.04</v>
      </c>
      <c r="J650">
        <v>0.69</v>
      </c>
      <c r="K650">
        <v>74462.570000000007</v>
      </c>
      <c r="L650">
        <v>0</v>
      </c>
      <c r="M650">
        <v>0</v>
      </c>
      <c r="N650">
        <v>2021</v>
      </c>
      <c r="O650">
        <v>9</v>
      </c>
    </row>
    <row r="651" spans="1:15" x14ac:dyDescent="0.3">
      <c r="A651">
        <v>33566</v>
      </c>
      <c r="B651">
        <v>3202207</v>
      </c>
      <c r="C651" t="s">
        <v>40</v>
      </c>
      <c r="D651">
        <v>0.33</v>
      </c>
      <c r="E651">
        <v>1148350.93</v>
      </c>
      <c r="F651">
        <v>68918.53</v>
      </c>
      <c r="G651">
        <v>1217269.46</v>
      </c>
      <c r="H651">
        <v>22386.22</v>
      </c>
      <c r="I651">
        <v>115128.83</v>
      </c>
      <c r="J651">
        <v>0.33</v>
      </c>
      <c r="K651">
        <v>35260.53</v>
      </c>
      <c r="L651">
        <v>0</v>
      </c>
      <c r="M651">
        <v>0</v>
      </c>
      <c r="N651">
        <v>2021</v>
      </c>
      <c r="O651">
        <v>9</v>
      </c>
    </row>
    <row r="652" spans="1:15" x14ac:dyDescent="0.3">
      <c r="A652">
        <v>33567</v>
      </c>
      <c r="B652">
        <v>3202256</v>
      </c>
      <c r="C652" t="s">
        <v>41</v>
      </c>
      <c r="D652">
        <v>0.44</v>
      </c>
      <c r="E652">
        <v>1536916.8</v>
      </c>
      <c r="F652">
        <v>92238.44</v>
      </c>
      <c r="G652">
        <v>1629155.24</v>
      </c>
      <c r="H652">
        <v>29961.01</v>
      </c>
      <c r="I652">
        <v>74366.94</v>
      </c>
      <c r="J652">
        <v>0.44</v>
      </c>
      <c r="K652">
        <v>47191.58</v>
      </c>
      <c r="L652">
        <v>0</v>
      </c>
      <c r="M652">
        <v>0</v>
      </c>
      <c r="N652">
        <v>2021</v>
      </c>
      <c r="O652">
        <v>9</v>
      </c>
    </row>
    <row r="653" spans="1:15" x14ac:dyDescent="0.3">
      <c r="A653">
        <v>33568</v>
      </c>
      <c r="B653">
        <v>3202306</v>
      </c>
      <c r="C653" t="s">
        <v>42</v>
      </c>
      <c r="D653">
        <v>0.39</v>
      </c>
      <c r="E653">
        <v>1356511.25</v>
      </c>
      <c r="F653">
        <v>81411.33</v>
      </c>
      <c r="G653">
        <v>1437922.58</v>
      </c>
      <c r="H653">
        <v>26444.14</v>
      </c>
      <c r="I653">
        <v>230992.86</v>
      </c>
      <c r="J653">
        <v>0.39</v>
      </c>
      <c r="K653">
        <v>41652.17</v>
      </c>
      <c r="L653">
        <v>0</v>
      </c>
      <c r="M653">
        <v>0</v>
      </c>
      <c r="N653">
        <v>2021</v>
      </c>
      <c r="O653">
        <v>9</v>
      </c>
    </row>
    <row r="654" spans="1:15" x14ac:dyDescent="0.3">
      <c r="A654">
        <v>33569</v>
      </c>
      <c r="B654">
        <v>3202405</v>
      </c>
      <c r="C654" t="s">
        <v>43</v>
      </c>
      <c r="D654">
        <v>0.91</v>
      </c>
      <c r="E654">
        <v>3164036.44</v>
      </c>
      <c r="F654">
        <v>189890.4</v>
      </c>
      <c r="G654">
        <v>3353926.84</v>
      </c>
      <c r="H654">
        <v>61680.46</v>
      </c>
      <c r="I654">
        <v>1426833.69</v>
      </c>
      <c r="J654">
        <v>0.91</v>
      </c>
      <c r="K654">
        <v>97152.88</v>
      </c>
      <c r="L654">
        <v>0</v>
      </c>
      <c r="M654">
        <v>0</v>
      </c>
      <c r="N654">
        <v>2021</v>
      </c>
      <c r="O654">
        <v>9</v>
      </c>
    </row>
    <row r="655" spans="1:15" x14ac:dyDescent="0.3">
      <c r="A655">
        <v>33570</v>
      </c>
      <c r="B655">
        <v>3202454</v>
      </c>
      <c r="C655" t="s">
        <v>44</v>
      </c>
      <c r="D655">
        <v>0.36</v>
      </c>
      <c r="E655">
        <v>1248961.75</v>
      </c>
      <c r="F655">
        <v>74956.75</v>
      </c>
      <c r="G655">
        <v>1323918.5</v>
      </c>
      <c r="H655">
        <v>24347.55</v>
      </c>
      <c r="I655">
        <v>148578.93</v>
      </c>
      <c r="J655">
        <v>0.36</v>
      </c>
      <c r="K655">
        <v>38349.82</v>
      </c>
      <c r="L655">
        <v>0</v>
      </c>
      <c r="M655">
        <v>0</v>
      </c>
      <c r="N655">
        <v>2021</v>
      </c>
      <c r="O655">
        <v>9</v>
      </c>
    </row>
    <row r="656" spans="1:15" x14ac:dyDescent="0.3">
      <c r="A656">
        <v>33571</v>
      </c>
      <c r="B656">
        <v>3202504</v>
      </c>
      <c r="C656" t="s">
        <v>45</v>
      </c>
      <c r="D656">
        <v>0.27</v>
      </c>
      <c r="E656">
        <v>947129.33</v>
      </c>
      <c r="F656">
        <v>56842.2</v>
      </c>
      <c r="G656">
        <v>1003971.53</v>
      </c>
      <c r="H656">
        <v>18463.560000000001</v>
      </c>
      <c r="I656">
        <v>101874.34</v>
      </c>
      <c r="J656">
        <v>0.27</v>
      </c>
      <c r="K656">
        <v>29081.95</v>
      </c>
      <c r="L656">
        <v>0</v>
      </c>
      <c r="M656">
        <v>0</v>
      </c>
      <c r="N656">
        <v>2021</v>
      </c>
      <c r="O656">
        <v>9</v>
      </c>
    </row>
    <row r="657" spans="1:15" x14ac:dyDescent="0.3">
      <c r="A657">
        <v>33572</v>
      </c>
      <c r="B657">
        <v>3202553</v>
      </c>
      <c r="C657" t="s">
        <v>46</v>
      </c>
      <c r="D657">
        <v>0.24</v>
      </c>
      <c r="E657">
        <v>849987.86</v>
      </c>
      <c r="F657">
        <v>51012.24</v>
      </c>
      <c r="G657">
        <v>901000.1</v>
      </c>
      <c r="H657">
        <v>16569.86</v>
      </c>
      <c r="I657">
        <v>42244.43</v>
      </c>
      <c r="J657">
        <v>0.24</v>
      </c>
      <c r="K657">
        <v>26099.19</v>
      </c>
      <c r="L657">
        <v>0</v>
      </c>
      <c r="M657">
        <v>0</v>
      </c>
      <c r="N657">
        <v>2021</v>
      </c>
      <c r="O657">
        <v>9</v>
      </c>
    </row>
    <row r="658" spans="1:15" x14ac:dyDescent="0.3">
      <c r="A658">
        <v>33573</v>
      </c>
      <c r="B658">
        <v>3202603</v>
      </c>
      <c r="C658" t="s">
        <v>47</v>
      </c>
      <c r="D658">
        <v>0.37</v>
      </c>
      <c r="E658">
        <v>1290593.81</v>
      </c>
      <c r="F658">
        <v>77455.28</v>
      </c>
      <c r="G658">
        <v>1368049.09</v>
      </c>
      <c r="H658">
        <v>25159.13</v>
      </c>
      <c r="I658">
        <v>194128.93</v>
      </c>
      <c r="J658">
        <v>0.37</v>
      </c>
      <c r="K658">
        <v>39628.15</v>
      </c>
      <c r="L658">
        <v>0</v>
      </c>
      <c r="M658">
        <v>0</v>
      </c>
      <c r="N658">
        <v>2021</v>
      </c>
      <c r="O658">
        <v>9</v>
      </c>
    </row>
    <row r="659" spans="1:15" x14ac:dyDescent="0.3">
      <c r="A659">
        <v>33574</v>
      </c>
      <c r="B659">
        <v>3202652</v>
      </c>
      <c r="C659" t="s">
        <v>48</v>
      </c>
      <c r="D659">
        <v>0.3</v>
      </c>
      <c r="E659">
        <v>1072025.51</v>
      </c>
      <c r="F659">
        <v>64337.88</v>
      </c>
      <c r="G659">
        <v>1136363.3899999999</v>
      </c>
      <c r="H659">
        <v>20898.310000000001</v>
      </c>
      <c r="I659">
        <v>87913.85</v>
      </c>
      <c r="J659">
        <v>0.3</v>
      </c>
      <c r="K659">
        <v>32916.93</v>
      </c>
      <c r="L659">
        <v>0</v>
      </c>
      <c r="M659">
        <v>0</v>
      </c>
      <c r="N659">
        <v>2021</v>
      </c>
      <c r="O659">
        <v>9</v>
      </c>
    </row>
    <row r="660" spans="1:15" x14ac:dyDescent="0.3">
      <c r="A660">
        <v>33575</v>
      </c>
      <c r="B660">
        <v>3202702</v>
      </c>
      <c r="C660" t="s">
        <v>49</v>
      </c>
      <c r="D660">
        <v>0.38</v>
      </c>
      <c r="E660">
        <v>1328756.51</v>
      </c>
      <c r="F660">
        <v>79745.64</v>
      </c>
      <c r="G660">
        <v>1408502.15</v>
      </c>
      <c r="H660">
        <v>25903.09</v>
      </c>
      <c r="I660">
        <v>72624.100000000006</v>
      </c>
      <c r="J660">
        <v>0.38</v>
      </c>
      <c r="K660">
        <v>40799.949999999997</v>
      </c>
      <c r="L660">
        <v>0</v>
      </c>
      <c r="M660">
        <v>0</v>
      </c>
      <c r="N660">
        <v>2021</v>
      </c>
      <c r="O660">
        <v>9</v>
      </c>
    </row>
    <row r="661" spans="1:15" x14ac:dyDescent="0.3">
      <c r="A661">
        <v>33576</v>
      </c>
      <c r="B661">
        <v>3202801</v>
      </c>
      <c r="C661" t="s">
        <v>50</v>
      </c>
      <c r="D661">
        <v>2.66</v>
      </c>
      <c r="E661">
        <v>9245786.2699999996</v>
      </c>
      <c r="F661">
        <v>554888.03</v>
      </c>
      <c r="G661">
        <v>9800674.3000000007</v>
      </c>
      <c r="H661">
        <v>180239.5</v>
      </c>
      <c r="I661">
        <v>226038.87</v>
      </c>
      <c r="J661">
        <v>2.66</v>
      </c>
      <c r="K661">
        <v>283895.21000000002</v>
      </c>
      <c r="L661">
        <v>0</v>
      </c>
      <c r="M661">
        <v>0</v>
      </c>
      <c r="N661">
        <v>2021</v>
      </c>
      <c r="O661">
        <v>9</v>
      </c>
    </row>
    <row r="662" spans="1:15" x14ac:dyDescent="0.3">
      <c r="A662">
        <v>33577</v>
      </c>
      <c r="B662">
        <v>3202900</v>
      </c>
      <c r="C662" t="s">
        <v>51</v>
      </c>
      <c r="D662">
        <v>0.34</v>
      </c>
      <c r="E662">
        <v>1186513.6499999999</v>
      </c>
      <c r="F662">
        <v>71208.89</v>
      </c>
      <c r="G662">
        <v>1257722.54</v>
      </c>
      <c r="H662">
        <v>23130.17</v>
      </c>
      <c r="I662">
        <v>69369.09</v>
      </c>
      <c r="J662">
        <v>0.34</v>
      </c>
      <c r="K662">
        <v>36432.33</v>
      </c>
      <c r="L662">
        <v>0</v>
      </c>
      <c r="M662">
        <v>0</v>
      </c>
      <c r="N662">
        <v>2021</v>
      </c>
      <c r="O662">
        <v>9</v>
      </c>
    </row>
    <row r="663" spans="1:15" x14ac:dyDescent="0.3">
      <c r="A663">
        <v>33578</v>
      </c>
      <c r="B663">
        <v>3203007</v>
      </c>
      <c r="C663" t="s">
        <v>52</v>
      </c>
      <c r="D663">
        <v>0.47</v>
      </c>
      <c r="E663">
        <v>1637527.63</v>
      </c>
      <c r="F663">
        <v>98276.61</v>
      </c>
      <c r="G663">
        <v>1735804.24</v>
      </c>
      <c r="H663">
        <v>31922.34</v>
      </c>
      <c r="I663">
        <v>159313.47</v>
      </c>
      <c r="J663">
        <v>0.47</v>
      </c>
      <c r="K663">
        <v>50280.88</v>
      </c>
      <c r="L663">
        <v>0</v>
      </c>
      <c r="M663">
        <v>0</v>
      </c>
      <c r="N663">
        <v>2021</v>
      </c>
      <c r="O663">
        <v>9</v>
      </c>
    </row>
    <row r="664" spans="1:15" x14ac:dyDescent="0.3">
      <c r="A664">
        <v>33579</v>
      </c>
      <c r="B664">
        <v>3203056</v>
      </c>
      <c r="C664" t="s">
        <v>53</v>
      </c>
      <c r="D664">
        <v>0.86</v>
      </c>
      <c r="E664">
        <v>3000977.56</v>
      </c>
      <c r="F664">
        <v>180104.35</v>
      </c>
      <c r="G664">
        <v>3181081.91</v>
      </c>
      <c r="H664">
        <v>58501.75</v>
      </c>
      <c r="I664">
        <v>163575.18</v>
      </c>
      <c r="J664">
        <v>0.86</v>
      </c>
      <c r="K664">
        <v>92146.1</v>
      </c>
      <c r="L664">
        <v>0</v>
      </c>
      <c r="M664">
        <v>0</v>
      </c>
      <c r="N664">
        <v>2021</v>
      </c>
      <c r="O664">
        <v>9</v>
      </c>
    </row>
    <row r="665" spans="1:15" x14ac:dyDescent="0.3">
      <c r="A665">
        <v>33580</v>
      </c>
      <c r="B665">
        <v>3203106</v>
      </c>
      <c r="C665" t="s">
        <v>54</v>
      </c>
      <c r="D665">
        <v>0.21</v>
      </c>
      <c r="E665">
        <v>742438.38</v>
      </c>
      <c r="F665">
        <v>44557.62</v>
      </c>
      <c r="G665">
        <v>786996</v>
      </c>
      <c r="H665">
        <v>14473.27</v>
      </c>
      <c r="I665">
        <v>44419.65</v>
      </c>
      <c r="J665">
        <v>0.21</v>
      </c>
      <c r="K665">
        <v>22796.83</v>
      </c>
      <c r="L665">
        <v>0</v>
      </c>
      <c r="M665">
        <v>0</v>
      </c>
      <c r="N665">
        <v>2021</v>
      </c>
      <c r="O665">
        <v>9</v>
      </c>
    </row>
    <row r="666" spans="1:15" x14ac:dyDescent="0.3">
      <c r="A666">
        <v>33581</v>
      </c>
      <c r="B666">
        <v>3203130</v>
      </c>
      <c r="C666" t="s">
        <v>55</v>
      </c>
      <c r="D666">
        <v>0.42</v>
      </c>
      <c r="E666">
        <v>1481407.43</v>
      </c>
      <c r="F666">
        <v>88907.03</v>
      </c>
      <c r="G666">
        <v>1570314.46</v>
      </c>
      <c r="H666">
        <v>28878.9</v>
      </c>
      <c r="I666">
        <v>127191.41</v>
      </c>
      <c r="J666">
        <v>0.42</v>
      </c>
      <c r="K666">
        <v>45487.15</v>
      </c>
      <c r="L666">
        <v>0</v>
      </c>
      <c r="M666">
        <v>0</v>
      </c>
      <c r="N666">
        <v>2021</v>
      </c>
      <c r="O666">
        <v>9</v>
      </c>
    </row>
    <row r="667" spans="1:15" x14ac:dyDescent="0.3">
      <c r="A667">
        <v>33582</v>
      </c>
      <c r="B667">
        <v>3203163</v>
      </c>
      <c r="C667" t="s">
        <v>56</v>
      </c>
      <c r="D667">
        <v>0.38</v>
      </c>
      <c r="E667">
        <v>1318348.52</v>
      </c>
      <c r="F667">
        <v>79120.990000000005</v>
      </c>
      <c r="G667">
        <v>1397469.51</v>
      </c>
      <c r="H667">
        <v>25700.19</v>
      </c>
      <c r="I667">
        <v>38972.26</v>
      </c>
      <c r="J667">
        <v>0.38</v>
      </c>
      <c r="K667">
        <v>40480.370000000003</v>
      </c>
      <c r="L667">
        <v>0</v>
      </c>
      <c r="M667">
        <v>0</v>
      </c>
      <c r="N667">
        <v>2021</v>
      </c>
      <c r="O667">
        <v>9</v>
      </c>
    </row>
    <row r="668" spans="1:15" x14ac:dyDescent="0.3">
      <c r="A668">
        <v>33583</v>
      </c>
      <c r="B668">
        <v>3203205</v>
      </c>
      <c r="C668" t="s">
        <v>57</v>
      </c>
      <c r="D668">
        <v>5.75</v>
      </c>
      <c r="E668">
        <v>19959102.629999999</v>
      </c>
      <c r="F668">
        <v>1197850.25</v>
      </c>
      <c r="G668">
        <v>21156952.879999999</v>
      </c>
      <c r="H668">
        <v>389087.38</v>
      </c>
      <c r="I668">
        <v>1392126.93</v>
      </c>
      <c r="J668">
        <v>5.75</v>
      </c>
      <c r="K668">
        <v>612851.44999999995</v>
      </c>
      <c r="L668">
        <v>0</v>
      </c>
      <c r="M668">
        <v>0</v>
      </c>
      <c r="N668">
        <v>2021</v>
      </c>
      <c r="O668">
        <v>9</v>
      </c>
    </row>
    <row r="669" spans="1:15" x14ac:dyDescent="0.3">
      <c r="A669">
        <v>33584</v>
      </c>
      <c r="B669">
        <v>3203304</v>
      </c>
      <c r="C669" t="s">
        <v>58</v>
      </c>
      <c r="D669">
        <v>0.25</v>
      </c>
      <c r="E669">
        <v>884681.24</v>
      </c>
      <c r="F669">
        <v>53094.36</v>
      </c>
      <c r="G669">
        <v>937775.6</v>
      </c>
      <c r="H669">
        <v>17246.18</v>
      </c>
      <c r="I669">
        <v>78822.289999999994</v>
      </c>
      <c r="J669">
        <v>0.25</v>
      </c>
      <c r="K669">
        <v>27164.45</v>
      </c>
      <c r="L669">
        <v>0</v>
      </c>
      <c r="M669">
        <v>0</v>
      </c>
      <c r="N669">
        <v>2021</v>
      </c>
      <c r="O669">
        <v>9</v>
      </c>
    </row>
    <row r="670" spans="1:15" x14ac:dyDescent="0.3">
      <c r="A670">
        <v>33585</v>
      </c>
      <c r="B670">
        <v>3203320</v>
      </c>
      <c r="C670" t="s">
        <v>59</v>
      </c>
      <c r="D670">
        <v>0.61</v>
      </c>
      <c r="E670">
        <v>2140581.66</v>
      </c>
      <c r="F670">
        <v>128467.52</v>
      </c>
      <c r="G670">
        <v>2269049.1800000002</v>
      </c>
      <c r="H670">
        <v>41729</v>
      </c>
      <c r="I670">
        <v>308828.46999999997</v>
      </c>
      <c r="J670">
        <v>0.61</v>
      </c>
      <c r="K670">
        <v>65727.33</v>
      </c>
      <c r="L670">
        <v>0</v>
      </c>
      <c r="M670">
        <v>0</v>
      </c>
      <c r="N670">
        <v>2021</v>
      </c>
      <c r="O670">
        <v>9</v>
      </c>
    </row>
    <row r="671" spans="1:15" x14ac:dyDescent="0.3">
      <c r="A671">
        <v>33586</v>
      </c>
      <c r="B671">
        <v>3203346</v>
      </c>
      <c r="C671" t="s">
        <v>60</v>
      </c>
      <c r="D671">
        <v>0.65</v>
      </c>
      <c r="E671">
        <v>2279355.19</v>
      </c>
      <c r="F671">
        <v>136796.04</v>
      </c>
      <c r="G671">
        <v>2416151.23</v>
      </c>
      <c r="H671">
        <v>44434.28</v>
      </c>
      <c r="I671">
        <v>150558.04</v>
      </c>
      <c r="J671">
        <v>0.65</v>
      </c>
      <c r="K671">
        <v>69988.429999999993</v>
      </c>
      <c r="L671">
        <v>0</v>
      </c>
      <c r="M671">
        <v>0</v>
      </c>
      <c r="N671">
        <v>2021</v>
      </c>
      <c r="O671">
        <v>9</v>
      </c>
    </row>
    <row r="672" spans="1:15" x14ac:dyDescent="0.3">
      <c r="A672">
        <v>33587</v>
      </c>
      <c r="B672">
        <v>3203353</v>
      </c>
      <c r="C672" t="s">
        <v>61</v>
      </c>
      <c r="D672">
        <v>0.43</v>
      </c>
      <c r="E672">
        <v>1519570.12</v>
      </c>
      <c r="F672">
        <v>91197.37</v>
      </c>
      <c r="G672">
        <v>1610767.49</v>
      </c>
      <c r="H672">
        <v>29622.85</v>
      </c>
      <c r="I672">
        <v>95356.38</v>
      </c>
      <c r="J672">
        <v>0.43</v>
      </c>
      <c r="K672">
        <v>46658.95</v>
      </c>
      <c r="L672">
        <v>0</v>
      </c>
      <c r="M672">
        <v>0</v>
      </c>
      <c r="N672">
        <v>2021</v>
      </c>
      <c r="O672">
        <v>9</v>
      </c>
    </row>
    <row r="673" spans="1:15" x14ac:dyDescent="0.3">
      <c r="A673">
        <v>33588</v>
      </c>
      <c r="B673">
        <v>3203403</v>
      </c>
      <c r="C673" t="s">
        <v>62</v>
      </c>
      <c r="D673">
        <v>0.5</v>
      </c>
      <c r="E673">
        <v>1734669.09</v>
      </c>
      <c r="F673">
        <v>104106.56</v>
      </c>
      <c r="G673">
        <v>1838775.65</v>
      </c>
      <c r="H673">
        <v>33816.04</v>
      </c>
      <c r="I673">
        <v>129683.68</v>
      </c>
      <c r="J673">
        <v>0.5</v>
      </c>
      <c r="K673">
        <v>53263.64</v>
      </c>
      <c r="L673">
        <v>0</v>
      </c>
      <c r="M673">
        <v>0</v>
      </c>
      <c r="N673">
        <v>2021</v>
      </c>
      <c r="O673">
        <v>9</v>
      </c>
    </row>
    <row r="674" spans="1:15" x14ac:dyDescent="0.3">
      <c r="A674">
        <v>33589</v>
      </c>
      <c r="B674">
        <v>3203502</v>
      </c>
      <c r="C674" t="s">
        <v>63</v>
      </c>
      <c r="D674">
        <v>0.52</v>
      </c>
      <c r="E674">
        <v>1821402.55</v>
      </c>
      <c r="F674">
        <v>109311.91</v>
      </c>
      <c r="G674">
        <v>1930714.46</v>
      </c>
      <c r="H674">
        <v>35506.839999999997</v>
      </c>
      <c r="I674">
        <v>122381.56</v>
      </c>
      <c r="J674">
        <v>0.52</v>
      </c>
      <c r="K674">
        <v>55926.82</v>
      </c>
      <c r="L674">
        <v>0</v>
      </c>
      <c r="M674">
        <v>0</v>
      </c>
      <c r="N674">
        <v>2021</v>
      </c>
      <c r="O674">
        <v>9</v>
      </c>
    </row>
    <row r="675" spans="1:15" x14ac:dyDescent="0.3">
      <c r="A675">
        <v>33590</v>
      </c>
      <c r="B675">
        <v>3203601</v>
      </c>
      <c r="C675" t="s">
        <v>64</v>
      </c>
      <c r="D675">
        <v>0.28000000000000003</v>
      </c>
      <c r="E675">
        <v>1002638.72</v>
      </c>
      <c r="F675">
        <v>60173.59</v>
      </c>
      <c r="G675">
        <v>1062812.31</v>
      </c>
      <c r="H675">
        <v>19545.669999999998</v>
      </c>
      <c r="I675">
        <v>26219.35</v>
      </c>
      <c r="J675">
        <v>0.28000000000000003</v>
      </c>
      <c r="K675">
        <v>30786.39</v>
      </c>
      <c r="L675">
        <v>0</v>
      </c>
      <c r="M675">
        <v>0</v>
      </c>
      <c r="N675">
        <v>2021</v>
      </c>
      <c r="O675">
        <v>9</v>
      </c>
    </row>
    <row r="676" spans="1:15" x14ac:dyDescent="0.3">
      <c r="A676">
        <v>33591</v>
      </c>
      <c r="B676">
        <v>3203700</v>
      </c>
      <c r="C676" t="s">
        <v>65</v>
      </c>
      <c r="D676">
        <v>0.5</v>
      </c>
      <c r="E676">
        <v>1765893.14</v>
      </c>
      <c r="F676">
        <v>105980.47</v>
      </c>
      <c r="G676">
        <v>1871873.61</v>
      </c>
      <c r="H676">
        <v>34424.730000000003</v>
      </c>
      <c r="I676">
        <v>79244.37</v>
      </c>
      <c r="J676">
        <v>0.5</v>
      </c>
      <c r="K676">
        <v>54222.38</v>
      </c>
      <c r="L676">
        <v>0</v>
      </c>
      <c r="M676">
        <v>0</v>
      </c>
      <c r="N676">
        <v>2021</v>
      </c>
      <c r="O676">
        <v>9</v>
      </c>
    </row>
    <row r="677" spans="1:15" x14ac:dyDescent="0.3">
      <c r="A677">
        <v>33592</v>
      </c>
      <c r="B677">
        <v>3203809</v>
      </c>
      <c r="C677" t="s">
        <v>66</v>
      </c>
      <c r="D677">
        <v>0.28999999999999998</v>
      </c>
      <c r="E677">
        <v>1013046.76</v>
      </c>
      <c r="F677">
        <v>60798.239999999998</v>
      </c>
      <c r="G677">
        <v>1073845</v>
      </c>
      <c r="H677">
        <v>19748.57</v>
      </c>
      <c r="I677">
        <v>63929.09</v>
      </c>
      <c r="J677">
        <v>0.28999999999999998</v>
      </c>
      <c r="K677">
        <v>31105.97</v>
      </c>
      <c r="L677">
        <v>0</v>
      </c>
      <c r="M677">
        <v>0</v>
      </c>
      <c r="N677">
        <v>2021</v>
      </c>
      <c r="O677">
        <v>9</v>
      </c>
    </row>
    <row r="678" spans="1:15" x14ac:dyDescent="0.3">
      <c r="A678">
        <v>33593</v>
      </c>
      <c r="B678">
        <v>3203908</v>
      </c>
      <c r="C678" t="s">
        <v>67</v>
      </c>
      <c r="D678">
        <v>1.22</v>
      </c>
      <c r="E678">
        <v>4263816.63</v>
      </c>
      <c r="F678">
        <v>255893.93</v>
      </c>
      <c r="G678">
        <v>4519710.5599999996</v>
      </c>
      <c r="H678">
        <v>83119.83</v>
      </c>
      <c r="I678">
        <v>376193.36</v>
      </c>
      <c r="J678">
        <v>1.22</v>
      </c>
      <c r="K678">
        <v>130922.03</v>
      </c>
      <c r="L678">
        <v>0</v>
      </c>
      <c r="M678">
        <v>0</v>
      </c>
      <c r="N678">
        <v>2021</v>
      </c>
      <c r="O678">
        <v>9</v>
      </c>
    </row>
    <row r="679" spans="1:15" x14ac:dyDescent="0.3">
      <c r="A679">
        <v>33594</v>
      </c>
      <c r="B679">
        <v>3204005</v>
      </c>
      <c r="C679" t="s">
        <v>68</v>
      </c>
      <c r="D679">
        <v>0.47</v>
      </c>
      <c r="E679">
        <v>1658343.67</v>
      </c>
      <c r="F679">
        <v>99525.88</v>
      </c>
      <c r="G679">
        <v>1757869.55</v>
      </c>
      <c r="H679">
        <v>32328.14</v>
      </c>
      <c r="I679">
        <v>80533.740000000005</v>
      </c>
      <c r="J679">
        <v>0.47</v>
      </c>
      <c r="K679">
        <v>50920.04</v>
      </c>
      <c r="L679">
        <v>0</v>
      </c>
      <c r="M679">
        <v>0</v>
      </c>
      <c r="N679">
        <v>2021</v>
      </c>
      <c r="O679">
        <v>9</v>
      </c>
    </row>
    <row r="680" spans="1:15" x14ac:dyDescent="0.3">
      <c r="A680">
        <v>33595</v>
      </c>
      <c r="B680">
        <v>3204054</v>
      </c>
      <c r="C680" t="s">
        <v>69</v>
      </c>
      <c r="D680">
        <v>0.32</v>
      </c>
      <c r="E680">
        <v>1124065.58</v>
      </c>
      <c r="F680">
        <v>67461.06</v>
      </c>
      <c r="G680">
        <v>1191526.6399999999</v>
      </c>
      <c r="H680">
        <v>21912.79</v>
      </c>
      <c r="I680">
        <v>135121.28</v>
      </c>
      <c r="J680">
        <v>0.32</v>
      </c>
      <c r="K680">
        <v>34514.839999999997</v>
      </c>
      <c r="L680">
        <v>0</v>
      </c>
      <c r="M680">
        <v>0</v>
      </c>
      <c r="N680">
        <v>2021</v>
      </c>
      <c r="O680">
        <v>9</v>
      </c>
    </row>
    <row r="681" spans="1:15" x14ac:dyDescent="0.3">
      <c r="A681">
        <v>33596</v>
      </c>
      <c r="B681">
        <v>3204104</v>
      </c>
      <c r="C681" t="s">
        <v>70</v>
      </c>
      <c r="D681">
        <v>0.66</v>
      </c>
      <c r="E681">
        <v>2307109.9</v>
      </c>
      <c r="F681">
        <v>138461.76999999999</v>
      </c>
      <c r="G681">
        <v>2445571.67</v>
      </c>
      <c r="H681">
        <v>44975.34</v>
      </c>
      <c r="I681">
        <v>143655.04999999999</v>
      </c>
      <c r="J681">
        <v>0.66</v>
      </c>
      <c r="K681">
        <v>70840.649999999994</v>
      </c>
      <c r="L681">
        <v>0</v>
      </c>
      <c r="M681">
        <v>0</v>
      </c>
      <c r="N681">
        <v>2021</v>
      </c>
      <c r="O681">
        <v>9</v>
      </c>
    </row>
    <row r="682" spans="1:15" x14ac:dyDescent="0.3">
      <c r="A682">
        <v>33597</v>
      </c>
      <c r="B682">
        <v>3204203</v>
      </c>
      <c r="C682" t="s">
        <v>71</v>
      </c>
      <c r="D682">
        <v>0.15</v>
      </c>
      <c r="E682">
        <v>530808.76</v>
      </c>
      <c r="F682">
        <v>31856.61</v>
      </c>
      <c r="G682">
        <v>562665.37</v>
      </c>
      <c r="H682">
        <v>10347.709999999999</v>
      </c>
      <c r="I682">
        <v>163899.07</v>
      </c>
      <c r="J682">
        <v>0.15</v>
      </c>
      <c r="K682">
        <v>16298.67</v>
      </c>
      <c r="L682">
        <v>0</v>
      </c>
      <c r="M682">
        <v>0</v>
      </c>
      <c r="N682">
        <v>2021</v>
      </c>
      <c r="O682">
        <v>9</v>
      </c>
    </row>
    <row r="683" spans="1:15" x14ac:dyDescent="0.3">
      <c r="A683">
        <v>33598</v>
      </c>
      <c r="B683">
        <v>3204252</v>
      </c>
      <c r="C683" t="s">
        <v>72</v>
      </c>
      <c r="D683">
        <v>0.23</v>
      </c>
      <c r="E683">
        <v>797947.81</v>
      </c>
      <c r="F683">
        <v>47889.01</v>
      </c>
      <c r="G683">
        <v>845836.82</v>
      </c>
      <c r="H683">
        <v>15555.38</v>
      </c>
      <c r="I683">
        <v>34181.74</v>
      </c>
      <c r="J683">
        <v>0.23</v>
      </c>
      <c r="K683">
        <v>24501.27</v>
      </c>
      <c r="L683">
        <v>0</v>
      </c>
      <c r="M683">
        <v>0</v>
      </c>
      <c r="N683">
        <v>2021</v>
      </c>
      <c r="O683">
        <v>9</v>
      </c>
    </row>
    <row r="684" spans="1:15" x14ac:dyDescent="0.3">
      <c r="A684">
        <v>33599</v>
      </c>
      <c r="B684">
        <v>1718402</v>
      </c>
      <c r="C684" t="s">
        <v>73</v>
      </c>
      <c r="D684">
        <v>0.33</v>
      </c>
      <c r="E684">
        <v>1158758.97</v>
      </c>
      <c r="F684">
        <v>69543.199999999997</v>
      </c>
      <c r="G684">
        <v>1228302.17</v>
      </c>
      <c r="H684">
        <v>22589.119999999999</v>
      </c>
      <c r="I684">
        <v>131663.62</v>
      </c>
      <c r="J684">
        <v>0.33</v>
      </c>
      <c r="K684">
        <v>35580.11</v>
      </c>
      <c r="L684">
        <v>0</v>
      </c>
      <c r="M684">
        <v>0</v>
      </c>
      <c r="N684">
        <v>2021</v>
      </c>
      <c r="O684">
        <v>9</v>
      </c>
    </row>
    <row r="685" spans="1:15" x14ac:dyDescent="0.3">
      <c r="A685">
        <v>33600</v>
      </c>
      <c r="B685">
        <v>3204351</v>
      </c>
      <c r="C685" t="s">
        <v>74</v>
      </c>
      <c r="D685">
        <v>0.76</v>
      </c>
      <c r="E685">
        <v>2667921.06</v>
      </c>
      <c r="F685">
        <v>160115.9</v>
      </c>
      <c r="G685">
        <v>2828036.96</v>
      </c>
      <c r="H685">
        <v>52009.07</v>
      </c>
      <c r="I685">
        <v>129761.81</v>
      </c>
      <c r="J685">
        <v>0.76</v>
      </c>
      <c r="K685">
        <v>81919.48</v>
      </c>
      <c r="L685">
        <v>0</v>
      </c>
      <c r="M685">
        <v>0</v>
      </c>
      <c r="N685">
        <v>2021</v>
      </c>
      <c r="O685">
        <v>9</v>
      </c>
    </row>
    <row r="686" spans="1:15" x14ac:dyDescent="0.3">
      <c r="A686">
        <v>33601</v>
      </c>
      <c r="B686">
        <v>3204401</v>
      </c>
      <c r="C686" t="s">
        <v>75</v>
      </c>
      <c r="D686">
        <v>0.26</v>
      </c>
      <c r="E686">
        <v>919374.6</v>
      </c>
      <c r="F686">
        <v>55176.5</v>
      </c>
      <c r="G686">
        <v>974551.1</v>
      </c>
      <c r="H686">
        <v>17922.5</v>
      </c>
      <c r="I686">
        <v>73933.61</v>
      </c>
      <c r="J686">
        <v>0.26</v>
      </c>
      <c r="K686">
        <v>28229.73</v>
      </c>
      <c r="L686">
        <v>0</v>
      </c>
      <c r="M686">
        <v>0</v>
      </c>
      <c r="N686">
        <v>2021</v>
      </c>
      <c r="O686">
        <v>9</v>
      </c>
    </row>
    <row r="687" spans="1:15" x14ac:dyDescent="0.3">
      <c r="A687">
        <v>33602</v>
      </c>
      <c r="B687">
        <v>3204500</v>
      </c>
      <c r="C687" t="s">
        <v>76</v>
      </c>
      <c r="D687">
        <v>0.49</v>
      </c>
      <c r="E687">
        <v>1720791.74</v>
      </c>
      <c r="F687">
        <v>103273.71</v>
      </c>
      <c r="G687">
        <v>1824065.45</v>
      </c>
      <c r="H687">
        <v>33545.51</v>
      </c>
      <c r="I687">
        <v>55276.21</v>
      </c>
      <c r="J687">
        <v>0.49</v>
      </c>
      <c r="K687">
        <v>52837.54</v>
      </c>
      <c r="L687">
        <v>0</v>
      </c>
      <c r="M687">
        <v>0</v>
      </c>
      <c r="N687">
        <v>2021</v>
      </c>
      <c r="O687">
        <v>9</v>
      </c>
    </row>
    <row r="688" spans="1:15" x14ac:dyDescent="0.3">
      <c r="A688">
        <v>33603</v>
      </c>
      <c r="B688">
        <v>3204559</v>
      </c>
      <c r="C688" t="s">
        <v>77</v>
      </c>
      <c r="D688">
        <v>2.2400000000000002</v>
      </c>
      <c r="E688">
        <v>7792133.5700000003</v>
      </c>
      <c r="F688">
        <v>467646.73</v>
      </c>
      <c r="G688">
        <v>8259780.2999999998</v>
      </c>
      <c r="H688">
        <v>151901.66</v>
      </c>
      <c r="I688">
        <v>396040.26</v>
      </c>
      <c r="J688">
        <v>2.2400000000000002</v>
      </c>
      <c r="K688">
        <v>239260.28</v>
      </c>
      <c r="L688">
        <v>0</v>
      </c>
      <c r="M688">
        <v>0</v>
      </c>
      <c r="N688">
        <v>2021</v>
      </c>
      <c r="O688">
        <v>9</v>
      </c>
    </row>
    <row r="689" spans="1:15" x14ac:dyDescent="0.3">
      <c r="A689">
        <v>33604</v>
      </c>
      <c r="B689">
        <v>3204609</v>
      </c>
      <c r="C689" t="s">
        <v>78</v>
      </c>
      <c r="D689">
        <v>0.69</v>
      </c>
      <c r="E689">
        <v>2397312.69</v>
      </c>
      <c r="F689">
        <v>143875.29999999999</v>
      </c>
      <c r="G689">
        <v>2541187.9900000002</v>
      </c>
      <c r="H689">
        <v>46733.77</v>
      </c>
      <c r="I689">
        <v>223807.65</v>
      </c>
      <c r="J689">
        <v>0.69</v>
      </c>
      <c r="K689">
        <v>73610.350000000006</v>
      </c>
      <c r="L689">
        <v>0</v>
      </c>
      <c r="M689">
        <v>0</v>
      </c>
      <c r="N689">
        <v>2021</v>
      </c>
      <c r="O689">
        <v>9</v>
      </c>
    </row>
    <row r="690" spans="1:15" x14ac:dyDescent="0.3">
      <c r="A690">
        <v>33605</v>
      </c>
      <c r="B690">
        <v>3204658</v>
      </c>
      <c r="C690" t="s">
        <v>79</v>
      </c>
      <c r="D690">
        <v>0.45</v>
      </c>
      <c r="E690">
        <v>1571610.2</v>
      </c>
      <c r="F690">
        <v>94320.57</v>
      </c>
      <c r="G690">
        <v>1665930.77</v>
      </c>
      <c r="H690">
        <v>30637.33</v>
      </c>
      <c r="I690">
        <v>59071.57</v>
      </c>
      <c r="J690">
        <v>0.45</v>
      </c>
      <c r="K690">
        <v>48256.86</v>
      </c>
      <c r="L690">
        <v>0</v>
      </c>
      <c r="M690">
        <v>0</v>
      </c>
      <c r="N690">
        <v>2021</v>
      </c>
      <c r="O690">
        <v>9</v>
      </c>
    </row>
    <row r="691" spans="1:15" x14ac:dyDescent="0.3">
      <c r="A691">
        <v>33606</v>
      </c>
      <c r="B691">
        <v>3204708</v>
      </c>
      <c r="C691" t="s">
        <v>80</v>
      </c>
      <c r="D691">
        <v>0.72</v>
      </c>
      <c r="E691">
        <v>2529147.56</v>
      </c>
      <c r="F691">
        <v>151787.4</v>
      </c>
      <c r="G691">
        <v>2680934.96</v>
      </c>
      <c r="H691">
        <v>49303.79</v>
      </c>
      <c r="I691">
        <v>235775.66</v>
      </c>
      <c r="J691">
        <v>0.72</v>
      </c>
      <c r="K691">
        <v>77658.39</v>
      </c>
      <c r="L691">
        <v>0</v>
      </c>
      <c r="M691">
        <v>0</v>
      </c>
      <c r="N691">
        <v>2021</v>
      </c>
      <c r="O691">
        <v>9</v>
      </c>
    </row>
    <row r="692" spans="1:15" x14ac:dyDescent="0.3">
      <c r="A692">
        <v>33607</v>
      </c>
      <c r="B692">
        <v>3204807</v>
      </c>
      <c r="C692" t="s">
        <v>81</v>
      </c>
      <c r="D692">
        <v>0.22</v>
      </c>
      <c r="E692">
        <v>766723.75</v>
      </c>
      <c r="F692">
        <v>46015.1</v>
      </c>
      <c r="G692">
        <v>812738.85</v>
      </c>
      <c r="H692">
        <v>14946.69</v>
      </c>
      <c r="I692">
        <v>48869.27</v>
      </c>
      <c r="J692">
        <v>0.22</v>
      </c>
      <c r="K692">
        <v>23542.53</v>
      </c>
      <c r="L692">
        <v>0</v>
      </c>
      <c r="M692">
        <v>0</v>
      </c>
      <c r="N692">
        <v>2021</v>
      </c>
      <c r="O692">
        <v>9</v>
      </c>
    </row>
    <row r="693" spans="1:15" x14ac:dyDescent="0.3">
      <c r="A693">
        <v>33608</v>
      </c>
      <c r="B693">
        <v>3204906</v>
      </c>
      <c r="C693" t="s">
        <v>82</v>
      </c>
      <c r="D693">
        <v>1.8</v>
      </c>
      <c r="E693">
        <v>6248278.0700000003</v>
      </c>
      <c r="F693">
        <v>374991.89</v>
      </c>
      <c r="G693">
        <v>6623269.96</v>
      </c>
      <c r="H693">
        <v>121805.38</v>
      </c>
      <c r="I693">
        <v>895172.26</v>
      </c>
      <c r="J693">
        <v>1.8</v>
      </c>
      <c r="K693">
        <v>191855.64</v>
      </c>
      <c r="L693">
        <v>0</v>
      </c>
      <c r="M693">
        <v>0</v>
      </c>
      <c r="N693">
        <v>2021</v>
      </c>
      <c r="O693">
        <v>9</v>
      </c>
    </row>
    <row r="694" spans="1:15" x14ac:dyDescent="0.3">
      <c r="A694">
        <v>33609</v>
      </c>
      <c r="B694">
        <v>3204955</v>
      </c>
      <c r="C694" t="s">
        <v>83</v>
      </c>
      <c r="D694">
        <v>0.32</v>
      </c>
      <c r="E694">
        <v>1137942.93</v>
      </c>
      <c r="F694">
        <v>68293.929999999993</v>
      </c>
      <c r="G694">
        <v>1206236.8600000001</v>
      </c>
      <c r="H694">
        <v>22183.32</v>
      </c>
      <c r="I694">
        <v>76672.77</v>
      </c>
      <c r="J694">
        <v>0.32</v>
      </c>
      <c r="K694">
        <v>34940.949999999997</v>
      </c>
      <c r="L694">
        <v>0</v>
      </c>
      <c r="M694">
        <v>0</v>
      </c>
      <c r="N694">
        <v>2021</v>
      </c>
      <c r="O694">
        <v>9</v>
      </c>
    </row>
    <row r="695" spans="1:15" x14ac:dyDescent="0.3">
      <c r="A695">
        <v>33610</v>
      </c>
      <c r="B695">
        <v>3205002</v>
      </c>
      <c r="C695" t="s">
        <v>84</v>
      </c>
      <c r="D695">
        <v>13.06</v>
      </c>
      <c r="E695">
        <v>45333842.149999999</v>
      </c>
      <c r="F695">
        <v>2720721.2</v>
      </c>
      <c r="G695">
        <v>48054563.350000001</v>
      </c>
      <c r="H695">
        <v>883748.43</v>
      </c>
      <c r="I695">
        <v>4126507.73</v>
      </c>
      <c r="J695">
        <v>13.06</v>
      </c>
      <c r="K695">
        <v>1391992</v>
      </c>
      <c r="L695">
        <v>0</v>
      </c>
      <c r="M695">
        <v>0</v>
      </c>
      <c r="N695">
        <v>2021</v>
      </c>
      <c r="O695">
        <v>9</v>
      </c>
    </row>
    <row r="696" spans="1:15" x14ac:dyDescent="0.3">
      <c r="A696">
        <v>33611</v>
      </c>
      <c r="B696">
        <v>3205010</v>
      </c>
      <c r="C696" t="s">
        <v>85</v>
      </c>
      <c r="D696">
        <v>0.7</v>
      </c>
      <c r="E696">
        <v>2445883.42</v>
      </c>
      <c r="F696">
        <v>146790.28</v>
      </c>
      <c r="G696">
        <v>2592673.7000000002</v>
      </c>
      <c r="H696">
        <v>47680.62</v>
      </c>
      <c r="I696">
        <v>125967.67</v>
      </c>
      <c r="J696">
        <v>0.7</v>
      </c>
      <c r="K696">
        <v>75101.73</v>
      </c>
      <c r="L696">
        <v>0</v>
      </c>
      <c r="M696">
        <v>0</v>
      </c>
      <c r="N696">
        <v>2021</v>
      </c>
      <c r="O696">
        <v>9</v>
      </c>
    </row>
    <row r="697" spans="1:15" x14ac:dyDescent="0.3">
      <c r="A697">
        <v>33612</v>
      </c>
      <c r="B697">
        <v>3205036</v>
      </c>
      <c r="C697" t="s">
        <v>86</v>
      </c>
      <c r="D697">
        <v>0.47</v>
      </c>
      <c r="E697">
        <v>1651404.98</v>
      </c>
      <c r="F697">
        <v>99109.46</v>
      </c>
      <c r="G697">
        <v>1750514.44</v>
      </c>
      <c r="H697">
        <v>32192.87</v>
      </c>
      <c r="I697">
        <v>134258.48000000001</v>
      </c>
      <c r="J697">
        <v>0.47</v>
      </c>
      <c r="K697">
        <v>50706.98</v>
      </c>
      <c r="L697">
        <v>0</v>
      </c>
      <c r="M697">
        <v>0</v>
      </c>
      <c r="N697">
        <v>2021</v>
      </c>
      <c r="O697">
        <v>9</v>
      </c>
    </row>
    <row r="698" spans="1:15" x14ac:dyDescent="0.3">
      <c r="A698">
        <v>33613</v>
      </c>
      <c r="B698">
        <v>3205069</v>
      </c>
      <c r="C698" t="s">
        <v>87</v>
      </c>
      <c r="D698">
        <v>0.72</v>
      </c>
      <c r="E698">
        <v>2501392.86</v>
      </c>
      <c r="F698">
        <v>150121.68</v>
      </c>
      <c r="G698">
        <v>2651514.54</v>
      </c>
      <c r="H698">
        <v>48762.73</v>
      </c>
      <c r="I698">
        <v>242826.25</v>
      </c>
      <c r="J698">
        <v>0.72</v>
      </c>
      <c r="K698">
        <v>76806.17</v>
      </c>
      <c r="L698">
        <v>0</v>
      </c>
      <c r="M698">
        <v>0</v>
      </c>
      <c r="N698">
        <v>2021</v>
      </c>
      <c r="O698">
        <v>9</v>
      </c>
    </row>
    <row r="699" spans="1:15" x14ac:dyDescent="0.3">
      <c r="A699">
        <v>33614</v>
      </c>
      <c r="B699">
        <v>2112803</v>
      </c>
      <c r="C699" t="s">
        <v>88</v>
      </c>
      <c r="D699">
        <v>2.25</v>
      </c>
      <c r="E699">
        <v>7816418.9500000002</v>
      </c>
      <c r="F699">
        <v>469104.21</v>
      </c>
      <c r="G699">
        <v>8285523.1600000001</v>
      </c>
      <c r="H699">
        <v>152375.07999999999</v>
      </c>
      <c r="I699">
        <v>510081.07</v>
      </c>
      <c r="J699">
        <v>2.25</v>
      </c>
      <c r="K699">
        <v>240005.97</v>
      </c>
      <c r="L699">
        <v>0</v>
      </c>
      <c r="M699">
        <v>0</v>
      </c>
      <c r="N699">
        <v>2021</v>
      </c>
      <c r="O699">
        <v>9</v>
      </c>
    </row>
    <row r="700" spans="1:15" x14ac:dyDescent="0.3">
      <c r="A700">
        <v>33615</v>
      </c>
      <c r="B700">
        <v>3205150</v>
      </c>
      <c r="C700" t="s">
        <v>89</v>
      </c>
      <c r="D700">
        <v>0.32</v>
      </c>
      <c r="E700">
        <v>1134473.5900000001</v>
      </c>
      <c r="F700">
        <v>68085.710000000006</v>
      </c>
      <c r="G700">
        <v>1202559.3</v>
      </c>
      <c r="H700">
        <v>22115.69</v>
      </c>
      <c r="I700">
        <v>48758.54</v>
      </c>
      <c r="J700">
        <v>0.32</v>
      </c>
      <c r="K700">
        <v>34834.42</v>
      </c>
      <c r="L700">
        <v>0</v>
      </c>
      <c r="M700">
        <v>0</v>
      </c>
      <c r="N700">
        <v>2021</v>
      </c>
      <c r="O700">
        <v>9</v>
      </c>
    </row>
    <row r="701" spans="1:15" x14ac:dyDescent="0.3">
      <c r="A701">
        <v>33616</v>
      </c>
      <c r="B701">
        <v>3205176</v>
      </c>
      <c r="C701" t="s">
        <v>90</v>
      </c>
      <c r="D701">
        <v>0.61</v>
      </c>
      <c r="E701">
        <v>2137112.3199999998</v>
      </c>
      <c r="F701">
        <v>128259.31</v>
      </c>
      <c r="G701">
        <v>2265371.63</v>
      </c>
      <c r="H701">
        <v>41661.360000000001</v>
      </c>
      <c r="I701">
        <v>115955.84</v>
      </c>
      <c r="J701">
        <v>0.61</v>
      </c>
      <c r="K701">
        <v>65620.81</v>
      </c>
      <c r="L701">
        <v>0</v>
      </c>
      <c r="M701">
        <v>0</v>
      </c>
      <c r="N701">
        <v>2021</v>
      </c>
      <c r="O701">
        <v>9</v>
      </c>
    </row>
    <row r="702" spans="1:15" x14ac:dyDescent="0.3">
      <c r="A702">
        <v>33617</v>
      </c>
      <c r="B702">
        <v>3205200</v>
      </c>
      <c r="C702" t="s">
        <v>91</v>
      </c>
      <c r="D702">
        <v>5.55</v>
      </c>
      <c r="E702">
        <v>19279112.32</v>
      </c>
      <c r="F702">
        <v>1157040.45</v>
      </c>
      <c r="G702">
        <v>20436152.77</v>
      </c>
      <c r="H702">
        <v>375831.49</v>
      </c>
      <c r="I702">
        <v>4604752.4800000004</v>
      </c>
      <c r="J702">
        <v>5.55</v>
      </c>
      <c r="K702">
        <v>591972.1</v>
      </c>
      <c r="L702">
        <v>0</v>
      </c>
      <c r="M702">
        <v>0</v>
      </c>
      <c r="N702">
        <v>2021</v>
      </c>
      <c r="O702">
        <v>9</v>
      </c>
    </row>
    <row r="703" spans="1:15" x14ac:dyDescent="0.3">
      <c r="A703">
        <v>33618</v>
      </c>
      <c r="B703">
        <v>3205309</v>
      </c>
      <c r="C703" t="s">
        <v>92</v>
      </c>
      <c r="D703">
        <v>15.84</v>
      </c>
      <c r="E703">
        <v>54964724.909999996</v>
      </c>
      <c r="F703">
        <v>3298720.85</v>
      </c>
      <c r="G703">
        <v>58263445.759999998</v>
      </c>
      <c r="H703">
        <v>1071495.1000000001</v>
      </c>
      <c r="I703">
        <v>4563050.09</v>
      </c>
      <c r="J703">
        <v>15.84</v>
      </c>
      <c r="K703">
        <v>1687711.71</v>
      </c>
      <c r="L703">
        <v>0</v>
      </c>
      <c r="M703">
        <v>0</v>
      </c>
      <c r="N703">
        <v>2021</v>
      </c>
      <c r="O703">
        <v>9</v>
      </c>
    </row>
    <row r="704" spans="1:15" x14ac:dyDescent="0.3">
      <c r="A704">
        <v>33697</v>
      </c>
      <c r="B704">
        <v>3200102</v>
      </c>
      <c r="C704" t="s">
        <v>15</v>
      </c>
      <c r="D704">
        <v>0.79</v>
      </c>
      <c r="E704">
        <v>2509340.7799999998</v>
      </c>
      <c r="F704">
        <v>149310.18</v>
      </c>
      <c r="G704">
        <v>2658650.96</v>
      </c>
      <c r="H704">
        <v>56626.73</v>
      </c>
      <c r="I704">
        <v>144414.22</v>
      </c>
      <c r="J704">
        <v>0.79</v>
      </c>
      <c r="K704">
        <v>80191.289999999994</v>
      </c>
      <c r="L704">
        <v>0</v>
      </c>
      <c r="M704">
        <v>0</v>
      </c>
      <c r="N704">
        <v>2021</v>
      </c>
      <c r="O704">
        <v>10</v>
      </c>
    </row>
    <row r="705" spans="1:15" x14ac:dyDescent="0.3">
      <c r="A705">
        <v>33698</v>
      </c>
      <c r="B705">
        <v>3200169</v>
      </c>
      <c r="C705" t="s">
        <v>16</v>
      </c>
      <c r="D705">
        <v>0.28999999999999998</v>
      </c>
      <c r="E705">
        <v>937072.12</v>
      </c>
      <c r="F705">
        <v>55757.43</v>
      </c>
      <c r="G705">
        <v>992829.55</v>
      </c>
      <c r="H705">
        <v>21146.32</v>
      </c>
      <c r="I705">
        <v>50519.76</v>
      </c>
      <c r="J705">
        <v>0.28999999999999998</v>
      </c>
      <c r="K705">
        <v>29946.12</v>
      </c>
      <c r="L705">
        <v>0</v>
      </c>
      <c r="M705">
        <v>0</v>
      </c>
      <c r="N705">
        <v>2021</v>
      </c>
      <c r="O705">
        <v>10</v>
      </c>
    </row>
    <row r="706" spans="1:15" x14ac:dyDescent="0.3">
      <c r="A706">
        <v>33699</v>
      </c>
      <c r="B706">
        <v>3200136</v>
      </c>
      <c r="C706" t="s">
        <v>17</v>
      </c>
      <c r="D706">
        <v>0.42</v>
      </c>
      <c r="E706">
        <v>1336428.3799999999</v>
      </c>
      <c r="F706">
        <v>79519.86</v>
      </c>
      <c r="G706">
        <v>1415948.24</v>
      </c>
      <c r="H706">
        <v>30158.35</v>
      </c>
      <c r="I706">
        <v>46699.05</v>
      </c>
      <c r="J706">
        <v>0.42</v>
      </c>
      <c r="K706">
        <v>42708.4</v>
      </c>
      <c r="L706">
        <v>0</v>
      </c>
      <c r="M706">
        <v>0</v>
      </c>
      <c r="N706">
        <v>2021</v>
      </c>
      <c r="O706">
        <v>10</v>
      </c>
    </row>
    <row r="707" spans="1:15" x14ac:dyDescent="0.3">
      <c r="A707">
        <v>33700</v>
      </c>
      <c r="B707">
        <v>3200201</v>
      </c>
      <c r="C707" t="s">
        <v>18</v>
      </c>
      <c r="D707">
        <v>0.48</v>
      </c>
      <c r="E707">
        <v>1521956.08</v>
      </c>
      <c r="F707">
        <v>90559.06</v>
      </c>
      <c r="G707">
        <v>1612515.14</v>
      </c>
      <c r="H707">
        <v>34345.03</v>
      </c>
      <c r="I707">
        <v>141029.79</v>
      </c>
      <c r="J707">
        <v>0.48</v>
      </c>
      <c r="K707">
        <v>48637.32</v>
      </c>
      <c r="L707">
        <v>0</v>
      </c>
      <c r="M707">
        <v>0</v>
      </c>
      <c r="N707">
        <v>2021</v>
      </c>
      <c r="O707">
        <v>10</v>
      </c>
    </row>
    <row r="708" spans="1:15" x14ac:dyDescent="0.3">
      <c r="A708">
        <v>33701</v>
      </c>
      <c r="B708">
        <v>3200300</v>
      </c>
      <c r="C708" t="s">
        <v>19</v>
      </c>
      <c r="D708">
        <v>0.48</v>
      </c>
      <c r="E708">
        <v>1509377.92</v>
      </c>
      <c r="F708">
        <v>89810.66</v>
      </c>
      <c r="G708">
        <v>1599188.58</v>
      </c>
      <c r="H708">
        <v>34061.19</v>
      </c>
      <c r="I708">
        <v>134161.74</v>
      </c>
      <c r="J708">
        <v>0.48</v>
      </c>
      <c r="K708">
        <v>48235.37</v>
      </c>
      <c r="L708">
        <v>0</v>
      </c>
      <c r="M708">
        <v>0</v>
      </c>
      <c r="N708">
        <v>2021</v>
      </c>
      <c r="O708">
        <v>10</v>
      </c>
    </row>
    <row r="709" spans="1:15" x14ac:dyDescent="0.3">
      <c r="A709">
        <v>33702</v>
      </c>
      <c r="B709">
        <v>3200359</v>
      </c>
      <c r="C709" t="s">
        <v>20</v>
      </c>
      <c r="D709">
        <v>0.22</v>
      </c>
      <c r="E709">
        <v>720099.05</v>
      </c>
      <c r="F709">
        <v>42847.14</v>
      </c>
      <c r="G709">
        <v>762946.19</v>
      </c>
      <c r="H709">
        <v>16250.03</v>
      </c>
      <c r="I709">
        <v>42302.239999999998</v>
      </c>
      <c r="J709">
        <v>0.22</v>
      </c>
      <c r="K709">
        <v>23012.29</v>
      </c>
      <c r="L709">
        <v>0</v>
      </c>
      <c r="M709">
        <v>0</v>
      </c>
      <c r="N709">
        <v>2021</v>
      </c>
      <c r="O709">
        <v>10</v>
      </c>
    </row>
    <row r="710" spans="1:15" x14ac:dyDescent="0.3">
      <c r="A710">
        <v>33703</v>
      </c>
      <c r="B710">
        <v>3200409</v>
      </c>
      <c r="C710" t="s">
        <v>21</v>
      </c>
      <c r="D710">
        <v>2.59</v>
      </c>
      <c r="E710">
        <v>8169507.9900000002</v>
      </c>
      <c r="F710">
        <v>486100.1</v>
      </c>
      <c r="G710">
        <v>8655608.0899999999</v>
      </c>
      <c r="H710">
        <v>184356.19</v>
      </c>
      <c r="I710">
        <v>218383.77</v>
      </c>
      <c r="J710">
        <v>2.59</v>
      </c>
      <c r="K710">
        <v>261073.9</v>
      </c>
      <c r="L710">
        <v>0</v>
      </c>
      <c r="M710">
        <v>0</v>
      </c>
      <c r="N710">
        <v>2021</v>
      </c>
      <c r="O710">
        <v>10</v>
      </c>
    </row>
    <row r="711" spans="1:15" x14ac:dyDescent="0.3">
      <c r="A711">
        <v>33704</v>
      </c>
      <c r="B711">
        <v>3200508</v>
      </c>
      <c r="C711" t="s">
        <v>22</v>
      </c>
      <c r="D711">
        <v>0.19</v>
      </c>
      <c r="E711">
        <v>613184.80000000005</v>
      </c>
      <c r="F711">
        <v>36485.58</v>
      </c>
      <c r="G711">
        <v>649670.38</v>
      </c>
      <c r="H711">
        <v>13837.36</v>
      </c>
      <c r="I711">
        <v>58789.96</v>
      </c>
      <c r="J711">
        <v>0.19</v>
      </c>
      <c r="K711">
        <v>19595.62</v>
      </c>
      <c r="L711">
        <v>0</v>
      </c>
      <c r="M711">
        <v>0</v>
      </c>
      <c r="N711">
        <v>2021</v>
      </c>
      <c r="O711">
        <v>10</v>
      </c>
    </row>
    <row r="712" spans="1:15" x14ac:dyDescent="0.3">
      <c r="A712">
        <v>33705</v>
      </c>
      <c r="B712">
        <v>3200607</v>
      </c>
      <c r="C712" t="s">
        <v>23</v>
      </c>
      <c r="D712">
        <v>5.18</v>
      </c>
      <c r="E712">
        <v>16288703.4</v>
      </c>
      <c r="F712">
        <v>969206.52</v>
      </c>
      <c r="G712">
        <v>17257909.920000002</v>
      </c>
      <c r="H712">
        <v>367577.01</v>
      </c>
      <c r="I712">
        <v>742914.97</v>
      </c>
      <c r="J712">
        <v>5.18</v>
      </c>
      <c r="K712">
        <v>520539.95</v>
      </c>
      <c r="L712">
        <v>0</v>
      </c>
      <c r="M712">
        <v>0</v>
      </c>
      <c r="N712">
        <v>2021</v>
      </c>
      <c r="O712">
        <v>10</v>
      </c>
    </row>
    <row r="713" spans="1:15" x14ac:dyDescent="0.3">
      <c r="A713">
        <v>33706</v>
      </c>
      <c r="B713">
        <v>3200706</v>
      </c>
      <c r="C713" t="s">
        <v>24</v>
      </c>
      <c r="D713">
        <v>0.36</v>
      </c>
      <c r="E713">
        <v>1160334.29</v>
      </c>
      <c r="F713">
        <v>69041.929999999993</v>
      </c>
      <c r="G713">
        <v>1229376.22</v>
      </c>
      <c r="H713">
        <v>26184.54</v>
      </c>
      <c r="I713">
        <v>57497.63</v>
      </c>
      <c r="J713">
        <v>0.36</v>
      </c>
      <c r="K713">
        <v>37080.94</v>
      </c>
      <c r="L713">
        <v>0</v>
      </c>
      <c r="M713">
        <v>0</v>
      </c>
      <c r="N713">
        <v>2021</v>
      </c>
      <c r="O713">
        <v>10</v>
      </c>
    </row>
    <row r="714" spans="1:15" x14ac:dyDescent="0.3">
      <c r="A714">
        <v>33707</v>
      </c>
      <c r="B714">
        <v>3200805</v>
      </c>
      <c r="C714" t="s">
        <v>25</v>
      </c>
      <c r="D714">
        <v>0.65</v>
      </c>
      <c r="E714">
        <v>2072250.09</v>
      </c>
      <c r="F714">
        <v>123302.53</v>
      </c>
      <c r="G714">
        <v>2195552.62</v>
      </c>
      <c r="H714">
        <v>46763.18</v>
      </c>
      <c r="I714">
        <v>208787.73</v>
      </c>
      <c r="J714">
        <v>0.65</v>
      </c>
      <c r="K714">
        <v>66223.13</v>
      </c>
      <c r="L714">
        <v>0</v>
      </c>
      <c r="M714">
        <v>0</v>
      </c>
      <c r="N714">
        <v>2021</v>
      </c>
      <c r="O714">
        <v>10</v>
      </c>
    </row>
    <row r="715" spans="1:15" x14ac:dyDescent="0.3">
      <c r="A715">
        <v>33708</v>
      </c>
      <c r="B715">
        <v>3200904</v>
      </c>
      <c r="C715" t="s">
        <v>26</v>
      </c>
      <c r="D715">
        <v>0.9</v>
      </c>
      <c r="E715">
        <v>2848950.83</v>
      </c>
      <c r="F715">
        <v>169517.58</v>
      </c>
      <c r="G715">
        <v>3018468.41</v>
      </c>
      <c r="H715">
        <v>64290.5</v>
      </c>
      <c r="I715">
        <v>284044.96999999997</v>
      </c>
      <c r="J715">
        <v>0.9</v>
      </c>
      <c r="K715">
        <v>91044.25</v>
      </c>
      <c r="L715">
        <v>0</v>
      </c>
      <c r="M715">
        <v>0</v>
      </c>
      <c r="N715">
        <v>2021</v>
      </c>
      <c r="O715">
        <v>10</v>
      </c>
    </row>
    <row r="716" spans="1:15" x14ac:dyDescent="0.3">
      <c r="A716">
        <v>33709</v>
      </c>
      <c r="B716">
        <v>3107109</v>
      </c>
      <c r="C716" t="s">
        <v>27</v>
      </c>
      <c r="D716">
        <v>0.41</v>
      </c>
      <c r="E716">
        <v>1301838.44</v>
      </c>
      <c r="F716">
        <v>77461.679999999993</v>
      </c>
      <c r="G716">
        <v>1379300.12</v>
      </c>
      <c r="H716">
        <v>29377.78</v>
      </c>
      <c r="I716">
        <v>60851.81</v>
      </c>
      <c r="J716">
        <v>0.41</v>
      </c>
      <c r="K716">
        <v>41603</v>
      </c>
      <c r="L716">
        <v>0</v>
      </c>
      <c r="M716">
        <v>0</v>
      </c>
      <c r="N716">
        <v>2021</v>
      </c>
      <c r="O716">
        <v>10</v>
      </c>
    </row>
    <row r="717" spans="1:15" x14ac:dyDescent="0.3">
      <c r="A717">
        <v>33710</v>
      </c>
      <c r="B717">
        <v>3201100</v>
      </c>
      <c r="C717" t="s">
        <v>28</v>
      </c>
      <c r="D717">
        <v>0.17</v>
      </c>
      <c r="E717">
        <v>534571.34</v>
      </c>
      <c r="F717">
        <v>31807.93</v>
      </c>
      <c r="G717">
        <v>566379.27</v>
      </c>
      <c r="H717">
        <v>12063.34</v>
      </c>
      <c r="I717">
        <v>142876.32999999999</v>
      </c>
      <c r="J717">
        <v>0.17</v>
      </c>
      <c r="K717">
        <v>17083.349999999999</v>
      </c>
      <c r="L717">
        <v>0</v>
      </c>
      <c r="M717">
        <v>0</v>
      </c>
      <c r="N717">
        <v>2021</v>
      </c>
      <c r="O717">
        <v>10</v>
      </c>
    </row>
    <row r="718" spans="1:15" x14ac:dyDescent="0.3">
      <c r="A718">
        <v>33711</v>
      </c>
      <c r="B718">
        <v>3201159</v>
      </c>
      <c r="C718" t="s">
        <v>29</v>
      </c>
      <c r="D718">
        <v>0.43</v>
      </c>
      <c r="E718">
        <v>1377307.35</v>
      </c>
      <c r="F718">
        <v>81952.210000000006</v>
      </c>
      <c r="G718">
        <v>1459259.56</v>
      </c>
      <c r="H718">
        <v>31080.84</v>
      </c>
      <c r="I718">
        <v>55766.22</v>
      </c>
      <c r="J718">
        <v>0.43</v>
      </c>
      <c r="K718">
        <v>44014.77</v>
      </c>
      <c r="L718">
        <v>0</v>
      </c>
      <c r="M718">
        <v>0</v>
      </c>
      <c r="N718">
        <v>2021</v>
      </c>
      <c r="O718">
        <v>10</v>
      </c>
    </row>
    <row r="719" spans="1:15" x14ac:dyDescent="0.3">
      <c r="A719">
        <v>33712</v>
      </c>
      <c r="B719">
        <v>3201209</v>
      </c>
      <c r="C719" t="s">
        <v>30</v>
      </c>
      <c r="D719">
        <v>3.11</v>
      </c>
      <c r="E719">
        <v>9785800.1799999997</v>
      </c>
      <c r="F719">
        <v>582272.31999999995</v>
      </c>
      <c r="G719">
        <v>10368072.5</v>
      </c>
      <c r="H719">
        <v>220830.05</v>
      </c>
      <c r="I719">
        <v>1636037.96</v>
      </c>
      <c r="J719">
        <v>3.11</v>
      </c>
      <c r="K719">
        <v>312725.93</v>
      </c>
      <c r="L719">
        <v>0</v>
      </c>
      <c r="M719">
        <v>0</v>
      </c>
      <c r="N719">
        <v>2021</v>
      </c>
      <c r="O719">
        <v>10</v>
      </c>
    </row>
    <row r="720" spans="1:15" x14ac:dyDescent="0.3">
      <c r="A720">
        <v>33713</v>
      </c>
      <c r="B720">
        <v>3201308</v>
      </c>
      <c r="C720" t="s">
        <v>31</v>
      </c>
      <c r="D720">
        <v>6.51</v>
      </c>
      <c r="E720">
        <v>20483516.199999999</v>
      </c>
      <c r="F720">
        <v>1218805.3</v>
      </c>
      <c r="G720">
        <v>21702321.5</v>
      </c>
      <c r="H720">
        <v>462238.73</v>
      </c>
      <c r="I720">
        <v>2271217.9</v>
      </c>
      <c r="J720">
        <v>6.51</v>
      </c>
      <c r="K720">
        <v>654594.06000000006</v>
      </c>
      <c r="L720">
        <v>0</v>
      </c>
      <c r="M720">
        <v>0</v>
      </c>
      <c r="N720">
        <v>2021</v>
      </c>
      <c r="O720">
        <v>10</v>
      </c>
    </row>
    <row r="721" spans="1:15" x14ac:dyDescent="0.3">
      <c r="A721">
        <v>33714</v>
      </c>
      <c r="B721">
        <v>3201407</v>
      </c>
      <c r="C721" t="s">
        <v>32</v>
      </c>
      <c r="D721">
        <v>0.93</v>
      </c>
      <c r="E721">
        <v>2943286.95</v>
      </c>
      <c r="F721">
        <v>175130.77</v>
      </c>
      <c r="G721">
        <v>3118417.72</v>
      </c>
      <c r="H721">
        <v>66419.320000000007</v>
      </c>
      <c r="I721">
        <v>366206.76</v>
      </c>
      <c r="J721">
        <v>0.93</v>
      </c>
      <c r="K721">
        <v>94058.96</v>
      </c>
      <c r="L721">
        <v>0</v>
      </c>
      <c r="M721">
        <v>0</v>
      </c>
      <c r="N721">
        <v>2021</v>
      </c>
      <c r="O721">
        <v>10</v>
      </c>
    </row>
    <row r="722" spans="1:15" x14ac:dyDescent="0.3">
      <c r="A722">
        <v>33715</v>
      </c>
      <c r="B722">
        <v>3201506</v>
      </c>
      <c r="C722" t="s">
        <v>33</v>
      </c>
      <c r="D722">
        <v>2.2000000000000002</v>
      </c>
      <c r="E722">
        <v>6921126.6900000004</v>
      </c>
      <c r="F722">
        <v>411819.21</v>
      </c>
      <c r="G722">
        <v>7332945.9000000004</v>
      </c>
      <c r="H722">
        <v>156184.75</v>
      </c>
      <c r="I722">
        <v>1031224.33</v>
      </c>
      <c r="J722">
        <v>2.2000000000000002</v>
      </c>
      <c r="K722">
        <v>221179.23</v>
      </c>
      <c r="L722">
        <v>0</v>
      </c>
      <c r="M722">
        <v>0</v>
      </c>
      <c r="N722">
        <v>2021</v>
      </c>
      <c r="O722">
        <v>10</v>
      </c>
    </row>
    <row r="723" spans="1:15" x14ac:dyDescent="0.3">
      <c r="A723">
        <v>33716</v>
      </c>
      <c r="B723">
        <v>3201605</v>
      </c>
      <c r="C723" t="s">
        <v>34</v>
      </c>
      <c r="D723">
        <v>0.57999999999999996</v>
      </c>
      <c r="E723">
        <v>1839554.33</v>
      </c>
      <c r="F723">
        <v>109456.71</v>
      </c>
      <c r="G723">
        <v>1949011.04</v>
      </c>
      <c r="H723">
        <v>41512.080000000002</v>
      </c>
      <c r="I723">
        <v>133697.51</v>
      </c>
      <c r="J723">
        <v>0.57999999999999996</v>
      </c>
      <c r="K723">
        <v>58786.85</v>
      </c>
      <c r="L723">
        <v>0</v>
      </c>
      <c r="M723">
        <v>0</v>
      </c>
      <c r="N723">
        <v>2021</v>
      </c>
      <c r="O723">
        <v>10</v>
      </c>
    </row>
    <row r="724" spans="1:15" x14ac:dyDescent="0.3">
      <c r="A724">
        <v>33717</v>
      </c>
      <c r="B724">
        <v>3201704</v>
      </c>
      <c r="C724" t="s">
        <v>35</v>
      </c>
      <c r="D724">
        <v>0.45</v>
      </c>
      <c r="E724">
        <v>1433909.02</v>
      </c>
      <c r="F724">
        <v>85320.13</v>
      </c>
      <c r="G724">
        <v>1519229.15</v>
      </c>
      <c r="H724">
        <v>32358.13</v>
      </c>
      <c r="I724">
        <v>76484.490000000005</v>
      </c>
      <c r="J724">
        <v>0.45</v>
      </c>
      <c r="K724">
        <v>45823.59</v>
      </c>
      <c r="L724">
        <v>0</v>
      </c>
      <c r="M724">
        <v>0</v>
      </c>
      <c r="N724">
        <v>2021</v>
      </c>
      <c r="O724">
        <v>10</v>
      </c>
    </row>
    <row r="725" spans="1:15" x14ac:dyDescent="0.3">
      <c r="A725">
        <v>33718</v>
      </c>
      <c r="B725">
        <v>3201803</v>
      </c>
      <c r="C725" t="s">
        <v>36</v>
      </c>
      <c r="D725">
        <v>0.19</v>
      </c>
      <c r="E725">
        <v>597462.07999999996</v>
      </c>
      <c r="F725">
        <v>35550.080000000002</v>
      </c>
      <c r="G725">
        <v>633012.16</v>
      </c>
      <c r="H725">
        <v>13482.55</v>
      </c>
      <c r="I725">
        <v>19791.64</v>
      </c>
      <c r="J725">
        <v>0.19</v>
      </c>
      <c r="K725">
        <v>19093.16</v>
      </c>
      <c r="L725">
        <v>0</v>
      </c>
      <c r="M725">
        <v>0</v>
      </c>
      <c r="N725">
        <v>2021</v>
      </c>
      <c r="O725">
        <v>10</v>
      </c>
    </row>
    <row r="726" spans="1:15" x14ac:dyDescent="0.3">
      <c r="A726">
        <v>33719</v>
      </c>
      <c r="B726">
        <v>3201902</v>
      </c>
      <c r="C726" t="s">
        <v>37</v>
      </c>
      <c r="D726">
        <v>1.22</v>
      </c>
      <c r="E726">
        <v>3848913.71</v>
      </c>
      <c r="F726">
        <v>229017.14</v>
      </c>
      <c r="G726">
        <v>4077930.85</v>
      </c>
      <c r="H726">
        <v>86856.03</v>
      </c>
      <c r="I726">
        <v>270455.87</v>
      </c>
      <c r="J726">
        <v>1.22</v>
      </c>
      <c r="K726">
        <v>123000.18</v>
      </c>
      <c r="L726">
        <v>0</v>
      </c>
      <c r="M726">
        <v>0</v>
      </c>
      <c r="N726">
        <v>2021</v>
      </c>
      <c r="O726">
        <v>10</v>
      </c>
    </row>
    <row r="727" spans="1:15" x14ac:dyDescent="0.3">
      <c r="A727">
        <v>33720</v>
      </c>
      <c r="B727">
        <v>3202009</v>
      </c>
      <c r="C727" t="s">
        <v>38</v>
      </c>
      <c r="D727">
        <v>0.24</v>
      </c>
      <c r="E727">
        <v>767267.12</v>
      </c>
      <c r="F727">
        <v>45653.73</v>
      </c>
      <c r="G727">
        <v>812920.85</v>
      </c>
      <c r="H727">
        <v>17314.439999999999</v>
      </c>
      <c r="I727">
        <v>50485.24</v>
      </c>
      <c r="J727">
        <v>0.24</v>
      </c>
      <c r="K727">
        <v>24519.64</v>
      </c>
      <c r="L727">
        <v>0</v>
      </c>
      <c r="M727">
        <v>0</v>
      </c>
      <c r="N727">
        <v>2021</v>
      </c>
      <c r="O727">
        <v>10</v>
      </c>
    </row>
    <row r="728" spans="1:15" x14ac:dyDescent="0.3">
      <c r="A728">
        <v>33721</v>
      </c>
      <c r="B728">
        <v>3202108</v>
      </c>
      <c r="C728" t="s">
        <v>39</v>
      </c>
      <c r="D728">
        <v>0.69</v>
      </c>
      <c r="E728">
        <v>2198031.59</v>
      </c>
      <c r="F728">
        <v>130786.75</v>
      </c>
      <c r="G728">
        <v>2328818.34</v>
      </c>
      <c r="H728">
        <v>49601.61</v>
      </c>
      <c r="I728">
        <v>95544.63</v>
      </c>
      <c r="J728">
        <v>0.69</v>
      </c>
      <c r="K728">
        <v>70242.740000000005</v>
      </c>
      <c r="L728">
        <v>0</v>
      </c>
      <c r="M728">
        <v>0</v>
      </c>
      <c r="N728">
        <v>2021</v>
      </c>
      <c r="O728">
        <v>10</v>
      </c>
    </row>
    <row r="729" spans="1:15" x14ac:dyDescent="0.3">
      <c r="A729">
        <v>33722</v>
      </c>
      <c r="B729">
        <v>3202207</v>
      </c>
      <c r="C729" t="s">
        <v>40</v>
      </c>
      <c r="D729">
        <v>0.33</v>
      </c>
      <c r="E729">
        <v>1040841.86</v>
      </c>
      <c r="F729">
        <v>61931.9</v>
      </c>
      <c r="G729">
        <v>1102773.76</v>
      </c>
      <c r="H729">
        <v>23488.03</v>
      </c>
      <c r="I729">
        <v>107804.19</v>
      </c>
      <c r="J729">
        <v>0.33</v>
      </c>
      <c r="K729">
        <v>33262.31</v>
      </c>
      <c r="L729">
        <v>0</v>
      </c>
      <c r="M729">
        <v>0</v>
      </c>
      <c r="N729">
        <v>2021</v>
      </c>
      <c r="O729">
        <v>10</v>
      </c>
    </row>
    <row r="730" spans="1:15" x14ac:dyDescent="0.3">
      <c r="A730">
        <v>33723</v>
      </c>
      <c r="B730">
        <v>3202256</v>
      </c>
      <c r="C730" t="s">
        <v>41</v>
      </c>
      <c r="D730">
        <v>0.44</v>
      </c>
      <c r="E730">
        <v>1393030.06</v>
      </c>
      <c r="F730">
        <v>82887.75</v>
      </c>
      <c r="G730">
        <v>1475917.81</v>
      </c>
      <c r="H730">
        <v>31435.64</v>
      </c>
      <c r="I730">
        <v>62586.01</v>
      </c>
      <c r="J730">
        <v>0.44</v>
      </c>
      <c r="K730">
        <v>44517.22</v>
      </c>
      <c r="L730">
        <v>0</v>
      </c>
      <c r="M730">
        <v>0</v>
      </c>
      <c r="N730">
        <v>2021</v>
      </c>
      <c r="O730">
        <v>10</v>
      </c>
    </row>
    <row r="731" spans="1:15" x14ac:dyDescent="0.3">
      <c r="A731">
        <v>33724</v>
      </c>
      <c r="B731">
        <v>3202306</v>
      </c>
      <c r="C731" t="s">
        <v>42</v>
      </c>
      <c r="D731">
        <v>0.39</v>
      </c>
      <c r="E731">
        <v>1229514.1100000001</v>
      </c>
      <c r="F731">
        <v>73158.25</v>
      </c>
      <c r="G731">
        <v>1302672.3600000001</v>
      </c>
      <c r="H731">
        <v>27745.68</v>
      </c>
      <c r="I731">
        <v>189476.08</v>
      </c>
      <c r="J731">
        <v>0.39</v>
      </c>
      <c r="K731">
        <v>39291.72</v>
      </c>
      <c r="L731">
        <v>0</v>
      </c>
      <c r="M731">
        <v>0</v>
      </c>
      <c r="N731">
        <v>2021</v>
      </c>
      <c r="O731">
        <v>10</v>
      </c>
    </row>
    <row r="732" spans="1:15" x14ac:dyDescent="0.3">
      <c r="A732">
        <v>33725</v>
      </c>
      <c r="B732">
        <v>3202405</v>
      </c>
      <c r="C732" t="s">
        <v>43</v>
      </c>
      <c r="D732">
        <v>0.91</v>
      </c>
      <c r="E732">
        <v>2867818.05</v>
      </c>
      <c r="F732">
        <v>170640.22</v>
      </c>
      <c r="G732">
        <v>3038458.27</v>
      </c>
      <c r="H732">
        <v>64716.26</v>
      </c>
      <c r="I732">
        <v>1313242.6299999999</v>
      </c>
      <c r="J732">
        <v>0.91</v>
      </c>
      <c r="K732">
        <v>91647.19</v>
      </c>
      <c r="L732">
        <v>0</v>
      </c>
      <c r="M732">
        <v>0</v>
      </c>
      <c r="N732">
        <v>2021</v>
      </c>
      <c r="O732">
        <v>10</v>
      </c>
    </row>
    <row r="733" spans="1:15" x14ac:dyDescent="0.3">
      <c r="A733">
        <v>33726</v>
      </c>
      <c r="B733">
        <v>3202454</v>
      </c>
      <c r="C733" t="s">
        <v>44</v>
      </c>
      <c r="D733">
        <v>0.36</v>
      </c>
      <c r="E733">
        <v>1132033.44</v>
      </c>
      <c r="F733">
        <v>67357.990000000005</v>
      </c>
      <c r="G733">
        <v>1199391.43</v>
      </c>
      <c r="H733">
        <v>25545.89</v>
      </c>
      <c r="I733">
        <v>119476.19</v>
      </c>
      <c r="J733">
        <v>0.36</v>
      </c>
      <c r="K733">
        <v>36176.519999999997</v>
      </c>
      <c r="L733">
        <v>0</v>
      </c>
      <c r="M733">
        <v>0</v>
      </c>
      <c r="N733">
        <v>2021</v>
      </c>
      <c r="O733">
        <v>10</v>
      </c>
    </row>
    <row r="734" spans="1:15" x14ac:dyDescent="0.3">
      <c r="A734">
        <v>33727</v>
      </c>
      <c r="B734">
        <v>3202504</v>
      </c>
      <c r="C734" t="s">
        <v>45</v>
      </c>
      <c r="D734">
        <v>0.27</v>
      </c>
      <c r="E734">
        <v>858458.69</v>
      </c>
      <c r="F734">
        <v>51079.8</v>
      </c>
      <c r="G734">
        <v>909538.49</v>
      </c>
      <c r="H734">
        <v>19372.3</v>
      </c>
      <c r="I734">
        <v>112038.15</v>
      </c>
      <c r="J734">
        <v>0.27</v>
      </c>
      <c r="K734">
        <v>27433.86</v>
      </c>
      <c r="L734">
        <v>0</v>
      </c>
      <c r="M734">
        <v>0</v>
      </c>
      <c r="N734">
        <v>2021</v>
      </c>
      <c r="O734">
        <v>10</v>
      </c>
    </row>
    <row r="735" spans="1:15" x14ac:dyDescent="0.3">
      <c r="A735">
        <v>33728</v>
      </c>
      <c r="B735">
        <v>3202553</v>
      </c>
      <c r="C735" t="s">
        <v>46</v>
      </c>
      <c r="D735">
        <v>0.24</v>
      </c>
      <c r="E735">
        <v>770411.64</v>
      </c>
      <c r="F735">
        <v>45840.86</v>
      </c>
      <c r="G735">
        <v>816252.5</v>
      </c>
      <c r="H735">
        <v>17385.400000000001</v>
      </c>
      <c r="I735">
        <v>30532.23</v>
      </c>
      <c r="J735">
        <v>0.24</v>
      </c>
      <c r="K735">
        <v>24620.13</v>
      </c>
      <c r="L735">
        <v>0</v>
      </c>
      <c r="M735">
        <v>0</v>
      </c>
      <c r="N735">
        <v>2021</v>
      </c>
      <c r="O735">
        <v>10</v>
      </c>
    </row>
    <row r="736" spans="1:15" x14ac:dyDescent="0.3">
      <c r="A736">
        <v>33729</v>
      </c>
      <c r="B736">
        <v>3202603</v>
      </c>
      <c r="C736" t="s">
        <v>47</v>
      </c>
      <c r="D736">
        <v>0.37</v>
      </c>
      <c r="E736">
        <v>1169767.8799999999</v>
      </c>
      <c r="F736">
        <v>69603.25</v>
      </c>
      <c r="G736">
        <v>1239371.1299999999</v>
      </c>
      <c r="H736">
        <v>26397.42</v>
      </c>
      <c r="I736">
        <v>162266.93</v>
      </c>
      <c r="J736">
        <v>0.37</v>
      </c>
      <c r="K736">
        <v>37382.410000000003</v>
      </c>
      <c r="L736">
        <v>0</v>
      </c>
      <c r="M736">
        <v>0</v>
      </c>
      <c r="N736">
        <v>2021</v>
      </c>
      <c r="O736">
        <v>10</v>
      </c>
    </row>
    <row r="737" spans="1:15" x14ac:dyDescent="0.3">
      <c r="A737">
        <v>33730</v>
      </c>
      <c r="B737">
        <v>3202652</v>
      </c>
      <c r="C737" t="s">
        <v>48</v>
      </c>
      <c r="D737">
        <v>0.3</v>
      </c>
      <c r="E737">
        <v>971662.03</v>
      </c>
      <c r="F737">
        <v>57815.61</v>
      </c>
      <c r="G737">
        <v>1029477.64</v>
      </c>
      <c r="H737">
        <v>21926.89</v>
      </c>
      <c r="I737">
        <v>62947.37</v>
      </c>
      <c r="J737">
        <v>0.3</v>
      </c>
      <c r="K737">
        <v>31051.51</v>
      </c>
      <c r="L737">
        <v>0</v>
      </c>
      <c r="M737">
        <v>0</v>
      </c>
      <c r="N737">
        <v>2021</v>
      </c>
      <c r="O737">
        <v>10</v>
      </c>
    </row>
    <row r="738" spans="1:15" x14ac:dyDescent="0.3">
      <c r="A738">
        <v>33731</v>
      </c>
      <c r="B738">
        <v>3202702</v>
      </c>
      <c r="C738" t="s">
        <v>49</v>
      </c>
      <c r="D738">
        <v>0.38</v>
      </c>
      <c r="E738">
        <v>1204357.79</v>
      </c>
      <c r="F738">
        <v>71661.37</v>
      </c>
      <c r="G738">
        <v>1276019.1599999999</v>
      </c>
      <c r="H738">
        <v>27177.99</v>
      </c>
      <c r="I738">
        <v>59058.02</v>
      </c>
      <c r="J738">
        <v>0.38</v>
      </c>
      <c r="K738">
        <v>38487.800000000003</v>
      </c>
      <c r="L738">
        <v>0</v>
      </c>
      <c r="M738">
        <v>0</v>
      </c>
      <c r="N738">
        <v>2021</v>
      </c>
      <c r="O738">
        <v>10</v>
      </c>
    </row>
    <row r="739" spans="1:15" x14ac:dyDescent="0.3">
      <c r="A739">
        <v>33732</v>
      </c>
      <c r="B739">
        <v>3202801</v>
      </c>
      <c r="C739" t="s">
        <v>50</v>
      </c>
      <c r="D739">
        <v>2.66</v>
      </c>
      <c r="E739">
        <v>8380191.9699999997</v>
      </c>
      <c r="F739">
        <v>498636.18</v>
      </c>
      <c r="G739">
        <v>8878828.1500000004</v>
      </c>
      <c r="H739">
        <v>189110.56</v>
      </c>
      <c r="I739">
        <v>205358.67</v>
      </c>
      <c r="J739">
        <v>2.66</v>
      </c>
      <c r="K739">
        <v>267806.75</v>
      </c>
      <c r="L739">
        <v>0</v>
      </c>
      <c r="M739">
        <v>0</v>
      </c>
      <c r="N739">
        <v>2021</v>
      </c>
      <c r="O739">
        <v>10</v>
      </c>
    </row>
    <row r="740" spans="1:15" x14ac:dyDescent="0.3">
      <c r="A740">
        <v>33733</v>
      </c>
      <c r="B740">
        <v>3202900</v>
      </c>
      <c r="C740" t="s">
        <v>51</v>
      </c>
      <c r="D740">
        <v>0.34</v>
      </c>
      <c r="E740">
        <v>1075431.78</v>
      </c>
      <c r="F740">
        <v>63990.09</v>
      </c>
      <c r="G740">
        <v>1139421.8700000001</v>
      </c>
      <c r="H740">
        <v>24268.6</v>
      </c>
      <c r="I740">
        <v>82261.990000000005</v>
      </c>
      <c r="J740">
        <v>0.34</v>
      </c>
      <c r="K740">
        <v>34367.699999999997</v>
      </c>
      <c r="L740">
        <v>0</v>
      </c>
      <c r="M740">
        <v>0</v>
      </c>
      <c r="N740">
        <v>2021</v>
      </c>
      <c r="O740">
        <v>10</v>
      </c>
    </row>
    <row r="741" spans="1:15" x14ac:dyDescent="0.3">
      <c r="A741">
        <v>33734</v>
      </c>
      <c r="B741">
        <v>3203007</v>
      </c>
      <c r="C741" t="s">
        <v>52</v>
      </c>
      <c r="D741">
        <v>0.47</v>
      </c>
      <c r="E741">
        <v>1484221.63</v>
      </c>
      <c r="F741">
        <v>88313.8</v>
      </c>
      <c r="G741">
        <v>1572535.43</v>
      </c>
      <c r="H741">
        <v>33493.5</v>
      </c>
      <c r="I741">
        <v>144708.28</v>
      </c>
      <c r="J741">
        <v>0.47</v>
      </c>
      <c r="K741">
        <v>47431.44</v>
      </c>
      <c r="L741">
        <v>0</v>
      </c>
      <c r="M741">
        <v>0</v>
      </c>
      <c r="N741">
        <v>2021</v>
      </c>
      <c r="O741">
        <v>10</v>
      </c>
    </row>
    <row r="742" spans="1:15" x14ac:dyDescent="0.3">
      <c r="A742">
        <v>33735</v>
      </c>
      <c r="B742">
        <v>3203056</v>
      </c>
      <c r="C742" t="s">
        <v>53</v>
      </c>
      <c r="D742">
        <v>0.86</v>
      </c>
      <c r="E742">
        <v>2720024.77</v>
      </c>
      <c r="F742">
        <v>161846.26999999999</v>
      </c>
      <c r="G742">
        <v>2881871.04</v>
      </c>
      <c r="H742">
        <v>61381.1</v>
      </c>
      <c r="I742">
        <v>150446.01</v>
      </c>
      <c r="J742">
        <v>0.86</v>
      </c>
      <c r="K742">
        <v>86924.14</v>
      </c>
      <c r="L742">
        <v>0</v>
      </c>
      <c r="M742">
        <v>0</v>
      </c>
      <c r="N742">
        <v>2021</v>
      </c>
      <c r="O742">
        <v>10</v>
      </c>
    </row>
    <row r="743" spans="1:15" x14ac:dyDescent="0.3">
      <c r="A743">
        <v>33736</v>
      </c>
      <c r="B743">
        <v>3203106</v>
      </c>
      <c r="C743" t="s">
        <v>54</v>
      </c>
      <c r="D743">
        <v>0.21</v>
      </c>
      <c r="E743">
        <v>672930.98</v>
      </c>
      <c r="F743">
        <v>40040.57</v>
      </c>
      <c r="G743">
        <v>712971.55</v>
      </c>
      <c r="H743">
        <v>15185.61</v>
      </c>
      <c r="I743">
        <v>39367.269999999997</v>
      </c>
      <c r="J743">
        <v>0.21</v>
      </c>
      <c r="K743">
        <v>21504.93</v>
      </c>
      <c r="L743">
        <v>0</v>
      </c>
      <c r="M743">
        <v>0</v>
      </c>
      <c r="N743">
        <v>2021</v>
      </c>
      <c r="O743">
        <v>10</v>
      </c>
    </row>
    <row r="744" spans="1:15" x14ac:dyDescent="0.3">
      <c r="A744">
        <v>33737</v>
      </c>
      <c r="B744">
        <v>3203130</v>
      </c>
      <c r="C744" t="s">
        <v>55</v>
      </c>
      <c r="D744">
        <v>0.42</v>
      </c>
      <c r="E744">
        <v>1342717.44</v>
      </c>
      <c r="F744">
        <v>79894.039999999994</v>
      </c>
      <c r="G744">
        <v>1422611.48</v>
      </c>
      <c r="H744">
        <v>30300.27</v>
      </c>
      <c r="I744">
        <v>125707.38</v>
      </c>
      <c r="J744">
        <v>0.42</v>
      </c>
      <c r="K744">
        <v>42909.37</v>
      </c>
      <c r="L744">
        <v>0</v>
      </c>
      <c r="M744">
        <v>0</v>
      </c>
      <c r="N744">
        <v>2021</v>
      </c>
      <c r="O744">
        <v>10</v>
      </c>
    </row>
    <row r="745" spans="1:15" x14ac:dyDescent="0.3">
      <c r="A745">
        <v>33738</v>
      </c>
      <c r="B745">
        <v>3203163</v>
      </c>
      <c r="C745" t="s">
        <v>56</v>
      </c>
      <c r="D745">
        <v>0.38</v>
      </c>
      <c r="E745">
        <v>1194924.18</v>
      </c>
      <c r="F745">
        <v>71100.08</v>
      </c>
      <c r="G745">
        <v>1266024.26</v>
      </c>
      <c r="H745">
        <v>26965.11</v>
      </c>
      <c r="I745">
        <v>30300.68</v>
      </c>
      <c r="J745">
        <v>0.38</v>
      </c>
      <c r="K745">
        <v>38186.33</v>
      </c>
      <c r="L745">
        <v>0</v>
      </c>
      <c r="M745">
        <v>0</v>
      </c>
      <c r="N745">
        <v>2021</v>
      </c>
      <c r="O745">
        <v>10</v>
      </c>
    </row>
    <row r="746" spans="1:15" x14ac:dyDescent="0.3">
      <c r="A746">
        <v>33739</v>
      </c>
      <c r="B746">
        <v>3203205</v>
      </c>
      <c r="C746" t="s">
        <v>57</v>
      </c>
      <c r="D746">
        <v>5.75</v>
      </c>
      <c r="E746">
        <v>18090523.289999999</v>
      </c>
      <c r="F746">
        <v>1076417.98</v>
      </c>
      <c r="G746">
        <v>19166941.27</v>
      </c>
      <c r="H746">
        <v>408237.55</v>
      </c>
      <c r="I746">
        <v>1305819.24</v>
      </c>
      <c r="J746">
        <v>5.75</v>
      </c>
      <c r="K746">
        <v>578120.91</v>
      </c>
      <c r="L746">
        <v>0</v>
      </c>
      <c r="M746">
        <v>0</v>
      </c>
      <c r="N746">
        <v>2021</v>
      </c>
      <c r="O746">
        <v>10</v>
      </c>
    </row>
    <row r="747" spans="1:15" x14ac:dyDescent="0.3">
      <c r="A747">
        <v>33740</v>
      </c>
      <c r="B747">
        <v>3203304</v>
      </c>
      <c r="C747" t="s">
        <v>58</v>
      </c>
      <c r="D747">
        <v>0.25</v>
      </c>
      <c r="E747">
        <v>801857.03</v>
      </c>
      <c r="F747">
        <v>47711.9</v>
      </c>
      <c r="G747">
        <v>849568.93</v>
      </c>
      <c r="H747">
        <v>18095.009999999998</v>
      </c>
      <c r="I747">
        <v>72774.91</v>
      </c>
      <c r="J747">
        <v>0.25</v>
      </c>
      <c r="K747">
        <v>25625.03</v>
      </c>
      <c r="L747">
        <v>0</v>
      </c>
      <c r="M747">
        <v>0</v>
      </c>
      <c r="N747">
        <v>2021</v>
      </c>
      <c r="O747">
        <v>10</v>
      </c>
    </row>
    <row r="748" spans="1:15" x14ac:dyDescent="0.3">
      <c r="A748">
        <v>33741</v>
      </c>
      <c r="B748">
        <v>3203320</v>
      </c>
      <c r="C748" t="s">
        <v>59</v>
      </c>
      <c r="D748">
        <v>0.61</v>
      </c>
      <c r="E748">
        <v>1940179.54</v>
      </c>
      <c r="F748">
        <v>115444.1</v>
      </c>
      <c r="G748">
        <v>2055623.64</v>
      </c>
      <c r="H748">
        <v>43782.82</v>
      </c>
      <c r="I748">
        <v>287019.28000000003</v>
      </c>
      <c r="J748">
        <v>0.61</v>
      </c>
      <c r="K748">
        <v>62002.53</v>
      </c>
      <c r="L748">
        <v>0</v>
      </c>
      <c r="M748">
        <v>0</v>
      </c>
      <c r="N748">
        <v>2021</v>
      </c>
      <c r="O748">
        <v>10</v>
      </c>
    </row>
    <row r="749" spans="1:15" x14ac:dyDescent="0.3">
      <c r="A749">
        <v>33742</v>
      </c>
      <c r="B749">
        <v>3203346</v>
      </c>
      <c r="C749" t="s">
        <v>60</v>
      </c>
      <c r="D749">
        <v>0.65</v>
      </c>
      <c r="E749">
        <v>2065961.01</v>
      </c>
      <c r="F749">
        <v>122928.34</v>
      </c>
      <c r="G749">
        <v>2188889.35</v>
      </c>
      <c r="H749">
        <v>46621.25</v>
      </c>
      <c r="I749">
        <v>140552.68</v>
      </c>
      <c r="J749">
        <v>0.65</v>
      </c>
      <c r="K749">
        <v>66022.149999999994</v>
      </c>
      <c r="L749">
        <v>0</v>
      </c>
      <c r="M749">
        <v>0</v>
      </c>
      <c r="N749">
        <v>2021</v>
      </c>
      <c r="O749">
        <v>10</v>
      </c>
    </row>
    <row r="750" spans="1:15" x14ac:dyDescent="0.3">
      <c r="A750">
        <v>33743</v>
      </c>
      <c r="B750">
        <v>3203353</v>
      </c>
      <c r="C750" t="s">
        <v>61</v>
      </c>
      <c r="D750">
        <v>0.43</v>
      </c>
      <c r="E750">
        <v>1377307.35</v>
      </c>
      <c r="F750">
        <v>81952.210000000006</v>
      </c>
      <c r="G750">
        <v>1459259.56</v>
      </c>
      <c r="H750">
        <v>31080.84</v>
      </c>
      <c r="I750">
        <v>79570.7</v>
      </c>
      <c r="J750">
        <v>0.43</v>
      </c>
      <c r="K750">
        <v>44014.77</v>
      </c>
      <c r="L750">
        <v>0</v>
      </c>
      <c r="M750">
        <v>0</v>
      </c>
      <c r="N750">
        <v>2021</v>
      </c>
      <c r="O750">
        <v>10</v>
      </c>
    </row>
    <row r="751" spans="1:15" x14ac:dyDescent="0.3">
      <c r="A751">
        <v>33744</v>
      </c>
      <c r="B751">
        <v>3203403</v>
      </c>
      <c r="C751" t="s">
        <v>62</v>
      </c>
      <c r="D751">
        <v>0.5</v>
      </c>
      <c r="E751">
        <v>1572268.66</v>
      </c>
      <c r="F751">
        <v>93552.77</v>
      </c>
      <c r="G751">
        <v>1665821.43</v>
      </c>
      <c r="H751">
        <v>35480.410000000003</v>
      </c>
      <c r="I751">
        <v>116012.1</v>
      </c>
      <c r="J751">
        <v>0.5</v>
      </c>
      <c r="K751">
        <v>50245.17</v>
      </c>
      <c r="L751">
        <v>0</v>
      </c>
      <c r="M751">
        <v>0</v>
      </c>
      <c r="N751">
        <v>2021</v>
      </c>
      <c r="O751">
        <v>10</v>
      </c>
    </row>
    <row r="752" spans="1:15" x14ac:dyDescent="0.3">
      <c r="A752">
        <v>33745</v>
      </c>
      <c r="B752">
        <v>3203502</v>
      </c>
      <c r="C752" t="s">
        <v>63</v>
      </c>
      <c r="D752">
        <v>0.52</v>
      </c>
      <c r="E752">
        <v>1650882.11</v>
      </c>
      <c r="F752">
        <v>98230.399999999994</v>
      </c>
      <c r="G752">
        <v>1749112.51</v>
      </c>
      <c r="H752">
        <v>37254.43</v>
      </c>
      <c r="I752">
        <v>95263.71</v>
      </c>
      <c r="J752">
        <v>0.52</v>
      </c>
      <c r="K752">
        <v>52757.43</v>
      </c>
      <c r="L752">
        <v>0</v>
      </c>
      <c r="M752">
        <v>0</v>
      </c>
      <c r="N752">
        <v>2021</v>
      </c>
      <c r="O752">
        <v>10</v>
      </c>
    </row>
    <row r="753" spans="1:15" x14ac:dyDescent="0.3">
      <c r="A753">
        <v>33746</v>
      </c>
      <c r="B753">
        <v>3203601</v>
      </c>
      <c r="C753" t="s">
        <v>64</v>
      </c>
      <c r="D753">
        <v>0.28000000000000003</v>
      </c>
      <c r="E753">
        <v>908771.3</v>
      </c>
      <c r="F753">
        <v>54073.51</v>
      </c>
      <c r="G753">
        <v>962844.81</v>
      </c>
      <c r="H753">
        <v>20507.669999999998</v>
      </c>
      <c r="I753">
        <v>24830.36</v>
      </c>
      <c r="J753">
        <v>0.28000000000000003</v>
      </c>
      <c r="K753">
        <v>29041.71</v>
      </c>
      <c r="L753">
        <v>0</v>
      </c>
      <c r="M753">
        <v>0</v>
      </c>
      <c r="N753">
        <v>2021</v>
      </c>
      <c r="O753">
        <v>10</v>
      </c>
    </row>
    <row r="754" spans="1:15" x14ac:dyDescent="0.3">
      <c r="A754">
        <v>33747</v>
      </c>
      <c r="B754">
        <v>3203700</v>
      </c>
      <c r="C754" t="s">
        <v>65</v>
      </c>
      <c r="D754">
        <v>0.5</v>
      </c>
      <c r="E754">
        <v>1600569.5</v>
      </c>
      <c r="F754">
        <v>95236.7</v>
      </c>
      <c r="G754">
        <v>1695806.2</v>
      </c>
      <c r="H754">
        <v>36119.050000000003</v>
      </c>
      <c r="I754">
        <v>74174.67</v>
      </c>
      <c r="J754">
        <v>0.5</v>
      </c>
      <c r="K754">
        <v>51149.58</v>
      </c>
      <c r="L754">
        <v>0</v>
      </c>
      <c r="M754">
        <v>0</v>
      </c>
      <c r="N754">
        <v>2021</v>
      </c>
      <c r="O754">
        <v>10</v>
      </c>
    </row>
    <row r="755" spans="1:15" x14ac:dyDescent="0.3">
      <c r="A755">
        <v>33748</v>
      </c>
      <c r="B755">
        <v>3203809</v>
      </c>
      <c r="C755" t="s">
        <v>66</v>
      </c>
      <c r="D755">
        <v>0.28999999999999998</v>
      </c>
      <c r="E755">
        <v>918204.91</v>
      </c>
      <c r="F755">
        <v>54634.82</v>
      </c>
      <c r="G755">
        <v>972839.73</v>
      </c>
      <c r="H755">
        <v>20720.560000000001</v>
      </c>
      <c r="I755">
        <v>60752.97</v>
      </c>
      <c r="J755">
        <v>0.28999999999999998</v>
      </c>
      <c r="K755">
        <v>29343.17</v>
      </c>
      <c r="L755">
        <v>0</v>
      </c>
      <c r="M755">
        <v>0</v>
      </c>
      <c r="N755">
        <v>2021</v>
      </c>
      <c r="O755">
        <v>10</v>
      </c>
    </row>
    <row r="756" spans="1:15" x14ac:dyDescent="0.3">
      <c r="A756">
        <v>33749</v>
      </c>
      <c r="B756">
        <v>3203908</v>
      </c>
      <c r="C756" t="s">
        <v>67</v>
      </c>
      <c r="D756">
        <v>1.22</v>
      </c>
      <c r="E756">
        <v>3864636.38</v>
      </c>
      <c r="F756">
        <v>229952.7</v>
      </c>
      <c r="G756">
        <v>4094589.08</v>
      </c>
      <c r="H756">
        <v>87210.84</v>
      </c>
      <c r="I756">
        <v>345544.7</v>
      </c>
      <c r="J756">
        <v>1.22</v>
      </c>
      <c r="K756">
        <v>123502.62</v>
      </c>
      <c r="L756">
        <v>0</v>
      </c>
      <c r="M756">
        <v>0</v>
      </c>
      <c r="N756">
        <v>2021</v>
      </c>
      <c r="O756">
        <v>10</v>
      </c>
    </row>
    <row r="757" spans="1:15" x14ac:dyDescent="0.3">
      <c r="A757">
        <v>33750</v>
      </c>
      <c r="B757">
        <v>3204005</v>
      </c>
      <c r="C757" t="s">
        <v>68</v>
      </c>
      <c r="D757">
        <v>0.47</v>
      </c>
      <c r="E757">
        <v>1503088.84</v>
      </c>
      <c r="F757">
        <v>89436.43</v>
      </c>
      <c r="G757">
        <v>1592525.27</v>
      </c>
      <c r="H757">
        <v>33919.269999999997</v>
      </c>
      <c r="I757">
        <v>73524.240000000005</v>
      </c>
      <c r="J757">
        <v>0.47</v>
      </c>
      <c r="K757">
        <v>48034.38</v>
      </c>
      <c r="L757">
        <v>0</v>
      </c>
      <c r="M757">
        <v>0</v>
      </c>
      <c r="N757">
        <v>2021</v>
      </c>
      <c r="O757">
        <v>10</v>
      </c>
    </row>
    <row r="758" spans="1:15" x14ac:dyDescent="0.3">
      <c r="A758">
        <v>33751</v>
      </c>
      <c r="B758">
        <v>3204054</v>
      </c>
      <c r="C758" t="s">
        <v>69</v>
      </c>
      <c r="D758">
        <v>0.32</v>
      </c>
      <c r="E758">
        <v>1018830.1</v>
      </c>
      <c r="F758">
        <v>60622.17</v>
      </c>
      <c r="G758">
        <v>1079452.27</v>
      </c>
      <c r="H758">
        <v>22991.3</v>
      </c>
      <c r="I758">
        <v>152770.41</v>
      </c>
      <c r="J758">
        <v>0.32</v>
      </c>
      <c r="K758">
        <v>32558.87</v>
      </c>
      <c r="L758">
        <v>0</v>
      </c>
      <c r="M758">
        <v>0</v>
      </c>
      <c r="N758">
        <v>2021</v>
      </c>
      <c r="O758">
        <v>10</v>
      </c>
    </row>
    <row r="759" spans="1:15" x14ac:dyDescent="0.3">
      <c r="A759">
        <v>33752</v>
      </c>
      <c r="B759">
        <v>3204104</v>
      </c>
      <c r="C759" t="s">
        <v>70</v>
      </c>
      <c r="D759">
        <v>0.66</v>
      </c>
      <c r="E759">
        <v>2091117.33</v>
      </c>
      <c r="F759">
        <v>124425.14</v>
      </c>
      <c r="G759">
        <v>2215542.4700000002</v>
      </c>
      <c r="H759">
        <v>47188.94</v>
      </c>
      <c r="I759">
        <v>115763.83</v>
      </c>
      <c r="J759">
        <v>0.66</v>
      </c>
      <c r="K759">
        <v>66826.080000000002</v>
      </c>
      <c r="L759">
        <v>0</v>
      </c>
      <c r="M759">
        <v>0</v>
      </c>
      <c r="N759">
        <v>2021</v>
      </c>
      <c r="O759">
        <v>10</v>
      </c>
    </row>
    <row r="760" spans="1:15" x14ac:dyDescent="0.3">
      <c r="A760">
        <v>33753</v>
      </c>
      <c r="B760">
        <v>3204203</v>
      </c>
      <c r="C760" t="s">
        <v>71</v>
      </c>
      <c r="D760">
        <v>0.15</v>
      </c>
      <c r="E760">
        <v>481114.19</v>
      </c>
      <c r="F760">
        <v>28627.16</v>
      </c>
      <c r="G760">
        <v>509741.35</v>
      </c>
      <c r="H760">
        <v>10857</v>
      </c>
      <c r="I760">
        <v>150952.37</v>
      </c>
      <c r="J760">
        <v>0.15</v>
      </c>
      <c r="K760">
        <v>15375.02</v>
      </c>
      <c r="L760">
        <v>0</v>
      </c>
      <c r="M760">
        <v>0</v>
      </c>
      <c r="N760">
        <v>2021</v>
      </c>
      <c r="O760">
        <v>10</v>
      </c>
    </row>
    <row r="761" spans="1:15" x14ac:dyDescent="0.3">
      <c r="A761">
        <v>33754</v>
      </c>
      <c r="B761">
        <v>3204252</v>
      </c>
      <c r="C761" t="s">
        <v>72</v>
      </c>
      <c r="D761">
        <v>0.23</v>
      </c>
      <c r="E761">
        <v>723243.6</v>
      </c>
      <c r="F761">
        <v>43034.26</v>
      </c>
      <c r="G761">
        <v>766277.86</v>
      </c>
      <c r="H761">
        <v>16320.99</v>
      </c>
      <c r="I761">
        <v>25830.51</v>
      </c>
      <c r="J761">
        <v>0.23</v>
      </c>
      <c r="K761">
        <v>23112.78</v>
      </c>
      <c r="L761">
        <v>0</v>
      </c>
      <c r="M761">
        <v>0</v>
      </c>
      <c r="N761">
        <v>2021</v>
      </c>
      <c r="O761">
        <v>10</v>
      </c>
    </row>
    <row r="762" spans="1:15" x14ac:dyDescent="0.3">
      <c r="A762">
        <v>33755</v>
      </c>
      <c r="B762">
        <v>1718402</v>
      </c>
      <c r="C762" t="s">
        <v>73</v>
      </c>
      <c r="D762">
        <v>0.33</v>
      </c>
      <c r="E762">
        <v>1050275.46</v>
      </c>
      <c r="F762">
        <v>62493.27</v>
      </c>
      <c r="G762">
        <v>1112768.73</v>
      </c>
      <c r="H762">
        <v>23700.91</v>
      </c>
      <c r="I762">
        <v>115624.75</v>
      </c>
      <c r="J762">
        <v>0.33</v>
      </c>
      <c r="K762">
        <v>33563.769999999997</v>
      </c>
      <c r="L762">
        <v>0</v>
      </c>
      <c r="M762">
        <v>0</v>
      </c>
      <c r="N762">
        <v>2021</v>
      </c>
      <c r="O762">
        <v>10</v>
      </c>
    </row>
    <row r="763" spans="1:15" x14ac:dyDescent="0.3">
      <c r="A763">
        <v>33756</v>
      </c>
      <c r="B763">
        <v>3204351</v>
      </c>
      <c r="C763" t="s">
        <v>74</v>
      </c>
      <c r="D763">
        <v>0.76</v>
      </c>
      <c r="E763">
        <v>2418149.21</v>
      </c>
      <c r="F763">
        <v>143884.12</v>
      </c>
      <c r="G763">
        <v>2562033.33</v>
      </c>
      <c r="H763">
        <v>54568.86</v>
      </c>
      <c r="I763">
        <v>105610.75</v>
      </c>
      <c r="J763">
        <v>0.76</v>
      </c>
      <c r="K763">
        <v>77277.070000000007</v>
      </c>
      <c r="L763">
        <v>0</v>
      </c>
      <c r="M763">
        <v>0</v>
      </c>
      <c r="N763">
        <v>2021</v>
      </c>
      <c r="O763">
        <v>10</v>
      </c>
    </row>
    <row r="764" spans="1:15" x14ac:dyDescent="0.3">
      <c r="A764">
        <v>33757</v>
      </c>
      <c r="B764">
        <v>3204401</v>
      </c>
      <c r="C764" t="s">
        <v>75</v>
      </c>
      <c r="D764">
        <v>0.26</v>
      </c>
      <c r="E764">
        <v>833302.41</v>
      </c>
      <c r="F764">
        <v>49582.97</v>
      </c>
      <c r="G764">
        <v>882885.38</v>
      </c>
      <c r="H764">
        <v>18804.62</v>
      </c>
      <c r="I764">
        <v>77466.759999999995</v>
      </c>
      <c r="J764">
        <v>0.26</v>
      </c>
      <c r="K764">
        <v>26629.94</v>
      </c>
      <c r="L764">
        <v>0</v>
      </c>
      <c r="M764">
        <v>0</v>
      </c>
      <c r="N764">
        <v>2021</v>
      </c>
      <c r="O764">
        <v>10</v>
      </c>
    </row>
    <row r="765" spans="1:15" x14ac:dyDescent="0.3">
      <c r="A765">
        <v>33758</v>
      </c>
      <c r="B765">
        <v>3204500</v>
      </c>
      <c r="C765" t="s">
        <v>76</v>
      </c>
      <c r="D765">
        <v>0.49</v>
      </c>
      <c r="E765">
        <v>1559690.53</v>
      </c>
      <c r="F765">
        <v>92804.32</v>
      </c>
      <c r="G765">
        <v>1652494.85</v>
      </c>
      <c r="H765">
        <v>35196.559999999998</v>
      </c>
      <c r="I765">
        <v>38129.360000000001</v>
      </c>
      <c r="J765">
        <v>0.49</v>
      </c>
      <c r="K765">
        <v>49843.199999999997</v>
      </c>
      <c r="L765">
        <v>0</v>
      </c>
      <c r="M765">
        <v>0</v>
      </c>
      <c r="N765">
        <v>2021</v>
      </c>
      <c r="O765">
        <v>10</v>
      </c>
    </row>
    <row r="766" spans="1:15" x14ac:dyDescent="0.3">
      <c r="A766">
        <v>33759</v>
      </c>
      <c r="B766">
        <v>3204559</v>
      </c>
      <c r="C766" t="s">
        <v>77</v>
      </c>
      <c r="D766">
        <v>2.2400000000000002</v>
      </c>
      <c r="E766">
        <v>7062630.8700000001</v>
      </c>
      <c r="F766">
        <v>420238.98</v>
      </c>
      <c r="G766">
        <v>7482869.8499999996</v>
      </c>
      <c r="H766">
        <v>159377.98000000001</v>
      </c>
      <c r="I766">
        <v>352056.81</v>
      </c>
      <c r="J766">
        <v>2.2400000000000002</v>
      </c>
      <c r="K766">
        <v>225701.3</v>
      </c>
      <c r="L766">
        <v>0</v>
      </c>
      <c r="M766">
        <v>0</v>
      </c>
      <c r="N766">
        <v>2021</v>
      </c>
      <c r="O766">
        <v>10</v>
      </c>
    </row>
    <row r="767" spans="1:15" x14ac:dyDescent="0.3">
      <c r="A767">
        <v>33760</v>
      </c>
      <c r="B767">
        <v>3204609</v>
      </c>
      <c r="C767" t="s">
        <v>78</v>
      </c>
      <c r="D767">
        <v>0.69</v>
      </c>
      <c r="E767">
        <v>2172875.2999999998</v>
      </c>
      <c r="F767">
        <v>129289.94</v>
      </c>
      <c r="G767">
        <v>2302165.2400000002</v>
      </c>
      <c r="H767">
        <v>49033.919999999998</v>
      </c>
      <c r="I767">
        <v>188677</v>
      </c>
      <c r="J767">
        <v>0.69</v>
      </c>
      <c r="K767">
        <v>69438.820000000007</v>
      </c>
      <c r="L767">
        <v>0</v>
      </c>
      <c r="M767">
        <v>0</v>
      </c>
      <c r="N767">
        <v>2021</v>
      </c>
      <c r="O767">
        <v>10</v>
      </c>
    </row>
    <row r="768" spans="1:15" x14ac:dyDescent="0.3">
      <c r="A768">
        <v>33761</v>
      </c>
      <c r="B768">
        <v>3204658</v>
      </c>
      <c r="C768" t="s">
        <v>79</v>
      </c>
      <c r="D768">
        <v>0.45</v>
      </c>
      <c r="E768">
        <v>1424475.42</v>
      </c>
      <c r="F768">
        <v>84758.8</v>
      </c>
      <c r="G768">
        <v>1509234.22</v>
      </c>
      <c r="H768">
        <v>32145.25</v>
      </c>
      <c r="I768">
        <v>55999.86</v>
      </c>
      <c r="J768">
        <v>0.45</v>
      </c>
      <c r="K768">
        <v>45522.13</v>
      </c>
      <c r="L768">
        <v>0</v>
      </c>
      <c r="M768">
        <v>0</v>
      </c>
      <c r="N768">
        <v>2021</v>
      </c>
      <c r="O768">
        <v>10</v>
      </c>
    </row>
    <row r="769" spans="1:15" x14ac:dyDescent="0.3">
      <c r="A769">
        <v>33762</v>
      </c>
      <c r="B769">
        <v>3204708</v>
      </c>
      <c r="C769" t="s">
        <v>80</v>
      </c>
      <c r="D769">
        <v>0.72</v>
      </c>
      <c r="E769">
        <v>2292367.7200000002</v>
      </c>
      <c r="F769">
        <v>136399.91</v>
      </c>
      <c r="G769">
        <v>2428767.63</v>
      </c>
      <c r="H769">
        <v>51730.43</v>
      </c>
      <c r="I769">
        <v>201236.39</v>
      </c>
      <c r="J769">
        <v>0.72</v>
      </c>
      <c r="K769">
        <v>73257.45</v>
      </c>
      <c r="L769">
        <v>0</v>
      </c>
      <c r="M769">
        <v>0</v>
      </c>
      <c r="N769">
        <v>2021</v>
      </c>
      <c r="O769">
        <v>10</v>
      </c>
    </row>
    <row r="770" spans="1:15" x14ac:dyDescent="0.3">
      <c r="A770">
        <v>33763</v>
      </c>
      <c r="B770">
        <v>3204807</v>
      </c>
      <c r="C770" t="s">
        <v>81</v>
      </c>
      <c r="D770">
        <v>0.22</v>
      </c>
      <c r="E770">
        <v>694942.73</v>
      </c>
      <c r="F770">
        <v>41350.32</v>
      </c>
      <c r="G770">
        <v>736293.05</v>
      </c>
      <c r="H770">
        <v>15682.34</v>
      </c>
      <c r="I770">
        <v>49243.65</v>
      </c>
      <c r="J770">
        <v>0.22</v>
      </c>
      <c r="K770">
        <v>22208.37</v>
      </c>
      <c r="L770">
        <v>0</v>
      </c>
      <c r="M770">
        <v>0</v>
      </c>
      <c r="N770">
        <v>2021</v>
      </c>
      <c r="O770">
        <v>10</v>
      </c>
    </row>
    <row r="771" spans="1:15" x14ac:dyDescent="0.3">
      <c r="A771">
        <v>33764</v>
      </c>
      <c r="B771">
        <v>3204906</v>
      </c>
      <c r="C771" t="s">
        <v>82</v>
      </c>
      <c r="D771">
        <v>1.8</v>
      </c>
      <c r="E771">
        <v>5663311.75</v>
      </c>
      <c r="F771">
        <v>336977.04</v>
      </c>
      <c r="G771">
        <v>6000288.79</v>
      </c>
      <c r="H771">
        <v>127800.42</v>
      </c>
      <c r="I771">
        <v>876115.32</v>
      </c>
      <c r="J771">
        <v>1.8</v>
      </c>
      <c r="K771">
        <v>180983.1</v>
      </c>
      <c r="L771">
        <v>0</v>
      </c>
      <c r="M771">
        <v>0</v>
      </c>
      <c r="N771">
        <v>2021</v>
      </c>
      <c r="O771">
        <v>10</v>
      </c>
    </row>
    <row r="772" spans="1:15" x14ac:dyDescent="0.3">
      <c r="A772">
        <v>33765</v>
      </c>
      <c r="B772">
        <v>3204955</v>
      </c>
      <c r="C772" t="s">
        <v>83</v>
      </c>
      <c r="D772">
        <v>0.32</v>
      </c>
      <c r="E772">
        <v>1031408.25</v>
      </c>
      <c r="F772">
        <v>61370.6</v>
      </c>
      <c r="G772">
        <v>1092778.8500000001</v>
      </c>
      <c r="H772">
        <v>23275.15</v>
      </c>
      <c r="I772">
        <v>60137.59</v>
      </c>
      <c r="J772">
        <v>0.32</v>
      </c>
      <c r="K772">
        <v>32960.83</v>
      </c>
      <c r="L772">
        <v>0</v>
      </c>
      <c r="M772">
        <v>0</v>
      </c>
      <c r="N772">
        <v>2021</v>
      </c>
      <c r="O772">
        <v>10</v>
      </c>
    </row>
    <row r="773" spans="1:15" x14ac:dyDescent="0.3">
      <c r="A773">
        <v>33766</v>
      </c>
      <c r="B773">
        <v>3205002</v>
      </c>
      <c r="C773" t="s">
        <v>84</v>
      </c>
      <c r="D773">
        <v>13.06</v>
      </c>
      <c r="E773">
        <v>41089669.350000001</v>
      </c>
      <c r="F773">
        <v>2444907.71</v>
      </c>
      <c r="G773">
        <v>43534577.060000002</v>
      </c>
      <c r="H773">
        <v>927244.93</v>
      </c>
      <c r="I773">
        <v>3870531.31</v>
      </c>
      <c r="J773">
        <v>13.06</v>
      </c>
      <c r="K773">
        <v>1313107.24</v>
      </c>
      <c r="L773">
        <v>0</v>
      </c>
      <c r="M773">
        <v>0</v>
      </c>
      <c r="N773">
        <v>2021</v>
      </c>
      <c r="O773">
        <v>10</v>
      </c>
    </row>
    <row r="774" spans="1:15" x14ac:dyDescent="0.3">
      <c r="A774">
        <v>33767</v>
      </c>
      <c r="B774">
        <v>3205010</v>
      </c>
      <c r="C774" t="s">
        <v>85</v>
      </c>
      <c r="D774">
        <v>0.7</v>
      </c>
      <c r="E774">
        <v>2216898.8199999998</v>
      </c>
      <c r="F774">
        <v>131909.39000000001</v>
      </c>
      <c r="G774">
        <v>2348808.21</v>
      </c>
      <c r="H774">
        <v>50027.37</v>
      </c>
      <c r="I774">
        <v>122822.05</v>
      </c>
      <c r="J774">
        <v>0.7</v>
      </c>
      <c r="K774">
        <v>70845.69</v>
      </c>
      <c r="L774">
        <v>0</v>
      </c>
      <c r="M774">
        <v>0</v>
      </c>
      <c r="N774">
        <v>2021</v>
      </c>
      <c r="O774">
        <v>10</v>
      </c>
    </row>
    <row r="775" spans="1:15" x14ac:dyDescent="0.3">
      <c r="A775">
        <v>33768</v>
      </c>
      <c r="B775">
        <v>3205036</v>
      </c>
      <c r="C775" t="s">
        <v>86</v>
      </c>
      <c r="D775">
        <v>0.47</v>
      </c>
      <c r="E775">
        <v>1496799.77</v>
      </c>
      <c r="F775">
        <v>89062.25</v>
      </c>
      <c r="G775">
        <v>1585862.02</v>
      </c>
      <c r="H775">
        <v>33777.35</v>
      </c>
      <c r="I775">
        <v>118778.03</v>
      </c>
      <c r="J775">
        <v>0.47</v>
      </c>
      <c r="K775">
        <v>47833.4</v>
      </c>
      <c r="L775">
        <v>0</v>
      </c>
      <c r="M775">
        <v>0</v>
      </c>
      <c r="N775">
        <v>2021</v>
      </c>
      <c r="O775">
        <v>10</v>
      </c>
    </row>
    <row r="776" spans="1:15" x14ac:dyDescent="0.3">
      <c r="A776">
        <v>33769</v>
      </c>
      <c r="B776">
        <v>3205069</v>
      </c>
      <c r="C776" t="s">
        <v>87</v>
      </c>
      <c r="D776">
        <v>0.72</v>
      </c>
      <c r="E776">
        <v>2267211.4</v>
      </c>
      <c r="F776">
        <v>134903.09</v>
      </c>
      <c r="G776">
        <v>2402114.4900000002</v>
      </c>
      <c r="H776">
        <v>51162.75</v>
      </c>
      <c r="I776">
        <v>219126.1</v>
      </c>
      <c r="J776">
        <v>0.72</v>
      </c>
      <c r="K776">
        <v>72453.539999999994</v>
      </c>
      <c r="L776">
        <v>0</v>
      </c>
      <c r="M776">
        <v>0</v>
      </c>
      <c r="N776">
        <v>2021</v>
      </c>
      <c r="O776">
        <v>10</v>
      </c>
    </row>
    <row r="777" spans="1:15" x14ac:dyDescent="0.3">
      <c r="A777">
        <v>33770</v>
      </c>
      <c r="B777">
        <v>2112803</v>
      </c>
      <c r="C777" t="s">
        <v>88</v>
      </c>
      <c r="D777">
        <v>2.25</v>
      </c>
      <c r="E777">
        <v>7084642.6200000001</v>
      </c>
      <c r="F777">
        <v>421548.71</v>
      </c>
      <c r="G777">
        <v>7506191.3300000001</v>
      </c>
      <c r="H777">
        <v>159874.71</v>
      </c>
      <c r="I777">
        <v>465571.06</v>
      </c>
      <c r="J777">
        <v>2.25</v>
      </c>
      <c r="K777">
        <v>226404.73</v>
      </c>
      <c r="L777">
        <v>0</v>
      </c>
      <c r="M777">
        <v>0</v>
      </c>
      <c r="N777">
        <v>2021</v>
      </c>
      <c r="O777">
        <v>10</v>
      </c>
    </row>
    <row r="778" spans="1:15" x14ac:dyDescent="0.3">
      <c r="A778">
        <v>33771</v>
      </c>
      <c r="B778">
        <v>3205150</v>
      </c>
      <c r="C778" t="s">
        <v>89</v>
      </c>
      <c r="D778">
        <v>0.32</v>
      </c>
      <c r="E778">
        <v>1028263.72</v>
      </c>
      <c r="F778">
        <v>61183.51</v>
      </c>
      <c r="G778">
        <v>1089447.23</v>
      </c>
      <c r="H778">
        <v>23204.19</v>
      </c>
      <c r="I778">
        <v>32593.599999999999</v>
      </c>
      <c r="J778">
        <v>0.32</v>
      </c>
      <c r="K778">
        <v>32860.339999999997</v>
      </c>
      <c r="L778">
        <v>0</v>
      </c>
      <c r="M778">
        <v>0</v>
      </c>
      <c r="N778">
        <v>2021</v>
      </c>
      <c r="O778">
        <v>10</v>
      </c>
    </row>
    <row r="779" spans="1:15" x14ac:dyDescent="0.3">
      <c r="A779">
        <v>33772</v>
      </c>
      <c r="B779">
        <v>3205176</v>
      </c>
      <c r="C779" t="s">
        <v>90</v>
      </c>
      <c r="D779">
        <v>0.61</v>
      </c>
      <c r="E779">
        <v>1937035</v>
      </c>
      <c r="F779">
        <v>115256.97</v>
      </c>
      <c r="G779">
        <v>2052291.97</v>
      </c>
      <c r="H779">
        <v>43711.86</v>
      </c>
      <c r="I779">
        <v>98372.25</v>
      </c>
      <c r="J779">
        <v>0.61</v>
      </c>
      <c r="K779">
        <v>61902.05</v>
      </c>
      <c r="L779">
        <v>0</v>
      </c>
      <c r="M779">
        <v>0</v>
      </c>
      <c r="N779">
        <v>2021</v>
      </c>
      <c r="O779">
        <v>10</v>
      </c>
    </row>
    <row r="780" spans="1:15" x14ac:dyDescent="0.3">
      <c r="A780">
        <v>33773</v>
      </c>
      <c r="B780">
        <v>3205200</v>
      </c>
      <c r="C780" t="s">
        <v>91</v>
      </c>
      <c r="D780">
        <v>5.55</v>
      </c>
      <c r="E780">
        <v>17474193.960000001</v>
      </c>
      <c r="F780">
        <v>1039745.31</v>
      </c>
      <c r="G780">
        <v>18513939.27</v>
      </c>
      <c r="H780">
        <v>394329.23</v>
      </c>
      <c r="I780">
        <v>4363403.32</v>
      </c>
      <c r="J780">
        <v>5.55</v>
      </c>
      <c r="K780">
        <v>558424.81000000006</v>
      </c>
      <c r="L780">
        <v>0</v>
      </c>
      <c r="M780">
        <v>0</v>
      </c>
      <c r="N780">
        <v>2021</v>
      </c>
      <c r="O780">
        <v>10</v>
      </c>
    </row>
    <row r="781" spans="1:15" x14ac:dyDescent="0.3">
      <c r="A781">
        <v>33774</v>
      </c>
      <c r="B781">
        <v>3205309</v>
      </c>
      <c r="C781" t="s">
        <v>92</v>
      </c>
      <c r="D781">
        <v>15.84</v>
      </c>
      <c r="E781">
        <v>49818904.990000002</v>
      </c>
      <c r="F781">
        <v>2964312.59</v>
      </c>
      <c r="G781">
        <v>52783217.579999998</v>
      </c>
      <c r="H781">
        <v>1124232.1499999999</v>
      </c>
      <c r="I781">
        <v>4198460</v>
      </c>
      <c r="J781">
        <v>15.84</v>
      </c>
      <c r="K781">
        <v>1592068.43</v>
      </c>
      <c r="L781">
        <v>0</v>
      </c>
      <c r="M781">
        <v>0</v>
      </c>
      <c r="N781">
        <v>2021</v>
      </c>
      <c r="O781">
        <v>10</v>
      </c>
    </row>
    <row r="782" spans="1:15" x14ac:dyDescent="0.3">
      <c r="A782">
        <v>33775</v>
      </c>
      <c r="B782">
        <v>3200102</v>
      </c>
      <c r="C782" t="s">
        <v>15</v>
      </c>
      <c r="D782">
        <v>0.79</v>
      </c>
      <c r="E782">
        <v>2819466.47</v>
      </c>
      <c r="F782">
        <v>19129.5</v>
      </c>
      <c r="G782">
        <v>2838595.97</v>
      </c>
      <c r="H782">
        <v>53463.85</v>
      </c>
      <c r="I782">
        <v>72512.52</v>
      </c>
      <c r="J782">
        <v>0.79</v>
      </c>
      <c r="K782">
        <v>69201.320000000007</v>
      </c>
      <c r="L782">
        <v>0</v>
      </c>
      <c r="M782">
        <v>0</v>
      </c>
      <c r="N782">
        <v>2021</v>
      </c>
      <c r="O782">
        <v>11</v>
      </c>
    </row>
    <row r="783" spans="1:15" x14ac:dyDescent="0.3">
      <c r="A783">
        <v>33776</v>
      </c>
      <c r="B783">
        <v>3200169</v>
      </c>
      <c r="C783" t="s">
        <v>16</v>
      </c>
      <c r="D783">
        <v>0.28999999999999998</v>
      </c>
      <c r="E783">
        <v>1052883.47</v>
      </c>
      <c r="F783">
        <v>7143.59</v>
      </c>
      <c r="G783">
        <v>1060027.06</v>
      </c>
      <c r="H783">
        <v>19965.2</v>
      </c>
      <c r="I783">
        <v>33881.01</v>
      </c>
      <c r="J783">
        <v>0.28999999999999998</v>
      </c>
      <c r="K783">
        <v>25842.1</v>
      </c>
      <c r="L783">
        <v>0</v>
      </c>
      <c r="M783">
        <v>0</v>
      </c>
      <c r="N783">
        <v>2021</v>
      </c>
      <c r="O783">
        <v>11</v>
      </c>
    </row>
    <row r="784" spans="1:15" x14ac:dyDescent="0.3">
      <c r="A784">
        <v>33777</v>
      </c>
      <c r="B784">
        <v>3200136</v>
      </c>
      <c r="C784" t="s">
        <v>17</v>
      </c>
      <c r="D784">
        <v>0.42</v>
      </c>
      <c r="E784">
        <v>1501595.54</v>
      </c>
      <c r="F784">
        <v>10188.030000000001</v>
      </c>
      <c r="G784">
        <v>1511783.57</v>
      </c>
      <c r="H784">
        <v>28473.86</v>
      </c>
      <c r="I784">
        <v>25821.35</v>
      </c>
      <c r="J784">
        <v>0.42</v>
      </c>
      <c r="K784">
        <v>36855.339999999997</v>
      </c>
      <c r="L784">
        <v>0</v>
      </c>
      <c r="M784">
        <v>0</v>
      </c>
      <c r="N784">
        <v>2021</v>
      </c>
      <c r="O784">
        <v>11</v>
      </c>
    </row>
    <row r="785" spans="1:15" x14ac:dyDescent="0.3">
      <c r="A785">
        <v>33778</v>
      </c>
      <c r="B785">
        <v>3200201</v>
      </c>
      <c r="C785" t="s">
        <v>18</v>
      </c>
      <c r="D785">
        <v>0.48</v>
      </c>
      <c r="E785">
        <v>1710052.31</v>
      </c>
      <c r="F785">
        <v>11602.39</v>
      </c>
      <c r="G785">
        <v>1721654.7</v>
      </c>
      <c r="H785">
        <v>32426.7</v>
      </c>
      <c r="I785">
        <v>51823.74</v>
      </c>
      <c r="J785">
        <v>0.48</v>
      </c>
      <c r="K785">
        <v>41971.73</v>
      </c>
      <c r="L785">
        <v>0</v>
      </c>
      <c r="M785">
        <v>0</v>
      </c>
      <c r="N785">
        <v>2021</v>
      </c>
      <c r="O785">
        <v>11</v>
      </c>
    </row>
    <row r="786" spans="1:15" x14ac:dyDescent="0.3">
      <c r="A786">
        <v>33779</v>
      </c>
      <c r="B786">
        <v>3200300</v>
      </c>
      <c r="C786" t="s">
        <v>19</v>
      </c>
      <c r="D786">
        <v>0.48</v>
      </c>
      <c r="E786">
        <v>1695919.67</v>
      </c>
      <c r="F786">
        <v>11506.47</v>
      </c>
      <c r="G786">
        <v>1707426.14</v>
      </c>
      <c r="H786">
        <v>32158.71</v>
      </c>
      <c r="I786">
        <v>51297.47</v>
      </c>
      <c r="J786">
        <v>0.48</v>
      </c>
      <c r="K786">
        <v>41624.85</v>
      </c>
      <c r="L786">
        <v>0</v>
      </c>
      <c r="M786">
        <v>0</v>
      </c>
      <c r="N786">
        <v>2021</v>
      </c>
      <c r="O786">
        <v>11</v>
      </c>
    </row>
    <row r="787" spans="1:15" x14ac:dyDescent="0.3">
      <c r="A787">
        <v>33780</v>
      </c>
      <c r="B787">
        <v>3200359</v>
      </c>
      <c r="C787" t="s">
        <v>20</v>
      </c>
      <c r="D787">
        <v>0.22</v>
      </c>
      <c r="E787">
        <v>809095.03</v>
      </c>
      <c r="F787">
        <v>5489.52</v>
      </c>
      <c r="G787">
        <v>814584.55</v>
      </c>
      <c r="H787">
        <v>15342.38</v>
      </c>
      <c r="I787">
        <v>17796</v>
      </c>
      <c r="J787">
        <v>0.22</v>
      </c>
      <c r="K787">
        <v>19858.52</v>
      </c>
      <c r="L787">
        <v>0</v>
      </c>
      <c r="M787">
        <v>0</v>
      </c>
      <c r="N787">
        <v>2021</v>
      </c>
      <c r="O787">
        <v>11</v>
      </c>
    </row>
    <row r="788" spans="1:15" x14ac:dyDescent="0.3">
      <c r="A788">
        <v>33781</v>
      </c>
      <c r="B788">
        <v>3200409</v>
      </c>
      <c r="C788" t="s">
        <v>21</v>
      </c>
      <c r="D788">
        <v>2.59</v>
      </c>
      <c r="E788">
        <v>9179165.2100000009</v>
      </c>
      <c r="F788">
        <v>62278.79</v>
      </c>
      <c r="G788">
        <v>9241444</v>
      </c>
      <c r="H788">
        <v>174059.01</v>
      </c>
      <c r="I788">
        <v>98905.600000000006</v>
      </c>
      <c r="J788">
        <v>2.59</v>
      </c>
      <c r="K788">
        <v>225294.51</v>
      </c>
      <c r="L788">
        <v>0</v>
      </c>
      <c r="M788">
        <v>0</v>
      </c>
      <c r="N788">
        <v>2021</v>
      </c>
      <c r="O788">
        <v>11</v>
      </c>
    </row>
    <row r="789" spans="1:15" x14ac:dyDescent="0.3">
      <c r="A789">
        <v>33782</v>
      </c>
      <c r="B789">
        <v>3200508</v>
      </c>
      <c r="C789" t="s">
        <v>22</v>
      </c>
      <c r="D789">
        <v>0.19</v>
      </c>
      <c r="E789">
        <v>688967.36</v>
      </c>
      <c r="F789">
        <v>4674.5</v>
      </c>
      <c r="G789">
        <v>693641.86</v>
      </c>
      <c r="H789">
        <v>13064.48</v>
      </c>
      <c r="I789">
        <v>23109</v>
      </c>
      <c r="J789">
        <v>0.19</v>
      </c>
      <c r="K789">
        <v>16910.099999999999</v>
      </c>
      <c r="L789">
        <v>0</v>
      </c>
      <c r="M789">
        <v>0</v>
      </c>
      <c r="N789">
        <v>2021</v>
      </c>
      <c r="O789">
        <v>11</v>
      </c>
    </row>
    <row r="790" spans="1:15" x14ac:dyDescent="0.3">
      <c r="A790">
        <v>33783</v>
      </c>
      <c r="B790">
        <v>3200607</v>
      </c>
      <c r="C790" t="s">
        <v>23</v>
      </c>
      <c r="D790">
        <v>5.18</v>
      </c>
      <c r="E790">
        <v>18301799.809999999</v>
      </c>
      <c r="F790">
        <v>124174.02</v>
      </c>
      <c r="G790">
        <v>18425973.829999998</v>
      </c>
      <c r="H790">
        <v>347046.06</v>
      </c>
      <c r="I790">
        <v>317728.48</v>
      </c>
      <c r="J790">
        <v>5.18</v>
      </c>
      <c r="K790">
        <v>449201.53</v>
      </c>
      <c r="L790">
        <v>0</v>
      </c>
      <c r="M790">
        <v>0</v>
      </c>
      <c r="N790">
        <v>2021</v>
      </c>
      <c r="O790">
        <v>11</v>
      </c>
    </row>
    <row r="791" spans="1:15" x14ac:dyDescent="0.3">
      <c r="A791">
        <v>33784</v>
      </c>
      <c r="B791">
        <v>3200706</v>
      </c>
      <c r="C791" t="s">
        <v>24</v>
      </c>
      <c r="D791">
        <v>0.36</v>
      </c>
      <c r="E791">
        <v>1303738.24</v>
      </c>
      <c r="F791">
        <v>8845.61</v>
      </c>
      <c r="G791">
        <v>1312583.8500000001</v>
      </c>
      <c r="H791">
        <v>24722.01</v>
      </c>
      <c r="I791">
        <v>37394.68</v>
      </c>
      <c r="J791">
        <v>0.36</v>
      </c>
      <c r="K791">
        <v>31999.1</v>
      </c>
      <c r="L791">
        <v>0</v>
      </c>
      <c r="M791">
        <v>0</v>
      </c>
      <c r="N791">
        <v>2021</v>
      </c>
      <c r="O791">
        <v>11</v>
      </c>
    </row>
    <row r="792" spans="1:15" x14ac:dyDescent="0.3">
      <c r="A792">
        <v>33785</v>
      </c>
      <c r="B792">
        <v>3200805</v>
      </c>
      <c r="C792" t="s">
        <v>25</v>
      </c>
      <c r="D792">
        <v>0.65</v>
      </c>
      <c r="E792">
        <v>2328356.37</v>
      </c>
      <c r="F792">
        <v>15797.41</v>
      </c>
      <c r="G792">
        <v>2344153.7799999998</v>
      </c>
      <c r="H792">
        <v>44151.23</v>
      </c>
      <c r="I792">
        <v>100904.68</v>
      </c>
      <c r="J792">
        <v>0.65</v>
      </c>
      <c r="K792">
        <v>57147.45</v>
      </c>
      <c r="L792">
        <v>0</v>
      </c>
      <c r="M792">
        <v>0</v>
      </c>
      <c r="N792">
        <v>2021</v>
      </c>
      <c r="O792">
        <v>11</v>
      </c>
    </row>
    <row r="793" spans="1:15" x14ac:dyDescent="0.3">
      <c r="A793">
        <v>33786</v>
      </c>
      <c r="B793">
        <v>3200904</v>
      </c>
      <c r="C793" t="s">
        <v>26</v>
      </c>
      <c r="D793">
        <v>0.9</v>
      </c>
      <c r="E793">
        <v>3201048.38</v>
      </c>
      <c r="F793">
        <v>21718.46</v>
      </c>
      <c r="G793">
        <v>3222766.84</v>
      </c>
      <c r="H793">
        <v>60699.56</v>
      </c>
      <c r="I793">
        <v>167124.43</v>
      </c>
      <c r="J793">
        <v>0.9</v>
      </c>
      <c r="K793">
        <v>78566.91</v>
      </c>
      <c r="L793">
        <v>0</v>
      </c>
      <c r="M793">
        <v>0</v>
      </c>
      <c r="N793">
        <v>2021</v>
      </c>
      <c r="O793">
        <v>11</v>
      </c>
    </row>
    <row r="794" spans="1:15" x14ac:dyDescent="0.3">
      <c r="A794">
        <v>33787</v>
      </c>
      <c r="B794">
        <v>3107109</v>
      </c>
      <c r="C794" t="s">
        <v>27</v>
      </c>
      <c r="D794">
        <v>0.41</v>
      </c>
      <c r="E794">
        <v>1462730.72</v>
      </c>
      <c r="F794">
        <v>9924.32</v>
      </c>
      <c r="G794">
        <v>1472655.04</v>
      </c>
      <c r="H794">
        <v>27736.89</v>
      </c>
      <c r="I794">
        <v>37119.129999999997</v>
      </c>
      <c r="J794">
        <v>0.41</v>
      </c>
      <c r="K794">
        <v>35901.43</v>
      </c>
      <c r="L794">
        <v>0</v>
      </c>
      <c r="M794">
        <v>0</v>
      </c>
      <c r="N794">
        <v>2021</v>
      </c>
      <c r="O794">
        <v>11</v>
      </c>
    </row>
    <row r="795" spans="1:15" x14ac:dyDescent="0.3">
      <c r="A795">
        <v>33788</v>
      </c>
      <c r="B795">
        <v>3201100</v>
      </c>
      <c r="C795" t="s">
        <v>28</v>
      </c>
      <c r="D795">
        <v>0.17</v>
      </c>
      <c r="E795">
        <v>600638.22</v>
      </c>
      <c r="F795">
        <v>4075.18</v>
      </c>
      <c r="G795">
        <v>604713.4</v>
      </c>
      <c r="H795">
        <v>11389.54</v>
      </c>
      <c r="I795">
        <v>87593.33</v>
      </c>
      <c r="J795">
        <v>0.17</v>
      </c>
      <c r="K795">
        <v>14742.14</v>
      </c>
      <c r="L795">
        <v>0</v>
      </c>
      <c r="M795">
        <v>0</v>
      </c>
      <c r="N795">
        <v>2021</v>
      </c>
      <c r="O795">
        <v>11</v>
      </c>
    </row>
    <row r="796" spans="1:15" x14ac:dyDescent="0.3">
      <c r="A796">
        <v>33789</v>
      </c>
      <c r="B796">
        <v>3201159</v>
      </c>
      <c r="C796" t="s">
        <v>29</v>
      </c>
      <c r="D796">
        <v>0.43</v>
      </c>
      <c r="E796">
        <v>1547526.7</v>
      </c>
      <c r="F796">
        <v>10499.66</v>
      </c>
      <c r="G796">
        <v>1558026.36</v>
      </c>
      <c r="H796">
        <v>29344.82</v>
      </c>
      <c r="I796">
        <v>32230.95</v>
      </c>
      <c r="J796">
        <v>0.43</v>
      </c>
      <c r="K796">
        <v>37982.68</v>
      </c>
      <c r="L796">
        <v>0</v>
      </c>
      <c r="M796">
        <v>0</v>
      </c>
      <c r="N796">
        <v>2021</v>
      </c>
      <c r="O796">
        <v>11</v>
      </c>
    </row>
    <row r="797" spans="1:15" x14ac:dyDescent="0.3">
      <c r="A797">
        <v>33790</v>
      </c>
      <c r="B797">
        <v>3201209</v>
      </c>
      <c r="C797" t="s">
        <v>30</v>
      </c>
      <c r="D797">
        <v>3.11</v>
      </c>
      <c r="E797">
        <v>10995212.560000001</v>
      </c>
      <c r="F797">
        <v>74600.3</v>
      </c>
      <c r="G797">
        <v>11069812.859999999</v>
      </c>
      <c r="H797">
        <v>208495.62</v>
      </c>
      <c r="I797">
        <v>833442.1</v>
      </c>
      <c r="J797">
        <v>3.11</v>
      </c>
      <c r="K797">
        <v>269867.78999999998</v>
      </c>
      <c r="L797">
        <v>0</v>
      </c>
      <c r="M797">
        <v>0</v>
      </c>
      <c r="N797">
        <v>2021</v>
      </c>
      <c r="O797">
        <v>11</v>
      </c>
    </row>
    <row r="798" spans="1:15" x14ac:dyDescent="0.3">
      <c r="A798">
        <v>33791</v>
      </c>
      <c r="B798">
        <v>3201308</v>
      </c>
      <c r="C798" t="s">
        <v>31</v>
      </c>
      <c r="D798">
        <v>6.51</v>
      </c>
      <c r="E798">
        <v>23015043.27</v>
      </c>
      <c r="F798">
        <v>156152.43</v>
      </c>
      <c r="G798">
        <v>23171195.699999999</v>
      </c>
      <c r="H798">
        <v>436420.47</v>
      </c>
      <c r="I798">
        <v>1234862</v>
      </c>
      <c r="J798">
        <v>6.51</v>
      </c>
      <c r="K798">
        <v>564883.93000000005</v>
      </c>
      <c r="L798">
        <v>0</v>
      </c>
      <c r="M798">
        <v>0</v>
      </c>
      <c r="N798">
        <v>2021</v>
      </c>
      <c r="O798">
        <v>11</v>
      </c>
    </row>
    <row r="799" spans="1:15" x14ac:dyDescent="0.3">
      <c r="A799">
        <v>33792</v>
      </c>
      <c r="B799">
        <v>3201407</v>
      </c>
      <c r="C799" t="s">
        <v>32</v>
      </c>
      <c r="D799">
        <v>0.93</v>
      </c>
      <c r="E799">
        <v>3307043.38</v>
      </c>
      <c r="F799">
        <v>22437.63</v>
      </c>
      <c r="G799">
        <v>3329481.01</v>
      </c>
      <c r="H799">
        <v>62709.48</v>
      </c>
      <c r="I799">
        <v>189919.81</v>
      </c>
      <c r="J799">
        <v>0.93</v>
      </c>
      <c r="K799">
        <v>81168.460000000006</v>
      </c>
      <c r="L799">
        <v>0</v>
      </c>
      <c r="M799">
        <v>0</v>
      </c>
      <c r="N799">
        <v>2021</v>
      </c>
      <c r="O799">
        <v>11</v>
      </c>
    </row>
    <row r="800" spans="1:15" x14ac:dyDescent="0.3">
      <c r="A800">
        <v>33793</v>
      </c>
      <c r="B800">
        <v>3201506</v>
      </c>
      <c r="C800" t="s">
        <v>33</v>
      </c>
      <c r="D800">
        <v>2.2000000000000002</v>
      </c>
      <c r="E800">
        <v>7776498.3499999996</v>
      </c>
      <c r="F800">
        <v>52761.97</v>
      </c>
      <c r="G800">
        <v>7829260.3200000003</v>
      </c>
      <c r="H800">
        <v>147461.07999999999</v>
      </c>
      <c r="I800">
        <v>467450.75</v>
      </c>
      <c r="J800">
        <v>2.2000000000000002</v>
      </c>
      <c r="K800">
        <v>190867.29</v>
      </c>
      <c r="L800">
        <v>0</v>
      </c>
      <c r="M800">
        <v>0</v>
      </c>
      <c r="N800">
        <v>2021</v>
      </c>
      <c r="O800">
        <v>11</v>
      </c>
    </row>
    <row r="801" spans="1:15" x14ac:dyDescent="0.3">
      <c r="A801">
        <v>33794</v>
      </c>
      <c r="B801">
        <v>3201605</v>
      </c>
      <c r="C801" t="s">
        <v>34</v>
      </c>
      <c r="D801">
        <v>0.57999999999999996</v>
      </c>
      <c r="E801">
        <v>2066902.09</v>
      </c>
      <c r="F801">
        <v>14023.51</v>
      </c>
      <c r="G801">
        <v>2080925.6</v>
      </c>
      <c r="H801">
        <v>39193.43</v>
      </c>
      <c r="I801">
        <v>77536.7</v>
      </c>
      <c r="J801">
        <v>0.57999999999999996</v>
      </c>
      <c r="K801">
        <v>50730.29</v>
      </c>
      <c r="L801">
        <v>0</v>
      </c>
      <c r="M801">
        <v>0</v>
      </c>
      <c r="N801">
        <v>2021</v>
      </c>
      <c r="O801">
        <v>11</v>
      </c>
    </row>
    <row r="802" spans="1:15" x14ac:dyDescent="0.3">
      <c r="A802">
        <v>33795</v>
      </c>
      <c r="B802">
        <v>3201704</v>
      </c>
      <c r="C802" t="s">
        <v>35</v>
      </c>
      <c r="D802">
        <v>0.45</v>
      </c>
      <c r="E802">
        <v>1611123.68</v>
      </c>
      <c r="F802">
        <v>10931.14</v>
      </c>
      <c r="G802">
        <v>1622054.82</v>
      </c>
      <c r="H802">
        <v>30550.77</v>
      </c>
      <c r="I802">
        <v>39912.04</v>
      </c>
      <c r="J802">
        <v>0.45</v>
      </c>
      <c r="K802">
        <v>39543.61</v>
      </c>
      <c r="L802">
        <v>0</v>
      </c>
      <c r="M802">
        <v>0</v>
      </c>
      <c r="N802">
        <v>2021</v>
      </c>
      <c r="O802">
        <v>11</v>
      </c>
    </row>
    <row r="803" spans="1:15" x14ac:dyDescent="0.3">
      <c r="A803">
        <v>33796</v>
      </c>
      <c r="B803">
        <v>3201803</v>
      </c>
      <c r="C803" t="s">
        <v>36</v>
      </c>
      <c r="D803">
        <v>0.19</v>
      </c>
      <c r="E803">
        <v>671301.53</v>
      </c>
      <c r="F803">
        <v>4554.6400000000003</v>
      </c>
      <c r="G803">
        <v>675856.17</v>
      </c>
      <c r="H803">
        <v>12729.49</v>
      </c>
      <c r="I803">
        <v>10524.88</v>
      </c>
      <c r="J803">
        <v>0.19</v>
      </c>
      <c r="K803">
        <v>16476.5</v>
      </c>
      <c r="L803">
        <v>0</v>
      </c>
      <c r="M803">
        <v>0</v>
      </c>
      <c r="N803">
        <v>2021</v>
      </c>
      <c r="O803">
        <v>11</v>
      </c>
    </row>
    <row r="804" spans="1:15" x14ac:dyDescent="0.3">
      <c r="A804">
        <v>33797</v>
      </c>
      <c r="B804">
        <v>3201902</v>
      </c>
      <c r="C804" t="s">
        <v>37</v>
      </c>
      <c r="D804">
        <v>1.22</v>
      </c>
      <c r="E804">
        <v>4324595.1900000004</v>
      </c>
      <c r="F804">
        <v>29341.51</v>
      </c>
      <c r="G804">
        <v>4353936.7</v>
      </c>
      <c r="H804">
        <v>82004.710000000006</v>
      </c>
      <c r="I804">
        <v>120317.98</v>
      </c>
      <c r="J804">
        <v>1.22</v>
      </c>
      <c r="K804">
        <v>106143.37</v>
      </c>
      <c r="L804">
        <v>0</v>
      </c>
      <c r="M804">
        <v>0</v>
      </c>
      <c r="N804">
        <v>2021</v>
      </c>
      <c r="O804">
        <v>11</v>
      </c>
    </row>
    <row r="805" spans="1:15" x14ac:dyDescent="0.3">
      <c r="A805">
        <v>33798</v>
      </c>
      <c r="B805">
        <v>3202009</v>
      </c>
      <c r="C805" t="s">
        <v>38</v>
      </c>
      <c r="D805">
        <v>0.24</v>
      </c>
      <c r="E805">
        <v>862092.5</v>
      </c>
      <c r="F805">
        <v>5849.13</v>
      </c>
      <c r="G805">
        <v>867941.63</v>
      </c>
      <c r="H805">
        <v>16347.34</v>
      </c>
      <c r="I805">
        <v>27258.43</v>
      </c>
      <c r="J805">
        <v>0.24</v>
      </c>
      <c r="K805">
        <v>21159.3</v>
      </c>
      <c r="L805">
        <v>0</v>
      </c>
      <c r="M805">
        <v>0</v>
      </c>
      <c r="N805">
        <v>2021</v>
      </c>
      <c r="O805">
        <v>11</v>
      </c>
    </row>
    <row r="806" spans="1:15" x14ac:dyDescent="0.3">
      <c r="A806">
        <v>33799</v>
      </c>
      <c r="B806">
        <v>3202108</v>
      </c>
      <c r="C806" t="s">
        <v>39</v>
      </c>
      <c r="D806">
        <v>0.69</v>
      </c>
      <c r="E806">
        <v>2469683.02</v>
      </c>
      <c r="F806">
        <v>16756.28</v>
      </c>
      <c r="G806">
        <v>2486439.2999999998</v>
      </c>
      <c r="H806">
        <v>46831.12</v>
      </c>
      <c r="I806">
        <v>61437.5</v>
      </c>
      <c r="J806">
        <v>0.69</v>
      </c>
      <c r="K806">
        <v>60616.19</v>
      </c>
      <c r="L806">
        <v>0</v>
      </c>
      <c r="M806">
        <v>0</v>
      </c>
      <c r="N806">
        <v>2021</v>
      </c>
      <c r="O806">
        <v>11</v>
      </c>
    </row>
    <row r="807" spans="1:15" x14ac:dyDescent="0.3">
      <c r="A807">
        <v>33800</v>
      </c>
      <c r="B807">
        <v>3202207</v>
      </c>
      <c r="C807" t="s">
        <v>40</v>
      </c>
      <c r="D807">
        <v>0.33</v>
      </c>
      <c r="E807">
        <v>1169477.95</v>
      </c>
      <c r="F807">
        <v>7934.66</v>
      </c>
      <c r="G807">
        <v>1177412.6100000001</v>
      </c>
      <c r="H807">
        <v>22176.11</v>
      </c>
      <c r="I807">
        <v>49059.69</v>
      </c>
      <c r="J807">
        <v>0.33</v>
      </c>
      <c r="K807">
        <v>28703.8</v>
      </c>
      <c r="L807">
        <v>0</v>
      </c>
      <c r="M807">
        <v>0</v>
      </c>
      <c r="N807">
        <v>2021</v>
      </c>
      <c r="O807">
        <v>11</v>
      </c>
    </row>
    <row r="808" spans="1:15" x14ac:dyDescent="0.3">
      <c r="A808">
        <v>33801</v>
      </c>
      <c r="B808">
        <v>3202256</v>
      </c>
      <c r="C808" t="s">
        <v>41</v>
      </c>
      <c r="D808">
        <v>0.44</v>
      </c>
      <c r="E808">
        <v>1565192.54</v>
      </c>
      <c r="F808">
        <v>10619.52</v>
      </c>
      <c r="G808">
        <v>1575812.06</v>
      </c>
      <c r="H808">
        <v>29679.81</v>
      </c>
      <c r="I808">
        <v>27402.81</v>
      </c>
      <c r="J808">
        <v>0.44</v>
      </c>
      <c r="K808">
        <v>38416.269999999997</v>
      </c>
      <c r="L808">
        <v>0</v>
      </c>
      <c r="M808">
        <v>0</v>
      </c>
      <c r="N808">
        <v>2021</v>
      </c>
      <c r="O808">
        <v>11</v>
      </c>
    </row>
    <row r="809" spans="1:15" x14ac:dyDescent="0.3">
      <c r="A809">
        <v>33802</v>
      </c>
      <c r="B809">
        <v>3202306</v>
      </c>
      <c r="C809" t="s">
        <v>42</v>
      </c>
      <c r="D809">
        <v>0.39</v>
      </c>
      <c r="E809">
        <v>1381467.91</v>
      </c>
      <c r="F809">
        <v>9372.99</v>
      </c>
      <c r="G809">
        <v>1390840.9</v>
      </c>
      <c r="H809">
        <v>26195.95</v>
      </c>
      <c r="I809">
        <v>91249.32</v>
      </c>
      <c r="J809">
        <v>0.39</v>
      </c>
      <c r="K809">
        <v>33906.910000000003</v>
      </c>
      <c r="L809">
        <v>0</v>
      </c>
      <c r="M809">
        <v>0</v>
      </c>
      <c r="N809">
        <v>2021</v>
      </c>
      <c r="O809">
        <v>11</v>
      </c>
    </row>
    <row r="810" spans="1:15" x14ac:dyDescent="0.3">
      <c r="A810">
        <v>33803</v>
      </c>
      <c r="B810">
        <v>3202405</v>
      </c>
      <c r="C810" t="s">
        <v>43</v>
      </c>
      <c r="D810">
        <v>0.91</v>
      </c>
      <c r="E810">
        <v>3222247.38</v>
      </c>
      <c r="F810">
        <v>21862.33</v>
      </c>
      <c r="G810">
        <v>3244109.71</v>
      </c>
      <c r="H810">
        <v>61101.55</v>
      </c>
      <c r="I810">
        <v>664815.48</v>
      </c>
      <c r="J810">
        <v>0.91</v>
      </c>
      <c r="K810">
        <v>79087.22</v>
      </c>
      <c r="L810">
        <v>0</v>
      </c>
      <c r="M810">
        <v>0</v>
      </c>
      <c r="N810">
        <v>2021</v>
      </c>
      <c r="O810">
        <v>11</v>
      </c>
    </row>
    <row r="811" spans="1:15" x14ac:dyDescent="0.3">
      <c r="A811">
        <v>33804</v>
      </c>
      <c r="B811">
        <v>3202454</v>
      </c>
      <c r="C811" t="s">
        <v>44</v>
      </c>
      <c r="D811">
        <v>0.36</v>
      </c>
      <c r="E811">
        <v>1271939.76</v>
      </c>
      <c r="F811">
        <v>8629.86</v>
      </c>
      <c r="G811">
        <v>1280569.6200000001</v>
      </c>
      <c r="H811">
        <v>24119.03</v>
      </c>
      <c r="I811">
        <v>56873.31</v>
      </c>
      <c r="J811">
        <v>0.36</v>
      </c>
      <c r="K811">
        <v>31218.639999999999</v>
      </c>
      <c r="L811">
        <v>0</v>
      </c>
      <c r="M811">
        <v>0</v>
      </c>
      <c r="N811">
        <v>2021</v>
      </c>
      <c r="O811">
        <v>11</v>
      </c>
    </row>
    <row r="812" spans="1:15" x14ac:dyDescent="0.3">
      <c r="A812">
        <v>33805</v>
      </c>
      <c r="B812">
        <v>3202504</v>
      </c>
      <c r="C812" t="s">
        <v>45</v>
      </c>
      <c r="D812">
        <v>0.27</v>
      </c>
      <c r="E812">
        <v>964554.3</v>
      </c>
      <c r="F812">
        <v>6544.31</v>
      </c>
      <c r="G812">
        <v>971098.61</v>
      </c>
      <c r="H812">
        <v>18290.27</v>
      </c>
      <c r="I812">
        <v>36257.370000000003</v>
      </c>
      <c r="J812">
        <v>0.27</v>
      </c>
      <c r="K812">
        <v>23674.13</v>
      </c>
      <c r="L812">
        <v>0</v>
      </c>
      <c r="M812">
        <v>0</v>
      </c>
      <c r="N812">
        <v>2021</v>
      </c>
      <c r="O812">
        <v>11</v>
      </c>
    </row>
    <row r="813" spans="1:15" x14ac:dyDescent="0.3">
      <c r="A813">
        <v>33806</v>
      </c>
      <c r="B813">
        <v>3202553</v>
      </c>
      <c r="C813" t="s">
        <v>46</v>
      </c>
      <c r="D813">
        <v>0.24</v>
      </c>
      <c r="E813">
        <v>865625.67</v>
      </c>
      <c r="F813">
        <v>5873.12</v>
      </c>
      <c r="G813">
        <v>871498.79</v>
      </c>
      <c r="H813">
        <v>16414.34</v>
      </c>
      <c r="I813">
        <v>22557.71</v>
      </c>
      <c r="J813">
        <v>0.24</v>
      </c>
      <c r="K813">
        <v>21246.02</v>
      </c>
      <c r="L813">
        <v>0</v>
      </c>
      <c r="M813">
        <v>0</v>
      </c>
      <c r="N813">
        <v>2021</v>
      </c>
      <c r="O813">
        <v>11</v>
      </c>
    </row>
    <row r="814" spans="1:15" x14ac:dyDescent="0.3">
      <c r="A814">
        <v>33807</v>
      </c>
      <c r="B814">
        <v>3202603</v>
      </c>
      <c r="C814" t="s">
        <v>47</v>
      </c>
      <c r="D814">
        <v>0.37</v>
      </c>
      <c r="E814">
        <v>1314337.74</v>
      </c>
      <c r="F814">
        <v>8917.5400000000009</v>
      </c>
      <c r="G814">
        <v>1323255.28</v>
      </c>
      <c r="H814">
        <v>24923</v>
      </c>
      <c r="I814">
        <v>59953.02</v>
      </c>
      <c r="J814">
        <v>0.37</v>
      </c>
      <c r="K814">
        <v>32259.26</v>
      </c>
      <c r="L814">
        <v>0</v>
      </c>
      <c r="M814">
        <v>0</v>
      </c>
      <c r="N814">
        <v>2021</v>
      </c>
      <c r="O814">
        <v>11</v>
      </c>
    </row>
    <row r="815" spans="1:15" x14ac:dyDescent="0.3">
      <c r="A815">
        <v>33808</v>
      </c>
      <c r="B815">
        <v>3202652</v>
      </c>
      <c r="C815" t="s">
        <v>48</v>
      </c>
      <c r="D815">
        <v>0.3</v>
      </c>
      <c r="E815">
        <v>1091748.3</v>
      </c>
      <c r="F815">
        <v>7407.3</v>
      </c>
      <c r="G815">
        <v>1099155.6000000001</v>
      </c>
      <c r="H815">
        <v>20702.169999999998</v>
      </c>
      <c r="I815">
        <v>25457.279999999999</v>
      </c>
      <c r="J815">
        <v>0.3</v>
      </c>
      <c r="K815">
        <v>26796</v>
      </c>
      <c r="L815">
        <v>0</v>
      </c>
      <c r="M815">
        <v>0</v>
      </c>
      <c r="N815">
        <v>2021</v>
      </c>
      <c r="O815">
        <v>11</v>
      </c>
    </row>
    <row r="816" spans="1:15" x14ac:dyDescent="0.3">
      <c r="A816">
        <v>33809</v>
      </c>
      <c r="B816">
        <v>3202702</v>
      </c>
      <c r="C816" t="s">
        <v>49</v>
      </c>
      <c r="D816">
        <v>0.38</v>
      </c>
      <c r="E816">
        <v>1353202.58</v>
      </c>
      <c r="F816">
        <v>9181.19</v>
      </c>
      <c r="G816">
        <v>1362383.77</v>
      </c>
      <c r="H816">
        <v>25659.97</v>
      </c>
      <c r="I816">
        <v>34865.54</v>
      </c>
      <c r="J816">
        <v>0.38</v>
      </c>
      <c r="K816">
        <v>33213.160000000003</v>
      </c>
      <c r="L816">
        <v>0</v>
      </c>
      <c r="M816">
        <v>0</v>
      </c>
      <c r="N816">
        <v>2021</v>
      </c>
      <c r="O816">
        <v>11</v>
      </c>
    </row>
    <row r="817" spans="1:15" x14ac:dyDescent="0.3">
      <c r="A817">
        <v>33810</v>
      </c>
      <c r="B817">
        <v>3202801</v>
      </c>
      <c r="C817" t="s">
        <v>50</v>
      </c>
      <c r="D817">
        <v>2.66</v>
      </c>
      <c r="E817">
        <v>9415887.3599999994</v>
      </c>
      <c r="F817">
        <v>63884.89</v>
      </c>
      <c r="G817">
        <v>9479772.25</v>
      </c>
      <c r="H817">
        <v>178547.83</v>
      </c>
      <c r="I817">
        <v>122934.36</v>
      </c>
      <c r="J817">
        <v>2.66</v>
      </c>
      <c r="K817">
        <v>231104.65</v>
      </c>
      <c r="L817">
        <v>0</v>
      </c>
      <c r="M817">
        <v>0</v>
      </c>
      <c r="N817">
        <v>2021</v>
      </c>
      <c r="O817">
        <v>11</v>
      </c>
    </row>
    <row r="818" spans="1:15" x14ac:dyDescent="0.3">
      <c r="A818">
        <v>33811</v>
      </c>
      <c r="B818">
        <v>3202900</v>
      </c>
      <c r="C818" t="s">
        <v>51</v>
      </c>
      <c r="D818">
        <v>0.34</v>
      </c>
      <c r="E818">
        <v>1208342.77</v>
      </c>
      <c r="F818">
        <v>8198.36</v>
      </c>
      <c r="G818">
        <v>1216541.1299999999</v>
      </c>
      <c r="H818">
        <v>22913.08</v>
      </c>
      <c r="I818">
        <v>34530.1</v>
      </c>
      <c r="J818">
        <v>0.34</v>
      </c>
      <c r="K818">
        <v>29657.71</v>
      </c>
      <c r="L818">
        <v>0</v>
      </c>
      <c r="M818">
        <v>0</v>
      </c>
      <c r="N818">
        <v>2021</v>
      </c>
      <c r="O818">
        <v>11</v>
      </c>
    </row>
    <row r="819" spans="1:15" x14ac:dyDescent="0.3">
      <c r="A819">
        <v>33812</v>
      </c>
      <c r="B819">
        <v>3203007</v>
      </c>
      <c r="C819" t="s">
        <v>52</v>
      </c>
      <c r="D819">
        <v>0.47</v>
      </c>
      <c r="E819">
        <v>1667654.34</v>
      </c>
      <c r="F819">
        <v>11314.68</v>
      </c>
      <c r="G819">
        <v>1678969.02</v>
      </c>
      <c r="H819">
        <v>31622.73</v>
      </c>
      <c r="I819">
        <v>79000.59</v>
      </c>
      <c r="J819">
        <v>0.47</v>
      </c>
      <c r="K819">
        <v>40931.1</v>
      </c>
      <c r="L819">
        <v>0</v>
      </c>
      <c r="M819">
        <v>0</v>
      </c>
      <c r="N819">
        <v>2021</v>
      </c>
      <c r="O819">
        <v>11</v>
      </c>
    </row>
    <row r="820" spans="1:15" x14ac:dyDescent="0.3">
      <c r="A820">
        <v>33813</v>
      </c>
      <c r="B820">
        <v>3203056</v>
      </c>
      <c r="C820" t="s">
        <v>53</v>
      </c>
      <c r="D820">
        <v>0.86</v>
      </c>
      <c r="E820">
        <v>3056188.6</v>
      </c>
      <c r="F820">
        <v>20735.61</v>
      </c>
      <c r="G820">
        <v>3076924.21</v>
      </c>
      <c r="H820">
        <v>57952.67</v>
      </c>
      <c r="I820">
        <v>67305.7</v>
      </c>
      <c r="J820">
        <v>0.86</v>
      </c>
      <c r="K820">
        <v>75011.45</v>
      </c>
      <c r="L820">
        <v>0</v>
      </c>
      <c r="M820">
        <v>0</v>
      </c>
      <c r="N820">
        <v>2021</v>
      </c>
      <c r="O820">
        <v>11</v>
      </c>
    </row>
    <row r="821" spans="1:15" x14ac:dyDescent="0.3">
      <c r="A821">
        <v>33814</v>
      </c>
      <c r="B821">
        <v>3203106</v>
      </c>
      <c r="C821" t="s">
        <v>54</v>
      </c>
      <c r="D821">
        <v>0.21</v>
      </c>
      <c r="E821">
        <v>756097.53</v>
      </c>
      <c r="F821">
        <v>5129.96</v>
      </c>
      <c r="G821">
        <v>761227.49</v>
      </c>
      <c r="H821">
        <v>14337.42</v>
      </c>
      <c r="I821">
        <v>16896.46</v>
      </c>
      <c r="J821">
        <v>0.21</v>
      </c>
      <c r="K821">
        <v>18557.75</v>
      </c>
      <c r="L821">
        <v>0</v>
      </c>
      <c r="M821">
        <v>0</v>
      </c>
      <c r="N821">
        <v>2021</v>
      </c>
      <c r="O821">
        <v>11</v>
      </c>
    </row>
    <row r="822" spans="1:15" x14ac:dyDescent="0.3">
      <c r="A822">
        <v>33815</v>
      </c>
      <c r="B822">
        <v>3203130</v>
      </c>
      <c r="C822" t="s">
        <v>55</v>
      </c>
      <c r="D822">
        <v>0.42</v>
      </c>
      <c r="E822">
        <v>1508661.89</v>
      </c>
      <c r="F822">
        <v>10235.959999999999</v>
      </c>
      <c r="G822">
        <v>1518897.85</v>
      </c>
      <c r="H822">
        <v>28607.85</v>
      </c>
      <c r="I822">
        <v>56361.64</v>
      </c>
      <c r="J822">
        <v>0.42</v>
      </c>
      <c r="K822">
        <v>37028.769999999997</v>
      </c>
      <c r="L822">
        <v>0</v>
      </c>
      <c r="M822">
        <v>0</v>
      </c>
      <c r="N822">
        <v>2021</v>
      </c>
      <c r="O822">
        <v>11</v>
      </c>
    </row>
    <row r="823" spans="1:15" x14ac:dyDescent="0.3">
      <c r="A823">
        <v>33816</v>
      </c>
      <c r="B823">
        <v>3203163</v>
      </c>
      <c r="C823" t="s">
        <v>56</v>
      </c>
      <c r="D823">
        <v>0.38</v>
      </c>
      <c r="E823">
        <v>1342603.09</v>
      </c>
      <c r="F823">
        <v>9109.31</v>
      </c>
      <c r="G823">
        <v>1351712.4</v>
      </c>
      <c r="H823">
        <v>25458.98</v>
      </c>
      <c r="I823">
        <v>21093.05</v>
      </c>
      <c r="J823">
        <v>0.38</v>
      </c>
      <c r="K823">
        <v>32953.01</v>
      </c>
      <c r="L823">
        <v>0</v>
      </c>
      <c r="M823">
        <v>0</v>
      </c>
      <c r="N823">
        <v>2021</v>
      </c>
      <c r="O823">
        <v>11</v>
      </c>
    </row>
    <row r="824" spans="1:15" x14ac:dyDescent="0.3">
      <c r="A824">
        <v>33817</v>
      </c>
      <c r="B824">
        <v>3203205</v>
      </c>
      <c r="C824" t="s">
        <v>57</v>
      </c>
      <c r="D824">
        <v>5.75</v>
      </c>
      <c r="E824">
        <v>20326303.940000001</v>
      </c>
      <c r="F824">
        <v>137909.87</v>
      </c>
      <c r="G824">
        <v>20464213.809999999</v>
      </c>
      <c r="H824">
        <v>385435.51</v>
      </c>
      <c r="I824">
        <v>628826.54</v>
      </c>
      <c r="J824">
        <v>5.75</v>
      </c>
      <c r="K824">
        <v>498891.2</v>
      </c>
      <c r="L824">
        <v>0</v>
      </c>
      <c r="M824">
        <v>0</v>
      </c>
      <c r="N824">
        <v>2021</v>
      </c>
      <c r="O824">
        <v>11</v>
      </c>
    </row>
    <row r="825" spans="1:15" x14ac:dyDescent="0.3">
      <c r="A825">
        <v>33818</v>
      </c>
      <c r="B825">
        <v>3203304</v>
      </c>
      <c r="C825" t="s">
        <v>58</v>
      </c>
      <c r="D825">
        <v>0.25</v>
      </c>
      <c r="E825">
        <v>900957.3</v>
      </c>
      <c r="F825">
        <v>6112.81</v>
      </c>
      <c r="G825">
        <v>907070.11</v>
      </c>
      <c r="H825">
        <v>17084.310000000001</v>
      </c>
      <c r="I825">
        <v>36487.35</v>
      </c>
      <c r="J825">
        <v>0.25</v>
      </c>
      <c r="K825">
        <v>22113.200000000001</v>
      </c>
      <c r="L825">
        <v>0</v>
      </c>
      <c r="M825">
        <v>0</v>
      </c>
      <c r="N825">
        <v>2021</v>
      </c>
      <c r="O825">
        <v>11</v>
      </c>
    </row>
    <row r="826" spans="1:15" x14ac:dyDescent="0.3">
      <c r="A826">
        <v>33819</v>
      </c>
      <c r="B826">
        <v>3203320</v>
      </c>
      <c r="C826" t="s">
        <v>59</v>
      </c>
      <c r="D826">
        <v>0.61</v>
      </c>
      <c r="E826">
        <v>2179963.42</v>
      </c>
      <c r="F826">
        <v>14790.62</v>
      </c>
      <c r="G826">
        <v>2194754.04</v>
      </c>
      <c r="H826">
        <v>41337.339999999997</v>
      </c>
      <c r="I826">
        <v>185898.95</v>
      </c>
      <c r="J826">
        <v>0.61</v>
      </c>
      <c r="K826">
        <v>53505.279999999999</v>
      </c>
      <c r="L826">
        <v>0</v>
      </c>
      <c r="M826">
        <v>0</v>
      </c>
      <c r="N826">
        <v>2021</v>
      </c>
      <c r="O826">
        <v>11</v>
      </c>
    </row>
    <row r="827" spans="1:15" x14ac:dyDescent="0.3">
      <c r="A827">
        <v>33820</v>
      </c>
      <c r="B827">
        <v>3203346</v>
      </c>
      <c r="C827" t="s">
        <v>60</v>
      </c>
      <c r="D827">
        <v>0.65</v>
      </c>
      <c r="E827">
        <v>2321290.06</v>
      </c>
      <c r="F827">
        <v>15749.49</v>
      </c>
      <c r="G827">
        <v>2337039.5499999998</v>
      </c>
      <c r="H827">
        <v>44017.23</v>
      </c>
      <c r="I827">
        <v>76781.86</v>
      </c>
      <c r="J827">
        <v>0.65</v>
      </c>
      <c r="K827">
        <v>56974.02</v>
      </c>
      <c r="L827">
        <v>0</v>
      </c>
      <c r="M827">
        <v>0</v>
      </c>
      <c r="N827">
        <v>2021</v>
      </c>
      <c r="O827">
        <v>11</v>
      </c>
    </row>
    <row r="828" spans="1:15" x14ac:dyDescent="0.3">
      <c r="A828">
        <v>33821</v>
      </c>
      <c r="B828">
        <v>3203353</v>
      </c>
      <c r="C828" t="s">
        <v>61</v>
      </c>
      <c r="D828">
        <v>0.43</v>
      </c>
      <c r="E828">
        <v>1547526.7</v>
      </c>
      <c r="F828">
        <v>10499.66</v>
      </c>
      <c r="G828">
        <v>1558026.36</v>
      </c>
      <c r="H828">
        <v>29344.82</v>
      </c>
      <c r="I828">
        <v>24648.54</v>
      </c>
      <c r="J828">
        <v>0.43</v>
      </c>
      <c r="K828">
        <v>37982.68</v>
      </c>
      <c r="L828">
        <v>0</v>
      </c>
      <c r="M828">
        <v>0</v>
      </c>
      <c r="N828">
        <v>2021</v>
      </c>
      <c r="O828">
        <v>11</v>
      </c>
    </row>
    <row r="829" spans="1:15" x14ac:dyDescent="0.3">
      <c r="A829">
        <v>33822</v>
      </c>
      <c r="B829">
        <v>3203403</v>
      </c>
      <c r="C829" t="s">
        <v>62</v>
      </c>
      <c r="D829">
        <v>0.5</v>
      </c>
      <c r="E829">
        <v>1766582.97</v>
      </c>
      <c r="F829">
        <v>11985.92</v>
      </c>
      <c r="G829">
        <v>1778568.89</v>
      </c>
      <c r="H829">
        <v>33498.65</v>
      </c>
      <c r="I829">
        <v>74036.5</v>
      </c>
      <c r="J829">
        <v>0.5</v>
      </c>
      <c r="K829">
        <v>43359.22</v>
      </c>
      <c r="L829">
        <v>0</v>
      </c>
      <c r="M829">
        <v>0</v>
      </c>
      <c r="N829">
        <v>2021</v>
      </c>
      <c r="O829">
        <v>11</v>
      </c>
    </row>
    <row r="830" spans="1:15" x14ac:dyDescent="0.3">
      <c r="A830">
        <v>33823</v>
      </c>
      <c r="B830">
        <v>3203502</v>
      </c>
      <c r="C830" t="s">
        <v>63</v>
      </c>
      <c r="D830">
        <v>0.52</v>
      </c>
      <c r="E830">
        <v>1854912.15</v>
      </c>
      <c r="F830">
        <v>12585.22</v>
      </c>
      <c r="G830">
        <v>1867497.37</v>
      </c>
      <c r="H830">
        <v>35173.589999999997</v>
      </c>
      <c r="I830">
        <v>56047.57</v>
      </c>
      <c r="J830">
        <v>0.52</v>
      </c>
      <c r="K830">
        <v>45527.18</v>
      </c>
      <c r="L830">
        <v>0</v>
      </c>
      <c r="M830">
        <v>0</v>
      </c>
      <c r="N830">
        <v>2021</v>
      </c>
      <c r="O830">
        <v>11</v>
      </c>
    </row>
    <row r="831" spans="1:15" x14ac:dyDescent="0.3">
      <c r="A831">
        <v>33824</v>
      </c>
      <c r="B831">
        <v>3203601</v>
      </c>
      <c r="C831" t="s">
        <v>64</v>
      </c>
      <c r="D831">
        <v>0.28000000000000003</v>
      </c>
      <c r="E831">
        <v>1021084.98</v>
      </c>
      <c r="F831">
        <v>6927.87</v>
      </c>
      <c r="G831">
        <v>1028012.85</v>
      </c>
      <c r="H831">
        <v>19362.22</v>
      </c>
      <c r="I831">
        <v>11814.82</v>
      </c>
      <c r="J831">
        <v>0.28000000000000003</v>
      </c>
      <c r="K831">
        <v>25061.63</v>
      </c>
      <c r="L831">
        <v>0</v>
      </c>
      <c r="M831">
        <v>0</v>
      </c>
      <c r="N831">
        <v>2021</v>
      </c>
      <c r="O831">
        <v>11</v>
      </c>
    </row>
    <row r="832" spans="1:15" x14ac:dyDescent="0.3">
      <c r="A832">
        <v>33825</v>
      </c>
      <c r="B832">
        <v>3203700</v>
      </c>
      <c r="C832" t="s">
        <v>65</v>
      </c>
      <c r="D832">
        <v>0.5</v>
      </c>
      <c r="E832">
        <v>1798381.49</v>
      </c>
      <c r="F832">
        <v>12201.66</v>
      </c>
      <c r="G832">
        <v>1810583.15</v>
      </c>
      <c r="H832">
        <v>34101.629999999997</v>
      </c>
      <c r="I832">
        <v>44843.68</v>
      </c>
      <c r="J832">
        <v>0.5</v>
      </c>
      <c r="K832">
        <v>44139.69</v>
      </c>
      <c r="L832">
        <v>0</v>
      </c>
      <c r="M832">
        <v>0</v>
      </c>
      <c r="N832">
        <v>2021</v>
      </c>
      <c r="O832">
        <v>11</v>
      </c>
    </row>
    <row r="833" spans="1:15" x14ac:dyDescent="0.3">
      <c r="A833">
        <v>33826</v>
      </c>
      <c r="B833">
        <v>3203809</v>
      </c>
      <c r="C833" t="s">
        <v>66</v>
      </c>
      <c r="D833">
        <v>0.28999999999999998</v>
      </c>
      <c r="E833">
        <v>1031684.45</v>
      </c>
      <c r="F833">
        <v>6999.78</v>
      </c>
      <c r="G833">
        <v>1038684.23</v>
      </c>
      <c r="H833">
        <v>19563.21</v>
      </c>
      <c r="I833">
        <v>35224.980000000003</v>
      </c>
      <c r="J833">
        <v>0.28999999999999998</v>
      </c>
      <c r="K833">
        <v>25321.78</v>
      </c>
      <c r="L833">
        <v>0</v>
      </c>
      <c r="M833">
        <v>0</v>
      </c>
      <c r="N833">
        <v>2021</v>
      </c>
      <c r="O833">
        <v>11</v>
      </c>
    </row>
    <row r="834" spans="1:15" x14ac:dyDescent="0.3">
      <c r="A834">
        <v>33827</v>
      </c>
      <c r="B834">
        <v>3203908</v>
      </c>
      <c r="C834" t="s">
        <v>67</v>
      </c>
      <c r="D834">
        <v>1.22</v>
      </c>
      <c r="E834">
        <v>4342261.03</v>
      </c>
      <c r="F834">
        <v>29461.38</v>
      </c>
      <c r="G834">
        <v>4371722.41</v>
      </c>
      <c r="H834">
        <v>82339.69</v>
      </c>
      <c r="I834">
        <v>170675.09</v>
      </c>
      <c r="J834">
        <v>1.22</v>
      </c>
      <c r="K834">
        <v>106576.96000000001</v>
      </c>
      <c r="L834">
        <v>0</v>
      </c>
      <c r="M834">
        <v>0</v>
      </c>
      <c r="N834">
        <v>2021</v>
      </c>
      <c r="O834">
        <v>11</v>
      </c>
    </row>
    <row r="835" spans="1:15" x14ac:dyDescent="0.3">
      <c r="A835">
        <v>33828</v>
      </c>
      <c r="B835">
        <v>3204005</v>
      </c>
      <c r="C835" t="s">
        <v>68</v>
      </c>
      <c r="D835">
        <v>0.47</v>
      </c>
      <c r="E835">
        <v>1688853.35</v>
      </c>
      <c r="F835">
        <v>11458.53</v>
      </c>
      <c r="G835">
        <v>1700311.88</v>
      </c>
      <c r="H835">
        <v>32024.71</v>
      </c>
      <c r="I835">
        <v>49264.13</v>
      </c>
      <c r="J835">
        <v>0.47</v>
      </c>
      <c r="K835">
        <v>41451.42</v>
      </c>
      <c r="L835">
        <v>0</v>
      </c>
      <c r="M835">
        <v>0</v>
      </c>
      <c r="N835">
        <v>2021</v>
      </c>
      <c r="O835">
        <v>11</v>
      </c>
    </row>
    <row r="836" spans="1:15" x14ac:dyDescent="0.3">
      <c r="A836">
        <v>33829</v>
      </c>
      <c r="B836">
        <v>3204054</v>
      </c>
      <c r="C836" t="s">
        <v>69</v>
      </c>
      <c r="D836">
        <v>0.32</v>
      </c>
      <c r="E836">
        <v>1144745.78</v>
      </c>
      <c r="F836">
        <v>7766.87</v>
      </c>
      <c r="G836">
        <v>1152512.6499999999</v>
      </c>
      <c r="H836">
        <v>21707.13</v>
      </c>
      <c r="I836">
        <v>72835.990000000005</v>
      </c>
      <c r="J836">
        <v>0.32</v>
      </c>
      <c r="K836">
        <v>28096.78</v>
      </c>
      <c r="L836">
        <v>0</v>
      </c>
      <c r="M836">
        <v>0</v>
      </c>
      <c r="N836">
        <v>2021</v>
      </c>
      <c r="O836">
        <v>11</v>
      </c>
    </row>
    <row r="837" spans="1:15" x14ac:dyDescent="0.3">
      <c r="A837">
        <v>33830</v>
      </c>
      <c r="B837">
        <v>3204104</v>
      </c>
      <c r="C837" t="s">
        <v>70</v>
      </c>
      <c r="D837">
        <v>0.66</v>
      </c>
      <c r="E837">
        <v>2349555.38</v>
      </c>
      <c r="F837">
        <v>15941.29</v>
      </c>
      <c r="G837">
        <v>2365496.67</v>
      </c>
      <c r="H837">
        <v>44553.21</v>
      </c>
      <c r="I837">
        <v>76963.490000000005</v>
      </c>
      <c r="J837">
        <v>0.66</v>
      </c>
      <c r="K837">
        <v>57667.76</v>
      </c>
      <c r="L837">
        <v>0</v>
      </c>
      <c r="M837">
        <v>0</v>
      </c>
      <c r="N837">
        <v>2021</v>
      </c>
      <c r="O837">
        <v>11</v>
      </c>
    </row>
    <row r="838" spans="1:15" x14ac:dyDescent="0.3">
      <c r="A838">
        <v>33831</v>
      </c>
      <c r="B838">
        <v>3204203</v>
      </c>
      <c r="C838" t="s">
        <v>71</v>
      </c>
      <c r="D838">
        <v>0.15</v>
      </c>
      <c r="E838">
        <v>540574.39</v>
      </c>
      <c r="F838">
        <v>3667.7</v>
      </c>
      <c r="G838">
        <v>544242.09</v>
      </c>
      <c r="H838">
        <v>10250.59</v>
      </c>
      <c r="I838">
        <v>78791.91</v>
      </c>
      <c r="J838">
        <v>0.15</v>
      </c>
      <c r="K838">
        <v>13267.92</v>
      </c>
      <c r="L838">
        <v>0</v>
      </c>
      <c r="M838">
        <v>0</v>
      </c>
      <c r="N838">
        <v>2021</v>
      </c>
      <c r="O838">
        <v>11</v>
      </c>
    </row>
    <row r="839" spans="1:15" x14ac:dyDescent="0.3">
      <c r="A839">
        <v>33832</v>
      </c>
      <c r="B839">
        <v>3204252</v>
      </c>
      <c r="C839" t="s">
        <v>72</v>
      </c>
      <c r="D839">
        <v>0.23</v>
      </c>
      <c r="E839">
        <v>812628.17</v>
      </c>
      <c r="F839">
        <v>5513.52</v>
      </c>
      <c r="G839">
        <v>818141.69</v>
      </c>
      <c r="H839">
        <v>15409.38</v>
      </c>
      <c r="I839">
        <v>17713.53</v>
      </c>
      <c r="J839">
        <v>0.23</v>
      </c>
      <c r="K839">
        <v>19945.240000000002</v>
      </c>
      <c r="L839">
        <v>0</v>
      </c>
      <c r="M839">
        <v>0</v>
      </c>
      <c r="N839">
        <v>2021</v>
      </c>
      <c r="O839">
        <v>11</v>
      </c>
    </row>
    <row r="840" spans="1:15" x14ac:dyDescent="0.3">
      <c r="A840">
        <v>33833</v>
      </c>
      <c r="B840">
        <v>1718402</v>
      </c>
      <c r="C840" t="s">
        <v>73</v>
      </c>
      <c r="D840">
        <v>0.33</v>
      </c>
      <c r="E840">
        <v>1180077.4099999999</v>
      </c>
      <c r="F840">
        <v>8006.61</v>
      </c>
      <c r="G840">
        <v>1188084.02</v>
      </c>
      <c r="H840">
        <v>22377.1</v>
      </c>
      <c r="I840">
        <v>77945.09</v>
      </c>
      <c r="J840">
        <v>0.33</v>
      </c>
      <c r="K840">
        <v>28963.96</v>
      </c>
      <c r="L840">
        <v>0</v>
      </c>
      <c r="M840">
        <v>0</v>
      </c>
      <c r="N840">
        <v>2021</v>
      </c>
      <c r="O840">
        <v>11</v>
      </c>
    </row>
    <row r="841" spans="1:15" x14ac:dyDescent="0.3">
      <c r="A841">
        <v>33834</v>
      </c>
      <c r="B841">
        <v>3204351</v>
      </c>
      <c r="C841" t="s">
        <v>74</v>
      </c>
      <c r="D841">
        <v>0.76</v>
      </c>
      <c r="E841">
        <v>2717004.64</v>
      </c>
      <c r="F841">
        <v>18434.32</v>
      </c>
      <c r="G841">
        <v>2735438.96</v>
      </c>
      <c r="H841">
        <v>51520.93</v>
      </c>
      <c r="I841">
        <v>42412.59</v>
      </c>
      <c r="J841">
        <v>0.76</v>
      </c>
      <c r="K841">
        <v>66686.48</v>
      </c>
      <c r="L841">
        <v>0</v>
      </c>
      <c r="M841">
        <v>0</v>
      </c>
      <c r="N841">
        <v>2021</v>
      </c>
      <c r="O841">
        <v>11</v>
      </c>
    </row>
    <row r="842" spans="1:15" x14ac:dyDescent="0.3">
      <c r="A842">
        <v>33835</v>
      </c>
      <c r="B842">
        <v>3204401</v>
      </c>
      <c r="C842" t="s">
        <v>75</v>
      </c>
      <c r="D842">
        <v>0.26</v>
      </c>
      <c r="E842">
        <v>936288.97</v>
      </c>
      <c r="F842">
        <v>6352.53</v>
      </c>
      <c r="G842">
        <v>942641.5</v>
      </c>
      <c r="H842">
        <v>17754.29</v>
      </c>
      <c r="I842">
        <v>34715.519999999997</v>
      </c>
      <c r="J842">
        <v>0.26</v>
      </c>
      <c r="K842">
        <v>22980.39</v>
      </c>
      <c r="L842">
        <v>0</v>
      </c>
      <c r="M842">
        <v>0</v>
      </c>
      <c r="N842">
        <v>2021</v>
      </c>
      <c r="O842">
        <v>11</v>
      </c>
    </row>
    <row r="843" spans="1:15" x14ac:dyDescent="0.3">
      <c r="A843">
        <v>33836</v>
      </c>
      <c r="B843">
        <v>3204500</v>
      </c>
      <c r="C843" t="s">
        <v>76</v>
      </c>
      <c r="D843">
        <v>0.49</v>
      </c>
      <c r="E843">
        <v>1752450.33</v>
      </c>
      <c r="F843">
        <v>11890.05</v>
      </c>
      <c r="G843">
        <v>1764340.38</v>
      </c>
      <c r="H843">
        <v>33230.660000000003</v>
      </c>
      <c r="I843">
        <v>34471.25</v>
      </c>
      <c r="J843">
        <v>0.49</v>
      </c>
      <c r="K843">
        <v>43012.35</v>
      </c>
      <c r="L843">
        <v>0</v>
      </c>
      <c r="M843">
        <v>0</v>
      </c>
      <c r="N843">
        <v>2021</v>
      </c>
      <c r="O843">
        <v>11</v>
      </c>
    </row>
    <row r="844" spans="1:15" x14ac:dyDescent="0.3">
      <c r="A844">
        <v>33837</v>
      </c>
      <c r="B844">
        <v>3204559</v>
      </c>
      <c r="C844" t="s">
        <v>77</v>
      </c>
      <c r="D844">
        <v>2.2400000000000002</v>
      </c>
      <c r="E844">
        <v>7935490.8200000003</v>
      </c>
      <c r="F844">
        <v>53840.73</v>
      </c>
      <c r="G844">
        <v>7989331.5499999998</v>
      </c>
      <c r="H844">
        <v>150475.95000000001</v>
      </c>
      <c r="I844">
        <v>190267.67</v>
      </c>
      <c r="J844">
        <v>2.2400000000000002</v>
      </c>
      <c r="K844">
        <v>194769.62</v>
      </c>
      <c r="L844">
        <v>0</v>
      </c>
      <c r="M844">
        <v>0</v>
      </c>
      <c r="N844">
        <v>2021</v>
      </c>
      <c r="O844">
        <v>11</v>
      </c>
    </row>
    <row r="845" spans="1:15" x14ac:dyDescent="0.3">
      <c r="A845">
        <v>33838</v>
      </c>
      <c r="B845">
        <v>3204609</v>
      </c>
      <c r="C845" t="s">
        <v>78</v>
      </c>
      <c r="D845">
        <v>0.69</v>
      </c>
      <c r="E845">
        <v>2441417.71</v>
      </c>
      <c r="F845">
        <v>16564.53</v>
      </c>
      <c r="G845">
        <v>2457982.2400000002</v>
      </c>
      <c r="H845">
        <v>46295.14</v>
      </c>
      <c r="I845">
        <v>99101.18</v>
      </c>
      <c r="J845">
        <v>0.69</v>
      </c>
      <c r="K845">
        <v>59922.44</v>
      </c>
      <c r="L845">
        <v>0</v>
      </c>
      <c r="M845">
        <v>0</v>
      </c>
      <c r="N845">
        <v>2021</v>
      </c>
      <c r="O845">
        <v>11</v>
      </c>
    </row>
    <row r="846" spans="1:15" x14ac:dyDescent="0.3">
      <c r="A846">
        <v>33839</v>
      </c>
      <c r="B846">
        <v>3204658</v>
      </c>
      <c r="C846" t="s">
        <v>79</v>
      </c>
      <c r="D846">
        <v>0.45</v>
      </c>
      <c r="E846">
        <v>1600524.2</v>
      </c>
      <c r="F846">
        <v>10859.23</v>
      </c>
      <c r="G846">
        <v>1611383.43</v>
      </c>
      <c r="H846">
        <v>30349.78</v>
      </c>
      <c r="I846">
        <v>32006.35</v>
      </c>
      <c r="J846">
        <v>0.45</v>
      </c>
      <c r="K846">
        <v>39283.449999999997</v>
      </c>
      <c r="L846">
        <v>0</v>
      </c>
      <c r="M846">
        <v>0</v>
      </c>
      <c r="N846">
        <v>2021</v>
      </c>
      <c r="O846">
        <v>11</v>
      </c>
    </row>
    <row r="847" spans="1:15" x14ac:dyDescent="0.3">
      <c r="A847">
        <v>33840</v>
      </c>
      <c r="B847">
        <v>3204708</v>
      </c>
      <c r="C847" t="s">
        <v>80</v>
      </c>
      <c r="D847">
        <v>0.72</v>
      </c>
      <c r="E847">
        <v>2575678.02</v>
      </c>
      <c r="F847">
        <v>17475.46</v>
      </c>
      <c r="G847">
        <v>2593153.48</v>
      </c>
      <c r="H847">
        <v>48841.04</v>
      </c>
      <c r="I847">
        <v>106214.39</v>
      </c>
      <c r="J847">
        <v>0.72</v>
      </c>
      <c r="K847">
        <v>63217.74</v>
      </c>
      <c r="L847">
        <v>0</v>
      </c>
      <c r="M847">
        <v>0</v>
      </c>
      <c r="N847">
        <v>2021</v>
      </c>
      <c r="O847">
        <v>11</v>
      </c>
    </row>
    <row r="848" spans="1:15" x14ac:dyDescent="0.3">
      <c r="A848">
        <v>33841</v>
      </c>
      <c r="B848">
        <v>3204807</v>
      </c>
      <c r="C848" t="s">
        <v>81</v>
      </c>
      <c r="D848">
        <v>0.22</v>
      </c>
      <c r="E848">
        <v>780829.68</v>
      </c>
      <c r="F848">
        <v>5297.78</v>
      </c>
      <c r="G848">
        <v>786127.46</v>
      </c>
      <c r="H848">
        <v>14806.41</v>
      </c>
      <c r="I848">
        <v>29228.959999999999</v>
      </c>
      <c r="J848">
        <v>0.22</v>
      </c>
      <c r="K848">
        <v>19164.78</v>
      </c>
      <c r="L848">
        <v>0</v>
      </c>
      <c r="M848">
        <v>0</v>
      </c>
      <c r="N848">
        <v>2021</v>
      </c>
      <c r="O848">
        <v>11</v>
      </c>
    </row>
    <row r="849" spans="1:15" x14ac:dyDescent="0.3">
      <c r="A849">
        <v>33842</v>
      </c>
      <c r="B849">
        <v>3204906</v>
      </c>
      <c r="C849" t="s">
        <v>82</v>
      </c>
      <c r="D849">
        <v>1.8</v>
      </c>
      <c r="E849">
        <v>6363231.9400000004</v>
      </c>
      <c r="F849">
        <v>43173.24</v>
      </c>
      <c r="G849">
        <v>6406405.1799999997</v>
      </c>
      <c r="H849">
        <v>120662.15</v>
      </c>
      <c r="I849">
        <v>474765.79</v>
      </c>
      <c r="J849">
        <v>1.8</v>
      </c>
      <c r="K849">
        <v>156179.91</v>
      </c>
      <c r="L849">
        <v>0</v>
      </c>
      <c r="M849">
        <v>0</v>
      </c>
      <c r="N849">
        <v>2021</v>
      </c>
      <c r="O849">
        <v>11</v>
      </c>
    </row>
    <row r="850" spans="1:15" x14ac:dyDescent="0.3">
      <c r="A850">
        <v>33843</v>
      </c>
      <c r="B850">
        <v>3204955</v>
      </c>
      <c r="C850" t="s">
        <v>83</v>
      </c>
      <c r="D850">
        <v>0.32</v>
      </c>
      <c r="E850">
        <v>1158878.45</v>
      </c>
      <c r="F850">
        <v>7862.75</v>
      </c>
      <c r="G850">
        <v>1166741.2</v>
      </c>
      <c r="H850">
        <v>21975.119999999999</v>
      </c>
      <c r="I850">
        <v>24540.12</v>
      </c>
      <c r="J850">
        <v>0.32</v>
      </c>
      <c r="K850">
        <v>28443.65</v>
      </c>
      <c r="L850">
        <v>0</v>
      </c>
      <c r="M850">
        <v>0</v>
      </c>
      <c r="N850">
        <v>2021</v>
      </c>
      <c r="O850">
        <v>11</v>
      </c>
    </row>
    <row r="851" spans="1:15" x14ac:dyDescent="0.3">
      <c r="A851">
        <v>33844</v>
      </c>
      <c r="B851">
        <v>3205002</v>
      </c>
      <c r="C851" t="s">
        <v>84</v>
      </c>
      <c r="D851">
        <v>13.06</v>
      </c>
      <c r="E851">
        <v>46167879.979999997</v>
      </c>
      <c r="F851">
        <v>313239.75</v>
      </c>
      <c r="G851">
        <v>46481119.729999997</v>
      </c>
      <c r="H851">
        <v>875453.83</v>
      </c>
      <c r="I851">
        <v>2015256.6</v>
      </c>
      <c r="J851">
        <v>13.06</v>
      </c>
      <c r="K851">
        <v>1133149.8799999999</v>
      </c>
      <c r="L851">
        <v>0</v>
      </c>
      <c r="M851">
        <v>0</v>
      </c>
      <c r="N851">
        <v>2021</v>
      </c>
      <c r="O851">
        <v>11</v>
      </c>
    </row>
    <row r="852" spans="1:15" x14ac:dyDescent="0.3">
      <c r="A852">
        <v>33845</v>
      </c>
      <c r="B852">
        <v>3205010</v>
      </c>
      <c r="C852" t="s">
        <v>85</v>
      </c>
      <c r="D852">
        <v>0.7</v>
      </c>
      <c r="E852">
        <v>2490881.9900000002</v>
      </c>
      <c r="F852">
        <v>16900.150000000001</v>
      </c>
      <c r="G852">
        <v>2507782.14</v>
      </c>
      <c r="H852">
        <v>47233.1</v>
      </c>
      <c r="I852">
        <v>75799.75</v>
      </c>
      <c r="J852">
        <v>0.7</v>
      </c>
      <c r="K852">
        <v>61136.5</v>
      </c>
      <c r="L852">
        <v>0</v>
      </c>
      <c r="M852">
        <v>0</v>
      </c>
      <c r="N852">
        <v>2021</v>
      </c>
      <c r="O852">
        <v>11</v>
      </c>
    </row>
    <row r="853" spans="1:15" x14ac:dyDescent="0.3">
      <c r="A853">
        <v>33846</v>
      </c>
      <c r="B853">
        <v>3205036</v>
      </c>
      <c r="C853" t="s">
        <v>86</v>
      </c>
      <c r="D853">
        <v>0.47</v>
      </c>
      <c r="E853">
        <v>1681787</v>
      </c>
      <c r="F853">
        <v>11410.58</v>
      </c>
      <c r="G853">
        <v>1693197.58</v>
      </c>
      <c r="H853">
        <v>31890.720000000001</v>
      </c>
      <c r="I853">
        <v>73042.58</v>
      </c>
      <c r="J853">
        <v>0.47</v>
      </c>
      <c r="K853">
        <v>41277.980000000003</v>
      </c>
      <c r="L853">
        <v>0</v>
      </c>
      <c r="M853">
        <v>0</v>
      </c>
      <c r="N853">
        <v>2021</v>
      </c>
      <c r="O853">
        <v>11</v>
      </c>
    </row>
    <row r="854" spans="1:15" x14ac:dyDescent="0.3">
      <c r="A854">
        <v>33847</v>
      </c>
      <c r="B854">
        <v>3205069</v>
      </c>
      <c r="C854" t="s">
        <v>87</v>
      </c>
      <c r="D854">
        <v>0.72</v>
      </c>
      <c r="E854">
        <v>2547412.67</v>
      </c>
      <c r="F854">
        <v>17283.689999999999</v>
      </c>
      <c r="G854">
        <v>2564696.36</v>
      </c>
      <c r="H854">
        <v>48305.06</v>
      </c>
      <c r="I854">
        <v>101969.27</v>
      </c>
      <c r="J854">
        <v>0.72</v>
      </c>
      <c r="K854">
        <v>62524</v>
      </c>
      <c r="L854">
        <v>0</v>
      </c>
      <c r="M854">
        <v>0</v>
      </c>
      <c r="N854">
        <v>2021</v>
      </c>
      <c r="O854">
        <v>11</v>
      </c>
    </row>
    <row r="855" spans="1:15" x14ac:dyDescent="0.3">
      <c r="A855">
        <v>33848</v>
      </c>
      <c r="B855">
        <v>2112803</v>
      </c>
      <c r="C855" t="s">
        <v>88</v>
      </c>
      <c r="D855">
        <v>2.25</v>
      </c>
      <c r="E855">
        <v>7960222.9699999997</v>
      </c>
      <c r="F855">
        <v>54008.5</v>
      </c>
      <c r="G855">
        <v>8014231.4699999997</v>
      </c>
      <c r="H855">
        <v>150944.94</v>
      </c>
      <c r="I855">
        <v>203578</v>
      </c>
      <c r="J855">
        <v>2.25</v>
      </c>
      <c r="K855">
        <v>195376.65</v>
      </c>
      <c r="L855">
        <v>0</v>
      </c>
      <c r="M855">
        <v>0</v>
      </c>
      <c r="N855">
        <v>2021</v>
      </c>
      <c r="O855">
        <v>11</v>
      </c>
    </row>
    <row r="856" spans="1:15" x14ac:dyDescent="0.3">
      <c r="A856">
        <v>33849</v>
      </c>
      <c r="B856">
        <v>3205150</v>
      </c>
      <c r="C856" t="s">
        <v>89</v>
      </c>
      <c r="D856">
        <v>0.32</v>
      </c>
      <c r="E856">
        <v>1155345.27</v>
      </c>
      <c r="F856">
        <v>7838.8</v>
      </c>
      <c r="G856">
        <v>1163184.07</v>
      </c>
      <c r="H856">
        <v>21908.12</v>
      </c>
      <c r="I856">
        <v>17580.900000000001</v>
      </c>
      <c r="J856">
        <v>0.32</v>
      </c>
      <c r="K856">
        <v>28356.93</v>
      </c>
      <c r="L856">
        <v>0</v>
      </c>
      <c r="M856">
        <v>0</v>
      </c>
      <c r="N856">
        <v>2021</v>
      </c>
      <c r="O856">
        <v>11</v>
      </c>
    </row>
    <row r="857" spans="1:15" x14ac:dyDescent="0.3">
      <c r="A857">
        <v>33850</v>
      </c>
      <c r="B857">
        <v>3205176</v>
      </c>
      <c r="C857" t="s">
        <v>90</v>
      </c>
      <c r="D857">
        <v>0.61</v>
      </c>
      <c r="E857">
        <v>2176430.2599999998</v>
      </c>
      <c r="F857">
        <v>14766.64</v>
      </c>
      <c r="G857">
        <v>2191196.9</v>
      </c>
      <c r="H857">
        <v>41270.339999999997</v>
      </c>
      <c r="I857">
        <v>50160.9</v>
      </c>
      <c r="J857">
        <v>0.61</v>
      </c>
      <c r="K857">
        <v>53418.559999999998</v>
      </c>
      <c r="L857">
        <v>0</v>
      </c>
      <c r="M857">
        <v>0</v>
      </c>
      <c r="N857">
        <v>2021</v>
      </c>
      <c r="O857">
        <v>11</v>
      </c>
    </row>
    <row r="858" spans="1:15" x14ac:dyDescent="0.3">
      <c r="A858">
        <v>33851</v>
      </c>
      <c r="B858">
        <v>3205200</v>
      </c>
      <c r="C858" t="s">
        <v>91</v>
      </c>
      <c r="D858">
        <v>5.55</v>
      </c>
      <c r="E858">
        <v>19633803.390000001</v>
      </c>
      <c r="F858">
        <v>133211.4</v>
      </c>
      <c r="G858">
        <v>19767014.789999999</v>
      </c>
      <c r="H858">
        <v>372304.04</v>
      </c>
      <c r="I858">
        <v>2112235.59</v>
      </c>
      <c r="J858">
        <v>5.55</v>
      </c>
      <c r="K858">
        <v>481894.38</v>
      </c>
      <c r="L858">
        <v>0</v>
      </c>
      <c r="M858">
        <v>0</v>
      </c>
      <c r="N858">
        <v>2021</v>
      </c>
      <c r="O858">
        <v>11</v>
      </c>
    </row>
    <row r="859" spans="1:15" x14ac:dyDescent="0.3">
      <c r="A859">
        <v>33852</v>
      </c>
      <c r="B859">
        <v>3205309</v>
      </c>
      <c r="C859" t="s">
        <v>92</v>
      </c>
      <c r="D859">
        <v>15.84</v>
      </c>
      <c r="E859">
        <v>55975948.880000003</v>
      </c>
      <c r="F859">
        <v>379785.31</v>
      </c>
      <c r="G859">
        <v>56355734.189999998</v>
      </c>
      <c r="H859">
        <v>1061438.3500000001</v>
      </c>
      <c r="I859">
        <v>1955317.13</v>
      </c>
      <c r="J859">
        <v>15.84</v>
      </c>
      <c r="K859">
        <v>1373880.27</v>
      </c>
      <c r="L859">
        <v>0</v>
      </c>
      <c r="M859">
        <v>0</v>
      </c>
      <c r="N859">
        <v>2021</v>
      </c>
      <c r="O859">
        <v>11</v>
      </c>
    </row>
    <row r="860" spans="1:15" x14ac:dyDescent="0.3">
      <c r="A860">
        <v>33853</v>
      </c>
      <c r="B860">
        <v>3200102</v>
      </c>
      <c r="C860" t="s">
        <v>15</v>
      </c>
      <c r="D860">
        <v>0.79</v>
      </c>
      <c r="E860">
        <v>2786465.86</v>
      </c>
      <c r="F860">
        <v>331513.5</v>
      </c>
      <c r="G860">
        <v>3117979.36</v>
      </c>
      <c r="H860">
        <v>49221.72</v>
      </c>
      <c r="I860">
        <v>58722.03</v>
      </c>
      <c r="J860">
        <v>0.79</v>
      </c>
      <c r="K860">
        <v>83827.53</v>
      </c>
      <c r="L860">
        <v>0</v>
      </c>
      <c r="M860">
        <v>0</v>
      </c>
      <c r="N860">
        <v>2021</v>
      </c>
      <c r="O860">
        <v>12</v>
      </c>
    </row>
    <row r="861" spans="1:15" x14ac:dyDescent="0.3">
      <c r="A861">
        <v>33854</v>
      </c>
      <c r="B861">
        <v>3200169</v>
      </c>
      <c r="C861" t="s">
        <v>16</v>
      </c>
      <c r="D861">
        <v>0.28999999999999998</v>
      </c>
      <c r="E861">
        <v>1040559.92</v>
      </c>
      <c r="F861">
        <v>123798.28</v>
      </c>
      <c r="G861">
        <v>1164358.2</v>
      </c>
      <c r="H861">
        <v>18381.04</v>
      </c>
      <c r="I861">
        <v>28431.05</v>
      </c>
      <c r="J861">
        <v>0.28999999999999998</v>
      </c>
      <c r="K861">
        <v>31304.02</v>
      </c>
      <c r="L861">
        <v>0</v>
      </c>
      <c r="M861">
        <v>0</v>
      </c>
      <c r="N861">
        <v>2021</v>
      </c>
      <c r="O861">
        <v>12</v>
      </c>
    </row>
    <row r="862" spans="1:15" x14ac:dyDescent="0.3">
      <c r="A862">
        <v>33855</v>
      </c>
      <c r="B862">
        <v>3200136</v>
      </c>
      <c r="C862" t="s">
        <v>17</v>
      </c>
      <c r="D862">
        <v>0.42</v>
      </c>
      <c r="E862">
        <v>1484020.04</v>
      </c>
      <c r="F862">
        <v>176557.92</v>
      </c>
      <c r="G862">
        <v>1660577.96</v>
      </c>
      <c r="H862">
        <v>26214.57</v>
      </c>
      <c r="I862">
        <v>19465.47</v>
      </c>
      <c r="J862">
        <v>0.42</v>
      </c>
      <c r="K862">
        <v>44644.99</v>
      </c>
      <c r="L862">
        <v>0</v>
      </c>
      <c r="M862">
        <v>0</v>
      </c>
      <c r="N862">
        <v>2021</v>
      </c>
      <c r="O862">
        <v>12</v>
      </c>
    </row>
    <row r="863" spans="1:15" x14ac:dyDescent="0.3">
      <c r="A863">
        <v>33856</v>
      </c>
      <c r="B863">
        <v>3200201</v>
      </c>
      <c r="C863" t="s">
        <v>18</v>
      </c>
      <c r="D863">
        <v>0.48</v>
      </c>
      <c r="E863">
        <v>1690036.95</v>
      </c>
      <c r="F863">
        <v>201068.34</v>
      </c>
      <c r="G863">
        <v>1891105.29</v>
      </c>
      <c r="H863">
        <v>29853.77</v>
      </c>
      <c r="I863">
        <v>71405.48</v>
      </c>
      <c r="J863">
        <v>0.48</v>
      </c>
      <c r="K863">
        <v>50842.76</v>
      </c>
      <c r="L863">
        <v>0</v>
      </c>
      <c r="M863">
        <v>0</v>
      </c>
      <c r="N863">
        <v>2021</v>
      </c>
      <c r="O863">
        <v>12</v>
      </c>
    </row>
    <row r="864" spans="1:15" x14ac:dyDescent="0.3">
      <c r="A864">
        <v>33857</v>
      </c>
      <c r="B864">
        <v>3200300</v>
      </c>
      <c r="C864" t="s">
        <v>19</v>
      </c>
      <c r="D864">
        <v>0.48</v>
      </c>
      <c r="E864">
        <v>1676069.7</v>
      </c>
      <c r="F864">
        <v>199406.62</v>
      </c>
      <c r="G864">
        <v>1875476.32</v>
      </c>
      <c r="H864">
        <v>29607.05</v>
      </c>
      <c r="I864">
        <v>47468.07</v>
      </c>
      <c r="J864">
        <v>0.48</v>
      </c>
      <c r="K864">
        <v>50422.57</v>
      </c>
      <c r="L864">
        <v>0</v>
      </c>
      <c r="M864">
        <v>0</v>
      </c>
      <c r="N864">
        <v>2021</v>
      </c>
      <c r="O864">
        <v>12</v>
      </c>
    </row>
    <row r="865" spans="1:15" x14ac:dyDescent="0.3">
      <c r="A865">
        <v>33858</v>
      </c>
      <c r="B865">
        <v>3200359</v>
      </c>
      <c r="C865" t="s">
        <v>20</v>
      </c>
      <c r="D865">
        <v>0.22</v>
      </c>
      <c r="E865">
        <v>799624.91</v>
      </c>
      <c r="F865">
        <v>95133.57</v>
      </c>
      <c r="G865">
        <v>894758.48</v>
      </c>
      <c r="H865">
        <v>14125.03</v>
      </c>
      <c r="I865">
        <v>18217.64</v>
      </c>
      <c r="J865">
        <v>0.22</v>
      </c>
      <c r="K865">
        <v>24055.77</v>
      </c>
      <c r="L865">
        <v>0</v>
      </c>
      <c r="M865">
        <v>0</v>
      </c>
      <c r="N865">
        <v>2021</v>
      </c>
      <c r="O865">
        <v>12</v>
      </c>
    </row>
    <row r="866" spans="1:15" x14ac:dyDescent="0.3">
      <c r="A866">
        <v>33859</v>
      </c>
      <c r="B866">
        <v>3200409</v>
      </c>
      <c r="C866" t="s">
        <v>21</v>
      </c>
      <c r="D866">
        <v>2.59</v>
      </c>
      <c r="E866">
        <v>9071727.1699999999</v>
      </c>
      <c r="F866">
        <v>1079288.23</v>
      </c>
      <c r="G866">
        <v>10151015.4</v>
      </c>
      <c r="H866">
        <v>160248.15</v>
      </c>
      <c r="I866">
        <v>118062.92</v>
      </c>
      <c r="J866">
        <v>2.59</v>
      </c>
      <c r="K866">
        <v>272912.18</v>
      </c>
      <c r="L866">
        <v>0</v>
      </c>
      <c r="M866">
        <v>0</v>
      </c>
      <c r="N866">
        <v>2021</v>
      </c>
      <c r="O866">
        <v>12</v>
      </c>
    </row>
    <row r="867" spans="1:15" x14ac:dyDescent="0.3">
      <c r="A867">
        <v>33860</v>
      </c>
      <c r="B867">
        <v>3200508</v>
      </c>
      <c r="C867" t="s">
        <v>22</v>
      </c>
      <c r="D867">
        <v>0.19</v>
      </c>
      <c r="E867">
        <v>680903.29</v>
      </c>
      <c r="F867">
        <v>81008.92</v>
      </c>
      <c r="G867">
        <v>761912.21</v>
      </c>
      <c r="H867">
        <v>12027.86</v>
      </c>
      <c r="I867">
        <v>29659.31</v>
      </c>
      <c r="J867">
        <v>0.19</v>
      </c>
      <c r="K867">
        <v>20484.169999999998</v>
      </c>
      <c r="L867">
        <v>0</v>
      </c>
      <c r="M867">
        <v>0</v>
      </c>
      <c r="N867">
        <v>2021</v>
      </c>
      <c r="O867">
        <v>12</v>
      </c>
    </row>
    <row r="868" spans="1:15" x14ac:dyDescent="0.3">
      <c r="A868">
        <v>33861</v>
      </c>
      <c r="B868">
        <v>3200607</v>
      </c>
      <c r="C868" t="s">
        <v>23</v>
      </c>
      <c r="D868">
        <v>5.18</v>
      </c>
      <c r="E868">
        <v>18087585.370000001</v>
      </c>
      <c r="F868">
        <v>2151929.59</v>
      </c>
      <c r="G868">
        <v>20239514.960000001</v>
      </c>
      <c r="H868">
        <v>319509.39</v>
      </c>
      <c r="I868">
        <v>331634.32</v>
      </c>
      <c r="J868">
        <v>5.18</v>
      </c>
      <c r="K868">
        <v>544143.61</v>
      </c>
      <c r="L868">
        <v>0</v>
      </c>
      <c r="M868">
        <v>0</v>
      </c>
      <c r="N868">
        <v>2021</v>
      </c>
      <c r="O868">
        <v>12</v>
      </c>
    </row>
    <row r="869" spans="1:15" x14ac:dyDescent="0.3">
      <c r="A869">
        <v>33862</v>
      </c>
      <c r="B869">
        <v>3200706</v>
      </c>
      <c r="C869" t="s">
        <v>24</v>
      </c>
      <c r="D869">
        <v>0.36</v>
      </c>
      <c r="E869">
        <v>1288478.56</v>
      </c>
      <c r="F869">
        <v>153293.85</v>
      </c>
      <c r="G869">
        <v>1441772.41</v>
      </c>
      <c r="H869">
        <v>22760.42</v>
      </c>
      <c r="I869">
        <v>47641.2</v>
      </c>
      <c r="J869">
        <v>0.36</v>
      </c>
      <c r="K869">
        <v>38762.35</v>
      </c>
      <c r="L869">
        <v>0</v>
      </c>
      <c r="M869">
        <v>0</v>
      </c>
      <c r="N869">
        <v>2021</v>
      </c>
      <c r="O869">
        <v>12</v>
      </c>
    </row>
    <row r="870" spans="1:15" x14ac:dyDescent="0.3">
      <c r="A870">
        <v>33863</v>
      </c>
      <c r="B870">
        <v>3200805</v>
      </c>
      <c r="C870" t="s">
        <v>25</v>
      </c>
      <c r="D870">
        <v>0.65</v>
      </c>
      <c r="E870">
        <v>2301104.0299999998</v>
      </c>
      <c r="F870">
        <v>273768.65999999997</v>
      </c>
      <c r="G870">
        <v>2574872.69</v>
      </c>
      <c r="H870">
        <v>40648.01</v>
      </c>
      <c r="I870">
        <v>83128.460000000006</v>
      </c>
      <c r="J870">
        <v>0.65</v>
      </c>
      <c r="K870">
        <v>69225.990000000005</v>
      </c>
      <c r="L870">
        <v>0</v>
      </c>
      <c r="M870">
        <v>0</v>
      </c>
      <c r="N870">
        <v>2021</v>
      </c>
      <c r="O870">
        <v>12</v>
      </c>
    </row>
    <row r="871" spans="1:15" x14ac:dyDescent="0.3">
      <c r="A871">
        <v>33864</v>
      </c>
      <c r="B871">
        <v>3200904</v>
      </c>
      <c r="C871" t="s">
        <v>26</v>
      </c>
      <c r="D871">
        <v>0.9</v>
      </c>
      <c r="E871">
        <v>3163581.55</v>
      </c>
      <c r="F871">
        <v>376379.97</v>
      </c>
      <c r="G871">
        <v>3539961.52</v>
      </c>
      <c r="H871">
        <v>55883.3</v>
      </c>
      <c r="I871">
        <v>151079.6</v>
      </c>
      <c r="J871">
        <v>0.9</v>
      </c>
      <c r="K871">
        <v>95172.61</v>
      </c>
      <c r="L871">
        <v>0</v>
      </c>
      <c r="M871">
        <v>0</v>
      </c>
      <c r="N871">
        <v>2021</v>
      </c>
      <c r="O871">
        <v>12</v>
      </c>
    </row>
    <row r="872" spans="1:15" x14ac:dyDescent="0.3">
      <c r="A872">
        <v>33865</v>
      </c>
      <c r="B872">
        <v>3107109</v>
      </c>
      <c r="C872" t="s">
        <v>27</v>
      </c>
      <c r="D872">
        <v>0.41</v>
      </c>
      <c r="E872">
        <v>1445610.11</v>
      </c>
      <c r="F872">
        <v>171988.22</v>
      </c>
      <c r="G872">
        <v>1617598.33</v>
      </c>
      <c r="H872">
        <v>25536.080000000002</v>
      </c>
      <c r="I872">
        <v>33893.230000000003</v>
      </c>
      <c r="J872">
        <v>0.41</v>
      </c>
      <c r="K872">
        <v>43489.47</v>
      </c>
      <c r="L872">
        <v>0</v>
      </c>
      <c r="M872">
        <v>0</v>
      </c>
      <c r="N872">
        <v>2021</v>
      </c>
      <c r="O872">
        <v>12</v>
      </c>
    </row>
    <row r="873" spans="1:15" x14ac:dyDescent="0.3">
      <c r="A873">
        <v>33866</v>
      </c>
      <c r="B873">
        <v>3201100</v>
      </c>
      <c r="C873" t="s">
        <v>28</v>
      </c>
      <c r="D873">
        <v>0.17</v>
      </c>
      <c r="E873">
        <v>593608.02</v>
      </c>
      <c r="F873">
        <v>70623.16</v>
      </c>
      <c r="G873">
        <v>664231.18000000005</v>
      </c>
      <c r="H873">
        <v>10485.83</v>
      </c>
      <c r="I873">
        <v>79902.22</v>
      </c>
      <c r="J873">
        <v>0.17</v>
      </c>
      <c r="K873">
        <v>17857.990000000002</v>
      </c>
      <c r="L873">
        <v>0</v>
      </c>
      <c r="M873">
        <v>0</v>
      </c>
      <c r="N873">
        <v>2021</v>
      </c>
      <c r="O873">
        <v>12</v>
      </c>
    </row>
    <row r="874" spans="1:15" x14ac:dyDescent="0.3">
      <c r="A874">
        <v>33867</v>
      </c>
      <c r="B874">
        <v>3201159</v>
      </c>
      <c r="C874" t="s">
        <v>29</v>
      </c>
      <c r="D874">
        <v>0.43</v>
      </c>
      <c r="E874">
        <v>1529413.58</v>
      </c>
      <c r="F874">
        <v>181958.55</v>
      </c>
      <c r="G874">
        <v>1711372.13</v>
      </c>
      <c r="H874">
        <v>27016.43</v>
      </c>
      <c r="I874">
        <v>26477.58</v>
      </c>
      <c r="J874">
        <v>0.43</v>
      </c>
      <c r="K874">
        <v>46010.6</v>
      </c>
      <c r="L874">
        <v>0</v>
      </c>
      <c r="M874">
        <v>0</v>
      </c>
      <c r="N874">
        <v>2021</v>
      </c>
      <c r="O874">
        <v>12</v>
      </c>
    </row>
    <row r="875" spans="1:15" x14ac:dyDescent="0.3">
      <c r="A875">
        <v>33868</v>
      </c>
      <c r="B875">
        <v>3201209</v>
      </c>
      <c r="C875" t="s">
        <v>30</v>
      </c>
      <c r="D875">
        <v>3.11</v>
      </c>
      <c r="E875">
        <v>10866518.49</v>
      </c>
      <c r="F875">
        <v>1292819.47</v>
      </c>
      <c r="G875">
        <v>12159337.960000001</v>
      </c>
      <c r="H875">
        <v>191952.36</v>
      </c>
      <c r="I875">
        <v>904023.72</v>
      </c>
      <c r="J875">
        <v>3.11</v>
      </c>
      <c r="K875">
        <v>326906.34999999998</v>
      </c>
      <c r="L875">
        <v>0</v>
      </c>
      <c r="M875">
        <v>0</v>
      </c>
      <c r="N875">
        <v>2021</v>
      </c>
      <c r="O875">
        <v>12</v>
      </c>
    </row>
    <row r="876" spans="1:15" x14ac:dyDescent="0.3">
      <c r="A876">
        <v>33869</v>
      </c>
      <c r="B876">
        <v>3201308</v>
      </c>
      <c r="C876" t="s">
        <v>31</v>
      </c>
      <c r="D876">
        <v>6.51</v>
      </c>
      <c r="E876">
        <v>22745662.370000001</v>
      </c>
      <c r="F876">
        <v>2706113.77</v>
      </c>
      <c r="G876">
        <v>25451776.140000001</v>
      </c>
      <c r="H876">
        <v>401792.31</v>
      </c>
      <c r="I876">
        <v>1086954</v>
      </c>
      <c r="J876">
        <v>6.51</v>
      </c>
      <c r="K876">
        <v>684276.34</v>
      </c>
      <c r="L876">
        <v>0</v>
      </c>
      <c r="M876">
        <v>0</v>
      </c>
      <c r="N876">
        <v>2021</v>
      </c>
      <c r="O876">
        <v>12</v>
      </c>
    </row>
    <row r="877" spans="1:15" x14ac:dyDescent="0.3">
      <c r="A877">
        <v>33870</v>
      </c>
      <c r="B877">
        <v>3201407</v>
      </c>
      <c r="C877" t="s">
        <v>32</v>
      </c>
      <c r="D877">
        <v>0.93</v>
      </c>
      <c r="E877">
        <v>3268335.89</v>
      </c>
      <c r="F877">
        <v>388842.9</v>
      </c>
      <c r="G877">
        <v>3657178.79</v>
      </c>
      <c r="H877">
        <v>57733.74</v>
      </c>
      <c r="I877">
        <v>244566.92</v>
      </c>
      <c r="J877">
        <v>0.93</v>
      </c>
      <c r="K877">
        <v>98324.02</v>
      </c>
      <c r="L877">
        <v>0</v>
      </c>
      <c r="M877">
        <v>0</v>
      </c>
      <c r="N877">
        <v>2021</v>
      </c>
      <c r="O877">
        <v>12</v>
      </c>
    </row>
    <row r="878" spans="1:15" x14ac:dyDescent="0.3">
      <c r="A878">
        <v>33871</v>
      </c>
      <c r="B878">
        <v>3201506</v>
      </c>
      <c r="C878" t="s">
        <v>33</v>
      </c>
      <c r="D878">
        <v>2.2000000000000002</v>
      </c>
      <c r="E878">
        <v>7685477.9000000004</v>
      </c>
      <c r="F878">
        <v>914362.37</v>
      </c>
      <c r="G878">
        <v>8599840.2699999996</v>
      </c>
      <c r="H878">
        <v>135760.65</v>
      </c>
      <c r="I878">
        <v>463125.75</v>
      </c>
      <c r="J878">
        <v>2.2000000000000002</v>
      </c>
      <c r="K878">
        <v>231208.51</v>
      </c>
      <c r="L878">
        <v>0</v>
      </c>
      <c r="M878">
        <v>0</v>
      </c>
      <c r="N878">
        <v>2021</v>
      </c>
      <c r="O878">
        <v>12</v>
      </c>
    </row>
    <row r="879" spans="1:15" x14ac:dyDescent="0.3">
      <c r="A879">
        <v>33872</v>
      </c>
      <c r="B879">
        <v>3201605</v>
      </c>
      <c r="C879" t="s">
        <v>34</v>
      </c>
      <c r="D879">
        <v>0.57999999999999996</v>
      </c>
      <c r="E879">
        <v>2042709.94</v>
      </c>
      <c r="F879">
        <v>243026.81</v>
      </c>
      <c r="G879">
        <v>2285736.75</v>
      </c>
      <c r="H879">
        <v>36083.589999999997</v>
      </c>
      <c r="I879">
        <v>64695.71</v>
      </c>
      <c r="J879">
        <v>0.57999999999999996</v>
      </c>
      <c r="K879">
        <v>61452.51</v>
      </c>
      <c r="L879">
        <v>0</v>
      </c>
      <c r="M879">
        <v>0</v>
      </c>
      <c r="N879">
        <v>2021</v>
      </c>
      <c r="O879">
        <v>12</v>
      </c>
    </row>
    <row r="880" spans="1:15" x14ac:dyDescent="0.3">
      <c r="A880">
        <v>33873</v>
      </c>
      <c r="B880">
        <v>3201704</v>
      </c>
      <c r="C880" t="s">
        <v>35</v>
      </c>
      <c r="D880">
        <v>0.45</v>
      </c>
      <c r="E880">
        <v>1592266.21</v>
      </c>
      <c r="F880">
        <v>189436.28</v>
      </c>
      <c r="G880">
        <v>1781702.49</v>
      </c>
      <c r="H880">
        <v>28126.7</v>
      </c>
      <c r="I880">
        <v>33251.64</v>
      </c>
      <c r="J880">
        <v>0.45</v>
      </c>
      <c r="K880">
        <v>47901.440000000002</v>
      </c>
      <c r="L880">
        <v>0</v>
      </c>
      <c r="M880">
        <v>0</v>
      </c>
      <c r="N880">
        <v>2021</v>
      </c>
      <c r="O880">
        <v>12</v>
      </c>
    </row>
    <row r="881" spans="1:15" x14ac:dyDescent="0.3">
      <c r="A881">
        <v>33874</v>
      </c>
      <c r="B881">
        <v>3201803</v>
      </c>
      <c r="C881" t="s">
        <v>36</v>
      </c>
      <c r="D881">
        <v>0.19</v>
      </c>
      <c r="E881">
        <v>663444.27</v>
      </c>
      <c r="F881">
        <v>78931.78</v>
      </c>
      <c r="G881">
        <v>742376.05</v>
      </c>
      <c r="H881">
        <v>11719.46</v>
      </c>
      <c r="I881">
        <v>8558.1200000000008</v>
      </c>
      <c r="J881">
        <v>0.19</v>
      </c>
      <c r="K881">
        <v>19958.939999999999</v>
      </c>
      <c r="L881">
        <v>0</v>
      </c>
      <c r="M881">
        <v>0</v>
      </c>
      <c r="N881">
        <v>2021</v>
      </c>
      <c r="O881">
        <v>12</v>
      </c>
    </row>
    <row r="882" spans="1:15" x14ac:dyDescent="0.3">
      <c r="A882">
        <v>33875</v>
      </c>
      <c r="B882">
        <v>3201902</v>
      </c>
      <c r="C882" t="s">
        <v>37</v>
      </c>
      <c r="D882">
        <v>1.22</v>
      </c>
      <c r="E882">
        <v>4273977.7</v>
      </c>
      <c r="F882">
        <v>508486.83</v>
      </c>
      <c r="G882">
        <v>4782464.53</v>
      </c>
      <c r="H882">
        <v>75497.97</v>
      </c>
      <c r="I882">
        <v>86234.9</v>
      </c>
      <c r="J882">
        <v>1.22</v>
      </c>
      <c r="K882">
        <v>128577.56</v>
      </c>
      <c r="L882">
        <v>0</v>
      </c>
      <c r="M882">
        <v>0</v>
      </c>
      <c r="N882">
        <v>2021</v>
      </c>
      <c r="O882">
        <v>12</v>
      </c>
    </row>
    <row r="883" spans="1:15" x14ac:dyDescent="0.3">
      <c r="A883">
        <v>33876</v>
      </c>
      <c r="B883">
        <v>3202009</v>
      </c>
      <c r="C883" t="s">
        <v>38</v>
      </c>
      <c r="D883">
        <v>0.24</v>
      </c>
      <c r="E883">
        <v>852002.1</v>
      </c>
      <c r="F883">
        <v>101365.03</v>
      </c>
      <c r="G883">
        <v>953367.13</v>
      </c>
      <c r="H883">
        <v>15050.25</v>
      </c>
      <c r="I883">
        <v>16468.62</v>
      </c>
      <c r="J883">
        <v>0.24</v>
      </c>
      <c r="K883">
        <v>25631.47</v>
      </c>
      <c r="L883">
        <v>0</v>
      </c>
      <c r="M883">
        <v>0</v>
      </c>
      <c r="N883">
        <v>2021</v>
      </c>
      <c r="O883">
        <v>12</v>
      </c>
    </row>
    <row r="884" spans="1:15" x14ac:dyDescent="0.3">
      <c r="A884">
        <v>33877</v>
      </c>
      <c r="B884">
        <v>3202108</v>
      </c>
      <c r="C884" t="s">
        <v>39</v>
      </c>
      <c r="D884">
        <v>0.69</v>
      </c>
      <c r="E884">
        <v>2440776.4900000002</v>
      </c>
      <c r="F884">
        <v>290385.88</v>
      </c>
      <c r="G884">
        <v>2731162.37</v>
      </c>
      <c r="H884">
        <v>43115.26</v>
      </c>
      <c r="I884">
        <v>61870.32</v>
      </c>
      <c r="J884">
        <v>0.69</v>
      </c>
      <c r="K884">
        <v>73427.87</v>
      </c>
      <c r="L884">
        <v>0</v>
      </c>
      <c r="M884">
        <v>0</v>
      </c>
      <c r="N884">
        <v>2021</v>
      </c>
      <c r="O884">
        <v>12</v>
      </c>
    </row>
    <row r="885" spans="1:15" x14ac:dyDescent="0.3">
      <c r="A885">
        <v>33878</v>
      </c>
      <c r="B885">
        <v>3202207</v>
      </c>
      <c r="C885" t="s">
        <v>40</v>
      </c>
      <c r="D885">
        <v>0.33</v>
      </c>
      <c r="E885">
        <v>1155789.7</v>
      </c>
      <c r="F885">
        <v>137507.44</v>
      </c>
      <c r="G885">
        <v>1293297.1399999999</v>
      </c>
      <c r="H885">
        <v>20416.53</v>
      </c>
      <c r="I885">
        <v>34902.17</v>
      </c>
      <c r="J885">
        <v>0.33</v>
      </c>
      <c r="K885">
        <v>34770.57</v>
      </c>
      <c r="L885">
        <v>0</v>
      </c>
      <c r="M885">
        <v>0</v>
      </c>
      <c r="N885">
        <v>2021</v>
      </c>
      <c r="O885">
        <v>12</v>
      </c>
    </row>
    <row r="886" spans="1:15" x14ac:dyDescent="0.3">
      <c r="A886">
        <v>33879</v>
      </c>
      <c r="B886">
        <v>3202256</v>
      </c>
      <c r="C886" t="s">
        <v>41</v>
      </c>
      <c r="D886">
        <v>0.44</v>
      </c>
      <c r="E886">
        <v>1546872.63</v>
      </c>
      <c r="F886">
        <v>184035.69</v>
      </c>
      <c r="G886">
        <v>1730908.32</v>
      </c>
      <c r="H886">
        <v>27324.84</v>
      </c>
      <c r="I886">
        <v>21349.37</v>
      </c>
      <c r="J886">
        <v>0.44</v>
      </c>
      <c r="K886">
        <v>46535.83</v>
      </c>
      <c r="L886">
        <v>0</v>
      </c>
      <c r="M886">
        <v>0</v>
      </c>
      <c r="N886">
        <v>2021</v>
      </c>
      <c r="O886">
        <v>12</v>
      </c>
    </row>
    <row r="887" spans="1:15" x14ac:dyDescent="0.3">
      <c r="A887">
        <v>33880</v>
      </c>
      <c r="B887">
        <v>3202306</v>
      </c>
      <c r="C887" t="s">
        <v>42</v>
      </c>
      <c r="D887">
        <v>0.39</v>
      </c>
      <c r="E887">
        <v>1365298.44</v>
      </c>
      <c r="F887">
        <v>162433.26999999999</v>
      </c>
      <c r="G887">
        <v>1527731.71</v>
      </c>
      <c r="H887">
        <v>24117.41</v>
      </c>
      <c r="I887">
        <v>89556.76</v>
      </c>
      <c r="J887">
        <v>0.39</v>
      </c>
      <c r="K887">
        <v>41073.39</v>
      </c>
      <c r="L887">
        <v>0</v>
      </c>
      <c r="M887">
        <v>0</v>
      </c>
      <c r="N887">
        <v>2021</v>
      </c>
      <c r="O887">
        <v>12</v>
      </c>
    </row>
    <row r="888" spans="1:15" x14ac:dyDescent="0.3">
      <c r="A888">
        <v>33881</v>
      </c>
      <c r="B888">
        <v>3202405</v>
      </c>
      <c r="C888" t="s">
        <v>43</v>
      </c>
      <c r="D888">
        <v>0.91</v>
      </c>
      <c r="E888">
        <v>3184532.4</v>
      </c>
      <c r="F888">
        <v>378872.56</v>
      </c>
      <c r="G888">
        <v>3563404.96</v>
      </c>
      <c r="H888">
        <v>56253.39</v>
      </c>
      <c r="I888">
        <v>654569.64</v>
      </c>
      <c r="J888">
        <v>0.91</v>
      </c>
      <c r="K888">
        <v>95802.89</v>
      </c>
      <c r="L888">
        <v>0</v>
      </c>
      <c r="M888">
        <v>0</v>
      </c>
      <c r="N888">
        <v>2021</v>
      </c>
      <c r="O888">
        <v>12</v>
      </c>
    </row>
    <row r="889" spans="1:15" x14ac:dyDescent="0.3">
      <c r="A889">
        <v>33882</v>
      </c>
      <c r="B889">
        <v>3202454</v>
      </c>
      <c r="C889" t="s">
        <v>44</v>
      </c>
      <c r="D889">
        <v>0.36</v>
      </c>
      <c r="E889">
        <v>1257052.27</v>
      </c>
      <c r="F889">
        <v>149554.96</v>
      </c>
      <c r="G889">
        <v>1406607.23</v>
      </c>
      <c r="H889">
        <v>22205.29</v>
      </c>
      <c r="I889">
        <v>57259.54</v>
      </c>
      <c r="J889">
        <v>0.36</v>
      </c>
      <c r="K889">
        <v>37816.93</v>
      </c>
      <c r="L889">
        <v>0</v>
      </c>
      <c r="M889">
        <v>0</v>
      </c>
      <c r="N889">
        <v>2021</v>
      </c>
      <c r="O889">
        <v>12</v>
      </c>
    </row>
    <row r="890" spans="1:15" x14ac:dyDescent="0.3">
      <c r="A890">
        <v>33883</v>
      </c>
      <c r="B890">
        <v>3202504</v>
      </c>
      <c r="C890" t="s">
        <v>45</v>
      </c>
      <c r="D890">
        <v>0.27</v>
      </c>
      <c r="E890">
        <v>953264.63</v>
      </c>
      <c r="F890">
        <v>113412.48</v>
      </c>
      <c r="G890">
        <v>1066677.1100000001</v>
      </c>
      <c r="H890">
        <v>16839.009999999998</v>
      </c>
      <c r="I890">
        <v>35725.96</v>
      </c>
      <c r="J890">
        <v>0.27</v>
      </c>
      <c r="K890">
        <v>28677.84</v>
      </c>
      <c r="L890">
        <v>0</v>
      </c>
      <c r="M890">
        <v>0</v>
      </c>
      <c r="N890">
        <v>2021</v>
      </c>
      <c r="O890">
        <v>12</v>
      </c>
    </row>
    <row r="891" spans="1:15" x14ac:dyDescent="0.3">
      <c r="A891">
        <v>33884</v>
      </c>
      <c r="B891">
        <v>3202553</v>
      </c>
      <c r="C891" t="s">
        <v>46</v>
      </c>
      <c r="D891">
        <v>0.24</v>
      </c>
      <c r="E891">
        <v>855493.89</v>
      </c>
      <c r="F891">
        <v>101780.46</v>
      </c>
      <c r="G891">
        <v>957274.35</v>
      </c>
      <c r="H891">
        <v>15111.93</v>
      </c>
      <c r="I891">
        <v>15249.6</v>
      </c>
      <c r="J891">
        <v>0.24</v>
      </c>
      <c r="K891">
        <v>25736.52</v>
      </c>
      <c r="L891">
        <v>0</v>
      </c>
      <c r="M891">
        <v>0</v>
      </c>
      <c r="N891">
        <v>2021</v>
      </c>
      <c r="O891">
        <v>12</v>
      </c>
    </row>
    <row r="892" spans="1:15" x14ac:dyDescent="0.3">
      <c r="A892">
        <v>33885</v>
      </c>
      <c r="B892">
        <v>3202603</v>
      </c>
      <c r="C892" t="s">
        <v>47</v>
      </c>
      <c r="D892">
        <v>0.37</v>
      </c>
      <c r="E892">
        <v>1298954.01</v>
      </c>
      <c r="F892">
        <v>154540.13</v>
      </c>
      <c r="G892">
        <v>1453494.14</v>
      </c>
      <c r="H892">
        <v>22945.46</v>
      </c>
      <c r="I892">
        <v>36710.449999999997</v>
      </c>
      <c r="J892">
        <v>0.37</v>
      </c>
      <c r="K892">
        <v>39077.49</v>
      </c>
      <c r="L892">
        <v>0</v>
      </c>
      <c r="M892">
        <v>0</v>
      </c>
      <c r="N892">
        <v>2021</v>
      </c>
      <c r="O892">
        <v>12</v>
      </c>
    </row>
    <row r="893" spans="1:15" x14ac:dyDescent="0.3">
      <c r="A893">
        <v>33886</v>
      </c>
      <c r="B893">
        <v>3202652</v>
      </c>
      <c r="C893" t="s">
        <v>48</v>
      </c>
      <c r="D893">
        <v>0.3</v>
      </c>
      <c r="E893">
        <v>1078969.8700000001</v>
      </c>
      <c r="F893">
        <v>128367.97</v>
      </c>
      <c r="G893">
        <v>1207337.8400000001</v>
      </c>
      <c r="H893">
        <v>19059.54</v>
      </c>
      <c r="I893">
        <v>36305.54</v>
      </c>
      <c r="J893">
        <v>0.3</v>
      </c>
      <c r="K893">
        <v>32459.53</v>
      </c>
      <c r="L893">
        <v>0</v>
      </c>
      <c r="M893">
        <v>0</v>
      </c>
      <c r="N893">
        <v>2021</v>
      </c>
      <c r="O893">
        <v>12</v>
      </c>
    </row>
    <row r="894" spans="1:15" x14ac:dyDescent="0.3">
      <c r="A894">
        <v>33887</v>
      </c>
      <c r="B894">
        <v>3202702</v>
      </c>
      <c r="C894" t="s">
        <v>49</v>
      </c>
      <c r="D894">
        <v>0.38</v>
      </c>
      <c r="E894">
        <v>1337363.92</v>
      </c>
      <c r="F894">
        <v>159109.84</v>
      </c>
      <c r="G894">
        <v>1496473.76</v>
      </c>
      <c r="H894">
        <v>23623.96</v>
      </c>
      <c r="I894">
        <v>27366.61</v>
      </c>
      <c r="J894">
        <v>0.38</v>
      </c>
      <c r="K894">
        <v>40233.01</v>
      </c>
      <c r="L894">
        <v>0</v>
      </c>
      <c r="M894">
        <v>0</v>
      </c>
      <c r="N894">
        <v>2021</v>
      </c>
      <c r="O894">
        <v>12</v>
      </c>
    </row>
    <row r="895" spans="1:15" x14ac:dyDescent="0.3">
      <c r="A895">
        <v>33888</v>
      </c>
      <c r="B895">
        <v>3202801</v>
      </c>
      <c r="C895" t="s">
        <v>50</v>
      </c>
      <c r="D895">
        <v>2.66</v>
      </c>
      <c r="E895">
        <v>9305678.5700000003</v>
      </c>
      <c r="F895">
        <v>1107122.04</v>
      </c>
      <c r="G895">
        <v>10412800.609999999</v>
      </c>
      <c r="H895">
        <v>164380.79999999999</v>
      </c>
      <c r="I895">
        <v>155150.43</v>
      </c>
      <c r="J895">
        <v>2.66</v>
      </c>
      <c r="K895">
        <v>279950.33</v>
      </c>
      <c r="L895">
        <v>0</v>
      </c>
      <c r="M895">
        <v>0</v>
      </c>
      <c r="N895">
        <v>2021</v>
      </c>
      <c r="O895">
        <v>12</v>
      </c>
    </row>
    <row r="896" spans="1:15" x14ac:dyDescent="0.3">
      <c r="A896">
        <v>33889</v>
      </c>
      <c r="B896">
        <v>3202900</v>
      </c>
      <c r="C896" t="s">
        <v>51</v>
      </c>
      <c r="D896">
        <v>0.34</v>
      </c>
      <c r="E896">
        <v>1194199.6299999999</v>
      </c>
      <c r="F896">
        <v>142077.21</v>
      </c>
      <c r="G896">
        <v>1336276.8400000001</v>
      </c>
      <c r="H896">
        <v>21095.02</v>
      </c>
      <c r="I896">
        <v>26196.18</v>
      </c>
      <c r="J896">
        <v>0.34</v>
      </c>
      <c r="K896">
        <v>35926.089999999997</v>
      </c>
      <c r="L896">
        <v>0</v>
      </c>
      <c r="M896">
        <v>0</v>
      </c>
      <c r="N896">
        <v>2021</v>
      </c>
      <c r="O896">
        <v>12</v>
      </c>
    </row>
    <row r="897" spans="1:15" x14ac:dyDescent="0.3">
      <c r="A897">
        <v>33890</v>
      </c>
      <c r="B897">
        <v>3203007</v>
      </c>
      <c r="C897" t="s">
        <v>52</v>
      </c>
      <c r="D897">
        <v>0.47</v>
      </c>
      <c r="E897">
        <v>1648135.19</v>
      </c>
      <c r="F897">
        <v>196083.16</v>
      </c>
      <c r="G897">
        <v>1844218.35</v>
      </c>
      <c r="H897">
        <v>29113.599999999999</v>
      </c>
      <c r="I897">
        <v>74970.350000000006</v>
      </c>
      <c r="J897">
        <v>0.47</v>
      </c>
      <c r="K897">
        <v>49582.19</v>
      </c>
      <c r="L897">
        <v>0</v>
      </c>
      <c r="M897">
        <v>0</v>
      </c>
      <c r="N897">
        <v>2021</v>
      </c>
      <c r="O897">
        <v>12</v>
      </c>
    </row>
    <row r="898" spans="1:15" x14ac:dyDescent="0.3">
      <c r="A898">
        <v>33891</v>
      </c>
      <c r="B898">
        <v>3203056</v>
      </c>
      <c r="C898" t="s">
        <v>53</v>
      </c>
      <c r="D898">
        <v>0.86</v>
      </c>
      <c r="E898">
        <v>3020417.26</v>
      </c>
      <c r="F898">
        <v>359347.3</v>
      </c>
      <c r="G898">
        <v>3379764.56</v>
      </c>
      <c r="H898">
        <v>53354.37</v>
      </c>
      <c r="I898">
        <v>75443.740000000005</v>
      </c>
      <c r="J898">
        <v>0.86</v>
      </c>
      <c r="K898">
        <v>90865.68</v>
      </c>
      <c r="L898">
        <v>0</v>
      </c>
      <c r="M898">
        <v>0</v>
      </c>
      <c r="N898">
        <v>2021</v>
      </c>
      <c r="O898">
        <v>12</v>
      </c>
    </row>
    <row r="899" spans="1:15" x14ac:dyDescent="0.3">
      <c r="A899">
        <v>33892</v>
      </c>
      <c r="B899">
        <v>3203106</v>
      </c>
      <c r="C899" t="s">
        <v>54</v>
      </c>
      <c r="D899">
        <v>0.21</v>
      </c>
      <c r="E899">
        <v>747247.74</v>
      </c>
      <c r="F899">
        <v>88902.09</v>
      </c>
      <c r="G899">
        <v>836149.83</v>
      </c>
      <c r="H899">
        <v>13199.81</v>
      </c>
      <c r="I899">
        <v>21753.27</v>
      </c>
      <c r="J899">
        <v>0.21</v>
      </c>
      <c r="K899">
        <v>22480.07</v>
      </c>
      <c r="L899">
        <v>0</v>
      </c>
      <c r="M899">
        <v>0</v>
      </c>
      <c r="N899">
        <v>2021</v>
      </c>
      <c r="O899">
        <v>12</v>
      </c>
    </row>
    <row r="900" spans="1:15" x14ac:dyDescent="0.3">
      <c r="A900">
        <v>33893</v>
      </c>
      <c r="B900">
        <v>3203130</v>
      </c>
      <c r="C900" t="s">
        <v>55</v>
      </c>
      <c r="D900">
        <v>0.42</v>
      </c>
      <c r="E900">
        <v>1491003.69</v>
      </c>
      <c r="F900">
        <v>177388.78</v>
      </c>
      <c r="G900">
        <v>1668392.47</v>
      </c>
      <c r="H900">
        <v>26337.94</v>
      </c>
      <c r="I900">
        <v>48294.49</v>
      </c>
      <c r="J900">
        <v>0.42</v>
      </c>
      <c r="K900">
        <v>44855.08</v>
      </c>
      <c r="L900">
        <v>0</v>
      </c>
      <c r="M900">
        <v>0</v>
      </c>
      <c r="N900">
        <v>2021</v>
      </c>
      <c r="O900">
        <v>12</v>
      </c>
    </row>
    <row r="901" spans="1:15" x14ac:dyDescent="0.3">
      <c r="A901">
        <v>33894</v>
      </c>
      <c r="B901">
        <v>3203163</v>
      </c>
      <c r="C901" t="s">
        <v>56</v>
      </c>
      <c r="D901">
        <v>0.38</v>
      </c>
      <c r="E901">
        <v>1326888.5</v>
      </c>
      <c r="F901">
        <v>157863.59</v>
      </c>
      <c r="G901">
        <v>1484752.09</v>
      </c>
      <c r="H901">
        <v>23438.91</v>
      </c>
      <c r="I901">
        <v>20032.490000000002</v>
      </c>
      <c r="J901">
        <v>0.38</v>
      </c>
      <c r="K901">
        <v>39917.870000000003</v>
      </c>
      <c r="L901">
        <v>0</v>
      </c>
      <c r="M901">
        <v>0</v>
      </c>
      <c r="N901">
        <v>2021</v>
      </c>
      <c r="O901">
        <v>12</v>
      </c>
    </row>
    <row r="902" spans="1:15" x14ac:dyDescent="0.3">
      <c r="A902">
        <v>33895</v>
      </c>
      <c r="B902">
        <v>3203205</v>
      </c>
      <c r="C902" t="s">
        <v>57</v>
      </c>
      <c r="D902">
        <v>5.75</v>
      </c>
      <c r="E902">
        <v>20088393.559999999</v>
      </c>
      <c r="F902">
        <v>2389971.2200000002</v>
      </c>
      <c r="G902">
        <v>22478364.780000001</v>
      </c>
      <c r="H902">
        <v>354852.8</v>
      </c>
      <c r="I902">
        <v>632003.13</v>
      </c>
      <c r="J902">
        <v>5.75</v>
      </c>
      <c r="K902">
        <v>604335.55000000005</v>
      </c>
      <c r="L902">
        <v>0</v>
      </c>
      <c r="M902">
        <v>0</v>
      </c>
      <c r="N902">
        <v>2021</v>
      </c>
      <c r="O902">
        <v>12</v>
      </c>
    </row>
    <row r="903" spans="1:15" x14ac:dyDescent="0.3">
      <c r="A903">
        <v>33896</v>
      </c>
      <c r="B903">
        <v>3203304</v>
      </c>
      <c r="C903" t="s">
        <v>58</v>
      </c>
      <c r="D903">
        <v>0.25</v>
      </c>
      <c r="E903">
        <v>890412.01</v>
      </c>
      <c r="F903">
        <v>105934.75</v>
      </c>
      <c r="G903">
        <v>996346.76</v>
      </c>
      <c r="H903">
        <v>15728.74</v>
      </c>
      <c r="I903">
        <v>30262.18</v>
      </c>
      <c r="J903">
        <v>0.25</v>
      </c>
      <c r="K903">
        <v>26786.99</v>
      </c>
      <c r="L903">
        <v>0</v>
      </c>
      <c r="M903">
        <v>0</v>
      </c>
      <c r="N903">
        <v>2021</v>
      </c>
      <c r="O903">
        <v>12</v>
      </c>
    </row>
    <row r="904" spans="1:15" x14ac:dyDescent="0.3">
      <c r="A904">
        <v>33897</v>
      </c>
      <c r="B904">
        <v>3203320</v>
      </c>
      <c r="C904" t="s">
        <v>59</v>
      </c>
      <c r="D904">
        <v>0.61</v>
      </c>
      <c r="E904">
        <v>2154447.91</v>
      </c>
      <c r="F904">
        <v>256320.58</v>
      </c>
      <c r="G904">
        <v>2410768.4900000002</v>
      </c>
      <c r="H904">
        <v>38057.39</v>
      </c>
      <c r="I904">
        <v>233121.63</v>
      </c>
      <c r="J904">
        <v>0.61</v>
      </c>
      <c r="K904">
        <v>64814.02</v>
      </c>
      <c r="L904">
        <v>0</v>
      </c>
      <c r="M904">
        <v>0</v>
      </c>
      <c r="N904">
        <v>2021</v>
      </c>
      <c r="O904">
        <v>12</v>
      </c>
    </row>
    <row r="905" spans="1:15" x14ac:dyDescent="0.3">
      <c r="A905">
        <v>33898</v>
      </c>
      <c r="B905">
        <v>3203346</v>
      </c>
      <c r="C905" t="s">
        <v>60</v>
      </c>
      <c r="D905">
        <v>0.65</v>
      </c>
      <c r="E905">
        <v>2294120.39</v>
      </c>
      <c r="F905">
        <v>272937.78999999998</v>
      </c>
      <c r="G905">
        <v>2567058.1800000002</v>
      </c>
      <c r="H905">
        <v>40524.65</v>
      </c>
      <c r="I905">
        <v>51033.27</v>
      </c>
      <c r="J905">
        <v>0.65</v>
      </c>
      <c r="K905">
        <v>69015.899999999994</v>
      </c>
      <c r="L905">
        <v>0</v>
      </c>
      <c r="M905">
        <v>0</v>
      </c>
      <c r="N905">
        <v>2021</v>
      </c>
      <c r="O905">
        <v>12</v>
      </c>
    </row>
    <row r="906" spans="1:15" x14ac:dyDescent="0.3">
      <c r="A906">
        <v>33899</v>
      </c>
      <c r="B906">
        <v>3203353</v>
      </c>
      <c r="C906" t="s">
        <v>61</v>
      </c>
      <c r="D906">
        <v>0.43</v>
      </c>
      <c r="E906">
        <v>1529413.58</v>
      </c>
      <c r="F906">
        <v>181958.55</v>
      </c>
      <c r="G906">
        <v>1711372.13</v>
      </c>
      <c r="H906">
        <v>27016.43</v>
      </c>
      <c r="I906">
        <v>22891.98</v>
      </c>
      <c r="J906">
        <v>0.43</v>
      </c>
      <c r="K906">
        <v>46010.6</v>
      </c>
      <c r="L906">
        <v>0</v>
      </c>
      <c r="M906">
        <v>0</v>
      </c>
      <c r="N906">
        <v>2021</v>
      </c>
      <c r="O906">
        <v>12</v>
      </c>
    </row>
    <row r="907" spans="1:15" x14ac:dyDescent="0.3">
      <c r="A907">
        <v>33900</v>
      </c>
      <c r="B907">
        <v>3203403</v>
      </c>
      <c r="C907" t="s">
        <v>62</v>
      </c>
      <c r="D907">
        <v>0.5</v>
      </c>
      <c r="E907">
        <v>1745905.94</v>
      </c>
      <c r="F907">
        <v>207715.23</v>
      </c>
      <c r="G907">
        <v>1953621.17</v>
      </c>
      <c r="H907">
        <v>30840.67</v>
      </c>
      <c r="I907">
        <v>68360.34</v>
      </c>
      <c r="J907">
        <v>0.5</v>
      </c>
      <c r="K907">
        <v>52523.519999999997</v>
      </c>
      <c r="L907">
        <v>0</v>
      </c>
      <c r="M907">
        <v>0</v>
      </c>
      <c r="N907">
        <v>2021</v>
      </c>
      <c r="O907">
        <v>12</v>
      </c>
    </row>
    <row r="908" spans="1:15" x14ac:dyDescent="0.3">
      <c r="A908">
        <v>33901</v>
      </c>
      <c r="B908">
        <v>3203502</v>
      </c>
      <c r="C908" t="s">
        <v>63</v>
      </c>
      <c r="D908">
        <v>0.52</v>
      </c>
      <c r="E908">
        <v>1833201.21</v>
      </c>
      <c r="F908">
        <v>218100.94</v>
      </c>
      <c r="G908">
        <v>2051302.15</v>
      </c>
      <c r="H908">
        <v>32382.71</v>
      </c>
      <c r="I908">
        <v>47280.29</v>
      </c>
      <c r="J908">
        <v>0.52</v>
      </c>
      <c r="K908">
        <v>55149.69</v>
      </c>
      <c r="L908">
        <v>0</v>
      </c>
      <c r="M908">
        <v>0</v>
      </c>
      <c r="N908">
        <v>2021</v>
      </c>
      <c r="O908">
        <v>12</v>
      </c>
    </row>
    <row r="909" spans="1:15" x14ac:dyDescent="0.3">
      <c r="A909">
        <v>33902</v>
      </c>
      <c r="B909">
        <v>3203601</v>
      </c>
      <c r="C909" t="s">
        <v>64</v>
      </c>
      <c r="D909">
        <v>0.28000000000000003</v>
      </c>
      <c r="E909">
        <v>1009133.61</v>
      </c>
      <c r="F909">
        <v>120059.4</v>
      </c>
      <c r="G909">
        <v>1129193.01</v>
      </c>
      <c r="H909">
        <v>17825.91</v>
      </c>
      <c r="I909">
        <v>16143.25</v>
      </c>
      <c r="J909">
        <v>0.28000000000000003</v>
      </c>
      <c r="K909">
        <v>30358.59</v>
      </c>
      <c r="L909">
        <v>0</v>
      </c>
      <c r="M909">
        <v>0</v>
      </c>
      <c r="N909">
        <v>2021</v>
      </c>
      <c r="O909">
        <v>12</v>
      </c>
    </row>
    <row r="910" spans="1:15" x14ac:dyDescent="0.3">
      <c r="A910">
        <v>33903</v>
      </c>
      <c r="B910">
        <v>3203700</v>
      </c>
      <c r="C910" t="s">
        <v>65</v>
      </c>
      <c r="D910">
        <v>0.5</v>
      </c>
      <c r="E910">
        <v>1777332.23</v>
      </c>
      <c r="F910">
        <v>211454.09</v>
      </c>
      <c r="G910">
        <v>1988786.32</v>
      </c>
      <c r="H910">
        <v>31395.81</v>
      </c>
      <c r="I910">
        <v>38861.35</v>
      </c>
      <c r="J910">
        <v>0.5</v>
      </c>
      <c r="K910">
        <v>53468.94</v>
      </c>
      <c r="L910">
        <v>0</v>
      </c>
      <c r="M910">
        <v>0</v>
      </c>
      <c r="N910">
        <v>2021</v>
      </c>
      <c r="O910">
        <v>12</v>
      </c>
    </row>
    <row r="911" spans="1:15" x14ac:dyDescent="0.3">
      <c r="A911">
        <v>33904</v>
      </c>
      <c r="B911">
        <v>3203809</v>
      </c>
      <c r="C911" t="s">
        <v>66</v>
      </c>
      <c r="D911">
        <v>0.28999999999999998</v>
      </c>
      <c r="E911">
        <v>1019609.05</v>
      </c>
      <c r="F911">
        <v>121305.66</v>
      </c>
      <c r="G911">
        <v>1140914.71</v>
      </c>
      <c r="H911">
        <v>18010.95</v>
      </c>
      <c r="I911">
        <v>38875.9</v>
      </c>
      <c r="J911">
        <v>0.28999999999999998</v>
      </c>
      <c r="K911">
        <v>30673.73</v>
      </c>
      <c r="L911">
        <v>0</v>
      </c>
      <c r="M911">
        <v>0</v>
      </c>
      <c r="N911">
        <v>2021</v>
      </c>
      <c r="O911">
        <v>12</v>
      </c>
    </row>
    <row r="912" spans="1:15" x14ac:dyDescent="0.3">
      <c r="A912">
        <v>33905</v>
      </c>
      <c r="B912">
        <v>3203908</v>
      </c>
      <c r="C912" t="s">
        <v>67</v>
      </c>
      <c r="D912">
        <v>1.22</v>
      </c>
      <c r="E912">
        <v>4291436.74</v>
      </c>
      <c r="F912">
        <v>510564.01</v>
      </c>
      <c r="G912">
        <v>4802000.75</v>
      </c>
      <c r="H912">
        <v>75806.38</v>
      </c>
      <c r="I912">
        <v>173728.23</v>
      </c>
      <c r="J912">
        <v>1.22</v>
      </c>
      <c r="K912">
        <v>129102.8</v>
      </c>
      <c r="L912">
        <v>0</v>
      </c>
      <c r="M912">
        <v>0</v>
      </c>
      <c r="N912">
        <v>2021</v>
      </c>
      <c r="O912">
        <v>12</v>
      </c>
    </row>
    <row r="913" spans="1:15" x14ac:dyDescent="0.3">
      <c r="A913">
        <v>33906</v>
      </c>
      <c r="B913">
        <v>3204005</v>
      </c>
      <c r="C913" t="s">
        <v>68</v>
      </c>
      <c r="D913">
        <v>0.47</v>
      </c>
      <c r="E913">
        <v>1669086.08</v>
      </c>
      <c r="F913">
        <v>198575.76</v>
      </c>
      <c r="G913">
        <v>1867661.84</v>
      </c>
      <c r="H913">
        <v>29483.68</v>
      </c>
      <c r="I913">
        <v>29803</v>
      </c>
      <c r="J913">
        <v>0.47</v>
      </c>
      <c r="K913">
        <v>50212.480000000003</v>
      </c>
      <c r="L913">
        <v>0</v>
      </c>
      <c r="M913">
        <v>0</v>
      </c>
      <c r="N913">
        <v>2021</v>
      </c>
      <c r="O913">
        <v>12</v>
      </c>
    </row>
    <row r="914" spans="1:15" x14ac:dyDescent="0.3">
      <c r="A914">
        <v>33907</v>
      </c>
      <c r="B914">
        <v>3204054</v>
      </c>
      <c r="C914" t="s">
        <v>69</v>
      </c>
      <c r="D914">
        <v>0.32</v>
      </c>
      <c r="E914">
        <v>1131347.04</v>
      </c>
      <c r="F914">
        <v>134599.45000000001</v>
      </c>
      <c r="G914">
        <v>1265946.49</v>
      </c>
      <c r="H914">
        <v>19984.759999999998</v>
      </c>
      <c r="I914">
        <v>70973.740000000005</v>
      </c>
      <c r="J914">
        <v>0.32</v>
      </c>
      <c r="K914">
        <v>34035.24</v>
      </c>
      <c r="L914">
        <v>0</v>
      </c>
      <c r="M914">
        <v>0</v>
      </c>
      <c r="N914">
        <v>2021</v>
      </c>
      <c r="O914">
        <v>12</v>
      </c>
    </row>
    <row r="915" spans="1:15" x14ac:dyDescent="0.3">
      <c r="A915">
        <v>33908</v>
      </c>
      <c r="B915">
        <v>3204104</v>
      </c>
      <c r="C915" t="s">
        <v>70</v>
      </c>
      <c r="D915">
        <v>0.66</v>
      </c>
      <c r="E915">
        <v>2322054.89</v>
      </c>
      <c r="F915">
        <v>276261.23</v>
      </c>
      <c r="G915">
        <v>2598316.12</v>
      </c>
      <c r="H915">
        <v>41018.1</v>
      </c>
      <c r="I915">
        <v>69471.67</v>
      </c>
      <c r="J915">
        <v>0.66</v>
      </c>
      <c r="K915">
        <v>69856.28</v>
      </c>
      <c r="L915">
        <v>0</v>
      </c>
      <c r="M915">
        <v>0</v>
      </c>
      <c r="N915">
        <v>2021</v>
      </c>
      <c r="O915">
        <v>12</v>
      </c>
    </row>
    <row r="916" spans="1:15" x14ac:dyDescent="0.3">
      <c r="A916">
        <v>33909</v>
      </c>
      <c r="B916">
        <v>3204203</v>
      </c>
      <c r="C916" t="s">
        <v>71</v>
      </c>
      <c r="D916">
        <v>0.15</v>
      </c>
      <c r="E916">
        <v>534247.22</v>
      </c>
      <c r="F916">
        <v>63560.85</v>
      </c>
      <c r="G916">
        <v>597808.06999999995</v>
      </c>
      <c r="H916">
        <v>9437.25</v>
      </c>
      <c r="I916">
        <v>94910.86</v>
      </c>
      <c r="J916">
        <v>0.15</v>
      </c>
      <c r="K916">
        <v>16072.2</v>
      </c>
      <c r="L916">
        <v>0</v>
      </c>
      <c r="M916">
        <v>0</v>
      </c>
      <c r="N916">
        <v>2021</v>
      </c>
      <c r="O916">
        <v>12</v>
      </c>
    </row>
    <row r="917" spans="1:15" x14ac:dyDescent="0.3">
      <c r="A917">
        <v>33910</v>
      </c>
      <c r="B917">
        <v>3204252</v>
      </c>
      <c r="C917" t="s">
        <v>72</v>
      </c>
      <c r="D917">
        <v>0.23</v>
      </c>
      <c r="E917">
        <v>803116.74</v>
      </c>
      <c r="F917">
        <v>95549</v>
      </c>
      <c r="G917">
        <v>898665.74</v>
      </c>
      <c r="H917">
        <v>14186.71</v>
      </c>
      <c r="I917">
        <v>17534.169999999998</v>
      </c>
      <c r="J917">
        <v>0.23</v>
      </c>
      <c r="K917">
        <v>24160.81</v>
      </c>
      <c r="L917">
        <v>0</v>
      </c>
      <c r="M917">
        <v>0</v>
      </c>
      <c r="N917">
        <v>2021</v>
      </c>
      <c r="O917">
        <v>12</v>
      </c>
    </row>
    <row r="918" spans="1:15" x14ac:dyDescent="0.3">
      <c r="A918">
        <v>33911</v>
      </c>
      <c r="B918">
        <v>1718402</v>
      </c>
      <c r="C918" t="s">
        <v>73</v>
      </c>
      <c r="D918">
        <v>0.33</v>
      </c>
      <c r="E918">
        <v>1166265.17</v>
      </c>
      <c r="F918">
        <v>138753.76999999999</v>
      </c>
      <c r="G918">
        <v>1305018.94</v>
      </c>
      <c r="H918">
        <v>20601.57</v>
      </c>
      <c r="I918">
        <v>101962.11</v>
      </c>
      <c r="J918">
        <v>0.33</v>
      </c>
      <c r="K918">
        <v>35085.71</v>
      </c>
      <c r="L918">
        <v>0</v>
      </c>
      <c r="M918">
        <v>0</v>
      </c>
      <c r="N918">
        <v>2021</v>
      </c>
      <c r="O918">
        <v>12</v>
      </c>
    </row>
    <row r="919" spans="1:15" x14ac:dyDescent="0.3">
      <c r="A919">
        <v>33912</v>
      </c>
      <c r="B919">
        <v>3204351</v>
      </c>
      <c r="C919" t="s">
        <v>74</v>
      </c>
      <c r="D919">
        <v>0.76</v>
      </c>
      <c r="E919">
        <v>2685203.32</v>
      </c>
      <c r="F919">
        <v>319465.98</v>
      </c>
      <c r="G919">
        <v>3004669.3</v>
      </c>
      <c r="H919">
        <v>47432.959999999999</v>
      </c>
      <c r="I919">
        <v>30104.11</v>
      </c>
      <c r="J919">
        <v>0.76</v>
      </c>
      <c r="K919">
        <v>80781.16</v>
      </c>
      <c r="L919">
        <v>0</v>
      </c>
      <c r="M919">
        <v>0</v>
      </c>
      <c r="N919">
        <v>2021</v>
      </c>
      <c r="O919">
        <v>12</v>
      </c>
    </row>
    <row r="920" spans="1:15" x14ac:dyDescent="0.3">
      <c r="A920">
        <v>33913</v>
      </c>
      <c r="B920">
        <v>3204401</v>
      </c>
      <c r="C920" t="s">
        <v>75</v>
      </c>
      <c r="D920">
        <v>0.26</v>
      </c>
      <c r="E920">
        <v>925330.15</v>
      </c>
      <c r="F920">
        <v>110089.08</v>
      </c>
      <c r="G920">
        <v>1035419.23</v>
      </c>
      <c r="H920">
        <v>16345.56</v>
      </c>
      <c r="I920">
        <v>34749.99</v>
      </c>
      <c r="J920">
        <v>0.26</v>
      </c>
      <c r="K920">
        <v>27837.46</v>
      </c>
      <c r="L920">
        <v>0</v>
      </c>
      <c r="M920">
        <v>0</v>
      </c>
      <c r="N920">
        <v>2021</v>
      </c>
      <c r="O920">
        <v>12</v>
      </c>
    </row>
    <row r="921" spans="1:15" x14ac:dyDescent="0.3">
      <c r="A921">
        <v>33914</v>
      </c>
      <c r="B921">
        <v>3204500</v>
      </c>
      <c r="C921" t="s">
        <v>76</v>
      </c>
      <c r="D921">
        <v>0.49</v>
      </c>
      <c r="E921">
        <v>1731938.69</v>
      </c>
      <c r="F921">
        <v>206053.52</v>
      </c>
      <c r="G921">
        <v>1937992.21</v>
      </c>
      <c r="H921">
        <v>30593.95</v>
      </c>
      <c r="I921">
        <v>17808.61</v>
      </c>
      <c r="J921">
        <v>0.49</v>
      </c>
      <c r="K921">
        <v>52103.32</v>
      </c>
      <c r="L921">
        <v>0</v>
      </c>
      <c r="M921">
        <v>0</v>
      </c>
      <c r="N921">
        <v>2021</v>
      </c>
      <c r="O921">
        <v>12</v>
      </c>
    </row>
    <row r="922" spans="1:15" x14ac:dyDescent="0.3">
      <c r="A922">
        <v>33915</v>
      </c>
      <c r="B922">
        <v>3204559</v>
      </c>
      <c r="C922" t="s">
        <v>77</v>
      </c>
      <c r="D922">
        <v>2.2400000000000002</v>
      </c>
      <c r="E922">
        <v>7842609.3899999997</v>
      </c>
      <c r="F922">
        <v>933056.73</v>
      </c>
      <c r="G922">
        <v>8775666.1199999992</v>
      </c>
      <c r="H922">
        <v>138536.31</v>
      </c>
      <c r="I922">
        <v>186475.49</v>
      </c>
      <c r="J922">
        <v>2.2400000000000002</v>
      </c>
      <c r="K922">
        <v>235935.63</v>
      </c>
      <c r="L922">
        <v>0</v>
      </c>
      <c r="M922">
        <v>0</v>
      </c>
      <c r="N922">
        <v>2021</v>
      </c>
      <c r="O922">
        <v>12</v>
      </c>
    </row>
    <row r="923" spans="1:15" x14ac:dyDescent="0.3">
      <c r="A923">
        <v>33916</v>
      </c>
      <c r="B923">
        <v>3204609</v>
      </c>
      <c r="C923" t="s">
        <v>78</v>
      </c>
      <c r="D923">
        <v>0.69</v>
      </c>
      <c r="E923">
        <v>2412842.0099999998</v>
      </c>
      <c r="F923">
        <v>287062.43</v>
      </c>
      <c r="G923">
        <v>2699904.44</v>
      </c>
      <c r="H923">
        <v>42621.81</v>
      </c>
      <c r="I923">
        <v>78943.789999999994</v>
      </c>
      <c r="J923">
        <v>0.69</v>
      </c>
      <c r="K923">
        <v>72587.5</v>
      </c>
      <c r="L923">
        <v>0</v>
      </c>
      <c r="M923">
        <v>0</v>
      </c>
      <c r="N923">
        <v>2021</v>
      </c>
      <c r="O923">
        <v>12</v>
      </c>
    </row>
    <row r="924" spans="1:15" x14ac:dyDescent="0.3">
      <c r="A924">
        <v>33917</v>
      </c>
      <c r="B924">
        <v>3204658</v>
      </c>
      <c r="C924" t="s">
        <v>79</v>
      </c>
      <c r="D924">
        <v>0.45</v>
      </c>
      <c r="E924">
        <v>1581790.78</v>
      </c>
      <c r="F924">
        <v>188190</v>
      </c>
      <c r="G924">
        <v>1769980.78</v>
      </c>
      <c r="H924">
        <v>27941.65</v>
      </c>
      <c r="I924">
        <v>19781.169999999998</v>
      </c>
      <c r="J924">
        <v>0.45</v>
      </c>
      <c r="K924">
        <v>47586.31</v>
      </c>
      <c r="L924">
        <v>0</v>
      </c>
      <c r="M924">
        <v>0</v>
      </c>
      <c r="N924">
        <v>2021</v>
      </c>
      <c r="O924">
        <v>12</v>
      </c>
    </row>
    <row r="925" spans="1:15" x14ac:dyDescent="0.3">
      <c r="A925">
        <v>33918</v>
      </c>
      <c r="B925">
        <v>3204708</v>
      </c>
      <c r="C925" t="s">
        <v>80</v>
      </c>
      <c r="D925">
        <v>0.72</v>
      </c>
      <c r="E925">
        <v>2545530.83</v>
      </c>
      <c r="F925">
        <v>302848.78000000003</v>
      </c>
      <c r="G925">
        <v>2848379.61</v>
      </c>
      <c r="H925">
        <v>44965.7</v>
      </c>
      <c r="I925">
        <v>103798.46</v>
      </c>
      <c r="J925">
        <v>0.72</v>
      </c>
      <c r="K925">
        <v>76579.28</v>
      </c>
      <c r="L925">
        <v>0</v>
      </c>
      <c r="M925">
        <v>0</v>
      </c>
      <c r="N925">
        <v>2021</v>
      </c>
      <c r="O925">
        <v>12</v>
      </c>
    </row>
    <row r="926" spans="1:15" x14ac:dyDescent="0.3">
      <c r="A926">
        <v>33919</v>
      </c>
      <c r="B926">
        <v>3204807</v>
      </c>
      <c r="C926" t="s">
        <v>81</v>
      </c>
      <c r="D926">
        <v>0.22</v>
      </c>
      <c r="E926">
        <v>771690.47</v>
      </c>
      <c r="F926">
        <v>91810.12</v>
      </c>
      <c r="G926">
        <v>863500.59</v>
      </c>
      <c r="H926">
        <v>13631.58</v>
      </c>
      <c r="I926">
        <v>29004.84</v>
      </c>
      <c r="J926">
        <v>0.22</v>
      </c>
      <c r="K926">
        <v>23215.39</v>
      </c>
      <c r="L926">
        <v>0</v>
      </c>
      <c r="M926">
        <v>0</v>
      </c>
      <c r="N926">
        <v>2021</v>
      </c>
      <c r="O926">
        <v>12</v>
      </c>
    </row>
    <row r="927" spans="1:15" x14ac:dyDescent="0.3">
      <c r="A927">
        <v>33920</v>
      </c>
      <c r="B927">
        <v>3204906</v>
      </c>
      <c r="C927" t="s">
        <v>82</v>
      </c>
      <c r="D927">
        <v>1.8</v>
      </c>
      <c r="E927">
        <v>6288753.1299999999</v>
      </c>
      <c r="F927">
        <v>748190.19</v>
      </c>
      <c r="G927">
        <v>7036943.3200000003</v>
      </c>
      <c r="H927">
        <v>111088.11</v>
      </c>
      <c r="I927">
        <v>418446.44</v>
      </c>
      <c r="J927">
        <v>1.8</v>
      </c>
      <c r="K927">
        <v>189189.7</v>
      </c>
      <c r="L927">
        <v>0</v>
      </c>
      <c r="M927">
        <v>0</v>
      </c>
      <c r="N927">
        <v>2021</v>
      </c>
      <c r="O927">
        <v>12</v>
      </c>
    </row>
    <row r="928" spans="1:15" x14ac:dyDescent="0.3">
      <c r="A928">
        <v>33921</v>
      </c>
      <c r="B928">
        <v>3204955</v>
      </c>
      <c r="C928" t="s">
        <v>83</v>
      </c>
      <c r="D928">
        <v>0.32</v>
      </c>
      <c r="E928">
        <v>1145314.29</v>
      </c>
      <c r="F928">
        <v>136261.18</v>
      </c>
      <c r="G928">
        <v>1281575.47</v>
      </c>
      <c r="H928">
        <v>20231.48</v>
      </c>
      <c r="I928">
        <v>23650.44</v>
      </c>
      <c r="J928">
        <v>0.32</v>
      </c>
      <c r="K928">
        <v>34455.42</v>
      </c>
      <c r="L928">
        <v>0</v>
      </c>
      <c r="M928">
        <v>0</v>
      </c>
      <c r="N928">
        <v>2021</v>
      </c>
      <c r="O928">
        <v>12</v>
      </c>
    </row>
    <row r="929" spans="1:15" x14ac:dyDescent="0.3">
      <c r="A929">
        <v>33922</v>
      </c>
      <c r="B929">
        <v>3205002</v>
      </c>
      <c r="C929" t="s">
        <v>84</v>
      </c>
      <c r="D929">
        <v>13.06</v>
      </c>
      <c r="E929">
        <v>45627505.439999998</v>
      </c>
      <c r="F929">
        <v>5428429.3600000003</v>
      </c>
      <c r="G929">
        <v>51055934.799999997</v>
      </c>
      <c r="H929">
        <v>805990.19</v>
      </c>
      <c r="I929">
        <v>1757025.72</v>
      </c>
      <c r="J929">
        <v>13.06</v>
      </c>
      <c r="K929">
        <v>1372649.51</v>
      </c>
      <c r="L929">
        <v>0</v>
      </c>
      <c r="M929">
        <v>0</v>
      </c>
      <c r="N929">
        <v>2021</v>
      </c>
      <c r="O929">
        <v>12</v>
      </c>
    </row>
    <row r="930" spans="1:15" x14ac:dyDescent="0.3">
      <c r="A930">
        <v>33923</v>
      </c>
      <c r="B930">
        <v>3205010</v>
      </c>
      <c r="C930" t="s">
        <v>85</v>
      </c>
      <c r="D930">
        <v>0.7</v>
      </c>
      <c r="E930">
        <v>2461727.34</v>
      </c>
      <c r="F930">
        <v>292878.46999999997</v>
      </c>
      <c r="G930">
        <v>2754605.81</v>
      </c>
      <c r="H930">
        <v>43485.35</v>
      </c>
      <c r="I930">
        <v>64192</v>
      </c>
      <c r="J930">
        <v>0.7</v>
      </c>
      <c r="K930">
        <v>74058.16</v>
      </c>
      <c r="L930">
        <v>0</v>
      </c>
      <c r="M930">
        <v>0</v>
      </c>
      <c r="N930">
        <v>2021</v>
      </c>
      <c r="O930">
        <v>12</v>
      </c>
    </row>
    <row r="931" spans="1:15" x14ac:dyDescent="0.3">
      <c r="A931">
        <v>33924</v>
      </c>
      <c r="B931">
        <v>3205036</v>
      </c>
      <c r="C931" t="s">
        <v>86</v>
      </c>
      <c r="D931">
        <v>0.47</v>
      </c>
      <c r="E931">
        <v>1662102.45</v>
      </c>
      <c r="F931">
        <v>197744.9</v>
      </c>
      <c r="G931">
        <v>1859847.35</v>
      </c>
      <c r="H931">
        <v>29360.32</v>
      </c>
      <c r="I931">
        <v>85462.96</v>
      </c>
      <c r="J931">
        <v>0.47</v>
      </c>
      <c r="K931">
        <v>50002.39</v>
      </c>
      <c r="L931">
        <v>0</v>
      </c>
      <c r="M931">
        <v>0</v>
      </c>
      <c r="N931">
        <v>2021</v>
      </c>
      <c r="O931">
        <v>12</v>
      </c>
    </row>
    <row r="932" spans="1:15" x14ac:dyDescent="0.3">
      <c r="A932">
        <v>33925</v>
      </c>
      <c r="B932">
        <v>3205069</v>
      </c>
      <c r="C932" t="s">
        <v>87</v>
      </c>
      <c r="D932">
        <v>0.72</v>
      </c>
      <c r="E932">
        <v>2517596.33</v>
      </c>
      <c r="F932">
        <v>299525.33</v>
      </c>
      <c r="G932">
        <v>2817121.66</v>
      </c>
      <c r="H932">
        <v>44472.25</v>
      </c>
      <c r="I932">
        <v>90599.84</v>
      </c>
      <c r="J932">
        <v>0.72</v>
      </c>
      <c r="K932">
        <v>75738.899999999994</v>
      </c>
      <c r="L932">
        <v>0</v>
      </c>
      <c r="M932">
        <v>0</v>
      </c>
      <c r="N932">
        <v>2021</v>
      </c>
      <c r="O932">
        <v>12</v>
      </c>
    </row>
    <row r="933" spans="1:15" x14ac:dyDescent="0.3">
      <c r="A933">
        <v>33926</v>
      </c>
      <c r="B933">
        <v>2112803</v>
      </c>
      <c r="C933" t="s">
        <v>88</v>
      </c>
      <c r="D933">
        <v>2.25</v>
      </c>
      <c r="E933">
        <v>7867052.1100000003</v>
      </c>
      <c r="F933">
        <v>935964.73</v>
      </c>
      <c r="G933">
        <v>8803016.8399999999</v>
      </c>
      <c r="H933">
        <v>138968.07999999999</v>
      </c>
      <c r="I933">
        <v>178740.97</v>
      </c>
      <c r="J933">
        <v>2.25</v>
      </c>
      <c r="K933">
        <v>236670.95</v>
      </c>
      <c r="L933">
        <v>0</v>
      </c>
      <c r="M933">
        <v>0</v>
      </c>
      <c r="N933">
        <v>2021</v>
      </c>
      <c r="O933">
        <v>12</v>
      </c>
    </row>
    <row r="934" spans="1:15" x14ac:dyDescent="0.3">
      <c r="A934">
        <v>33927</v>
      </c>
      <c r="B934">
        <v>3205150</v>
      </c>
      <c r="C934" t="s">
        <v>89</v>
      </c>
      <c r="D934">
        <v>0.32</v>
      </c>
      <c r="E934">
        <v>1141822.5</v>
      </c>
      <c r="F934">
        <v>135845.75</v>
      </c>
      <c r="G934">
        <v>1277668.25</v>
      </c>
      <c r="H934">
        <v>20169.8</v>
      </c>
      <c r="I934">
        <v>22962.81</v>
      </c>
      <c r="J934">
        <v>0.32</v>
      </c>
      <c r="K934">
        <v>34350.370000000003</v>
      </c>
      <c r="L934">
        <v>0</v>
      </c>
      <c r="M934">
        <v>0</v>
      </c>
      <c r="N934">
        <v>2021</v>
      </c>
      <c r="O934">
        <v>12</v>
      </c>
    </row>
    <row r="935" spans="1:15" x14ac:dyDescent="0.3">
      <c r="A935">
        <v>33928</v>
      </c>
      <c r="B935">
        <v>3205176</v>
      </c>
      <c r="C935" t="s">
        <v>90</v>
      </c>
      <c r="D935">
        <v>0.61</v>
      </c>
      <c r="E935">
        <v>2150956.1</v>
      </c>
      <c r="F935">
        <v>255905.15</v>
      </c>
      <c r="G935">
        <v>2406861.25</v>
      </c>
      <c r="H935">
        <v>37995.71</v>
      </c>
      <c r="I935">
        <v>55586.16</v>
      </c>
      <c r="J935">
        <v>0.61</v>
      </c>
      <c r="K935">
        <v>64708.959999999999</v>
      </c>
      <c r="L935">
        <v>0</v>
      </c>
      <c r="M935">
        <v>0</v>
      </c>
      <c r="N935">
        <v>2021</v>
      </c>
      <c r="O935">
        <v>12</v>
      </c>
    </row>
    <row r="936" spans="1:15" x14ac:dyDescent="0.3">
      <c r="A936">
        <v>33929</v>
      </c>
      <c r="B936">
        <v>3205200</v>
      </c>
      <c r="C936" t="s">
        <v>91</v>
      </c>
      <c r="D936">
        <v>5.55</v>
      </c>
      <c r="E936">
        <v>19403998.449999999</v>
      </c>
      <c r="F936">
        <v>2308546.87</v>
      </c>
      <c r="G936">
        <v>21712545.32</v>
      </c>
      <c r="H936">
        <v>342763.26</v>
      </c>
      <c r="I936">
        <v>2004912.41</v>
      </c>
      <c r="J936">
        <v>5.55</v>
      </c>
      <c r="K936">
        <v>583746.32999999996</v>
      </c>
      <c r="L936">
        <v>0</v>
      </c>
      <c r="M936">
        <v>0</v>
      </c>
      <c r="N936">
        <v>2021</v>
      </c>
      <c r="O936">
        <v>12</v>
      </c>
    </row>
    <row r="937" spans="1:15" x14ac:dyDescent="0.3">
      <c r="A937">
        <v>33930</v>
      </c>
      <c r="B937">
        <v>3205309</v>
      </c>
      <c r="C937" t="s">
        <v>92</v>
      </c>
      <c r="D937">
        <v>15.84</v>
      </c>
      <c r="E937">
        <v>55320775.079999998</v>
      </c>
      <c r="F937">
        <v>6581663.96</v>
      </c>
      <c r="G937">
        <v>61902439.039999999</v>
      </c>
      <c r="H937">
        <v>977217.62</v>
      </c>
      <c r="I937">
        <v>1898053.05</v>
      </c>
      <c r="J937">
        <v>15.84</v>
      </c>
      <c r="K937">
        <v>1664260.07</v>
      </c>
      <c r="L937">
        <v>0</v>
      </c>
      <c r="M937">
        <v>0</v>
      </c>
      <c r="N937">
        <v>2021</v>
      </c>
      <c r="O937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37"/>
  <sheetViews>
    <sheetView topLeftCell="A915" workbookViewId="0">
      <selection activeCell="A2" sqref="A2:O93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36193</v>
      </c>
      <c r="B2">
        <v>3200102</v>
      </c>
      <c r="C2" t="s">
        <v>15</v>
      </c>
      <c r="D2">
        <v>0.76100000000000001</v>
      </c>
      <c r="E2">
        <v>2390864.64</v>
      </c>
      <c r="F2">
        <v>0</v>
      </c>
      <c r="G2">
        <v>2390864.64</v>
      </c>
      <c r="H2">
        <v>22863.27</v>
      </c>
      <c r="I2">
        <v>97022.35</v>
      </c>
      <c r="J2">
        <v>0.76100000000000001</v>
      </c>
      <c r="K2">
        <v>42923.11</v>
      </c>
      <c r="L2">
        <v>0</v>
      </c>
      <c r="M2">
        <v>0</v>
      </c>
      <c r="N2">
        <v>2023</v>
      </c>
      <c r="O2">
        <v>2</v>
      </c>
    </row>
    <row r="3" spans="1:15" x14ac:dyDescent="0.3">
      <c r="A3">
        <v>36194</v>
      </c>
      <c r="B3">
        <v>3200169</v>
      </c>
      <c r="C3" t="s">
        <v>16</v>
      </c>
      <c r="D3">
        <v>0.28899999999999998</v>
      </c>
      <c r="E3">
        <v>907963.05</v>
      </c>
      <c r="F3">
        <v>0</v>
      </c>
      <c r="G3">
        <v>907963.05</v>
      </c>
      <c r="H3">
        <v>8682.6299999999992</v>
      </c>
      <c r="I3">
        <v>35813.56</v>
      </c>
      <c r="J3">
        <v>0.28899999999999998</v>
      </c>
      <c r="K3">
        <v>16300.62</v>
      </c>
      <c r="L3">
        <v>0</v>
      </c>
      <c r="M3">
        <v>0</v>
      </c>
      <c r="N3">
        <v>2023</v>
      </c>
      <c r="O3">
        <v>2</v>
      </c>
    </row>
    <row r="4" spans="1:15" x14ac:dyDescent="0.3">
      <c r="A4">
        <v>36195</v>
      </c>
      <c r="B4">
        <v>3200136</v>
      </c>
      <c r="C4" t="s">
        <v>17</v>
      </c>
      <c r="D4">
        <v>0.40400000000000003</v>
      </c>
      <c r="E4">
        <v>1269263.22</v>
      </c>
      <c r="F4">
        <v>0</v>
      </c>
      <c r="G4">
        <v>1269263.22</v>
      </c>
      <c r="H4">
        <v>12137.66</v>
      </c>
      <c r="I4">
        <v>48892.44</v>
      </c>
      <c r="J4">
        <v>0.40400000000000003</v>
      </c>
      <c r="K4">
        <v>22787.040000000001</v>
      </c>
      <c r="L4">
        <v>0</v>
      </c>
      <c r="M4">
        <v>0</v>
      </c>
      <c r="N4">
        <v>2023</v>
      </c>
      <c r="O4">
        <v>2</v>
      </c>
    </row>
    <row r="5" spans="1:15" x14ac:dyDescent="0.3">
      <c r="A5">
        <v>36196</v>
      </c>
      <c r="B5">
        <v>3200201</v>
      </c>
      <c r="C5" t="s">
        <v>18</v>
      </c>
      <c r="D5">
        <v>0.498</v>
      </c>
      <c r="E5">
        <v>1564586.84</v>
      </c>
      <c r="F5">
        <v>0</v>
      </c>
      <c r="G5">
        <v>1564586.84</v>
      </c>
      <c r="H5">
        <v>14961.77</v>
      </c>
      <c r="I5">
        <v>77996.7</v>
      </c>
      <c r="J5">
        <v>0.498</v>
      </c>
      <c r="K5">
        <v>28088.97</v>
      </c>
      <c r="L5">
        <v>0</v>
      </c>
      <c r="M5">
        <v>0</v>
      </c>
      <c r="N5">
        <v>2023</v>
      </c>
      <c r="O5">
        <v>2</v>
      </c>
    </row>
    <row r="6" spans="1:15" x14ac:dyDescent="0.3">
      <c r="A6">
        <v>36197</v>
      </c>
      <c r="B6">
        <v>3200300</v>
      </c>
      <c r="C6" t="s">
        <v>19</v>
      </c>
      <c r="D6">
        <v>0.46700000000000003</v>
      </c>
      <c r="E6">
        <v>1467192.89</v>
      </c>
      <c r="F6">
        <v>0</v>
      </c>
      <c r="G6">
        <v>1467192.89</v>
      </c>
      <c r="H6">
        <v>14030.42</v>
      </c>
      <c r="I6">
        <v>124294.44</v>
      </c>
      <c r="J6">
        <v>0.46700000000000003</v>
      </c>
      <c r="K6">
        <v>26340.46</v>
      </c>
      <c r="L6">
        <v>0</v>
      </c>
      <c r="M6">
        <v>0</v>
      </c>
      <c r="N6">
        <v>2023</v>
      </c>
      <c r="O6">
        <v>2</v>
      </c>
    </row>
    <row r="7" spans="1:15" x14ac:dyDescent="0.3">
      <c r="A7">
        <v>36198</v>
      </c>
      <c r="B7">
        <v>3200359</v>
      </c>
      <c r="C7" t="s">
        <v>20</v>
      </c>
      <c r="D7">
        <v>0.22600000000000001</v>
      </c>
      <c r="E7">
        <v>710033.37</v>
      </c>
      <c r="F7">
        <v>0</v>
      </c>
      <c r="G7">
        <v>710033.37</v>
      </c>
      <c r="H7">
        <v>6789.88</v>
      </c>
      <c r="I7">
        <v>20000.98</v>
      </c>
      <c r="J7">
        <v>0.22600000000000001</v>
      </c>
      <c r="K7">
        <v>12747.2</v>
      </c>
      <c r="L7">
        <v>0</v>
      </c>
      <c r="M7">
        <v>0</v>
      </c>
      <c r="N7">
        <v>2023</v>
      </c>
      <c r="O7">
        <v>2</v>
      </c>
    </row>
    <row r="8" spans="1:15" x14ac:dyDescent="0.3">
      <c r="A8">
        <v>36199</v>
      </c>
      <c r="B8">
        <v>3200409</v>
      </c>
      <c r="C8" t="s">
        <v>21</v>
      </c>
      <c r="D8">
        <v>3.1480000000000001</v>
      </c>
      <c r="E8">
        <v>9890199.5600000005</v>
      </c>
      <c r="F8">
        <v>0</v>
      </c>
      <c r="G8">
        <v>9890199.5600000005</v>
      </c>
      <c r="H8">
        <v>94577.62</v>
      </c>
      <c r="I8">
        <v>157294.82</v>
      </c>
      <c r="J8">
        <v>3.1480000000000001</v>
      </c>
      <c r="K8">
        <v>177558.38</v>
      </c>
      <c r="L8">
        <v>0</v>
      </c>
      <c r="M8">
        <v>0</v>
      </c>
      <c r="N8">
        <v>2023</v>
      </c>
      <c r="O8">
        <v>2</v>
      </c>
    </row>
    <row r="9" spans="1:15" x14ac:dyDescent="0.3">
      <c r="A9">
        <v>36200</v>
      </c>
      <c r="B9">
        <v>3200508</v>
      </c>
      <c r="C9" t="s">
        <v>22</v>
      </c>
      <c r="D9">
        <v>0.185</v>
      </c>
      <c r="E9">
        <v>581222.03</v>
      </c>
      <c r="F9">
        <v>0</v>
      </c>
      <c r="G9">
        <v>581222.03</v>
      </c>
      <c r="H9">
        <v>5558.09</v>
      </c>
      <c r="I9">
        <v>53923.67</v>
      </c>
      <c r="J9">
        <v>0.185</v>
      </c>
      <c r="K9">
        <v>10434.65</v>
      </c>
      <c r="L9">
        <v>0</v>
      </c>
      <c r="M9">
        <v>0</v>
      </c>
      <c r="N9">
        <v>2023</v>
      </c>
      <c r="O9">
        <v>2</v>
      </c>
    </row>
    <row r="10" spans="1:15" x14ac:dyDescent="0.3">
      <c r="A10">
        <v>36201</v>
      </c>
      <c r="B10">
        <v>3200607</v>
      </c>
      <c r="C10" t="s">
        <v>23</v>
      </c>
      <c r="D10">
        <v>2.9220000000000002</v>
      </c>
      <c r="E10">
        <v>9180166.1699999999</v>
      </c>
      <c r="F10">
        <v>0</v>
      </c>
      <c r="G10">
        <v>9180166.1699999999</v>
      </c>
      <c r="H10">
        <v>87787.74</v>
      </c>
      <c r="I10">
        <v>519858.4</v>
      </c>
      <c r="J10">
        <v>2.9220000000000002</v>
      </c>
      <c r="K10">
        <v>164811.17000000001</v>
      </c>
      <c r="L10">
        <v>0</v>
      </c>
      <c r="M10">
        <v>0</v>
      </c>
      <c r="N10">
        <v>2023</v>
      </c>
      <c r="O10">
        <v>2</v>
      </c>
    </row>
    <row r="11" spans="1:15" x14ac:dyDescent="0.3">
      <c r="A11">
        <v>36202</v>
      </c>
      <c r="B11">
        <v>3200706</v>
      </c>
      <c r="C11" t="s">
        <v>24</v>
      </c>
      <c r="D11">
        <v>0.35399999999999998</v>
      </c>
      <c r="E11">
        <v>1112176.18</v>
      </c>
      <c r="F11">
        <v>0</v>
      </c>
      <c r="G11">
        <v>1112176.18</v>
      </c>
      <c r="H11">
        <v>10635.48</v>
      </c>
      <c r="I11">
        <v>33990.33</v>
      </c>
      <c r="J11">
        <v>0.35399999999999998</v>
      </c>
      <c r="K11">
        <v>19966.849999999999</v>
      </c>
      <c r="L11">
        <v>0</v>
      </c>
      <c r="M11">
        <v>0</v>
      </c>
      <c r="N11">
        <v>2023</v>
      </c>
      <c r="O11">
        <v>2</v>
      </c>
    </row>
    <row r="12" spans="1:15" x14ac:dyDescent="0.3">
      <c r="A12">
        <v>36203</v>
      </c>
      <c r="B12">
        <v>3200805</v>
      </c>
      <c r="C12" t="s">
        <v>25</v>
      </c>
      <c r="D12">
        <v>0.60699999999999998</v>
      </c>
      <c r="E12">
        <v>1907036.57</v>
      </c>
      <c r="F12">
        <v>0</v>
      </c>
      <c r="G12">
        <v>1907036.57</v>
      </c>
      <c r="H12">
        <v>18236.54</v>
      </c>
      <c r="I12">
        <v>248069.85</v>
      </c>
      <c r="J12">
        <v>0.60699999999999998</v>
      </c>
      <c r="K12">
        <v>34236.949999999997</v>
      </c>
      <c r="L12">
        <v>0</v>
      </c>
      <c r="M12">
        <v>0</v>
      </c>
      <c r="N12">
        <v>2023</v>
      </c>
      <c r="O12">
        <v>2</v>
      </c>
    </row>
    <row r="13" spans="1:15" x14ac:dyDescent="0.3">
      <c r="A13">
        <v>36204</v>
      </c>
      <c r="B13">
        <v>3200904</v>
      </c>
      <c r="C13" t="s">
        <v>26</v>
      </c>
      <c r="D13">
        <v>1.0289999999999999</v>
      </c>
      <c r="E13">
        <v>3232851.11</v>
      </c>
      <c r="F13">
        <v>0</v>
      </c>
      <c r="G13">
        <v>3232851.11</v>
      </c>
      <c r="H13">
        <v>30914.98</v>
      </c>
      <c r="I13">
        <v>241021.72</v>
      </c>
      <c r="J13">
        <v>1.0289999999999999</v>
      </c>
      <c r="K13">
        <v>58039.25</v>
      </c>
      <c r="L13">
        <v>0</v>
      </c>
      <c r="M13">
        <v>0</v>
      </c>
      <c r="N13">
        <v>2023</v>
      </c>
      <c r="O13">
        <v>2</v>
      </c>
    </row>
    <row r="14" spans="1:15" x14ac:dyDescent="0.3">
      <c r="A14">
        <v>36205</v>
      </c>
      <c r="B14">
        <v>3107109</v>
      </c>
      <c r="C14" t="s">
        <v>27</v>
      </c>
      <c r="D14">
        <v>0.39500000000000002</v>
      </c>
      <c r="E14">
        <v>1240987.56</v>
      </c>
      <c r="F14">
        <v>0</v>
      </c>
      <c r="G14">
        <v>1240987.56</v>
      </c>
      <c r="H14">
        <v>11867.27</v>
      </c>
      <c r="I14">
        <v>40782.58</v>
      </c>
      <c r="J14">
        <v>0.39500000000000002</v>
      </c>
      <c r="K14">
        <v>22279.4</v>
      </c>
      <c r="L14">
        <v>0</v>
      </c>
      <c r="M14">
        <v>0</v>
      </c>
      <c r="N14">
        <v>2023</v>
      </c>
      <c r="O14">
        <v>2</v>
      </c>
    </row>
    <row r="15" spans="1:15" x14ac:dyDescent="0.3">
      <c r="A15">
        <v>36206</v>
      </c>
      <c r="B15">
        <v>3201100</v>
      </c>
      <c r="C15" t="s">
        <v>28</v>
      </c>
      <c r="D15">
        <v>0.17599999999999999</v>
      </c>
      <c r="E15">
        <v>552946.35</v>
      </c>
      <c r="F15">
        <v>0</v>
      </c>
      <c r="G15">
        <v>552946.35</v>
      </c>
      <c r="H15">
        <v>5287.69</v>
      </c>
      <c r="I15">
        <v>177249.27</v>
      </c>
      <c r="J15">
        <v>0.17599999999999999</v>
      </c>
      <c r="K15">
        <v>9927.0300000000007</v>
      </c>
      <c r="L15">
        <v>0</v>
      </c>
      <c r="M15">
        <v>0</v>
      </c>
      <c r="N15">
        <v>2023</v>
      </c>
      <c r="O15">
        <v>2</v>
      </c>
    </row>
    <row r="16" spans="1:15" x14ac:dyDescent="0.3">
      <c r="A16">
        <v>36207</v>
      </c>
      <c r="B16">
        <v>3201159</v>
      </c>
      <c r="C16" t="s">
        <v>29</v>
      </c>
      <c r="D16">
        <v>0.42099999999999999</v>
      </c>
      <c r="E16">
        <v>1322672.81</v>
      </c>
      <c r="F16">
        <v>0</v>
      </c>
      <c r="G16">
        <v>1322672.81</v>
      </c>
      <c r="H16">
        <v>12648.4</v>
      </c>
      <c r="I16">
        <v>34497.81</v>
      </c>
      <c r="J16">
        <v>0.42099999999999999</v>
      </c>
      <c r="K16">
        <v>23745.9</v>
      </c>
      <c r="L16">
        <v>0</v>
      </c>
      <c r="M16">
        <v>0</v>
      </c>
      <c r="N16">
        <v>2023</v>
      </c>
      <c r="O16">
        <v>2</v>
      </c>
    </row>
    <row r="17" spans="1:15" x14ac:dyDescent="0.3">
      <c r="A17">
        <v>36208</v>
      </c>
      <c r="B17">
        <v>3201209</v>
      </c>
      <c r="C17" t="s">
        <v>30</v>
      </c>
      <c r="D17">
        <v>3.1120000000000001</v>
      </c>
      <c r="E17">
        <v>9777096.8900000006</v>
      </c>
      <c r="F17">
        <v>0</v>
      </c>
      <c r="G17">
        <v>9777096.8900000006</v>
      </c>
      <c r="H17">
        <v>93496.04</v>
      </c>
      <c r="I17">
        <v>1126288.02</v>
      </c>
      <c r="J17">
        <v>3.1120000000000001</v>
      </c>
      <c r="K17">
        <v>175527.85</v>
      </c>
      <c r="L17">
        <v>0</v>
      </c>
      <c r="M17">
        <v>0</v>
      </c>
      <c r="N17">
        <v>2023</v>
      </c>
      <c r="O17">
        <v>2</v>
      </c>
    </row>
    <row r="18" spans="1:15" x14ac:dyDescent="0.3">
      <c r="A18">
        <v>36209</v>
      </c>
      <c r="B18">
        <v>3201308</v>
      </c>
      <c r="C18" t="s">
        <v>31</v>
      </c>
      <c r="D18">
        <v>7.2990000000000004</v>
      </c>
      <c r="E18">
        <v>22931564.969999999</v>
      </c>
      <c r="F18">
        <v>0</v>
      </c>
      <c r="G18">
        <v>22931564.969999999</v>
      </c>
      <c r="H18">
        <v>219289.08</v>
      </c>
      <c r="I18">
        <v>3189517.75</v>
      </c>
      <c r="J18">
        <v>7.2990000000000004</v>
      </c>
      <c r="K18">
        <v>411689.52</v>
      </c>
      <c r="L18">
        <v>0</v>
      </c>
      <c r="M18">
        <v>0</v>
      </c>
      <c r="N18">
        <v>2023</v>
      </c>
      <c r="O18">
        <v>2</v>
      </c>
    </row>
    <row r="19" spans="1:15" x14ac:dyDescent="0.3">
      <c r="A19">
        <v>36210</v>
      </c>
      <c r="B19">
        <v>3201407</v>
      </c>
      <c r="C19" t="s">
        <v>32</v>
      </c>
      <c r="D19">
        <v>0.89900000000000002</v>
      </c>
      <c r="E19">
        <v>2824424.84</v>
      </c>
      <c r="F19">
        <v>0</v>
      </c>
      <c r="G19">
        <v>2824424.84</v>
      </c>
      <c r="H19">
        <v>27009.3</v>
      </c>
      <c r="I19">
        <v>318450.45</v>
      </c>
      <c r="J19">
        <v>0.89900000000000002</v>
      </c>
      <c r="K19">
        <v>50706.79</v>
      </c>
      <c r="L19">
        <v>0</v>
      </c>
      <c r="M19">
        <v>0</v>
      </c>
      <c r="N19">
        <v>2023</v>
      </c>
      <c r="O19">
        <v>2</v>
      </c>
    </row>
    <row r="20" spans="1:15" x14ac:dyDescent="0.3">
      <c r="A20">
        <v>36211</v>
      </c>
      <c r="B20">
        <v>3201506</v>
      </c>
      <c r="C20" t="s">
        <v>33</v>
      </c>
      <c r="D20">
        <v>2.2320000000000002</v>
      </c>
      <c r="E20">
        <v>7012365.1200000001</v>
      </c>
      <c r="F20">
        <v>0</v>
      </c>
      <c r="G20">
        <v>7012365.1200000001</v>
      </c>
      <c r="H20">
        <v>67057.570000000007</v>
      </c>
      <c r="I20">
        <v>625763.02</v>
      </c>
      <c r="J20">
        <v>2.2320000000000002</v>
      </c>
      <c r="K20">
        <v>125892.73</v>
      </c>
      <c r="L20">
        <v>0</v>
      </c>
      <c r="M20">
        <v>0</v>
      </c>
      <c r="N20">
        <v>2023</v>
      </c>
      <c r="O20">
        <v>2</v>
      </c>
    </row>
    <row r="21" spans="1:15" x14ac:dyDescent="0.3">
      <c r="A21">
        <v>36212</v>
      </c>
      <c r="B21">
        <v>3201605</v>
      </c>
      <c r="C21" t="s">
        <v>34</v>
      </c>
      <c r="D21">
        <v>0.79400000000000004</v>
      </c>
      <c r="E21">
        <v>2494542.0699999998</v>
      </c>
      <c r="F21">
        <v>0</v>
      </c>
      <c r="G21">
        <v>2494542.0699999998</v>
      </c>
      <c r="H21">
        <v>23854.71</v>
      </c>
      <c r="I21">
        <v>84328.28</v>
      </c>
      <c r="J21">
        <v>0.79400000000000004</v>
      </c>
      <c r="K21">
        <v>44784.42</v>
      </c>
      <c r="L21">
        <v>0</v>
      </c>
      <c r="M21">
        <v>0</v>
      </c>
      <c r="N21">
        <v>2023</v>
      </c>
      <c r="O21">
        <v>2</v>
      </c>
    </row>
    <row r="22" spans="1:15" x14ac:dyDescent="0.3">
      <c r="A22">
        <v>36213</v>
      </c>
      <c r="B22">
        <v>3201704</v>
      </c>
      <c r="C22" t="s">
        <v>35</v>
      </c>
      <c r="D22">
        <v>0.46</v>
      </c>
      <c r="E22">
        <v>1445200.67</v>
      </c>
      <c r="F22">
        <v>0</v>
      </c>
      <c r="G22">
        <v>1445200.67</v>
      </c>
      <c r="H22">
        <v>13820.11</v>
      </c>
      <c r="I22">
        <v>65926.600000000006</v>
      </c>
      <c r="J22">
        <v>0.46</v>
      </c>
      <c r="K22">
        <v>25945.63</v>
      </c>
      <c r="L22">
        <v>0</v>
      </c>
      <c r="M22">
        <v>0</v>
      </c>
      <c r="N22">
        <v>2023</v>
      </c>
      <c r="O22">
        <v>2</v>
      </c>
    </row>
    <row r="23" spans="1:15" x14ac:dyDescent="0.3">
      <c r="A23">
        <v>36214</v>
      </c>
      <c r="B23">
        <v>3201803</v>
      </c>
      <c r="C23" t="s">
        <v>36</v>
      </c>
      <c r="D23">
        <v>0.182</v>
      </c>
      <c r="E23">
        <v>571796.80000000005</v>
      </c>
      <c r="F23">
        <v>0</v>
      </c>
      <c r="G23">
        <v>571796.80000000005</v>
      </c>
      <c r="H23">
        <v>5467.96</v>
      </c>
      <c r="I23">
        <v>7996.6</v>
      </c>
      <c r="J23">
        <v>0.182</v>
      </c>
      <c r="K23">
        <v>10265.450000000001</v>
      </c>
      <c r="L23">
        <v>0</v>
      </c>
      <c r="M23">
        <v>0</v>
      </c>
      <c r="N23">
        <v>2023</v>
      </c>
      <c r="O23">
        <v>2</v>
      </c>
    </row>
    <row r="24" spans="1:15" x14ac:dyDescent="0.3">
      <c r="A24">
        <v>36215</v>
      </c>
      <c r="B24">
        <v>3201902</v>
      </c>
      <c r="C24" t="s">
        <v>37</v>
      </c>
      <c r="D24">
        <v>1.268</v>
      </c>
      <c r="E24">
        <v>3983727.15</v>
      </c>
      <c r="F24">
        <v>0</v>
      </c>
      <c r="G24">
        <v>3983727.15</v>
      </c>
      <c r="H24">
        <v>38095.43</v>
      </c>
      <c r="I24">
        <v>191426.65</v>
      </c>
      <c r="J24">
        <v>1.268</v>
      </c>
      <c r="K24">
        <v>71519.7</v>
      </c>
      <c r="L24">
        <v>0</v>
      </c>
      <c r="M24">
        <v>0</v>
      </c>
      <c r="N24">
        <v>2023</v>
      </c>
      <c r="O24">
        <v>2</v>
      </c>
    </row>
    <row r="25" spans="1:15" x14ac:dyDescent="0.3">
      <c r="A25">
        <v>36216</v>
      </c>
      <c r="B25">
        <v>3202009</v>
      </c>
      <c r="C25" t="s">
        <v>38</v>
      </c>
      <c r="D25">
        <v>0.27</v>
      </c>
      <c r="E25">
        <v>848269.97</v>
      </c>
      <c r="F25">
        <v>0</v>
      </c>
      <c r="G25">
        <v>848269.97</v>
      </c>
      <c r="H25">
        <v>8111.8</v>
      </c>
      <c r="I25">
        <v>62781.88</v>
      </c>
      <c r="J25">
        <v>0.27</v>
      </c>
      <c r="K25">
        <v>15228.96</v>
      </c>
      <c r="L25">
        <v>0</v>
      </c>
      <c r="M25">
        <v>0</v>
      </c>
      <c r="N25">
        <v>2023</v>
      </c>
      <c r="O25">
        <v>2</v>
      </c>
    </row>
    <row r="26" spans="1:15" x14ac:dyDescent="0.3">
      <c r="A26">
        <v>36217</v>
      </c>
      <c r="B26">
        <v>3202108</v>
      </c>
      <c r="C26" t="s">
        <v>39</v>
      </c>
      <c r="D26">
        <v>0.69399999999999995</v>
      </c>
      <c r="E26">
        <v>2180368.0099999998</v>
      </c>
      <c r="F26">
        <v>0</v>
      </c>
      <c r="G26">
        <v>2180368.0099999998</v>
      </c>
      <c r="H26">
        <v>20850.34</v>
      </c>
      <c r="I26">
        <v>65470.55</v>
      </c>
      <c r="J26">
        <v>0.69399999999999995</v>
      </c>
      <c r="K26">
        <v>39144.06</v>
      </c>
      <c r="L26">
        <v>0</v>
      </c>
      <c r="M26">
        <v>0</v>
      </c>
      <c r="N26">
        <v>2023</v>
      </c>
      <c r="O26">
        <v>2</v>
      </c>
    </row>
    <row r="27" spans="1:15" x14ac:dyDescent="0.3">
      <c r="A27">
        <v>36218</v>
      </c>
      <c r="B27">
        <v>3202207</v>
      </c>
      <c r="C27" t="s">
        <v>40</v>
      </c>
      <c r="D27">
        <v>0.28599999999999998</v>
      </c>
      <c r="E27">
        <v>898537.84</v>
      </c>
      <c r="F27">
        <v>0</v>
      </c>
      <c r="G27">
        <v>898537.84</v>
      </c>
      <c r="H27">
        <v>8592.5</v>
      </c>
      <c r="I27">
        <v>67325.440000000002</v>
      </c>
      <c r="J27">
        <v>0.28599999999999998</v>
      </c>
      <c r="K27">
        <v>16131.42</v>
      </c>
      <c r="L27">
        <v>0</v>
      </c>
      <c r="M27">
        <v>0</v>
      </c>
      <c r="N27">
        <v>2023</v>
      </c>
      <c r="O27">
        <v>2</v>
      </c>
    </row>
    <row r="28" spans="1:15" x14ac:dyDescent="0.3">
      <c r="A28">
        <v>36219</v>
      </c>
      <c r="B28">
        <v>3202256</v>
      </c>
      <c r="C28" t="s">
        <v>41</v>
      </c>
      <c r="D28">
        <v>0.438</v>
      </c>
      <c r="E28">
        <v>1376082.41</v>
      </c>
      <c r="F28">
        <v>0</v>
      </c>
      <c r="G28">
        <v>1376082.41</v>
      </c>
      <c r="H28">
        <v>13159.15</v>
      </c>
      <c r="I28">
        <v>63424.34</v>
      </c>
      <c r="J28">
        <v>0.438</v>
      </c>
      <c r="K28">
        <v>24704.76</v>
      </c>
      <c r="L28">
        <v>0</v>
      </c>
      <c r="M28">
        <v>0</v>
      </c>
      <c r="N28">
        <v>2023</v>
      </c>
      <c r="O28">
        <v>2</v>
      </c>
    </row>
    <row r="29" spans="1:15" x14ac:dyDescent="0.3">
      <c r="A29">
        <v>36220</v>
      </c>
      <c r="B29">
        <v>3202306</v>
      </c>
      <c r="C29" t="s">
        <v>42</v>
      </c>
      <c r="D29">
        <v>0.35899999999999999</v>
      </c>
      <c r="E29">
        <v>1127884.8799999999</v>
      </c>
      <c r="F29">
        <v>0</v>
      </c>
      <c r="G29">
        <v>1127884.8799999999</v>
      </c>
      <c r="H29">
        <v>10785.69</v>
      </c>
      <c r="I29">
        <v>188825.93</v>
      </c>
      <c r="J29">
        <v>0.35899999999999999</v>
      </c>
      <c r="K29">
        <v>20248.87</v>
      </c>
      <c r="L29">
        <v>0</v>
      </c>
      <c r="M29">
        <v>0</v>
      </c>
      <c r="N29">
        <v>2023</v>
      </c>
      <c r="O29">
        <v>2</v>
      </c>
    </row>
    <row r="30" spans="1:15" x14ac:dyDescent="0.3">
      <c r="A30">
        <v>36221</v>
      </c>
      <c r="B30">
        <v>3202405</v>
      </c>
      <c r="C30" t="s">
        <v>43</v>
      </c>
      <c r="D30">
        <v>0.81200000000000006</v>
      </c>
      <c r="E30">
        <v>2551093.4</v>
      </c>
      <c r="F30">
        <v>0</v>
      </c>
      <c r="G30">
        <v>2551093.4</v>
      </c>
      <c r="H30">
        <v>24395.5</v>
      </c>
      <c r="I30">
        <v>1272873.4099999999</v>
      </c>
      <c r="J30">
        <v>0.81200000000000006</v>
      </c>
      <c r="K30">
        <v>45799.68</v>
      </c>
      <c r="L30">
        <v>0</v>
      </c>
      <c r="M30">
        <v>0</v>
      </c>
      <c r="N30">
        <v>2023</v>
      </c>
      <c r="O30">
        <v>2</v>
      </c>
    </row>
    <row r="31" spans="1:15" x14ac:dyDescent="0.3">
      <c r="A31">
        <v>36222</v>
      </c>
      <c r="B31">
        <v>3202454</v>
      </c>
      <c r="C31" t="s">
        <v>44</v>
      </c>
      <c r="D31">
        <v>0.372</v>
      </c>
      <c r="E31">
        <v>1168727.53</v>
      </c>
      <c r="F31">
        <v>0</v>
      </c>
      <c r="G31">
        <v>1168727.53</v>
      </c>
      <c r="H31">
        <v>11176.26</v>
      </c>
      <c r="I31">
        <v>147702.49</v>
      </c>
      <c r="J31">
        <v>0.372</v>
      </c>
      <c r="K31">
        <v>20982.12</v>
      </c>
      <c r="L31">
        <v>0</v>
      </c>
      <c r="M31">
        <v>0</v>
      </c>
      <c r="N31">
        <v>2023</v>
      </c>
      <c r="O31">
        <v>2</v>
      </c>
    </row>
    <row r="32" spans="1:15" x14ac:dyDescent="0.3">
      <c r="A32">
        <v>36223</v>
      </c>
      <c r="B32">
        <v>3202504</v>
      </c>
      <c r="C32" t="s">
        <v>45</v>
      </c>
      <c r="D32">
        <v>0.23100000000000001</v>
      </c>
      <c r="E32">
        <v>725742.09</v>
      </c>
      <c r="F32">
        <v>0</v>
      </c>
      <c r="G32">
        <v>725742.09</v>
      </c>
      <c r="H32">
        <v>6940.1</v>
      </c>
      <c r="I32">
        <v>58549.04</v>
      </c>
      <c r="J32">
        <v>0.23100000000000001</v>
      </c>
      <c r="K32">
        <v>13029.22</v>
      </c>
      <c r="L32">
        <v>0</v>
      </c>
      <c r="M32">
        <v>0</v>
      </c>
      <c r="N32">
        <v>2023</v>
      </c>
      <c r="O32">
        <v>2</v>
      </c>
    </row>
    <row r="33" spans="1:15" x14ac:dyDescent="0.3">
      <c r="A33">
        <v>36224</v>
      </c>
      <c r="B33">
        <v>3202553</v>
      </c>
      <c r="C33" t="s">
        <v>46</v>
      </c>
      <c r="D33">
        <v>0.24299999999999999</v>
      </c>
      <c r="E33">
        <v>763443</v>
      </c>
      <c r="F33">
        <v>0</v>
      </c>
      <c r="G33">
        <v>763443</v>
      </c>
      <c r="H33">
        <v>7300.62</v>
      </c>
      <c r="I33">
        <v>36723.24</v>
      </c>
      <c r="J33">
        <v>0.24299999999999999</v>
      </c>
      <c r="K33">
        <v>13706.06</v>
      </c>
      <c r="L33">
        <v>0</v>
      </c>
      <c r="M33">
        <v>0</v>
      </c>
      <c r="N33">
        <v>2023</v>
      </c>
      <c r="O33">
        <v>2</v>
      </c>
    </row>
    <row r="34" spans="1:15" x14ac:dyDescent="0.3">
      <c r="A34">
        <v>36225</v>
      </c>
      <c r="B34">
        <v>3202603</v>
      </c>
      <c r="C34" t="s">
        <v>47</v>
      </c>
      <c r="D34">
        <v>0.315</v>
      </c>
      <c r="E34">
        <v>989648.29</v>
      </c>
      <c r="F34">
        <v>0</v>
      </c>
      <c r="G34">
        <v>989648.29</v>
      </c>
      <c r="H34">
        <v>9463.77</v>
      </c>
      <c r="I34">
        <v>198287.81</v>
      </c>
      <c r="J34">
        <v>0.315</v>
      </c>
      <c r="K34">
        <v>17767.12</v>
      </c>
      <c r="L34">
        <v>0</v>
      </c>
      <c r="M34">
        <v>0</v>
      </c>
      <c r="N34">
        <v>2023</v>
      </c>
      <c r="O34">
        <v>2</v>
      </c>
    </row>
    <row r="35" spans="1:15" x14ac:dyDescent="0.3">
      <c r="A35">
        <v>36226</v>
      </c>
      <c r="B35">
        <v>3202652</v>
      </c>
      <c r="C35" t="s">
        <v>48</v>
      </c>
      <c r="D35">
        <v>0.29899999999999999</v>
      </c>
      <c r="E35">
        <v>939380.44</v>
      </c>
      <c r="F35">
        <v>0</v>
      </c>
      <c r="G35">
        <v>939380.44</v>
      </c>
      <c r="H35">
        <v>8983.07</v>
      </c>
      <c r="I35">
        <v>59318.41</v>
      </c>
      <c r="J35">
        <v>0.29899999999999999</v>
      </c>
      <c r="K35">
        <v>16864.66</v>
      </c>
      <c r="L35">
        <v>0</v>
      </c>
      <c r="M35">
        <v>0</v>
      </c>
      <c r="N35">
        <v>2023</v>
      </c>
      <c r="O35">
        <v>2</v>
      </c>
    </row>
    <row r="36" spans="1:15" x14ac:dyDescent="0.3">
      <c r="A36">
        <v>36227</v>
      </c>
      <c r="B36">
        <v>3202702</v>
      </c>
      <c r="C36" t="s">
        <v>49</v>
      </c>
      <c r="D36">
        <v>0.31900000000000001</v>
      </c>
      <c r="E36">
        <v>1002215.27</v>
      </c>
      <c r="F36">
        <v>0</v>
      </c>
      <c r="G36">
        <v>1002215.27</v>
      </c>
      <c r="H36">
        <v>9583.9500000000007</v>
      </c>
      <c r="I36">
        <v>47203.46</v>
      </c>
      <c r="J36">
        <v>0.31900000000000001</v>
      </c>
      <c r="K36">
        <v>17992.73</v>
      </c>
      <c r="L36">
        <v>0</v>
      </c>
      <c r="M36">
        <v>0</v>
      </c>
      <c r="N36">
        <v>2023</v>
      </c>
      <c r="O36">
        <v>2</v>
      </c>
    </row>
    <row r="37" spans="1:15" x14ac:dyDescent="0.3">
      <c r="A37">
        <v>36228</v>
      </c>
      <c r="B37">
        <v>3202801</v>
      </c>
      <c r="C37" t="s">
        <v>50</v>
      </c>
      <c r="D37">
        <v>2.4550000000000001</v>
      </c>
      <c r="E37">
        <v>7712973.2800000003</v>
      </c>
      <c r="F37">
        <v>0</v>
      </c>
      <c r="G37">
        <v>7712973.2800000003</v>
      </c>
      <c r="H37">
        <v>73757.320000000007</v>
      </c>
      <c r="I37">
        <v>150402.81</v>
      </c>
      <c r="J37">
        <v>2.4550000000000001</v>
      </c>
      <c r="K37">
        <v>138470.72</v>
      </c>
      <c r="L37">
        <v>0</v>
      </c>
      <c r="M37">
        <v>0</v>
      </c>
      <c r="N37">
        <v>2023</v>
      </c>
      <c r="O37">
        <v>2</v>
      </c>
    </row>
    <row r="38" spans="1:15" x14ac:dyDescent="0.3">
      <c r="A38">
        <v>36229</v>
      </c>
      <c r="B38">
        <v>3202900</v>
      </c>
      <c r="C38" t="s">
        <v>51</v>
      </c>
      <c r="D38">
        <v>0.34799999999999998</v>
      </c>
      <c r="E38">
        <v>1093325.75</v>
      </c>
      <c r="F38">
        <v>0</v>
      </c>
      <c r="G38">
        <v>1093325.75</v>
      </c>
      <c r="H38">
        <v>10455.209999999999</v>
      </c>
      <c r="I38">
        <v>70049.67</v>
      </c>
      <c r="J38">
        <v>0.34799999999999998</v>
      </c>
      <c r="K38">
        <v>19628.43</v>
      </c>
      <c r="L38">
        <v>0</v>
      </c>
      <c r="M38">
        <v>0</v>
      </c>
      <c r="N38">
        <v>2023</v>
      </c>
      <c r="O38">
        <v>2</v>
      </c>
    </row>
    <row r="39" spans="1:15" x14ac:dyDescent="0.3">
      <c r="A39">
        <v>36230</v>
      </c>
      <c r="B39">
        <v>3203007</v>
      </c>
      <c r="C39" t="s">
        <v>52</v>
      </c>
      <c r="D39">
        <v>0.496</v>
      </c>
      <c r="E39">
        <v>1558303.35</v>
      </c>
      <c r="F39">
        <v>0</v>
      </c>
      <c r="G39">
        <v>1558303.35</v>
      </c>
      <c r="H39">
        <v>14901.68</v>
      </c>
      <c r="I39">
        <v>103341.6</v>
      </c>
      <c r="J39">
        <v>0.496</v>
      </c>
      <c r="K39">
        <v>27976.16</v>
      </c>
      <c r="L39">
        <v>0</v>
      </c>
      <c r="M39">
        <v>0</v>
      </c>
      <c r="N39">
        <v>2023</v>
      </c>
      <c r="O39">
        <v>2</v>
      </c>
    </row>
    <row r="40" spans="1:15" x14ac:dyDescent="0.3">
      <c r="A40">
        <v>36231</v>
      </c>
      <c r="B40">
        <v>3203056</v>
      </c>
      <c r="C40" t="s">
        <v>53</v>
      </c>
      <c r="D40">
        <v>0.871</v>
      </c>
      <c r="E40">
        <v>2736456.11</v>
      </c>
      <c r="F40">
        <v>0</v>
      </c>
      <c r="G40">
        <v>2736456.11</v>
      </c>
      <c r="H40">
        <v>26168.080000000002</v>
      </c>
      <c r="I40">
        <v>100883.1</v>
      </c>
      <c r="J40">
        <v>0.871</v>
      </c>
      <c r="K40">
        <v>49127.49</v>
      </c>
      <c r="L40">
        <v>0</v>
      </c>
      <c r="M40">
        <v>0</v>
      </c>
      <c r="N40">
        <v>2023</v>
      </c>
      <c r="O40">
        <v>2</v>
      </c>
    </row>
    <row r="41" spans="1:15" x14ac:dyDescent="0.3">
      <c r="A41">
        <v>36232</v>
      </c>
      <c r="B41">
        <v>3203106</v>
      </c>
      <c r="C41" t="s">
        <v>54</v>
      </c>
      <c r="D41">
        <v>0.21</v>
      </c>
      <c r="E41">
        <v>659765.53</v>
      </c>
      <c r="F41">
        <v>0</v>
      </c>
      <c r="G41">
        <v>659765.53</v>
      </c>
      <c r="H41">
        <v>6309.18</v>
      </c>
      <c r="I41">
        <v>30152.61</v>
      </c>
      <c r="J41">
        <v>0.21</v>
      </c>
      <c r="K41">
        <v>11844.75</v>
      </c>
      <c r="L41">
        <v>0</v>
      </c>
      <c r="M41">
        <v>0</v>
      </c>
      <c r="N41">
        <v>2023</v>
      </c>
      <c r="O41">
        <v>2</v>
      </c>
    </row>
    <row r="42" spans="1:15" x14ac:dyDescent="0.3">
      <c r="A42">
        <v>36233</v>
      </c>
      <c r="B42">
        <v>3203130</v>
      </c>
      <c r="C42" t="s">
        <v>55</v>
      </c>
      <c r="D42">
        <v>0.36199999999999999</v>
      </c>
      <c r="E42">
        <v>1137310.1200000001</v>
      </c>
      <c r="F42">
        <v>0</v>
      </c>
      <c r="G42">
        <v>1137310.1200000001</v>
      </c>
      <c r="H42">
        <v>10875.83</v>
      </c>
      <c r="I42">
        <v>55569.43</v>
      </c>
      <c r="J42">
        <v>0.36199999999999999</v>
      </c>
      <c r="K42">
        <v>20418.09</v>
      </c>
      <c r="L42">
        <v>0</v>
      </c>
      <c r="M42">
        <v>0</v>
      </c>
      <c r="N42">
        <v>2023</v>
      </c>
      <c r="O42">
        <v>2</v>
      </c>
    </row>
    <row r="43" spans="1:15" x14ac:dyDescent="0.3">
      <c r="A43">
        <v>36234</v>
      </c>
      <c r="B43">
        <v>3203163</v>
      </c>
      <c r="C43" t="s">
        <v>56</v>
      </c>
      <c r="D43">
        <v>0.373</v>
      </c>
      <c r="E43">
        <v>1171869.25</v>
      </c>
      <c r="F43">
        <v>0</v>
      </c>
      <c r="G43">
        <v>1171869.25</v>
      </c>
      <c r="H43">
        <v>11206.31</v>
      </c>
      <c r="I43">
        <v>50807.360000000001</v>
      </c>
      <c r="J43">
        <v>0.373</v>
      </c>
      <c r="K43">
        <v>21038.53</v>
      </c>
      <c r="L43">
        <v>0</v>
      </c>
      <c r="M43">
        <v>0</v>
      </c>
      <c r="N43">
        <v>2023</v>
      </c>
      <c r="O43">
        <v>2</v>
      </c>
    </row>
    <row r="44" spans="1:15" x14ac:dyDescent="0.3">
      <c r="A44">
        <v>36235</v>
      </c>
      <c r="B44">
        <v>3203205</v>
      </c>
      <c r="C44" t="s">
        <v>57</v>
      </c>
      <c r="D44">
        <v>4.9790000000000001</v>
      </c>
      <c r="E44">
        <v>15642726.67</v>
      </c>
      <c r="F44">
        <v>0</v>
      </c>
      <c r="G44">
        <v>15642726.67</v>
      </c>
      <c r="H44">
        <v>149587.66</v>
      </c>
      <c r="I44">
        <v>821325.52</v>
      </c>
      <c r="J44">
        <v>4.9790000000000001</v>
      </c>
      <c r="K44">
        <v>280833.28000000003</v>
      </c>
      <c r="L44">
        <v>0</v>
      </c>
      <c r="M44">
        <v>0</v>
      </c>
      <c r="N44">
        <v>2023</v>
      </c>
      <c r="O44">
        <v>2</v>
      </c>
    </row>
    <row r="45" spans="1:15" x14ac:dyDescent="0.3">
      <c r="A45">
        <v>36236</v>
      </c>
      <c r="B45">
        <v>3203304</v>
      </c>
      <c r="C45" t="s">
        <v>58</v>
      </c>
      <c r="D45">
        <v>0.27600000000000002</v>
      </c>
      <c r="E45">
        <v>867120.41</v>
      </c>
      <c r="F45">
        <v>0</v>
      </c>
      <c r="G45">
        <v>867120.41</v>
      </c>
      <c r="H45">
        <v>8292.07</v>
      </c>
      <c r="I45">
        <v>48278.68</v>
      </c>
      <c r="J45">
        <v>0.27600000000000002</v>
      </c>
      <c r="K45">
        <v>15567.38</v>
      </c>
      <c r="L45">
        <v>0</v>
      </c>
      <c r="M45">
        <v>0</v>
      </c>
      <c r="N45">
        <v>2023</v>
      </c>
      <c r="O45">
        <v>2</v>
      </c>
    </row>
    <row r="46" spans="1:15" x14ac:dyDescent="0.3">
      <c r="A46">
        <v>36237</v>
      </c>
      <c r="B46">
        <v>3203320</v>
      </c>
      <c r="C46" t="s">
        <v>59</v>
      </c>
      <c r="D46">
        <v>0.65800000000000003</v>
      </c>
      <c r="E46">
        <v>2067265.34</v>
      </c>
      <c r="F46">
        <v>0</v>
      </c>
      <c r="G46">
        <v>2067265.34</v>
      </c>
      <c r="H46">
        <v>19768.77</v>
      </c>
      <c r="I46">
        <v>224569.63</v>
      </c>
      <c r="J46">
        <v>0.65800000000000003</v>
      </c>
      <c r="K46">
        <v>37113.54</v>
      </c>
      <c r="L46">
        <v>0</v>
      </c>
      <c r="M46">
        <v>0</v>
      </c>
      <c r="N46">
        <v>2023</v>
      </c>
      <c r="O46">
        <v>2</v>
      </c>
    </row>
    <row r="47" spans="1:15" x14ac:dyDescent="0.3">
      <c r="A47">
        <v>36238</v>
      </c>
      <c r="B47">
        <v>3203346</v>
      </c>
      <c r="C47" t="s">
        <v>60</v>
      </c>
      <c r="D47">
        <v>0.61099999999999999</v>
      </c>
      <c r="E47">
        <v>1919603.51</v>
      </c>
      <c r="F47">
        <v>0</v>
      </c>
      <c r="G47">
        <v>1919603.51</v>
      </c>
      <c r="H47">
        <v>18356.71</v>
      </c>
      <c r="I47">
        <v>121782.48</v>
      </c>
      <c r="J47">
        <v>0.61099999999999999</v>
      </c>
      <c r="K47">
        <v>34462.57</v>
      </c>
      <c r="L47">
        <v>0</v>
      </c>
      <c r="M47">
        <v>0</v>
      </c>
      <c r="N47">
        <v>2023</v>
      </c>
      <c r="O47">
        <v>2</v>
      </c>
    </row>
    <row r="48" spans="1:15" x14ac:dyDescent="0.3">
      <c r="A48">
        <v>36239</v>
      </c>
      <c r="B48">
        <v>3203353</v>
      </c>
      <c r="C48" t="s">
        <v>61</v>
      </c>
      <c r="D48">
        <v>0.436</v>
      </c>
      <c r="E48">
        <v>1369798.93</v>
      </c>
      <c r="F48">
        <v>0</v>
      </c>
      <c r="G48">
        <v>1369798.93</v>
      </c>
      <c r="H48">
        <v>13099.06</v>
      </c>
      <c r="I48">
        <v>97964.89</v>
      </c>
      <c r="J48">
        <v>0.436</v>
      </c>
      <c r="K48">
        <v>24591.95</v>
      </c>
      <c r="L48">
        <v>0</v>
      </c>
      <c r="M48">
        <v>0</v>
      </c>
      <c r="N48">
        <v>2023</v>
      </c>
      <c r="O48">
        <v>2</v>
      </c>
    </row>
    <row r="49" spans="1:15" x14ac:dyDescent="0.3">
      <c r="A49">
        <v>36240</v>
      </c>
      <c r="B49">
        <v>3203403</v>
      </c>
      <c r="C49" t="s">
        <v>62</v>
      </c>
      <c r="D49">
        <v>0.495</v>
      </c>
      <c r="E49">
        <v>1555161.62</v>
      </c>
      <c r="F49">
        <v>0</v>
      </c>
      <c r="G49">
        <v>1555161.62</v>
      </c>
      <c r="H49">
        <v>14871.64</v>
      </c>
      <c r="I49">
        <v>113514.78</v>
      </c>
      <c r="J49">
        <v>0.495</v>
      </c>
      <c r="K49">
        <v>27919.759999999998</v>
      </c>
      <c r="L49">
        <v>0</v>
      </c>
      <c r="M49">
        <v>0</v>
      </c>
      <c r="N49">
        <v>2023</v>
      </c>
      <c r="O49">
        <v>2</v>
      </c>
    </row>
    <row r="50" spans="1:15" x14ac:dyDescent="0.3">
      <c r="A50">
        <v>36241</v>
      </c>
      <c r="B50">
        <v>3203502</v>
      </c>
      <c r="C50" t="s">
        <v>63</v>
      </c>
      <c r="D50">
        <v>0.52100000000000002</v>
      </c>
      <c r="E50">
        <v>1636846.86</v>
      </c>
      <c r="F50">
        <v>0</v>
      </c>
      <c r="G50">
        <v>1636846.86</v>
      </c>
      <c r="H50">
        <v>15652.78</v>
      </c>
      <c r="I50">
        <v>76196.14</v>
      </c>
      <c r="J50">
        <v>0.52100000000000002</v>
      </c>
      <c r="K50">
        <v>29386.25</v>
      </c>
      <c r="L50">
        <v>0</v>
      </c>
      <c r="M50">
        <v>0</v>
      </c>
      <c r="N50">
        <v>2023</v>
      </c>
      <c r="O50">
        <v>2</v>
      </c>
    </row>
    <row r="51" spans="1:15" x14ac:dyDescent="0.3">
      <c r="A51">
        <v>36242</v>
      </c>
      <c r="B51">
        <v>3203601</v>
      </c>
      <c r="C51" t="s">
        <v>64</v>
      </c>
      <c r="D51">
        <v>0.28299999999999997</v>
      </c>
      <c r="E51">
        <v>889112.61</v>
      </c>
      <c r="F51">
        <v>0</v>
      </c>
      <c r="G51">
        <v>889112.61</v>
      </c>
      <c r="H51">
        <v>8502.3700000000008</v>
      </c>
      <c r="I51">
        <v>17931.330000000002</v>
      </c>
      <c r="J51">
        <v>0.28299999999999997</v>
      </c>
      <c r="K51">
        <v>15962.2</v>
      </c>
      <c r="L51">
        <v>0</v>
      </c>
      <c r="M51">
        <v>0</v>
      </c>
      <c r="N51">
        <v>2023</v>
      </c>
      <c r="O51">
        <v>2</v>
      </c>
    </row>
    <row r="52" spans="1:15" x14ac:dyDescent="0.3">
      <c r="A52">
        <v>36243</v>
      </c>
      <c r="B52">
        <v>3203700</v>
      </c>
      <c r="C52" t="s">
        <v>65</v>
      </c>
      <c r="D52">
        <v>0.54600000000000004</v>
      </c>
      <c r="E52">
        <v>1715390.38</v>
      </c>
      <c r="F52">
        <v>0</v>
      </c>
      <c r="G52">
        <v>1715390.38</v>
      </c>
      <c r="H52">
        <v>16403.87</v>
      </c>
      <c r="I52">
        <v>37913.17</v>
      </c>
      <c r="J52">
        <v>0.54600000000000004</v>
      </c>
      <c r="K52">
        <v>30796.34</v>
      </c>
      <c r="L52">
        <v>0</v>
      </c>
      <c r="M52">
        <v>0</v>
      </c>
      <c r="N52">
        <v>2023</v>
      </c>
      <c r="O52">
        <v>2</v>
      </c>
    </row>
    <row r="53" spans="1:15" x14ac:dyDescent="0.3">
      <c r="A53">
        <v>36244</v>
      </c>
      <c r="B53">
        <v>3203809</v>
      </c>
      <c r="C53" t="s">
        <v>66</v>
      </c>
      <c r="D53">
        <v>0.28100000000000003</v>
      </c>
      <c r="E53">
        <v>882829.13</v>
      </c>
      <c r="F53">
        <v>0</v>
      </c>
      <c r="G53">
        <v>882829.13</v>
      </c>
      <c r="H53">
        <v>8442.2800000000007</v>
      </c>
      <c r="I53">
        <v>39256.879999999997</v>
      </c>
      <c r="J53">
        <v>0.28100000000000003</v>
      </c>
      <c r="K53">
        <v>15849.4</v>
      </c>
      <c r="L53">
        <v>0</v>
      </c>
      <c r="M53">
        <v>0</v>
      </c>
      <c r="N53">
        <v>2023</v>
      </c>
      <c r="O53">
        <v>2</v>
      </c>
    </row>
    <row r="54" spans="1:15" x14ac:dyDescent="0.3">
      <c r="A54">
        <v>36245</v>
      </c>
      <c r="B54">
        <v>3203908</v>
      </c>
      <c r="C54" t="s">
        <v>67</v>
      </c>
      <c r="D54">
        <v>1.3109999999999999</v>
      </c>
      <c r="E54">
        <v>4118822.01</v>
      </c>
      <c r="F54">
        <v>0</v>
      </c>
      <c r="G54">
        <v>4118822.01</v>
      </c>
      <c r="H54">
        <v>39387.31</v>
      </c>
      <c r="I54">
        <v>198323.71</v>
      </c>
      <c r="J54">
        <v>1.3109999999999999</v>
      </c>
      <c r="K54">
        <v>73945.05</v>
      </c>
      <c r="L54">
        <v>0</v>
      </c>
      <c r="M54">
        <v>0</v>
      </c>
      <c r="N54">
        <v>2023</v>
      </c>
      <c r="O54">
        <v>2</v>
      </c>
    </row>
    <row r="55" spans="1:15" x14ac:dyDescent="0.3">
      <c r="A55">
        <v>36246</v>
      </c>
      <c r="B55">
        <v>3204005</v>
      </c>
      <c r="C55" t="s">
        <v>68</v>
      </c>
      <c r="D55">
        <v>0.436</v>
      </c>
      <c r="E55">
        <v>1369798.93</v>
      </c>
      <c r="F55">
        <v>0</v>
      </c>
      <c r="G55">
        <v>1369798.93</v>
      </c>
      <c r="H55">
        <v>13099.06</v>
      </c>
      <c r="I55">
        <v>46821.74</v>
      </c>
      <c r="J55">
        <v>0.436</v>
      </c>
      <c r="K55">
        <v>24591.95</v>
      </c>
      <c r="L55">
        <v>0</v>
      </c>
      <c r="M55">
        <v>0</v>
      </c>
      <c r="N55">
        <v>2023</v>
      </c>
      <c r="O55">
        <v>2</v>
      </c>
    </row>
    <row r="56" spans="1:15" x14ac:dyDescent="0.3">
      <c r="A56">
        <v>36247</v>
      </c>
      <c r="B56">
        <v>3204054</v>
      </c>
      <c r="C56" t="s">
        <v>69</v>
      </c>
      <c r="D56">
        <v>0.307</v>
      </c>
      <c r="E56">
        <v>964514.37</v>
      </c>
      <c r="F56">
        <v>0</v>
      </c>
      <c r="G56">
        <v>964514.37</v>
      </c>
      <c r="H56">
        <v>9223.42</v>
      </c>
      <c r="I56">
        <v>71520.36</v>
      </c>
      <c r="J56">
        <v>0.307</v>
      </c>
      <c r="K56">
        <v>17315.89</v>
      </c>
      <c r="L56">
        <v>0</v>
      </c>
      <c r="M56">
        <v>0</v>
      </c>
      <c r="N56">
        <v>2023</v>
      </c>
      <c r="O56">
        <v>2</v>
      </c>
    </row>
    <row r="57" spans="1:15" x14ac:dyDescent="0.3">
      <c r="A57">
        <v>36248</v>
      </c>
      <c r="B57">
        <v>3204104</v>
      </c>
      <c r="C57" t="s">
        <v>70</v>
      </c>
      <c r="D57">
        <v>0.73199999999999998</v>
      </c>
      <c r="E57">
        <v>2299754.15</v>
      </c>
      <c r="F57">
        <v>0</v>
      </c>
      <c r="G57">
        <v>2299754.15</v>
      </c>
      <c r="H57">
        <v>21992</v>
      </c>
      <c r="I57">
        <v>71149.73</v>
      </c>
      <c r="J57">
        <v>0.73199999999999998</v>
      </c>
      <c r="K57">
        <v>41287.4</v>
      </c>
      <c r="L57">
        <v>0</v>
      </c>
      <c r="M57">
        <v>0</v>
      </c>
      <c r="N57">
        <v>2023</v>
      </c>
      <c r="O57">
        <v>2</v>
      </c>
    </row>
    <row r="58" spans="1:15" x14ac:dyDescent="0.3">
      <c r="A58">
        <v>36249</v>
      </c>
      <c r="B58">
        <v>3204203</v>
      </c>
      <c r="C58" t="s">
        <v>71</v>
      </c>
      <c r="D58">
        <v>0.14199999999999999</v>
      </c>
      <c r="E58">
        <v>446127.16</v>
      </c>
      <c r="F58">
        <v>0</v>
      </c>
      <c r="G58">
        <v>446127.16</v>
      </c>
      <c r="H58">
        <v>4266.21</v>
      </c>
      <c r="I58">
        <v>182665.03</v>
      </c>
      <c r="J58">
        <v>0.14199999999999999</v>
      </c>
      <c r="K58">
        <v>8009.3</v>
      </c>
      <c r="L58">
        <v>0</v>
      </c>
      <c r="M58">
        <v>0</v>
      </c>
      <c r="N58">
        <v>2023</v>
      </c>
      <c r="O58">
        <v>2</v>
      </c>
    </row>
    <row r="59" spans="1:15" x14ac:dyDescent="0.3">
      <c r="A59">
        <v>36250</v>
      </c>
      <c r="B59">
        <v>3204252</v>
      </c>
      <c r="C59" t="s">
        <v>72</v>
      </c>
      <c r="D59">
        <v>0.20899999999999999</v>
      </c>
      <c r="E59">
        <v>656623.81999999995</v>
      </c>
      <c r="F59">
        <v>0</v>
      </c>
      <c r="G59">
        <v>656623.81999999995</v>
      </c>
      <c r="H59">
        <v>6279.14</v>
      </c>
      <c r="I59">
        <v>23398.62</v>
      </c>
      <c r="J59">
        <v>0.20899999999999999</v>
      </c>
      <c r="K59">
        <v>11788.35</v>
      </c>
      <c r="L59">
        <v>0</v>
      </c>
      <c r="M59">
        <v>0</v>
      </c>
      <c r="N59">
        <v>2023</v>
      </c>
      <c r="O59">
        <v>2</v>
      </c>
    </row>
    <row r="60" spans="1:15" x14ac:dyDescent="0.3">
      <c r="A60">
        <v>36251</v>
      </c>
      <c r="B60">
        <v>1718402</v>
      </c>
      <c r="C60" t="s">
        <v>73</v>
      </c>
      <c r="D60">
        <v>0.32</v>
      </c>
      <c r="E60">
        <v>1005357</v>
      </c>
      <c r="F60">
        <v>0</v>
      </c>
      <c r="G60">
        <v>1005357</v>
      </c>
      <c r="H60">
        <v>9613.99</v>
      </c>
      <c r="I60">
        <v>120010.35</v>
      </c>
      <c r="J60">
        <v>0.32</v>
      </c>
      <c r="K60">
        <v>18049.13</v>
      </c>
      <c r="L60">
        <v>0</v>
      </c>
      <c r="M60">
        <v>0</v>
      </c>
      <c r="N60">
        <v>2023</v>
      </c>
      <c r="O60">
        <v>2</v>
      </c>
    </row>
    <row r="61" spans="1:15" x14ac:dyDescent="0.3">
      <c r="A61">
        <v>36252</v>
      </c>
      <c r="B61">
        <v>3204351</v>
      </c>
      <c r="C61" t="s">
        <v>74</v>
      </c>
      <c r="D61">
        <v>0.85399999999999998</v>
      </c>
      <c r="E61">
        <v>2683046.5099999998</v>
      </c>
      <c r="F61">
        <v>0</v>
      </c>
      <c r="G61">
        <v>2683046.5099999998</v>
      </c>
      <c r="H61">
        <v>25657.33</v>
      </c>
      <c r="I61">
        <v>113289.24</v>
      </c>
      <c r="J61">
        <v>0.85399999999999998</v>
      </c>
      <c r="K61">
        <v>48168.63</v>
      </c>
      <c r="L61">
        <v>0</v>
      </c>
      <c r="M61">
        <v>0</v>
      </c>
      <c r="N61">
        <v>2023</v>
      </c>
      <c r="O61">
        <v>2</v>
      </c>
    </row>
    <row r="62" spans="1:15" x14ac:dyDescent="0.3">
      <c r="A62">
        <v>36253</v>
      </c>
      <c r="B62">
        <v>3204401</v>
      </c>
      <c r="C62" t="s">
        <v>75</v>
      </c>
      <c r="D62">
        <v>0.25</v>
      </c>
      <c r="E62">
        <v>785435.19</v>
      </c>
      <c r="F62">
        <v>0</v>
      </c>
      <c r="G62">
        <v>785435.19</v>
      </c>
      <c r="H62">
        <v>7510.93</v>
      </c>
      <c r="I62">
        <v>38082.21</v>
      </c>
      <c r="J62">
        <v>0.25</v>
      </c>
      <c r="K62">
        <v>14100.89</v>
      </c>
      <c r="L62">
        <v>0</v>
      </c>
      <c r="M62">
        <v>0</v>
      </c>
      <c r="N62">
        <v>2023</v>
      </c>
      <c r="O62">
        <v>2</v>
      </c>
    </row>
    <row r="63" spans="1:15" x14ac:dyDescent="0.3">
      <c r="A63">
        <v>36254</v>
      </c>
      <c r="B63">
        <v>3204500</v>
      </c>
      <c r="C63" t="s">
        <v>76</v>
      </c>
      <c r="D63">
        <v>0.54500000000000004</v>
      </c>
      <c r="E63">
        <v>1712248.66</v>
      </c>
      <c r="F63">
        <v>0</v>
      </c>
      <c r="G63">
        <v>1712248.66</v>
      </c>
      <c r="H63">
        <v>16373.83</v>
      </c>
      <c r="I63">
        <v>49504.160000000003</v>
      </c>
      <c r="J63">
        <v>0.54500000000000004</v>
      </c>
      <c r="K63">
        <v>30739.94</v>
      </c>
      <c r="L63">
        <v>0</v>
      </c>
      <c r="M63">
        <v>0</v>
      </c>
      <c r="N63">
        <v>2023</v>
      </c>
      <c r="O63">
        <v>2</v>
      </c>
    </row>
    <row r="64" spans="1:15" x14ac:dyDescent="0.3">
      <c r="A64">
        <v>36255</v>
      </c>
      <c r="B64">
        <v>3204559</v>
      </c>
      <c r="C64" t="s">
        <v>77</v>
      </c>
      <c r="D64">
        <v>2.2349999999999999</v>
      </c>
      <c r="E64">
        <v>7021790.3499999996</v>
      </c>
      <c r="F64">
        <v>0</v>
      </c>
      <c r="G64">
        <v>7021790.3499999996</v>
      </c>
      <c r="H64">
        <v>67147.710000000006</v>
      </c>
      <c r="I64">
        <v>343686.06</v>
      </c>
      <c r="J64">
        <v>2.2349999999999999</v>
      </c>
      <c r="K64">
        <v>126061.94</v>
      </c>
      <c r="L64">
        <v>0</v>
      </c>
      <c r="M64">
        <v>0</v>
      </c>
      <c r="N64">
        <v>2023</v>
      </c>
      <c r="O64">
        <v>2</v>
      </c>
    </row>
    <row r="65" spans="1:15" x14ac:dyDescent="0.3">
      <c r="A65">
        <v>36256</v>
      </c>
      <c r="B65">
        <v>3204609</v>
      </c>
      <c r="C65" t="s">
        <v>78</v>
      </c>
      <c r="D65">
        <v>0.65100000000000002</v>
      </c>
      <c r="E65">
        <v>2045273.16</v>
      </c>
      <c r="F65">
        <v>0</v>
      </c>
      <c r="G65">
        <v>2045273.16</v>
      </c>
      <c r="H65">
        <v>19558.46</v>
      </c>
      <c r="I65">
        <v>141398.98000000001</v>
      </c>
      <c r="J65">
        <v>0.65100000000000002</v>
      </c>
      <c r="K65">
        <v>36718.71</v>
      </c>
      <c r="L65">
        <v>0</v>
      </c>
      <c r="M65">
        <v>0</v>
      </c>
      <c r="N65">
        <v>2023</v>
      </c>
      <c r="O65">
        <v>2</v>
      </c>
    </row>
    <row r="66" spans="1:15" x14ac:dyDescent="0.3">
      <c r="A66">
        <v>36257</v>
      </c>
      <c r="B66">
        <v>3204658</v>
      </c>
      <c r="C66" t="s">
        <v>79</v>
      </c>
      <c r="D66">
        <v>0.42299999999999999</v>
      </c>
      <c r="E66">
        <v>1328956.3</v>
      </c>
      <c r="F66">
        <v>0</v>
      </c>
      <c r="G66">
        <v>1328956.3</v>
      </c>
      <c r="H66">
        <v>12708.49</v>
      </c>
      <c r="I66">
        <v>34707.120000000003</v>
      </c>
      <c r="J66">
        <v>0.42299999999999999</v>
      </c>
      <c r="K66">
        <v>23858.7</v>
      </c>
      <c r="L66">
        <v>0</v>
      </c>
      <c r="M66">
        <v>0</v>
      </c>
      <c r="N66">
        <v>2023</v>
      </c>
      <c r="O66">
        <v>2</v>
      </c>
    </row>
    <row r="67" spans="1:15" x14ac:dyDescent="0.3">
      <c r="A67">
        <v>36258</v>
      </c>
      <c r="B67">
        <v>3204708</v>
      </c>
      <c r="C67" t="s">
        <v>80</v>
      </c>
      <c r="D67">
        <v>0.85199999999999998</v>
      </c>
      <c r="E67">
        <v>2676763.0499999998</v>
      </c>
      <c r="F67">
        <v>0</v>
      </c>
      <c r="G67">
        <v>2676763.0499999998</v>
      </c>
      <c r="H67">
        <v>25597.25</v>
      </c>
      <c r="I67">
        <v>121611.87</v>
      </c>
      <c r="J67">
        <v>0.85199999999999998</v>
      </c>
      <c r="K67">
        <v>48055.83</v>
      </c>
      <c r="L67">
        <v>0</v>
      </c>
      <c r="M67">
        <v>0</v>
      </c>
      <c r="N67">
        <v>2023</v>
      </c>
      <c r="O67">
        <v>2</v>
      </c>
    </row>
    <row r="68" spans="1:15" x14ac:dyDescent="0.3">
      <c r="A68">
        <v>36259</v>
      </c>
      <c r="B68">
        <v>3204807</v>
      </c>
      <c r="C68" t="s">
        <v>81</v>
      </c>
      <c r="D68">
        <v>0.22600000000000001</v>
      </c>
      <c r="E68">
        <v>710033.37</v>
      </c>
      <c r="F68">
        <v>0</v>
      </c>
      <c r="G68">
        <v>710033.37</v>
      </c>
      <c r="H68">
        <v>6789.88</v>
      </c>
      <c r="I68">
        <v>54470.39</v>
      </c>
      <c r="J68">
        <v>0.22600000000000001</v>
      </c>
      <c r="K68">
        <v>12747.2</v>
      </c>
      <c r="L68">
        <v>0</v>
      </c>
      <c r="M68">
        <v>0</v>
      </c>
      <c r="N68">
        <v>2023</v>
      </c>
      <c r="O68">
        <v>2</v>
      </c>
    </row>
    <row r="69" spans="1:15" x14ac:dyDescent="0.3">
      <c r="A69">
        <v>36260</v>
      </c>
      <c r="B69">
        <v>3204906</v>
      </c>
      <c r="C69" t="s">
        <v>82</v>
      </c>
      <c r="D69">
        <v>1.901</v>
      </c>
      <c r="E69">
        <v>5972448.9699999997</v>
      </c>
      <c r="F69">
        <v>0</v>
      </c>
      <c r="G69">
        <v>5972448.9699999997</v>
      </c>
      <c r="H69">
        <v>57113.1</v>
      </c>
      <c r="I69">
        <v>639057.28</v>
      </c>
      <c r="J69">
        <v>1.901</v>
      </c>
      <c r="K69">
        <v>107223.15</v>
      </c>
      <c r="L69">
        <v>0</v>
      </c>
      <c r="M69">
        <v>0</v>
      </c>
      <c r="N69">
        <v>2023</v>
      </c>
      <c r="O69">
        <v>2</v>
      </c>
    </row>
    <row r="70" spans="1:15" x14ac:dyDescent="0.3">
      <c r="A70">
        <v>36261</v>
      </c>
      <c r="B70">
        <v>3204955</v>
      </c>
      <c r="C70" t="s">
        <v>83</v>
      </c>
      <c r="D70">
        <v>0.312</v>
      </c>
      <c r="E70">
        <v>980223.08</v>
      </c>
      <c r="F70">
        <v>0</v>
      </c>
      <c r="G70">
        <v>980223.08</v>
      </c>
      <c r="H70">
        <v>9373.64</v>
      </c>
      <c r="I70">
        <v>51308.25</v>
      </c>
      <c r="J70">
        <v>0.312</v>
      </c>
      <c r="K70">
        <v>17597.91</v>
      </c>
      <c r="L70">
        <v>0</v>
      </c>
      <c r="M70">
        <v>0</v>
      </c>
      <c r="N70">
        <v>2023</v>
      </c>
      <c r="O70">
        <v>2</v>
      </c>
    </row>
    <row r="71" spans="1:15" x14ac:dyDescent="0.3">
      <c r="A71">
        <v>36262</v>
      </c>
      <c r="B71">
        <v>3205002</v>
      </c>
      <c r="C71" t="s">
        <v>84</v>
      </c>
      <c r="D71">
        <v>15.625</v>
      </c>
      <c r="E71">
        <v>49089697.630000003</v>
      </c>
      <c r="F71">
        <v>0</v>
      </c>
      <c r="G71">
        <v>49089697.630000003</v>
      </c>
      <c r="H71">
        <v>469433.06</v>
      </c>
      <c r="I71">
        <v>2213784.41</v>
      </c>
      <c r="J71">
        <v>15.625</v>
      </c>
      <c r="K71">
        <v>881305.49</v>
      </c>
      <c r="L71">
        <v>0</v>
      </c>
      <c r="M71">
        <v>0</v>
      </c>
      <c r="N71">
        <v>2023</v>
      </c>
      <c r="O71">
        <v>2</v>
      </c>
    </row>
    <row r="72" spans="1:15" x14ac:dyDescent="0.3">
      <c r="A72">
        <v>36263</v>
      </c>
      <c r="B72">
        <v>3205010</v>
      </c>
      <c r="C72" t="s">
        <v>85</v>
      </c>
      <c r="D72">
        <v>0.72199999999999998</v>
      </c>
      <c r="E72">
        <v>2268336.77</v>
      </c>
      <c r="F72">
        <v>0</v>
      </c>
      <c r="G72">
        <v>2268336.77</v>
      </c>
      <c r="H72">
        <v>21691.56</v>
      </c>
      <c r="I72">
        <v>73465.52</v>
      </c>
      <c r="J72">
        <v>0.72199999999999998</v>
      </c>
      <c r="K72">
        <v>40723.360000000001</v>
      </c>
      <c r="L72">
        <v>0</v>
      </c>
      <c r="M72">
        <v>0</v>
      </c>
      <c r="N72">
        <v>2023</v>
      </c>
      <c r="O72">
        <v>2</v>
      </c>
    </row>
    <row r="73" spans="1:15" x14ac:dyDescent="0.3">
      <c r="A73">
        <v>36264</v>
      </c>
      <c r="B73">
        <v>3205036</v>
      </c>
      <c r="C73" t="s">
        <v>86</v>
      </c>
      <c r="D73">
        <v>0.49099999999999999</v>
      </c>
      <c r="E73">
        <v>1542594.66</v>
      </c>
      <c r="F73">
        <v>0</v>
      </c>
      <c r="G73">
        <v>1542594.66</v>
      </c>
      <c r="H73">
        <v>14751.46</v>
      </c>
      <c r="I73">
        <v>98610.65</v>
      </c>
      <c r="J73">
        <v>0.49099999999999999</v>
      </c>
      <c r="K73">
        <v>27694.15</v>
      </c>
      <c r="L73">
        <v>0</v>
      </c>
      <c r="M73">
        <v>0</v>
      </c>
      <c r="N73">
        <v>2023</v>
      </c>
      <c r="O73">
        <v>2</v>
      </c>
    </row>
    <row r="74" spans="1:15" x14ac:dyDescent="0.3">
      <c r="A74">
        <v>36265</v>
      </c>
      <c r="B74">
        <v>3205069</v>
      </c>
      <c r="C74" t="s">
        <v>87</v>
      </c>
      <c r="D74">
        <v>0.68700000000000006</v>
      </c>
      <c r="E74">
        <v>2158375.84</v>
      </c>
      <c r="F74">
        <v>0</v>
      </c>
      <c r="G74">
        <v>2158375.84</v>
      </c>
      <c r="H74">
        <v>20640.03</v>
      </c>
      <c r="I74">
        <v>213328.04</v>
      </c>
      <c r="J74">
        <v>0.68700000000000006</v>
      </c>
      <c r="K74">
        <v>38749.24</v>
      </c>
      <c r="L74">
        <v>0</v>
      </c>
      <c r="M74">
        <v>0</v>
      </c>
      <c r="N74">
        <v>2023</v>
      </c>
      <c r="O74">
        <v>2</v>
      </c>
    </row>
    <row r="75" spans="1:15" x14ac:dyDescent="0.3">
      <c r="A75">
        <v>36266</v>
      </c>
      <c r="B75">
        <v>2112803</v>
      </c>
      <c r="C75" t="s">
        <v>88</v>
      </c>
      <c r="D75">
        <v>2.9870000000000001</v>
      </c>
      <c r="E75">
        <v>9384379.3100000005</v>
      </c>
      <c r="F75">
        <v>0</v>
      </c>
      <c r="G75">
        <v>9384379.3100000005</v>
      </c>
      <c r="H75">
        <v>89740.58</v>
      </c>
      <c r="I75">
        <v>433082.2</v>
      </c>
      <c r="J75">
        <v>2.9870000000000001</v>
      </c>
      <c r="K75">
        <v>168477.41</v>
      </c>
      <c r="L75">
        <v>0</v>
      </c>
      <c r="M75">
        <v>0</v>
      </c>
      <c r="N75">
        <v>2023</v>
      </c>
      <c r="O75">
        <v>2</v>
      </c>
    </row>
    <row r="76" spans="1:15" x14ac:dyDescent="0.3">
      <c r="A76">
        <v>36267</v>
      </c>
      <c r="B76">
        <v>3205150</v>
      </c>
      <c r="C76" t="s">
        <v>89</v>
      </c>
      <c r="D76">
        <v>0.31900000000000001</v>
      </c>
      <c r="E76">
        <v>1002215.27</v>
      </c>
      <c r="F76">
        <v>0</v>
      </c>
      <c r="G76">
        <v>1002215.27</v>
      </c>
      <c r="H76">
        <v>9583.9500000000007</v>
      </c>
      <c r="I76">
        <v>38857.339999999997</v>
      </c>
      <c r="J76">
        <v>0.31900000000000001</v>
      </c>
      <c r="K76">
        <v>17992.73</v>
      </c>
      <c r="L76">
        <v>0</v>
      </c>
      <c r="M76">
        <v>0</v>
      </c>
      <c r="N76">
        <v>2023</v>
      </c>
      <c r="O76">
        <v>2</v>
      </c>
    </row>
    <row r="77" spans="1:15" x14ac:dyDescent="0.3">
      <c r="A77">
        <v>36268</v>
      </c>
      <c r="B77">
        <v>3205176</v>
      </c>
      <c r="C77" t="s">
        <v>90</v>
      </c>
      <c r="D77">
        <v>0.65800000000000003</v>
      </c>
      <c r="E77">
        <v>2067265.34</v>
      </c>
      <c r="F77">
        <v>0</v>
      </c>
      <c r="G77">
        <v>2067265.34</v>
      </c>
      <c r="H77">
        <v>19768.77</v>
      </c>
      <c r="I77">
        <v>75423.8</v>
      </c>
      <c r="J77">
        <v>0.65800000000000003</v>
      </c>
      <c r="K77">
        <v>37113.54</v>
      </c>
      <c r="L77">
        <v>0</v>
      </c>
      <c r="M77">
        <v>0</v>
      </c>
      <c r="N77">
        <v>2023</v>
      </c>
      <c r="O77">
        <v>2</v>
      </c>
    </row>
    <row r="78" spans="1:15" x14ac:dyDescent="0.3">
      <c r="A78">
        <v>36269</v>
      </c>
      <c r="B78">
        <v>3205200</v>
      </c>
      <c r="C78" t="s">
        <v>91</v>
      </c>
      <c r="D78">
        <v>5.056</v>
      </c>
      <c r="E78">
        <v>15884640.73</v>
      </c>
      <c r="F78">
        <v>0</v>
      </c>
      <c r="G78">
        <v>15884640.73</v>
      </c>
      <c r="H78">
        <v>151901.03</v>
      </c>
      <c r="I78">
        <v>2997620.9</v>
      </c>
      <c r="J78">
        <v>5.056</v>
      </c>
      <c r="K78">
        <v>285176.36</v>
      </c>
      <c r="L78">
        <v>0</v>
      </c>
      <c r="M78">
        <v>0</v>
      </c>
      <c r="N78">
        <v>2023</v>
      </c>
      <c r="O78">
        <v>2</v>
      </c>
    </row>
    <row r="79" spans="1:15" x14ac:dyDescent="0.3">
      <c r="A79">
        <v>36270</v>
      </c>
      <c r="B79">
        <v>3205309</v>
      </c>
      <c r="C79" t="s">
        <v>92</v>
      </c>
      <c r="D79">
        <v>14.782</v>
      </c>
      <c r="E79">
        <v>46441210.32</v>
      </c>
      <c r="F79">
        <v>0</v>
      </c>
      <c r="G79">
        <v>46441210.32</v>
      </c>
      <c r="H79">
        <v>444106.21</v>
      </c>
      <c r="I79">
        <v>3344463.66</v>
      </c>
      <c r="J79">
        <v>14.782</v>
      </c>
      <c r="K79">
        <v>833757.31</v>
      </c>
      <c r="L79">
        <v>0</v>
      </c>
      <c r="M79">
        <v>0</v>
      </c>
      <c r="N79">
        <v>2023</v>
      </c>
      <c r="O79">
        <v>2</v>
      </c>
    </row>
    <row r="80" spans="1:15" x14ac:dyDescent="0.3">
      <c r="A80">
        <v>36271</v>
      </c>
      <c r="B80">
        <v>3200102</v>
      </c>
      <c r="C80" t="s">
        <v>15</v>
      </c>
      <c r="D80">
        <v>0.76100000000000001</v>
      </c>
      <c r="E80">
        <v>2472516.54</v>
      </c>
      <c r="F80">
        <v>0</v>
      </c>
      <c r="G80">
        <v>2472516.54</v>
      </c>
      <c r="H80">
        <v>28334.75</v>
      </c>
      <c r="I80">
        <v>255467.8</v>
      </c>
      <c r="J80">
        <v>0.76100000000000001</v>
      </c>
      <c r="K80">
        <v>53785.69</v>
      </c>
      <c r="L80">
        <v>0</v>
      </c>
      <c r="M80">
        <v>128342.69</v>
      </c>
      <c r="N80">
        <v>2023</v>
      </c>
      <c r="O80">
        <v>3</v>
      </c>
    </row>
    <row r="81" spans="1:15" x14ac:dyDescent="0.3">
      <c r="A81">
        <v>36272</v>
      </c>
      <c r="B81">
        <v>3200169</v>
      </c>
      <c r="C81" t="s">
        <v>16</v>
      </c>
      <c r="D81">
        <v>0.28899999999999998</v>
      </c>
      <c r="E81">
        <v>938971.44</v>
      </c>
      <c r="F81">
        <v>0</v>
      </c>
      <c r="G81">
        <v>938971.44</v>
      </c>
      <c r="H81">
        <v>10760.5</v>
      </c>
      <c r="I81">
        <v>66712.53</v>
      </c>
      <c r="J81">
        <v>0.28899999999999998</v>
      </c>
      <c r="K81">
        <v>20425.84</v>
      </c>
      <c r="L81">
        <v>0</v>
      </c>
      <c r="M81">
        <v>48739.87</v>
      </c>
      <c r="N81">
        <v>2023</v>
      </c>
      <c r="O81">
        <v>3</v>
      </c>
    </row>
    <row r="82" spans="1:15" x14ac:dyDescent="0.3">
      <c r="A82">
        <v>36273</v>
      </c>
      <c r="B82">
        <v>3200136</v>
      </c>
      <c r="C82" t="s">
        <v>17</v>
      </c>
      <c r="D82">
        <v>0.40400000000000003</v>
      </c>
      <c r="E82">
        <v>1312610.6299999999</v>
      </c>
      <c r="F82">
        <v>0</v>
      </c>
      <c r="G82">
        <v>1312610.6299999999</v>
      </c>
      <c r="H82">
        <v>15042.36</v>
      </c>
      <c r="I82">
        <v>62049.25</v>
      </c>
      <c r="J82">
        <v>0.40400000000000003</v>
      </c>
      <c r="K82">
        <v>28553.77</v>
      </c>
      <c r="L82">
        <v>0</v>
      </c>
      <c r="M82">
        <v>68134.62</v>
      </c>
      <c r="N82">
        <v>2023</v>
      </c>
      <c r="O82">
        <v>3</v>
      </c>
    </row>
    <row r="83" spans="1:15" x14ac:dyDescent="0.3">
      <c r="A83">
        <v>36274</v>
      </c>
      <c r="B83">
        <v>3200201</v>
      </c>
      <c r="C83" t="s">
        <v>18</v>
      </c>
      <c r="D83">
        <v>0.498</v>
      </c>
      <c r="E83">
        <v>1618020.02</v>
      </c>
      <c r="F83">
        <v>0</v>
      </c>
      <c r="G83">
        <v>1618020.02</v>
      </c>
      <c r="H83">
        <v>18542.32</v>
      </c>
      <c r="I83">
        <v>165141.54</v>
      </c>
      <c r="J83">
        <v>0.498</v>
      </c>
      <c r="K83">
        <v>35197.47</v>
      </c>
      <c r="L83">
        <v>0</v>
      </c>
      <c r="M83">
        <v>83987.73</v>
      </c>
      <c r="N83">
        <v>2023</v>
      </c>
      <c r="O83">
        <v>3</v>
      </c>
    </row>
    <row r="84" spans="1:15" x14ac:dyDescent="0.3">
      <c r="A84">
        <v>36275</v>
      </c>
      <c r="B84">
        <v>3200300</v>
      </c>
      <c r="C84" t="s">
        <v>19</v>
      </c>
      <c r="D84">
        <v>0.46700000000000003</v>
      </c>
      <c r="E84">
        <v>1517299.9</v>
      </c>
      <c r="F84">
        <v>0</v>
      </c>
      <c r="G84">
        <v>1517299.9</v>
      </c>
      <c r="H84">
        <v>17388.080000000002</v>
      </c>
      <c r="I84">
        <v>212087.91</v>
      </c>
      <c r="J84">
        <v>0.46700000000000003</v>
      </c>
      <c r="K84">
        <v>33006.47</v>
      </c>
      <c r="L84">
        <v>0</v>
      </c>
      <c r="M84">
        <v>78759.570000000007</v>
      </c>
      <c r="N84">
        <v>2023</v>
      </c>
      <c r="O84">
        <v>3</v>
      </c>
    </row>
    <row r="85" spans="1:15" x14ac:dyDescent="0.3">
      <c r="A85">
        <v>36276</v>
      </c>
      <c r="B85">
        <v>3200359</v>
      </c>
      <c r="C85" t="s">
        <v>20</v>
      </c>
      <c r="D85">
        <v>0.22600000000000001</v>
      </c>
      <c r="E85">
        <v>734282.18</v>
      </c>
      <c r="F85">
        <v>0</v>
      </c>
      <c r="G85">
        <v>734282.18</v>
      </c>
      <c r="H85">
        <v>8414.7900000000009</v>
      </c>
      <c r="I85">
        <v>25036.29</v>
      </c>
      <c r="J85">
        <v>0.22600000000000001</v>
      </c>
      <c r="K85">
        <v>15973.15</v>
      </c>
      <c r="L85">
        <v>0</v>
      </c>
      <c r="M85">
        <v>38114.910000000003</v>
      </c>
      <c r="N85">
        <v>2023</v>
      </c>
      <c r="O85">
        <v>3</v>
      </c>
    </row>
    <row r="86" spans="1:15" x14ac:dyDescent="0.3">
      <c r="A86">
        <v>36277</v>
      </c>
      <c r="B86">
        <v>3200409</v>
      </c>
      <c r="C86" t="s">
        <v>21</v>
      </c>
      <c r="D86">
        <v>3.1480000000000001</v>
      </c>
      <c r="E86">
        <v>10227965.869999999</v>
      </c>
      <c r="F86">
        <v>0</v>
      </c>
      <c r="G86">
        <v>10227965.869999999</v>
      </c>
      <c r="H86">
        <v>117211.29</v>
      </c>
      <c r="I86">
        <v>281244.06</v>
      </c>
      <c r="J86">
        <v>3.1480000000000001</v>
      </c>
      <c r="K86">
        <v>222493.26</v>
      </c>
      <c r="L86">
        <v>0</v>
      </c>
      <c r="M86">
        <v>530910.37</v>
      </c>
      <c r="N86">
        <v>2023</v>
      </c>
      <c r="O86">
        <v>3</v>
      </c>
    </row>
    <row r="87" spans="1:15" x14ac:dyDescent="0.3">
      <c r="A87">
        <v>36278</v>
      </c>
      <c r="B87">
        <v>3200508</v>
      </c>
      <c r="C87" t="s">
        <v>22</v>
      </c>
      <c r="D87">
        <v>0.185</v>
      </c>
      <c r="E87">
        <v>601071.68000000005</v>
      </c>
      <c r="F87">
        <v>0</v>
      </c>
      <c r="G87">
        <v>601071.68000000005</v>
      </c>
      <c r="H87">
        <v>6888.21</v>
      </c>
      <c r="I87">
        <v>112892.25</v>
      </c>
      <c r="J87">
        <v>0.185</v>
      </c>
      <c r="K87">
        <v>13075.37</v>
      </c>
      <c r="L87">
        <v>0</v>
      </c>
      <c r="M87">
        <v>31200.26</v>
      </c>
      <c r="N87">
        <v>2023</v>
      </c>
      <c r="O87">
        <v>3</v>
      </c>
    </row>
    <row r="88" spans="1:15" x14ac:dyDescent="0.3">
      <c r="A88">
        <v>36279</v>
      </c>
      <c r="B88">
        <v>3200607</v>
      </c>
      <c r="C88" t="s">
        <v>23</v>
      </c>
      <c r="D88">
        <v>2.9220000000000002</v>
      </c>
      <c r="E88">
        <v>9493683.6999999993</v>
      </c>
      <c r="F88">
        <v>0</v>
      </c>
      <c r="G88">
        <v>9493683.6999999993</v>
      </c>
      <c r="H88">
        <v>108796.5</v>
      </c>
      <c r="I88">
        <v>646384.81999999995</v>
      </c>
      <c r="J88">
        <v>2.9220000000000002</v>
      </c>
      <c r="K88">
        <v>206520.11</v>
      </c>
      <c r="L88">
        <v>0</v>
      </c>
      <c r="M88">
        <v>492795.46</v>
      </c>
      <c r="N88">
        <v>2023</v>
      </c>
      <c r="O88">
        <v>3</v>
      </c>
    </row>
    <row r="89" spans="1:15" x14ac:dyDescent="0.3">
      <c r="A89">
        <v>36280</v>
      </c>
      <c r="B89">
        <v>3200706</v>
      </c>
      <c r="C89" t="s">
        <v>24</v>
      </c>
      <c r="D89">
        <v>0.35399999999999998</v>
      </c>
      <c r="E89">
        <v>1150158.81</v>
      </c>
      <c r="F89">
        <v>0</v>
      </c>
      <c r="G89">
        <v>1150158.81</v>
      </c>
      <c r="H89">
        <v>13180.68</v>
      </c>
      <c r="I89">
        <v>54943.08</v>
      </c>
      <c r="J89">
        <v>0.35399999999999998</v>
      </c>
      <c r="K89">
        <v>25019.89</v>
      </c>
      <c r="L89">
        <v>0</v>
      </c>
      <c r="M89">
        <v>59702.12</v>
      </c>
      <c r="N89">
        <v>2023</v>
      </c>
      <c r="O89">
        <v>3</v>
      </c>
    </row>
    <row r="90" spans="1:15" x14ac:dyDescent="0.3">
      <c r="A90">
        <v>36281</v>
      </c>
      <c r="B90">
        <v>3200805</v>
      </c>
      <c r="C90" t="s">
        <v>25</v>
      </c>
      <c r="D90">
        <v>0.60699999999999998</v>
      </c>
      <c r="E90">
        <v>1972164.98</v>
      </c>
      <c r="F90">
        <v>0</v>
      </c>
      <c r="G90">
        <v>1972164.98</v>
      </c>
      <c r="H90">
        <v>22600.78</v>
      </c>
      <c r="I90">
        <v>433177.18</v>
      </c>
      <c r="J90">
        <v>0.60699999999999998</v>
      </c>
      <c r="K90">
        <v>42901.33</v>
      </c>
      <c r="L90">
        <v>0</v>
      </c>
      <c r="M90">
        <v>102370.58</v>
      </c>
      <c r="N90">
        <v>2023</v>
      </c>
      <c r="O90">
        <v>3</v>
      </c>
    </row>
    <row r="91" spans="1:15" x14ac:dyDescent="0.3">
      <c r="A91">
        <v>36282</v>
      </c>
      <c r="B91">
        <v>3200904</v>
      </c>
      <c r="C91" t="s">
        <v>26</v>
      </c>
      <c r="D91">
        <v>1.0289999999999999</v>
      </c>
      <c r="E91">
        <v>3343258.21</v>
      </c>
      <c r="F91">
        <v>0</v>
      </c>
      <c r="G91">
        <v>3343258.21</v>
      </c>
      <c r="H91">
        <v>38313.35</v>
      </c>
      <c r="I91">
        <v>459603.51</v>
      </c>
      <c r="J91">
        <v>1.0289999999999999</v>
      </c>
      <c r="K91">
        <v>72727.31</v>
      </c>
      <c r="L91">
        <v>0</v>
      </c>
      <c r="M91">
        <v>173540.9</v>
      </c>
      <c r="N91">
        <v>2023</v>
      </c>
      <c r="O91">
        <v>3</v>
      </c>
    </row>
    <row r="92" spans="1:15" x14ac:dyDescent="0.3">
      <c r="A92">
        <v>36283</v>
      </c>
      <c r="B92">
        <v>3107109</v>
      </c>
      <c r="C92" t="s">
        <v>27</v>
      </c>
      <c r="D92">
        <v>0.39500000000000002</v>
      </c>
      <c r="E92">
        <v>1283369.27</v>
      </c>
      <c r="F92">
        <v>0</v>
      </c>
      <c r="G92">
        <v>1283369.27</v>
      </c>
      <c r="H92">
        <v>14707.26</v>
      </c>
      <c r="I92">
        <v>56610.9</v>
      </c>
      <c r="J92">
        <v>0.39500000000000002</v>
      </c>
      <c r="K92">
        <v>27917.68</v>
      </c>
      <c r="L92">
        <v>0</v>
      </c>
      <c r="M92">
        <v>66616.77</v>
      </c>
      <c r="N92">
        <v>2023</v>
      </c>
      <c r="O92">
        <v>3</v>
      </c>
    </row>
    <row r="93" spans="1:15" x14ac:dyDescent="0.3">
      <c r="A93">
        <v>36284</v>
      </c>
      <c r="B93">
        <v>3201100</v>
      </c>
      <c r="C93" t="s">
        <v>28</v>
      </c>
      <c r="D93">
        <v>0.17599999999999999</v>
      </c>
      <c r="E93">
        <v>571830.38</v>
      </c>
      <c r="F93">
        <v>0</v>
      </c>
      <c r="G93">
        <v>571830.38</v>
      </c>
      <c r="H93">
        <v>6553.11</v>
      </c>
      <c r="I93">
        <v>295677.03999999998</v>
      </c>
      <c r="J93">
        <v>0.17599999999999999</v>
      </c>
      <c r="K93">
        <v>12439.26</v>
      </c>
      <c r="L93">
        <v>0</v>
      </c>
      <c r="M93">
        <v>29682.41</v>
      </c>
      <c r="N93">
        <v>2023</v>
      </c>
      <c r="O93">
        <v>3</v>
      </c>
    </row>
    <row r="94" spans="1:15" x14ac:dyDescent="0.3">
      <c r="A94">
        <v>36285</v>
      </c>
      <c r="B94">
        <v>3201159</v>
      </c>
      <c r="C94" t="s">
        <v>29</v>
      </c>
      <c r="D94">
        <v>0.42099999999999999</v>
      </c>
      <c r="E94">
        <v>1367844.24</v>
      </c>
      <c r="F94">
        <v>0</v>
      </c>
      <c r="G94">
        <v>1367844.24</v>
      </c>
      <c r="H94">
        <v>15675.33</v>
      </c>
      <c r="I94">
        <v>101382.14</v>
      </c>
      <c r="J94">
        <v>0.42099999999999999</v>
      </c>
      <c r="K94">
        <v>29755.29</v>
      </c>
      <c r="L94">
        <v>0</v>
      </c>
      <c r="M94">
        <v>71001.67</v>
      </c>
      <c r="N94">
        <v>2023</v>
      </c>
      <c r="O94">
        <v>3</v>
      </c>
    </row>
    <row r="95" spans="1:15" x14ac:dyDescent="0.3">
      <c r="A95">
        <v>36286</v>
      </c>
      <c r="B95">
        <v>3201209</v>
      </c>
      <c r="C95" t="s">
        <v>30</v>
      </c>
      <c r="D95">
        <v>3.1120000000000001</v>
      </c>
      <c r="E95">
        <v>10111000.560000001</v>
      </c>
      <c r="F95">
        <v>0</v>
      </c>
      <c r="G95">
        <v>10111000.560000001</v>
      </c>
      <c r="H95">
        <v>115870.88</v>
      </c>
      <c r="I95">
        <v>1736042.4</v>
      </c>
      <c r="J95">
        <v>3.1120000000000001</v>
      </c>
      <c r="K95">
        <v>219948.86</v>
      </c>
      <c r="L95">
        <v>0</v>
      </c>
      <c r="M95">
        <v>524838.97</v>
      </c>
      <c r="N95">
        <v>2023</v>
      </c>
      <c r="O95">
        <v>3</v>
      </c>
    </row>
    <row r="96" spans="1:15" x14ac:dyDescent="0.3">
      <c r="A96">
        <v>36287</v>
      </c>
      <c r="B96">
        <v>3201308</v>
      </c>
      <c r="C96" t="s">
        <v>31</v>
      </c>
      <c r="D96">
        <v>7.2990000000000004</v>
      </c>
      <c r="E96">
        <v>23714715.010000002</v>
      </c>
      <c r="F96">
        <v>0</v>
      </c>
      <c r="G96">
        <v>23714715.010000002</v>
      </c>
      <c r="H96">
        <v>271767.84999999998</v>
      </c>
      <c r="I96">
        <v>4198103.5</v>
      </c>
      <c r="J96">
        <v>7.2990000000000004</v>
      </c>
      <c r="K96">
        <v>515876.2</v>
      </c>
      <c r="L96">
        <v>0</v>
      </c>
      <c r="M96">
        <v>1230976.74</v>
      </c>
      <c r="N96">
        <v>2023</v>
      </c>
      <c r="O96">
        <v>3</v>
      </c>
    </row>
    <row r="97" spans="1:15" x14ac:dyDescent="0.3">
      <c r="A97">
        <v>36288</v>
      </c>
      <c r="B97">
        <v>3201407</v>
      </c>
      <c r="C97" t="s">
        <v>32</v>
      </c>
      <c r="D97">
        <v>0.89900000000000002</v>
      </c>
      <c r="E97">
        <v>2920883.55</v>
      </c>
      <c r="F97">
        <v>0</v>
      </c>
      <c r="G97">
        <v>2920883.55</v>
      </c>
      <c r="H97">
        <v>33472.980000000003</v>
      </c>
      <c r="I97">
        <v>481354.58</v>
      </c>
      <c r="J97">
        <v>0.89900000000000002</v>
      </c>
      <c r="K97">
        <v>63539.21</v>
      </c>
      <c r="L97">
        <v>0</v>
      </c>
      <c r="M97">
        <v>151616.4</v>
      </c>
      <c r="N97">
        <v>2023</v>
      </c>
      <c r="O97">
        <v>3</v>
      </c>
    </row>
    <row r="98" spans="1:15" x14ac:dyDescent="0.3">
      <c r="A98">
        <v>36289</v>
      </c>
      <c r="B98">
        <v>3201506</v>
      </c>
      <c r="C98" t="s">
        <v>33</v>
      </c>
      <c r="D98">
        <v>2.2320000000000002</v>
      </c>
      <c r="E98">
        <v>7251848.7400000002</v>
      </c>
      <c r="F98">
        <v>0</v>
      </c>
      <c r="G98">
        <v>7251848.7400000002</v>
      </c>
      <c r="H98">
        <v>83105.33</v>
      </c>
      <c r="I98">
        <v>1009762.93</v>
      </c>
      <c r="J98">
        <v>2.2320000000000002</v>
      </c>
      <c r="K98">
        <v>157752.53</v>
      </c>
      <c r="L98">
        <v>0</v>
      </c>
      <c r="M98">
        <v>376426.92</v>
      </c>
      <c r="N98">
        <v>2023</v>
      </c>
      <c r="O98">
        <v>3</v>
      </c>
    </row>
    <row r="99" spans="1:15" x14ac:dyDescent="0.3">
      <c r="A99">
        <v>36290</v>
      </c>
      <c r="B99">
        <v>3201605</v>
      </c>
      <c r="C99" t="s">
        <v>34</v>
      </c>
      <c r="D99">
        <v>0.79400000000000004</v>
      </c>
      <c r="E99">
        <v>2579734.71</v>
      </c>
      <c r="F99">
        <v>0</v>
      </c>
      <c r="G99">
        <v>2579734.71</v>
      </c>
      <c r="H99">
        <v>29563.46</v>
      </c>
      <c r="I99">
        <v>131359.19</v>
      </c>
      <c r="J99">
        <v>0.79400000000000004</v>
      </c>
      <c r="K99">
        <v>56118.05</v>
      </c>
      <c r="L99">
        <v>0</v>
      </c>
      <c r="M99">
        <v>133908.14000000001</v>
      </c>
      <c r="N99">
        <v>2023</v>
      </c>
      <c r="O99">
        <v>3</v>
      </c>
    </row>
    <row r="100" spans="1:15" x14ac:dyDescent="0.3">
      <c r="A100">
        <v>36291</v>
      </c>
      <c r="B100">
        <v>3201704</v>
      </c>
      <c r="C100" t="s">
        <v>35</v>
      </c>
      <c r="D100">
        <v>0.46</v>
      </c>
      <c r="E100">
        <v>1494556.65</v>
      </c>
      <c r="F100">
        <v>0</v>
      </c>
      <c r="G100">
        <v>1494556.65</v>
      </c>
      <c r="H100">
        <v>17127.439999999999</v>
      </c>
      <c r="I100">
        <v>150124.45000000001</v>
      </c>
      <c r="J100">
        <v>0.46</v>
      </c>
      <c r="K100">
        <v>32511.72</v>
      </c>
      <c r="L100">
        <v>0</v>
      </c>
      <c r="M100">
        <v>77579.02</v>
      </c>
      <c r="N100">
        <v>2023</v>
      </c>
      <c r="O100">
        <v>3</v>
      </c>
    </row>
    <row r="101" spans="1:15" x14ac:dyDescent="0.3">
      <c r="A101">
        <v>36292</v>
      </c>
      <c r="B101">
        <v>3201803</v>
      </c>
      <c r="C101" t="s">
        <v>36</v>
      </c>
      <c r="D101">
        <v>0.182</v>
      </c>
      <c r="E101">
        <v>591324.56999999995</v>
      </c>
      <c r="F101">
        <v>0</v>
      </c>
      <c r="G101">
        <v>591324.56999999995</v>
      </c>
      <c r="H101">
        <v>6776.51</v>
      </c>
      <c r="I101">
        <v>34867.910000000003</v>
      </c>
      <c r="J101">
        <v>0.182</v>
      </c>
      <c r="K101">
        <v>12863.34</v>
      </c>
      <c r="L101">
        <v>0</v>
      </c>
      <c r="M101">
        <v>30694.31</v>
      </c>
      <c r="N101">
        <v>2023</v>
      </c>
      <c r="O101">
        <v>3</v>
      </c>
    </row>
    <row r="102" spans="1:15" x14ac:dyDescent="0.3">
      <c r="A102">
        <v>36293</v>
      </c>
      <c r="B102">
        <v>3201902</v>
      </c>
      <c r="C102" t="s">
        <v>37</v>
      </c>
      <c r="D102">
        <v>1.268</v>
      </c>
      <c r="E102">
        <v>4119777.87</v>
      </c>
      <c r="F102">
        <v>0</v>
      </c>
      <c r="G102">
        <v>4119777.87</v>
      </c>
      <c r="H102">
        <v>47212.17</v>
      </c>
      <c r="I102">
        <v>453756.49</v>
      </c>
      <c r="J102">
        <v>1.268</v>
      </c>
      <c r="K102">
        <v>89619.26</v>
      </c>
      <c r="L102">
        <v>0</v>
      </c>
      <c r="M102">
        <v>213848.27</v>
      </c>
      <c r="N102">
        <v>2023</v>
      </c>
      <c r="O102">
        <v>3</v>
      </c>
    </row>
    <row r="103" spans="1:15" x14ac:dyDescent="0.3">
      <c r="A103">
        <v>36294</v>
      </c>
      <c r="B103">
        <v>3202009</v>
      </c>
      <c r="C103" t="s">
        <v>38</v>
      </c>
      <c r="D103">
        <v>0.27</v>
      </c>
      <c r="E103">
        <v>877239.77</v>
      </c>
      <c r="F103">
        <v>0</v>
      </c>
      <c r="G103">
        <v>877239.77</v>
      </c>
      <c r="H103">
        <v>10053.06</v>
      </c>
      <c r="I103">
        <v>128752.58</v>
      </c>
      <c r="J103">
        <v>0.27</v>
      </c>
      <c r="K103">
        <v>19082.97</v>
      </c>
      <c r="L103">
        <v>0</v>
      </c>
      <c r="M103">
        <v>45535.51</v>
      </c>
      <c r="N103">
        <v>2023</v>
      </c>
      <c r="O103">
        <v>3</v>
      </c>
    </row>
    <row r="104" spans="1:15" x14ac:dyDescent="0.3">
      <c r="A104">
        <v>36295</v>
      </c>
      <c r="B104">
        <v>3202108</v>
      </c>
      <c r="C104" t="s">
        <v>39</v>
      </c>
      <c r="D104">
        <v>0.69399999999999995</v>
      </c>
      <c r="E104">
        <v>2254831.1</v>
      </c>
      <c r="F104">
        <v>0</v>
      </c>
      <c r="G104">
        <v>2254831.1</v>
      </c>
      <c r="H104">
        <v>25840.1</v>
      </c>
      <c r="I104">
        <v>117420.32</v>
      </c>
      <c r="J104">
        <v>0.69399999999999995</v>
      </c>
      <c r="K104">
        <v>49050.29</v>
      </c>
      <c r="L104">
        <v>0</v>
      </c>
      <c r="M104">
        <v>117043.14</v>
      </c>
      <c r="N104">
        <v>2023</v>
      </c>
      <c r="O104">
        <v>3</v>
      </c>
    </row>
    <row r="105" spans="1:15" x14ac:dyDescent="0.3">
      <c r="A105">
        <v>36296</v>
      </c>
      <c r="B105">
        <v>3202207</v>
      </c>
      <c r="C105" t="s">
        <v>40</v>
      </c>
      <c r="D105">
        <v>0.28599999999999998</v>
      </c>
      <c r="E105">
        <v>929224.33</v>
      </c>
      <c r="F105">
        <v>0</v>
      </c>
      <c r="G105">
        <v>929224.33</v>
      </c>
      <c r="H105">
        <v>10648.8</v>
      </c>
      <c r="I105">
        <v>116849.13</v>
      </c>
      <c r="J105">
        <v>0.28599999999999998</v>
      </c>
      <c r="K105">
        <v>20213.810000000001</v>
      </c>
      <c r="L105">
        <v>0</v>
      </c>
      <c r="M105">
        <v>48233.919999999998</v>
      </c>
      <c r="N105">
        <v>2023</v>
      </c>
      <c r="O105">
        <v>3</v>
      </c>
    </row>
    <row r="106" spans="1:15" x14ac:dyDescent="0.3">
      <c r="A106">
        <v>36297</v>
      </c>
      <c r="B106">
        <v>3202256</v>
      </c>
      <c r="C106" t="s">
        <v>41</v>
      </c>
      <c r="D106">
        <v>0.438</v>
      </c>
      <c r="E106">
        <v>1423077.84</v>
      </c>
      <c r="F106">
        <v>0</v>
      </c>
      <c r="G106">
        <v>1423077.84</v>
      </c>
      <c r="H106">
        <v>16308.3</v>
      </c>
      <c r="I106">
        <v>118663.21</v>
      </c>
      <c r="J106">
        <v>0.438</v>
      </c>
      <c r="K106">
        <v>30956.82</v>
      </c>
      <c r="L106">
        <v>0</v>
      </c>
      <c r="M106">
        <v>73868.72</v>
      </c>
      <c r="N106">
        <v>2023</v>
      </c>
      <c r="O106">
        <v>3</v>
      </c>
    </row>
    <row r="107" spans="1:15" x14ac:dyDescent="0.3">
      <c r="A107">
        <v>36298</v>
      </c>
      <c r="B107">
        <v>3202306</v>
      </c>
      <c r="C107" t="s">
        <v>42</v>
      </c>
      <c r="D107">
        <v>0.35899999999999999</v>
      </c>
      <c r="E107">
        <v>1166403.98</v>
      </c>
      <c r="F107">
        <v>0</v>
      </c>
      <c r="G107">
        <v>1166403.98</v>
      </c>
      <c r="H107">
        <v>13366.85</v>
      </c>
      <c r="I107">
        <v>296257.46000000002</v>
      </c>
      <c r="J107">
        <v>0.35899999999999999</v>
      </c>
      <c r="K107">
        <v>25373.279999999999</v>
      </c>
      <c r="L107">
        <v>0</v>
      </c>
      <c r="M107">
        <v>60545.37</v>
      </c>
      <c r="N107">
        <v>2023</v>
      </c>
      <c r="O107">
        <v>3</v>
      </c>
    </row>
    <row r="108" spans="1:15" x14ac:dyDescent="0.3">
      <c r="A108">
        <v>36299</v>
      </c>
      <c r="B108">
        <v>3202405</v>
      </c>
      <c r="C108" t="s">
        <v>43</v>
      </c>
      <c r="D108">
        <v>0.81200000000000006</v>
      </c>
      <c r="E108">
        <v>2638217.38</v>
      </c>
      <c r="F108">
        <v>0</v>
      </c>
      <c r="G108">
        <v>2638217.38</v>
      </c>
      <c r="H108">
        <v>30233.66</v>
      </c>
      <c r="I108">
        <v>1961958.53</v>
      </c>
      <c r="J108">
        <v>0.81200000000000006</v>
      </c>
      <c r="K108">
        <v>57390.26</v>
      </c>
      <c r="L108">
        <v>0</v>
      </c>
      <c r="M108">
        <v>136943.84</v>
      </c>
      <c r="N108">
        <v>2023</v>
      </c>
      <c r="O108">
        <v>3</v>
      </c>
    </row>
    <row r="109" spans="1:15" x14ac:dyDescent="0.3">
      <c r="A109">
        <v>36300</v>
      </c>
      <c r="B109">
        <v>3202454</v>
      </c>
      <c r="C109" t="s">
        <v>44</v>
      </c>
      <c r="D109">
        <v>0.372</v>
      </c>
      <c r="E109">
        <v>1208641.44</v>
      </c>
      <c r="F109">
        <v>0</v>
      </c>
      <c r="G109">
        <v>1208641.44</v>
      </c>
      <c r="H109">
        <v>13850.89</v>
      </c>
      <c r="I109">
        <v>342149.75</v>
      </c>
      <c r="J109">
        <v>0.372</v>
      </c>
      <c r="K109">
        <v>26292.09</v>
      </c>
      <c r="L109">
        <v>0</v>
      </c>
      <c r="M109">
        <v>62737.82</v>
      </c>
      <c r="N109">
        <v>2023</v>
      </c>
      <c r="O109">
        <v>3</v>
      </c>
    </row>
    <row r="110" spans="1:15" x14ac:dyDescent="0.3">
      <c r="A110">
        <v>36301</v>
      </c>
      <c r="B110">
        <v>3202504</v>
      </c>
      <c r="C110" t="s">
        <v>45</v>
      </c>
      <c r="D110">
        <v>0.23100000000000001</v>
      </c>
      <c r="E110">
        <v>750527.36</v>
      </c>
      <c r="F110">
        <v>0</v>
      </c>
      <c r="G110">
        <v>750527.36</v>
      </c>
      <c r="H110">
        <v>8600.9599999999991</v>
      </c>
      <c r="I110">
        <v>84013.1</v>
      </c>
      <c r="J110">
        <v>0.23100000000000001</v>
      </c>
      <c r="K110">
        <v>16326.54</v>
      </c>
      <c r="L110">
        <v>0</v>
      </c>
      <c r="M110">
        <v>38958.160000000003</v>
      </c>
      <c r="N110">
        <v>2023</v>
      </c>
      <c r="O110">
        <v>3</v>
      </c>
    </row>
    <row r="111" spans="1:15" x14ac:dyDescent="0.3">
      <c r="A111">
        <v>36302</v>
      </c>
      <c r="B111">
        <v>3202553</v>
      </c>
      <c r="C111" t="s">
        <v>46</v>
      </c>
      <c r="D111">
        <v>0.24299999999999999</v>
      </c>
      <c r="E111">
        <v>789515.76</v>
      </c>
      <c r="F111">
        <v>0</v>
      </c>
      <c r="G111">
        <v>789515.76</v>
      </c>
      <c r="H111">
        <v>9047.76</v>
      </c>
      <c r="I111">
        <v>48489.24</v>
      </c>
      <c r="J111">
        <v>0.24299999999999999</v>
      </c>
      <c r="K111">
        <v>17174.669999999998</v>
      </c>
      <c r="L111">
        <v>0</v>
      </c>
      <c r="M111">
        <v>40981.96</v>
      </c>
      <c r="N111">
        <v>2023</v>
      </c>
      <c r="O111">
        <v>3</v>
      </c>
    </row>
    <row r="112" spans="1:15" x14ac:dyDescent="0.3">
      <c r="A112">
        <v>36303</v>
      </c>
      <c r="B112">
        <v>3202603</v>
      </c>
      <c r="C112" t="s">
        <v>47</v>
      </c>
      <c r="D112">
        <v>0.315</v>
      </c>
      <c r="E112">
        <v>1023446.39</v>
      </c>
      <c r="F112">
        <v>0</v>
      </c>
      <c r="G112">
        <v>1023446.39</v>
      </c>
      <c r="H112">
        <v>11728.58</v>
      </c>
      <c r="I112">
        <v>155961.01999999999</v>
      </c>
      <c r="J112">
        <v>0.315</v>
      </c>
      <c r="K112">
        <v>22263.46</v>
      </c>
      <c r="L112">
        <v>0</v>
      </c>
      <c r="M112">
        <v>53124.77</v>
      </c>
      <c r="N112">
        <v>2023</v>
      </c>
      <c r="O112">
        <v>3</v>
      </c>
    </row>
    <row r="113" spans="1:15" x14ac:dyDescent="0.3">
      <c r="A113">
        <v>36304</v>
      </c>
      <c r="B113">
        <v>3202652</v>
      </c>
      <c r="C113" t="s">
        <v>48</v>
      </c>
      <c r="D113">
        <v>0.29899999999999999</v>
      </c>
      <c r="E113">
        <v>971461.84</v>
      </c>
      <c r="F113">
        <v>0</v>
      </c>
      <c r="G113">
        <v>971461.84</v>
      </c>
      <c r="H113">
        <v>11132.84</v>
      </c>
      <c r="I113">
        <v>125922.3</v>
      </c>
      <c r="J113">
        <v>0.29899999999999999</v>
      </c>
      <c r="K113">
        <v>21132.62</v>
      </c>
      <c r="L113">
        <v>0</v>
      </c>
      <c r="M113">
        <v>50426.37</v>
      </c>
      <c r="N113">
        <v>2023</v>
      </c>
      <c r="O113">
        <v>3</v>
      </c>
    </row>
    <row r="114" spans="1:15" x14ac:dyDescent="0.3">
      <c r="A114">
        <v>36305</v>
      </c>
      <c r="B114">
        <v>3202702</v>
      </c>
      <c r="C114" t="s">
        <v>49</v>
      </c>
      <c r="D114">
        <v>0.31900000000000001</v>
      </c>
      <c r="E114">
        <v>1036442.55</v>
      </c>
      <c r="F114">
        <v>0</v>
      </c>
      <c r="G114">
        <v>1036442.55</v>
      </c>
      <c r="H114">
        <v>11877.51</v>
      </c>
      <c r="I114">
        <v>74118.36</v>
      </c>
      <c r="J114">
        <v>0.31900000000000001</v>
      </c>
      <c r="K114">
        <v>22546.17</v>
      </c>
      <c r="L114">
        <v>0</v>
      </c>
      <c r="M114">
        <v>53799.37</v>
      </c>
      <c r="N114">
        <v>2023</v>
      </c>
      <c r="O114">
        <v>3</v>
      </c>
    </row>
    <row r="115" spans="1:15" x14ac:dyDescent="0.3">
      <c r="A115">
        <v>36306</v>
      </c>
      <c r="B115">
        <v>3202801</v>
      </c>
      <c r="C115" t="s">
        <v>50</v>
      </c>
      <c r="D115">
        <v>2.4550000000000001</v>
      </c>
      <c r="E115">
        <v>7976383.7800000003</v>
      </c>
      <c r="F115">
        <v>0</v>
      </c>
      <c r="G115">
        <v>7976383.7800000003</v>
      </c>
      <c r="H115">
        <v>91408.42</v>
      </c>
      <c r="I115">
        <v>245447.27</v>
      </c>
      <c r="J115">
        <v>2.4550000000000001</v>
      </c>
      <c r="K115">
        <v>173513.64</v>
      </c>
      <c r="L115">
        <v>0</v>
      </c>
      <c r="M115">
        <v>414035.88</v>
      </c>
      <c r="N115">
        <v>2023</v>
      </c>
      <c r="O115">
        <v>3</v>
      </c>
    </row>
    <row r="116" spans="1:15" x14ac:dyDescent="0.3">
      <c r="A116">
        <v>36307</v>
      </c>
      <c r="B116">
        <v>3202900</v>
      </c>
      <c r="C116" t="s">
        <v>51</v>
      </c>
      <c r="D116">
        <v>0.34799999999999998</v>
      </c>
      <c r="E116">
        <v>1130664.5900000001</v>
      </c>
      <c r="F116">
        <v>0</v>
      </c>
      <c r="G116">
        <v>1130664.5900000001</v>
      </c>
      <c r="H116">
        <v>12957.28</v>
      </c>
      <c r="I116">
        <v>150185.01</v>
      </c>
      <c r="J116">
        <v>0.34799999999999998</v>
      </c>
      <c r="K116">
        <v>24595.82</v>
      </c>
      <c r="L116">
        <v>0</v>
      </c>
      <c r="M116">
        <v>58690.22</v>
      </c>
      <c r="N116">
        <v>2023</v>
      </c>
      <c r="O116">
        <v>3</v>
      </c>
    </row>
    <row r="117" spans="1:15" x14ac:dyDescent="0.3">
      <c r="A117">
        <v>36308</v>
      </c>
      <c r="B117">
        <v>3203007</v>
      </c>
      <c r="C117" t="s">
        <v>52</v>
      </c>
      <c r="D117">
        <v>0.496</v>
      </c>
      <c r="E117">
        <v>1611521.93</v>
      </c>
      <c r="F117">
        <v>0</v>
      </c>
      <c r="G117">
        <v>1611521.93</v>
      </c>
      <c r="H117">
        <v>18467.849999999999</v>
      </c>
      <c r="I117">
        <v>227523.55</v>
      </c>
      <c r="J117">
        <v>0.496</v>
      </c>
      <c r="K117">
        <v>35056.120000000003</v>
      </c>
      <c r="L117">
        <v>0</v>
      </c>
      <c r="M117">
        <v>83650.429999999993</v>
      </c>
      <c r="N117">
        <v>2023</v>
      </c>
      <c r="O117">
        <v>3</v>
      </c>
    </row>
    <row r="118" spans="1:15" x14ac:dyDescent="0.3">
      <c r="A118">
        <v>36309</v>
      </c>
      <c r="B118">
        <v>3203056</v>
      </c>
      <c r="C118" t="s">
        <v>53</v>
      </c>
      <c r="D118">
        <v>0.871</v>
      </c>
      <c r="E118">
        <v>2829910.51</v>
      </c>
      <c r="F118">
        <v>0</v>
      </c>
      <c r="G118">
        <v>2829910.51</v>
      </c>
      <c r="H118">
        <v>32430.44</v>
      </c>
      <c r="I118">
        <v>237982.71</v>
      </c>
      <c r="J118">
        <v>0.871</v>
      </c>
      <c r="K118">
        <v>61560.24</v>
      </c>
      <c r="L118">
        <v>0</v>
      </c>
      <c r="M118">
        <v>146894.20000000001</v>
      </c>
      <c r="N118">
        <v>2023</v>
      </c>
      <c r="O118">
        <v>3</v>
      </c>
    </row>
    <row r="119" spans="1:15" x14ac:dyDescent="0.3">
      <c r="A119">
        <v>36310</v>
      </c>
      <c r="B119">
        <v>3203106</v>
      </c>
      <c r="C119" t="s">
        <v>54</v>
      </c>
      <c r="D119">
        <v>0.21</v>
      </c>
      <c r="E119">
        <v>682297.58</v>
      </c>
      <c r="F119">
        <v>0</v>
      </c>
      <c r="G119">
        <v>682297.58</v>
      </c>
      <c r="H119">
        <v>7819.05</v>
      </c>
      <c r="I119">
        <v>43828.62</v>
      </c>
      <c r="J119">
        <v>0.21</v>
      </c>
      <c r="K119">
        <v>14842.31</v>
      </c>
      <c r="L119">
        <v>0</v>
      </c>
      <c r="M119">
        <v>35416.51</v>
      </c>
      <c r="N119">
        <v>2023</v>
      </c>
      <c r="O119">
        <v>3</v>
      </c>
    </row>
    <row r="120" spans="1:15" x14ac:dyDescent="0.3">
      <c r="A120">
        <v>36311</v>
      </c>
      <c r="B120">
        <v>3203130</v>
      </c>
      <c r="C120" t="s">
        <v>55</v>
      </c>
      <c r="D120">
        <v>0.36199999999999999</v>
      </c>
      <c r="E120">
        <v>1176151.1000000001</v>
      </c>
      <c r="F120">
        <v>0</v>
      </c>
      <c r="G120">
        <v>1176151.1000000001</v>
      </c>
      <c r="H120">
        <v>13478.55</v>
      </c>
      <c r="I120">
        <v>140950.24</v>
      </c>
      <c r="J120">
        <v>0.36199999999999999</v>
      </c>
      <c r="K120">
        <v>25585.31</v>
      </c>
      <c r="L120">
        <v>0</v>
      </c>
      <c r="M120">
        <v>61051.32</v>
      </c>
      <c r="N120">
        <v>2023</v>
      </c>
      <c r="O120">
        <v>3</v>
      </c>
    </row>
    <row r="121" spans="1:15" x14ac:dyDescent="0.3">
      <c r="A121">
        <v>36312</v>
      </c>
      <c r="B121">
        <v>3203163</v>
      </c>
      <c r="C121" t="s">
        <v>56</v>
      </c>
      <c r="D121">
        <v>0.373</v>
      </c>
      <c r="E121">
        <v>1211890.5</v>
      </c>
      <c r="F121">
        <v>0</v>
      </c>
      <c r="G121">
        <v>1211890.5</v>
      </c>
      <c r="H121">
        <v>13888.12</v>
      </c>
      <c r="I121">
        <v>126157.66</v>
      </c>
      <c r="J121">
        <v>0.373</v>
      </c>
      <c r="K121">
        <v>26362.77</v>
      </c>
      <c r="L121">
        <v>0</v>
      </c>
      <c r="M121">
        <v>62906.47</v>
      </c>
      <c r="N121">
        <v>2023</v>
      </c>
      <c r="O121">
        <v>3</v>
      </c>
    </row>
    <row r="122" spans="1:15" x14ac:dyDescent="0.3">
      <c r="A122">
        <v>36313</v>
      </c>
      <c r="B122">
        <v>3203205</v>
      </c>
      <c r="C122" t="s">
        <v>57</v>
      </c>
      <c r="D122">
        <v>4.9790000000000001</v>
      </c>
      <c r="E122">
        <v>16176951.09</v>
      </c>
      <c r="F122">
        <v>0</v>
      </c>
      <c r="G122">
        <v>16176951.09</v>
      </c>
      <c r="H122">
        <v>185385.96</v>
      </c>
      <c r="I122">
        <v>1569821.01</v>
      </c>
      <c r="J122">
        <v>4.9790000000000001</v>
      </c>
      <c r="K122">
        <v>351904.04</v>
      </c>
      <c r="L122">
        <v>0</v>
      </c>
      <c r="M122">
        <v>839708.62</v>
      </c>
      <c r="N122">
        <v>2023</v>
      </c>
      <c r="O122">
        <v>3</v>
      </c>
    </row>
    <row r="123" spans="1:15" x14ac:dyDescent="0.3">
      <c r="A123">
        <v>36314</v>
      </c>
      <c r="B123">
        <v>3203304</v>
      </c>
      <c r="C123" t="s">
        <v>58</v>
      </c>
      <c r="D123">
        <v>0.27600000000000002</v>
      </c>
      <c r="E123">
        <v>896733.99</v>
      </c>
      <c r="F123">
        <v>0</v>
      </c>
      <c r="G123">
        <v>896733.99</v>
      </c>
      <c r="H123">
        <v>10276.469999999999</v>
      </c>
      <c r="I123">
        <v>103417.21</v>
      </c>
      <c r="J123">
        <v>0.27600000000000002</v>
      </c>
      <c r="K123">
        <v>19507.03</v>
      </c>
      <c r="L123">
        <v>0</v>
      </c>
      <c r="M123">
        <v>46547.41</v>
      </c>
      <c r="N123">
        <v>2023</v>
      </c>
      <c r="O123">
        <v>3</v>
      </c>
    </row>
    <row r="124" spans="1:15" x14ac:dyDescent="0.3">
      <c r="A124">
        <v>36315</v>
      </c>
      <c r="B124">
        <v>3203320</v>
      </c>
      <c r="C124" t="s">
        <v>59</v>
      </c>
      <c r="D124">
        <v>0.65800000000000003</v>
      </c>
      <c r="E124">
        <v>2137865.8199999998</v>
      </c>
      <c r="F124">
        <v>0</v>
      </c>
      <c r="G124">
        <v>2137865.8199999998</v>
      </c>
      <c r="H124">
        <v>24499.69</v>
      </c>
      <c r="I124">
        <v>333502.58</v>
      </c>
      <c r="J124">
        <v>0.65800000000000003</v>
      </c>
      <c r="K124">
        <v>46505.9</v>
      </c>
      <c r="L124">
        <v>0</v>
      </c>
      <c r="M124">
        <v>110971.74</v>
      </c>
      <c r="N124">
        <v>2023</v>
      </c>
      <c r="O124">
        <v>3</v>
      </c>
    </row>
    <row r="125" spans="1:15" x14ac:dyDescent="0.3">
      <c r="A125">
        <v>36316</v>
      </c>
      <c r="B125">
        <v>3203346</v>
      </c>
      <c r="C125" t="s">
        <v>60</v>
      </c>
      <c r="D125">
        <v>0.61099999999999999</v>
      </c>
      <c r="E125">
        <v>1985161.09</v>
      </c>
      <c r="F125">
        <v>0</v>
      </c>
      <c r="G125">
        <v>1985161.09</v>
      </c>
      <c r="H125">
        <v>22749.71</v>
      </c>
      <c r="I125">
        <v>192209.48</v>
      </c>
      <c r="J125">
        <v>0.61099999999999999</v>
      </c>
      <c r="K125">
        <v>43184.05</v>
      </c>
      <c r="L125">
        <v>0</v>
      </c>
      <c r="M125">
        <v>103045.18</v>
      </c>
      <c r="N125">
        <v>2023</v>
      </c>
      <c r="O125">
        <v>3</v>
      </c>
    </row>
    <row r="126" spans="1:15" x14ac:dyDescent="0.3">
      <c r="A126">
        <v>36317</v>
      </c>
      <c r="B126">
        <v>3203353</v>
      </c>
      <c r="C126" t="s">
        <v>61</v>
      </c>
      <c r="D126">
        <v>0.436</v>
      </c>
      <c r="E126">
        <v>1416579.77</v>
      </c>
      <c r="F126">
        <v>0</v>
      </c>
      <c r="G126">
        <v>1416579.77</v>
      </c>
      <c r="H126">
        <v>16233.84</v>
      </c>
      <c r="I126">
        <v>204659.78</v>
      </c>
      <c r="J126">
        <v>0.436</v>
      </c>
      <c r="K126">
        <v>30815.45</v>
      </c>
      <c r="L126">
        <v>0</v>
      </c>
      <c r="M126">
        <v>73531.42</v>
      </c>
      <c r="N126">
        <v>2023</v>
      </c>
      <c r="O126">
        <v>3</v>
      </c>
    </row>
    <row r="127" spans="1:15" x14ac:dyDescent="0.3">
      <c r="A127">
        <v>36318</v>
      </c>
      <c r="B127">
        <v>3203403</v>
      </c>
      <c r="C127" t="s">
        <v>62</v>
      </c>
      <c r="D127">
        <v>0.495</v>
      </c>
      <c r="E127">
        <v>1608272.89</v>
      </c>
      <c r="F127">
        <v>0</v>
      </c>
      <c r="G127">
        <v>1608272.89</v>
      </c>
      <c r="H127">
        <v>18430.62</v>
      </c>
      <c r="I127">
        <v>170178.61</v>
      </c>
      <c r="J127">
        <v>0.495</v>
      </c>
      <c r="K127">
        <v>34985.440000000002</v>
      </c>
      <c r="L127">
        <v>0</v>
      </c>
      <c r="M127">
        <v>83481.78</v>
      </c>
      <c r="N127">
        <v>2023</v>
      </c>
      <c r="O127">
        <v>3</v>
      </c>
    </row>
    <row r="128" spans="1:15" x14ac:dyDescent="0.3">
      <c r="A128">
        <v>36319</v>
      </c>
      <c r="B128">
        <v>3203502</v>
      </c>
      <c r="C128" t="s">
        <v>63</v>
      </c>
      <c r="D128">
        <v>0.52100000000000002</v>
      </c>
      <c r="E128">
        <v>1692747.85</v>
      </c>
      <c r="F128">
        <v>0</v>
      </c>
      <c r="G128">
        <v>1692747.85</v>
      </c>
      <c r="H128">
        <v>19398.689999999999</v>
      </c>
      <c r="I128">
        <v>116837.19</v>
      </c>
      <c r="J128">
        <v>0.52100000000000002</v>
      </c>
      <c r="K128">
        <v>36823.050000000003</v>
      </c>
      <c r="L128">
        <v>0</v>
      </c>
      <c r="M128">
        <v>87866.68</v>
      </c>
      <c r="N128">
        <v>2023</v>
      </c>
      <c r="O128">
        <v>3</v>
      </c>
    </row>
    <row r="129" spans="1:15" x14ac:dyDescent="0.3">
      <c r="A129">
        <v>36320</v>
      </c>
      <c r="B129">
        <v>3203601</v>
      </c>
      <c r="C129" t="s">
        <v>64</v>
      </c>
      <c r="D129">
        <v>0.28299999999999997</v>
      </c>
      <c r="E129">
        <v>919477.23</v>
      </c>
      <c r="F129">
        <v>0</v>
      </c>
      <c r="G129">
        <v>919477.23</v>
      </c>
      <c r="H129">
        <v>10537.1</v>
      </c>
      <c r="I129">
        <v>27444.080000000002</v>
      </c>
      <c r="J129">
        <v>0.28299999999999997</v>
      </c>
      <c r="K129">
        <v>20001.78</v>
      </c>
      <c r="L129">
        <v>0</v>
      </c>
      <c r="M129">
        <v>47727.97</v>
      </c>
      <c r="N129">
        <v>2023</v>
      </c>
      <c r="O129">
        <v>3</v>
      </c>
    </row>
    <row r="130" spans="1:15" x14ac:dyDescent="0.3">
      <c r="A130">
        <v>36321</v>
      </c>
      <c r="B130">
        <v>3203700</v>
      </c>
      <c r="C130" t="s">
        <v>65</v>
      </c>
      <c r="D130">
        <v>0.54600000000000004</v>
      </c>
      <c r="E130">
        <v>1773973.74</v>
      </c>
      <c r="F130">
        <v>0</v>
      </c>
      <c r="G130">
        <v>1773973.74</v>
      </c>
      <c r="H130">
        <v>20329.53</v>
      </c>
      <c r="I130">
        <v>79189.740000000005</v>
      </c>
      <c r="J130">
        <v>0.54600000000000004</v>
      </c>
      <c r="K130">
        <v>38590</v>
      </c>
      <c r="L130">
        <v>0</v>
      </c>
      <c r="M130">
        <v>92082.93</v>
      </c>
      <c r="N130">
        <v>2023</v>
      </c>
      <c r="O130">
        <v>3</v>
      </c>
    </row>
    <row r="131" spans="1:15" x14ac:dyDescent="0.3">
      <c r="A131">
        <v>36322</v>
      </c>
      <c r="B131">
        <v>3203809</v>
      </c>
      <c r="C131" t="s">
        <v>66</v>
      </c>
      <c r="D131">
        <v>0.28100000000000003</v>
      </c>
      <c r="E131">
        <v>912979.16</v>
      </c>
      <c r="F131">
        <v>0</v>
      </c>
      <c r="G131">
        <v>912979.16</v>
      </c>
      <c r="H131">
        <v>10462.629999999999</v>
      </c>
      <c r="I131">
        <v>77349.11</v>
      </c>
      <c r="J131">
        <v>0.28100000000000003</v>
      </c>
      <c r="K131">
        <v>19860.43</v>
      </c>
      <c r="L131">
        <v>0</v>
      </c>
      <c r="M131">
        <v>47390.67</v>
      </c>
      <c r="N131">
        <v>2023</v>
      </c>
      <c r="O131">
        <v>3</v>
      </c>
    </row>
    <row r="132" spans="1:15" x14ac:dyDescent="0.3">
      <c r="A132">
        <v>36323</v>
      </c>
      <c r="B132">
        <v>3203908</v>
      </c>
      <c r="C132" t="s">
        <v>67</v>
      </c>
      <c r="D132">
        <v>1.3109999999999999</v>
      </c>
      <c r="E132">
        <v>4259486.41</v>
      </c>
      <c r="F132">
        <v>0</v>
      </c>
      <c r="G132">
        <v>4259486.41</v>
      </c>
      <c r="H132">
        <v>48813.21</v>
      </c>
      <c r="I132">
        <v>371417.88</v>
      </c>
      <c r="J132">
        <v>1.3109999999999999</v>
      </c>
      <c r="K132">
        <v>92658.4</v>
      </c>
      <c r="L132">
        <v>0</v>
      </c>
      <c r="M132">
        <v>221100.22</v>
      </c>
      <c r="N132">
        <v>2023</v>
      </c>
      <c r="O132">
        <v>3</v>
      </c>
    </row>
    <row r="133" spans="1:15" x14ac:dyDescent="0.3">
      <c r="A133">
        <v>36324</v>
      </c>
      <c r="B133">
        <v>3204005</v>
      </c>
      <c r="C133" t="s">
        <v>68</v>
      </c>
      <c r="D133">
        <v>0.436</v>
      </c>
      <c r="E133">
        <v>1416579.77</v>
      </c>
      <c r="F133">
        <v>0</v>
      </c>
      <c r="G133">
        <v>1416579.77</v>
      </c>
      <c r="H133">
        <v>16233.84</v>
      </c>
      <c r="I133">
        <v>89877.83</v>
      </c>
      <c r="J133">
        <v>0.436</v>
      </c>
      <c r="K133">
        <v>30815.45</v>
      </c>
      <c r="L133">
        <v>0</v>
      </c>
      <c r="M133">
        <v>73531.42</v>
      </c>
      <c r="N133">
        <v>2023</v>
      </c>
      <c r="O133">
        <v>3</v>
      </c>
    </row>
    <row r="134" spans="1:15" x14ac:dyDescent="0.3">
      <c r="A134">
        <v>36325</v>
      </c>
      <c r="B134">
        <v>3204054</v>
      </c>
      <c r="C134" t="s">
        <v>69</v>
      </c>
      <c r="D134">
        <v>0.307</v>
      </c>
      <c r="E134">
        <v>997454.13</v>
      </c>
      <c r="F134">
        <v>0</v>
      </c>
      <c r="G134">
        <v>997454.13</v>
      </c>
      <c r="H134">
        <v>11430.71</v>
      </c>
      <c r="I134">
        <v>127460.55</v>
      </c>
      <c r="J134">
        <v>0.307</v>
      </c>
      <c r="K134">
        <v>21698.04</v>
      </c>
      <c r="L134">
        <v>0</v>
      </c>
      <c r="M134">
        <v>51775.57</v>
      </c>
      <c r="N134">
        <v>2023</v>
      </c>
      <c r="O134">
        <v>3</v>
      </c>
    </row>
    <row r="135" spans="1:15" x14ac:dyDescent="0.3">
      <c r="A135">
        <v>36326</v>
      </c>
      <c r="B135">
        <v>3204104</v>
      </c>
      <c r="C135" t="s">
        <v>70</v>
      </c>
      <c r="D135">
        <v>0.73199999999999998</v>
      </c>
      <c r="E135">
        <v>2378294.48</v>
      </c>
      <c r="F135">
        <v>0</v>
      </c>
      <c r="G135">
        <v>2378294.48</v>
      </c>
      <c r="H135">
        <v>27254.98</v>
      </c>
      <c r="I135">
        <v>89089.57</v>
      </c>
      <c r="J135">
        <v>0.73199999999999998</v>
      </c>
      <c r="K135">
        <v>51736.04</v>
      </c>
      <c r="L135">
        <v>0</v>
      </c>
      <c r="M135">
        <v>123451.84</v>
      </c>
      <c r="N135">
        <v>2023</v>
      </c>
      <c r="O135">
        <v>3</v>
      </c>
    </row>
    <row r="136" spans="1:15" x14ac:dyDescent="0.3">
      <c r="A136">
        <v>36327</v>
      </c>
      <c r="B136">
        <v>3204203</v>
      </c>
      <c r="C136" t="s">
        <v>71</v>
      </c>
      <c r="D136">
        <v>0.14199999999999999</v>
      </c>
      <c r="E136">
        <v>461363.16</v>
      </c>
      <c r="F136">
        <v>0</v>
      </c>
      <c r="G136">
        <v>461363.16</v>
      </c>
      <c r="H136">
        <v>5287.17</v>
      </c>
      <c r="I136">
        <v>281739.19</v>
      </c>
      <c r="J136">
        <v>0.14199999999999999</v>
      </c>
      <c r="K136">
        <v>10036.23</v>
      </c>
      <c r="L136">
        <v>0</v>
      </c>
      <c r="M136">
        <v>23948.31</v>
      </c>
      <c r="N136">
        <v>2023</v>
      </c>
      <c r="O136">
        <v>3</v>
      </c>
    </row>
    <row r="137" spans="1:15" x14ac:dyDescent="0.3">
      <c r="A137">
        <v>36328</v>
      </c>
      <c r="B137">
        <v>3204252</v>
      </c>
      <c r="C137" t="s">
        <v>72</v>
      </c>
      <c r="D137">
        <v>0.20899999999999999</v>
      </c>
      <c r="E137">
        <v>679048.55</v>
      </c>
      <c r="F137">
        <v>0</v>
      </c>
      <c r="G137">
        <v>679048.55</v>
      </c>
      <c r="H137">
        <v>7781.82</v>
      </c>
      <c r="I137">
        <v>31053.77</v>
      </c>
      <c r="J137">
        <v>0.20899999999999999</v>
      </c>
      <c r="K137">
        <v>14771.63</v>
      </c>
      <c r="L137">
        <v>0</v>
      </c>
      <c r="M137">
        <v>35247.86</v>
      </c>
      <c r="N137">
        <v>2023</v>
      </c>
      <c r="O137">
        <v>3</v>
      </c>
    </row>
    <row r="138" spans="1:15" x14ac:dyDescent="0.3">
      <c r="A138">
        <v>36329</v>
      </c>
      <c r="B138">
        <v>1718402</v>
      </c>
      <c r="C138" t="s">
        <v>73</v>
      </c>
      <c r="D138">
        <v>0.32</v>
      </c>
      <c r="E138">
        <v>1039691.58</v>
      </c>
      <c r="F138">
        <v>0</v>
      </c>
      <c r="G138">
        <v>1039691.58</v>
      </c>
      <c r="H138">
        <v>11914.74</v>
      </c>
      <c r="I138">
        <v>203033.97</v>
      </c>
      <c r="J138">
        <v>0.32</v>
      </c>
      <c r="K138">
        <v>22616.85</v>
      </c>
      <c r="L138">
        <v>0</v>
      </c>
      <c r="M138">
        <v>53968.02</v>
      </c>
      <c r="N138">
        <v>2023</v>
      </c>
      <c r="O138">
        <v>3</v>
      </c>
    </row>
    <row r="139" spans="1:15" x14ac:dyDescent="0.3">
      <c r="A139">
        <v>36330</v>
      </c>
      <c r="B139">
        <v>3204351</v>
      </c>
      <c r="C139" t="s">
        <v>74</v>
      </c>
      <c r="D139">
        <v>0.85399999999999998</v>
      </c>
      <c r="E139">
        <v>2774676.9</v>
      </c>
      <c r="F139">
        <v>0</v>
      </c>
      <c r="G139">
        <v>2774676.9</v>
      </c>
      <c r="H139">
        <v>31797.47</v>
      </c>
      <c r="I139">
        <v>254246.91</v>
      </c>
      <c r="J139">
        <v>0.85399999999999998</v>
      </c>
      <c r="K139">
        <v>60358.720000000001</v>
      </c>
      <c r="L139">
        <v>0</v>
      </c>
      <c r="M139">
        <v>144027.15</v>
      </c>
      <c r="N139">
        <v>2023</v>
      </c>
      <c r="O139">
        <v>3</v>
      </c>
    </row>
    <row r="140" spans="1:15" x14ac:dyDescent="0.3">
      <c r="A140">
        <v>36331</v>
      </c>
      <c r="B140">
        <v>3204401</v>
      </c>
      <c r="C140" t="s">
        <v>75</v>
      </c>
      <c r="D140">
        <v>0.25</v>
      </c>
      <c r="E140">
        <v>812259.05</v>
      </c>
      <c r="F140">
        <v>0</v>
      </c>
      <c r="G140">
        <v>812259.05</v>
      </c>
      <c r="H140">
        <v>9308.39</v>
      </c>
      <c r="I140">
        <v>79579.09</v>
      </c>
      <c r="J140">
        <v>0.25</v>
      </c>
      <c r="K140">
        <v>17669.41</v>
      </c>
      <c r="L140">
        <v>0</v>
      </c>
      <c r="M140">
        <v>42162.51</v>
      </c>
      <c r="N140">
        <v>2023</v>
      </c>
      <c r="O140">
        <v>3</v>
      </c>
    </row>
    <row r="141" spans="1:15" x14ac:dyDescent="0.3">
      <c r="A141">
        <v>36332</v>
      </c>
      <c r="B141">
        <v>3204500</v>
      </c>
      <c r="C141" t="s">
        <v>76</v>
      </c>
      <c r="D141">
        <v>0.54500000000000004</v>
      </c>
      <c r="E141">
        <v>1770724.73</v>
      </c>
      <c r="F141">
        <v>0</v>
      </c>
      <c r="G141">
        <v>1770724.73</v>
      </c>
      <c r="H141">
        <v>20292.3</v>
      </c>
      <c r="I141">
        <v>124943.45</v>
      </c>
      <c r="J141">
        <v>0.54500000000000004</v>
      </c>
      <c r="K141">
        <v>38519.32</v>
      </c>
      <c r="L141">
        <v>0</v>
      </c>
      <c r="M141">
        <v>91914.28</v>
      </c>
      <c r="N141">
        <v>2023</v>
      </c>
      <c r="O141">
        <v>3</v>
      </c>
    </row>
    <row r="142" spans="1:15" x14ac:dyDescent="0.3">
      <c r="A142">
        <v>36333</v>
      </c>
      <c r="B142">
        <v>3204559</v>
      </c>
      <c r="C142" t="s">
        <v>77</v>
      </c>
      <c r="D142">
        <v>2.2349999999999999</v>
      </c>
      <c r="E142">
        <v>7261595.8499999996</v>
      </c>
      <c r="F142">
        <v>0</v>
      </c>
      <c r="G142">
        <v>7261595.8499999996</v>
      </c>
      <c r="H142">
        <v>83217.03</v>
      </c>
      <c r="I142">
        <v>753649.05</v>
      </c>
      <c r="J142">
        <v>2.2349999999999999</v>
      </c>
      <c r="K142">
        <v>157964.56</v>
      </c>
      <c r="L142">
        <v>0</v>
      </c>
      <c r="M142">
        <v>376932.87</v>
      </c>
      <c r="N142">
        <v>2023</v>
      </c>
      <c r="O142">
        <v>3</v>
      </c>
    </row>
    <row r="143" spans="1:15" x14ac:dyDescent="0.3">
      <c r="A143">
        <v>36334</v>
      </c>
      <c r="B143">
        <v>3204609</v>
      </c>
      <c r="C143" t="s">
        <v>78</v>
      </c>
      <c r="D143">
        <v>0.65100000000000002</v>
      </c>
      <c r="E143">
        <v>2115122.5299999998</v>
      </c>
      <c r="F143">
        <v>0</v>
      </c>
      <c r="G143">
        <v>2115122.5299999998</v>
      </c>
      <c r="H143">
        <v>24239.06</v>
      </c>
      <c r="I143">
        <v>280421.77</v>
      </c>
      <c r="J143">
        <v>0.65100000000000002</v>
      </c>
      <c r="K143">
        <v>46011.15</v>
      </c>
      <c r="L143">
        <v>0</v>
      </c>
      <c r="M143">
        <v>109791.18</v>
      </c>
      <c r="N143">
        <v>2023</v>
      </c>
      <c r="O143">
        <v>3</v>
      </c>
    </row>
    <row r="144" spans="1:15" x14ac:dyDescent="0.3">
      <c r="A144">
        <v>36335</v>
      </c>
      <c r="B144">
        <v>3204658</v>
      </c>
      <c r="C144" t="s">
        <v>79</v>
      </c>
      <c r="D144">
        <v>0.42299999999999999</v>
      </c>
      <c r="E144">
        <v>1374342.3</v>
      </c>
      <c r="F144">
        <v>0</v>
      </c>
      <c r="G144">
        <v>1374342.3</v>
      </c>
      <c r="H144">
        <v>15749.8</v>
      </c>
      <c r="I144">
        <v>54308.3</v>
      </c>
      <c r="J144">
        <v>0.42299999999999999</v>
      </c>
      <c r="K144">
        <v>29896.65</v>
      </c>
      <c r="L144">
        <v>0</v>
      </c>
      <c r="M144">
        <v>71338.97</v>
      </c>
      <c r="N144">
        <v>2023</v>
      </c>
      <c r="O144">
        <v>3</v>
      </c>
    </row>
    <row r="145" spans="1:15" x14ac:dyDescent="0.3">
      <c r="A145">
        <v>36336</v>
      </c>
      <c r="B145">
        <v>3204708</v>
      </c>
      <c r="C145" t="s">
        <v>80</v>
      </c>
      <c r="D145">
        <v>0.85199999999999998</v>
      </c>
      <c r="E145">
        <v>2768178.81</v>
      </c>
      <c r="F145">
        <v>0</v>
      </c>
      <c r="G145">
        <v>2768178.81</v>
      </c>
      <c r="H145">
        <v>31723</v>
      </c>
      <c r="I145">
        <v>257571.57</v>
      </c>
      <c r="J145">
        <v>0.85199999999999998</v>
      </c>
      <c r="K145">
        <v>60217.36</v>
      </c>
      <c r="L145">
        <v>0</v>
      </c>
      <c r="M145">
        <v>143689.85</v>
      </c>
      <c r="N145">
        <v>2023</v>
      </c>
      <c r="O145">
        <v>3</v>
      </c>
    </row>
    <row r="146" spans="1:15" x14ac:dyDescent="0.3">
      <c r="A146">
        <v>36337</v>
      </c>
      <c r="B146">
        <v>3204807</v>
      </c>
      <c r="C146" t="s">
        <v>81</v>
      </c>
      <c r="D146">
        <v>0.22600000000000001</v>
      </c>
      <c r="E146">
        <v>734282.18</v>
      </c>
      <c r="F146">
        <v>0</v>
      </c>
      <c r="G146">
        <v>734282.18</v>
      </c>
      <c r="H146">
        <v>8414.7900000000009</v>
      </c>
      <c r="I146">
        <v>103641.36</v>
      </c>
      <c r="J146">
        <v>0.22600000000000001</v>
      </c>
      <c r="K146">
        <v>15973.15</v>
      </c>
      <c r="L146">
        <v>0</v>
      </c>
      <c r="M146">
        <v>38114.910000000003</v>
      </c>
      <c r="N146">
        <v>2023</v>
      </c>
      <c r="O146">
        <v>3</v>
      </c>
    </row>
    <row r="147" spans="1:15" x14ac:dyDescent="0.3">
      <c r="A147">
        <v>36338</v>
      </c>
      <c r="B147">
        <v>3204906</v>
      </c>
      <c r="C147" t="s">
        <v>82</v>
      </c>
      <c r="D147">
        <v>1.901</v>
      </c>
      <c r="E147">
        <v>6176417.75</v>
      </c>
      <c r="F147">
        <v>0</v>
      </c>
      <c r="G147">
        <v>6176417.75</v>
      </c>
      <c r="H147">
        <v>70781.02</v>
      </c>
      <c r="I147">
        <v>839880.1</v>
      </c>
      <c r="J147">
        <v>1.901</v>
      </c>
      <c r="K147">
        <v>134358.23000000001</v>
      </c>
      <c r="L147">
        <v>0</v>
      </c>
      <c r="M147">
        <v>320603.75</v>
      </c>
      <c r="N147">
        <v>2023</v>
      </c>
      <c r="O147">
        <v>3</v>
      </c>
    </row>
    <row r="148" spans="1:15" x14ac:dyDescent="0.3">
      <c r="A148">
        <v>36339</v>
      </c>
      <c r="B148">
        <v>3204955</v>
      </c>
      <c r="C148" t="s">
        <v>83</v>
      </c>
      <c r="D148">
        <v>0.312</v>
      </c>
      <c r="E148">
        <v>1013699.29</v>
      </c>
      <c r="F148">
        <v>0</v>
      </c>
      <c r="G148">
        <v>1013699.29</v>
      </c>
      <c r="H148">
        <v>11616.87</v>
      </c>
      <c r="I148">
        <v>88676.92</v>
      </c>
      <c r="J148">
        <v>0.312</v>
      </c>
      <c r="K148">
        <v>22051.43</v>
      </c>
      <c r="L148">
        <v>0</v>
      </c>
      <c r="M148">
        <v>52618.82</v>
      </c>
      <c r="N148">
        <v>2023</v>
      </c>
      <c r="O148">
        <v>3</v>
      </c>
    </row>
    <row r="149" spans="1:15" x14ac:dyDescent="0.3">
      <c r="A149">
        <v>36340</v>
      </c>
      <c r="B149">
        <v>3205002</v>
      </c>
      <c r="C149" t="s">
        <v>84</v>
      </c>
      <c r="D149">
        <v>15.625</v>
      </c>
      <c r="E149">
        <v>50766190.170000002</v>
      </c>
      <c r="F149">
        <v>0</v>
      </c>
      <c r="G149">
        <v>50766190.170000002</v>
      </c>
      <c r="H149">
        <v>581774.56999999995</v>
      </c>
      <c r="I149">
        <v>3729605.37</v>
      </c>
      <c r="J149">
        <v>15.625</v>
      </c>
      <c r="K149">
        <v>1104338.3600000001</v>
      </c>
      <c r="L149">
        <v>0</v>
      </c>
      <c r="M149">
        <v>2635157.08</v>
      </c>
      <c r="N149">
        <v>2023</v>
      </c>
      <c r="O149">
        <v>3</v>
      </c>
    </row>
    <row r="150" spans="1:15" x14ac:dyDescent="0.3">
      <c r="A150">
        <v>36341</v>
      </c>
      <c r="B150">
        <v>3205010</v>
      </c>
      <c r="C150" t="s">
        <v>85</v>
      </c>
      <c r="D150">
        <v>0.72199999999999998</v>
      </c>
      <c r="E150">
        <v>2345804.11</v>
      </c>
      <c r="F150">
        <v>0</v>
      </c>
      <c r="G150">
        <v>2345804.11</v>
      </c>
      <c r="H150">
        <v>26882.639999999999</v>
      </c>
      <c r="I150">
        <v>136929.9</v>
      </c>
      <c r="J150">
        <v>0.72199999999999998</v>
      </c>
      <c r="K150">
        <v>51029.26</v>
      </c>
      <c r="L150">
        <v>0</v>
      </c>
      <c r="M150">
        <v>121765.34</v>
      </c>
      <c r="N150">
        <v>2023</v>
      </c>
      <c r="O150">
        <v>3</v>
      </c>
    </row>
    <row r="151" spans="1:15" x14ac:dyDescent="0.3">
      <c r="A151">
        <v>36342</v>
      </c>
      <c r="B151">
        <v>3205036</v>
      </c>
      <c r="C151" t="s">
        <v>86</v>
      </c>
      <c r="D151">
        <v>0.49099999999999999</v>
      </c>
      <c r="E151">
        <v>1595276.75</v>
      </c>
      <c r="F151">
        <v>0</v>
      </c>
      <c r="G151">
        <v>1595276.75</v>
      </c>
      <c r="H151">
        <v>18281.68</v>
      </c>
      <c r="I151">
        <v>196549.76000000001</v>
      </c>
      <c r="J151">
        <v>0.49099999999999999</v>
      </c>
      <c r="K151">
        <v>34702.730000000003</v>
      </c>
      <c r="L151">
        <v>0</v>
      </c>
      <c r="M151">
        <v>82807.179999999993</v>
      </c>
      <c r="N151">
        <v>2023</v>
      </c>
      <c r="O151">
        <v>3</v>
      </c>
    </row>
    <row r="152" spans="1:15" x14ac:dyDescent="0.3">
      <c r="A152">
        <v>36343</v>
      </c>
      <c r="B152">
        <v>3205069</v>
      </c>
      <c r="C152" t="s">
        <v>87</v>
      </c>
      <c r="D152">
        <v>0.68700000000000006</v>
      </c>
      <c r="E152">
        <v>2232087.84</v>
      </c>
      <c r="F152">
        <v>0</v>
      </c>
      <c r="G152">
        <v>2232087.84</v>
      </c>
      <c r="H152">
        <v>25579.46</v>
      </c>
      <c r="I152">
        <v>415090.68</v>
      </c>
      <c r="J152">
        <v>0.68700000000000006</v>
      </c>
      <c r="K152">
        <v>48555.55</v>
      </c>
      <c r="L152">
        <v>0</v>
      </c>
      <c r="M152">
        <v>115862.59</v>
      </c>
      <c r="N152">
        <v>2023</v>
      </c>
      <c r="O152">
        <v>3</v>
      </c>
    </row>
    <row r="153" spans="1:15" x14ac:dyDescent="0.3">
      <c r="A153">
        <v>36344</v>
      </c>
      <c r="B153">
        <v>2112803</v>
      </c>
      <c r="C153" t="s">
        <v>88</v>
      </c>
      <c r="D153">
        <v>2.9870000000000001</v>
      </c>
      <c r="E153">
        <v>9704871.0199999996</v>
      </c>
      <c r="F153">
        <v>0</v>
      </c>
      <c r="G153">
        <v>9704871.0199999996</v>
      </c>
      <c r="H153">
        <v>111216.68</v>
      </c>
      <c r="I153">
        <v>486971.96</v>
      </c>
      <c r="J153">
        <v>2.9870000000000001</v>
      </c>
      <c r="K153">
        <v>211114.15</v>
      </c>
      <c r="L153">
        <v>0</v>
      </c>
      <c r="M153">
        <v>503757.71</v>
      </c>
      <c r="N153">
        <v>2023</v>
      </c>
      <c r="O153">
        <v>3</v>
      </c>
    </row>
    <row r="154" spans="1:15" x14ac:dyDescent="0.3">
      <c r="A154">
        <v>36345</v>
      </c>
      <c r="B154">
        <v>3205150</v>
      </c>
      <c r="C154" t="s">
        <v>89</v>
      </c>
      <c r="D154">
        <v>0.31900000000000001</v>
      </c>
      <c r="E154">
        <v>1036442.55</v>
      </c>
      <c r="F154">
        <v>0</v>
      </c>
      <c r="G154">
        <v>1036442.55</v>
      </c>
      <c r="H154">
        <v>11877.51</v>
      </c>
      <c r="I154">
        <v>76608.06</v>
      </c>
      <c r="J154">
        <v>0.31900000000000001</v>
      </c>
      <c r="K154">
        <v>22546.17</v>
      </c>
      <c r="L154">
        <v>0</v>
      </c>
      <c r="M154">
        <v>53799.37</v>
      </c>
      <c r="N154">
        <v>2023</v>
      </c>
      <c r="O154">
        <v>3</v>
      </c>
    </row>
    <row r="155" spans="1:15" x14ac:dyDescent="0.3">
      <c r="A155">
        <v>36346</v>
      </c>
      <c r="B155">
        <v>3205176</v>
      </c>
      <c r="C155" t="s">
        <v>90</v>
      </c>
      <c r="D155">
        <v>0.65800000000000003</v>
      </c>
      <c r="E155">
        <v>2137865.8199999998</v>
      </c>
      <c r="F155">
        <v>0</v>
      </c>
      <c r="G155">
        <v>2137865.8199999998</v>
      </c>
      <c r="H155">
        <v>24499.69</v>
      </c>
      <c r="I155">
        <v>145508.26999999999</v>
      </c>
      <c r="J155">
        <v>0.65800000000000003</v>
      </c>
      <c r="K155">
        <v>46505.9</v>
      </c>
      <c r="L155">
        <v>0</v>
      </c>
      <c r="M155">
        <v>110971.74</v>
      </c>
      <c r="N155">
        <v>2023</v>
      </c>
      <c r="O155">
        <v>3</v>
      </c>
    </row>
    <row r="156" spans="1:15" x14ac:dyDescent="0.3">
      <c r="A156">
        <v>36347</v>
      </c>
      <c r="B156">
        <v>3205200</v>
      </c>
      <c r="C156" t="s">
        <v>91</v>
      </c>
      <c r="D156">
        <v>5.056</v>
      </c>
      <c r="E156">
        <v>16427126.9</v>
      </c>
      <c r="F156">
        <v>0</v>
      </c>
      <c r="G156">
        <v>16427126.9</v>
      </c>
      <c r="H156">
        <v>188252.94</v>
      </c>
      <c r="I156">
        <v>4597695.16</v>
      </c>
      <c r="J156">
        <v>5.056</v>
      </c>
      <c r="K156">
        <v>357346.23</v>
      </c>
      <c r="L156">
        <v>0</v>
      </c>
      <c r="M156">
        <v>852694.67</v>
      </c>
      <c r="N156">
        <v>2023</v>
      </c>
      <c r="O156">
        <v>3</v>
      </c>
    </row>
    <row r="157" spans="1:15" x14ac:dyDescent="0.3">
      <c r="A157">
        <v>36348</v>
      </c>
      <c r="B157">
        <v>3205309</v>
      </c>
      <c r="C157" t="s">
        <v>92</v>
      </c>
      <c r="D157">
        <v>14.782</v>
      </c>
      <c r="E157">
        <v>48027252.609999999</v>
      </c>
      <c r="F157">
        <v>0</v>
      </c>
      <c r="G157">
        <v>48027252.609999999</v>
      </c>
      <c r="H157">
        <v>550386.67000000004</v>
      </c>
      <c r="I157">
        <v>6358098.1100000003</v>
      </c>
      <c r="J157">
        <v>14.782</v>
      </c>
      <c r="K157">
        <v>1044757.12</v>
      </c>
      <c r="L157">
        <v>0</v>
      </c>
      <c r="M157">
        <v>2492985.0499999998</v>
      </c>
      <c r="N157">
        <v>2023</v>
      </c>
      <c r="O157">
        <v>3</v>
      </c>
    </row>
    <row r="158" spans="1:15" x14ac:dyDescent="0.3">
      <c r="A158">
        <v>36349</v>
      </c>
      <c r="B158">
        <v>3200102</v>
      </c>
      <c r="C158" t="s">
        <v>15</v>
      </c>
      <c r="D158">
        <v>0.76100000000000001</v>
      </c>
      <c r="E158">
        <v>2794906.64</v>
      </c>
      <c r="F158">
        <v>0</v>
      </c>
      <c r="G158">
        <v>2794906.64</v>
      </c>
      <c r="H158">
        <v>30206.880000000001</v>
      </c>
      <c r="I158">
        <v>893578.76</v>
      </c>
      <c r="J158">
        <v>0.98499999999999999</v>
      </c>
      <c r="K158">
        <v>51246.720000000001</v>
      </c>
      <c r="L158">
        <v>0</v>
      </c>
      <c r="M158">
        <v>15348.38</v>
      </c>
      <c r="N158">
        <v>2023</v>
      </c>
      <c r="O158">
        <v>4</v>
      </c>
    </row>
    <row r="159" spans="1:15" x14ac:dyDescent="0.3">
      <c r="A159">
        <v>36350</v>
      </c>
      <c r="B159">
        <v>3200169</v>
      </c>
      <c r="C159" t="s">
        <v>16</v>
      </c>
      <c r="D159">
        <v>0.28899999999999998</v>
      </c>
      <c r="E159">
        <v>1061403.42</v>
      </c>
      <c r="F159">
        <v>0</v>
      </c>
      <c r="G159">
        <v>1061403.42</v>
      </c>
      <c r="H159">
        <v>11471.47</v>
      </c>
      <c r="I159">
        <v>217186.4</v>
      </c>
      <c r="J159">
        <v>0.439</v>
      </c>
      <c r="K159">
        <v>19461.64</v>
      </c>
      <c r="L159">
        <v>0</v>
      </c>
      <c r="M159">
        <v>5828.75</v>
      </c>
      <c r="N159">
        <v>2023</v>
      </c>
      <c r="O159">
        <v>4</v>
      </c>
    </row>
    <row r="160" spans="1:15" x14ac:dyDescent="0.3">
      <c r="A160">
        <v>36351</v>
      </c>
      <c r="B160">
        <v>3200136</v>
      </c>
      <c r="C160" t="s">
        <v>17</v>
      </c>
      <c r="D160">
        <v>0.40400000000000003</v>
      </c>
      <c r="E160">
        <v>1483761.19</v>
      </c>
      <c r="F160">
        <v>0</v>
      </c>
      <c r="G160">
        <v>1483761.19</v>
      </c>
      <c r="H160">
        <v>16036.24</v>
      </c>
      <c r="I160">
        <v>295274.92</v>
      </c>
      <c r="J160">
        <v>0.34799999999999998</v>
      </c>
      <c r="K160">
        <v>27205.88</v>
      </c>
      <c r="L160">
        <v>0</v>
      </c>
      <c r="M160">
        <v>8148.15</v>
      </c>
      <c r="N160">
        <v>2023</v>
      </c>
      <c r="O160">
        <v>4</v>
      </c>
    </row>
    <row r="161" spans="1:15" x14ac:dyDescent="0.3">
      <c r="A161">
        <v>36352</v>
      </c>
      <c r="B161">
        <v>3200201</v>
      </c>
      <c r="C161" t="s">
        <v>18</v>
      </c>
      <c r="D161">
        <v>0.498</v>
      </c>
      <c r="E161">
        <v>1828992.78</v>
      </c>
      <c r="F161">
        <v>0</v>
      </c>
      <c r="G161">
        <v>1828992.78</v>
      </c>
      <c r="H161">
        <v>19767.439999999999</v>
      </c>
      <c r="I161">
        <v>797494.98</v>
      </c>
      <c r="J161">
        <v>0.98</v>
      </c>
      <c r="K161">
        <v>33535.97</v>
      </c>
      <c r="L161">
        <v>0</v>
      </c>
      <c r="M161">
        <v>10044.01</v>
      </c>
      <c r="N161">
        <v>2023</v>
      </c>
      <c r="O161">
        <v>4</v>
      </c>
    </row>
    <row r="162" spans="1:15" x14ac:dyDescent="0.3">
      <c r="A162">
        <v>36353</v>
      </c>
      <c r="B162">
        <v>3200300</v>
      </c>
      <c r="C162" t="s">
        <v>19</v>
      </c>
      <c r="D162">
        <v>0.46700000000000003</v>
      </c>
      <c r="E162">
        <v>1715139.8</v>
      </c>
      <c r="F162">
        <v>0</v>
      </c>
      <c r="G162">
        <v>1715139.8</v>
      </c>
      <c r="H162">
        <v>18536.939999999999</v>
      </c>
      <c r="I162">
        <v>918138.85</v>
      </c>
      <c r="J162">
        <v>0.56399999999999995</v>
      </c>
      <c r="K162">
        <v>31448.39</v>
      </c>
      <c r="L162">
        <v>0</v>
      </c>
      <c r="M162">
        <v>9418.7800000000007</v>
      </c>
      <c r="N162">
        <v>2023</v>
      </c>
      <c r="O162">
        <v>4</v>
      </c>
    </row>
    <row r="163" spans="1:15" x14ac:dyDescent="0.3">
      <c r="A163">
        <v>36354</v>
      </c>
      <c r="B163">
        <v>3200359</v>
      </c>
      <c r="C163" t="s">
        <v>20</v>
      </c>
      <c r="D163">
        <v>0.22600000000000001</v>
      </c>
      <c r="E163">
        <v>830024.84</v>
      </c>
      <c r="F163">
        <v>0</v>
      </c>
      <c r="G163">
        <v>830024.84</v>
      </c>
      <c r="H163">
        <v>8970.77</v>
      </c>
      <c r="I163">
        <v>140053.06</v>
      </c>
      <c r="J163">
        <v>0.32700000000000001</v>
      </c>
      <c r="K163">
        <v>15219.13</v>
      </c>
      <c r="L163">
        <v>0</v>
      </c>
      <c r="M163">
        <v>4558.13</v>
      </c>
      <c r="N163">
        <v>2023</v>
      </c>
      <c r="O163">
        <v>4</v>
      </c>
    </row>
    <row r="164" spans="1:15" x14ac:dyDescent="0.3">
      <c r="A164">
        <v>36355</v>
      </c>
      <c r="B164">
        <v>3200409</v>
      </c>
      <c r="C164" t="s">
        <v>21</v>
      </c>
      <c r="D164">
        <v>3.1480000000000001</v>
      </c>
      <c r="E164">
        <v>11561584.82</v>
      </c>
      <c r="F164">
        <v>0</v>
      </c>
      <c r="G164">
        <v>11561584.82</v>
      </c>
      <c r="H164">
        <v>124955.65</v>
      </c>
      <c r="I164">
        <v>975273.52</v>
      </c>
      <c r="J164">
        <v>0.90800000000000003</v>
      </c>
      <c r="K164">
        <v>211990.39999999999</v>
      </c>
      <c r="L164">
        <v>0</v>
      </c>
      <c r="M164">
        <v>63491.07</v>
      </c>
      <c r="N164">
        <v>2023</v>
      </c>
      <c r="O164">
        <v>4</v>
      </c>
    </row>
    <row r="165" spans="1:15" x14ac:dyDescent="0.3">
      <c r="A165">
        <v>36356</v>
      </c>
      <c r="B165">
        <v>3200508</v>
      </c>
      <c r="C165" t="s">
        <v>22</v>
      </c>
      <c r="D165">
        <v>0.185</v>
      </c>
      <c r="E165">
        <v>679445.1</v>
      </c>
      <c r="F165">
        <v>0</v>
      </c>
      <c r="G165">
        <v>679445.1</v>
      </c>
      <c r="H165">
        <v>7343.33</v>
      </c>
      <c r="I165">
        <v>356154.47</v>
      </c>
      <c r="J165">
        <v>0.32300000000000001</v>
      </c>
      <c r="K165">
        <v>12458.14</v>
      </c>
      <c r="L165">
        <v>0</v>
      </c>
      <c r="M165">
        <v>3731.21</v>
      </c>
      <c r="N165">
        <v>2023</v>
      </c>
      <c r="O165">
        <v>4</v>
      </c>
    </row>
    <row r="166" spans="1:15" x14ac:dyDescent="0.3">
      <c r="A166">
        <v>36357</v>
      </c>
      <c r="B166">
        <v>3200607</v>
      </c>
      <c r="C166" t="s">
        <v>23</v>
      </c>
      <c r="D166">
        <v>2.9220000000000002</v>
      </c>
      <c r="E166">
        <v>10731559.99</v>
      </c>
      <c r="F166">
        <v>0</v>
      </c>
      <c r="G166">
        <v>10731559.99</v>
      </c>
      <c r="H166">
        <v>115984.88</v>
      </c>
      <c r="I166">
        <v>3236996.27</v>
      </c>
      <c r="J166">
        <v>2.5089999999999999</v>
      </c>
      <c r="K166">
        <v>196771.26</v>
      </c>
      <c r="L166">
        <v>0</v>
      </c>
      <c r="M166">
        <v>58932.94</v>
      </c>
      <c r="N166">
        <v>2023</v>
      </c>
      <c r="O166">
        <v>4</v>
      </c>
    </row>
    <row r="167" spans="1:15" x14ac:dyDescent="0.3">
      <c r="A167">
        <v>36358</v>
      </c>
      <c r="B167">
        <v>3200706</v>
      </c>
      <c r="C167" t="s">
        <v>24</v>
      </c>
      <c r="D167">
        <v>0.35399999999999998</v>
      </c>
      <c r="E167">
        <v>1300127.3999999999</v>
      </c>
      <c r="F167">
        <v>0</v>
      </c>
      <c r="G167">
        <v>1300127.3999999999</v>
      </c>
      <c r="H167">
        <v>14051.56</v>
      </c>
      <c r="I167">
        <v>271953.01</v>
      </c>
      <c r="J167">
        <v>0.45700000000000002</v>
      </c>
      <c r="K167">
        <v>23838.81</v>
      </c>
      <c r="L167">
        <v>0</v>
      </c>
      <c r="M167">
        <v>7139.72</v>
      </c>
      <c r="N167">
        <v>2023</v>
      </c>
      <c r="O167">
        <v>4</v>
      </c>
    </row>
    <row r="168" spans="1:15" x14ac:dyDescent="0.3">
      <c r="A168">
        <v>36359</v>
      </c>
      <c r="B168">
        <v>3200805</v>
      </c>
      <c r="C168" t="s">
        <v>25</v>
      </c>
      <c r="D168">
        <v>0.60699999999999998</v>
      </c>
      <c r="E168">
        <v>2229314.4900000002</v>
      </c>
      <c r="F168">
        <v>0</v>
      </c>
      <c r="G168">
        <v>2229314.4900000002</v>
      </c>
      <c r="H168">
        <v>24094.05</v>
      </c>
      <c r="I168">
        <v>1395612.04</v>
      </c>
      <c r="J168">
        <v>0.997</v>
      </c>
      <c r="K168">
        <v>40876.17</v>
      </c>
      <c r="L168">
        <v>0</v>
      </c>
      <c r="M168">
        <v>12242.4</v>
      </c>
      <c r="N168">
        <v>2023</v>
      </c>
      <c r="O168">
        <v>4</v>
      </c>
    </row>
    <row r="169" spans="1:15" x14ac:dyDescent="0.3">
      <c r="A169">
        <v>36360</v>
      </c>
      <c r="B169">
        <v>3200904</v>
      </c>
      <c r="C169" t="s">
        <v>26</v>
      </c>
      <c r="D169">
        <v>1.0289999999999999</v>
      </c>
      <c r="E169">
        <v>3779183.84</v>
      </c>
      <c r="F169">
        <v>0</v>
      </c>
      <c r="G169">
        <v>3779183.84</v>
      </c>
      <c r="H169">
        <v>40844.78</v>
      </c>
      <c r="I169">
        <v>1524335.38</v>
      </c>
      <c r="J169">
        <v>1.321</v>
      </c>
      <c r="K169">
        <v>69294.19</v>
      </c>
      <c r="L169">
        <v>0</v>
      </c>
      <c r="M169">
        <v>20753.59</v>
      </c>
      <c r="N169">
        <v>2023</v>
      </c>
      <c r="O169">
        <v>4</v>
      </c>
    </row>
    <row r="170" spans="1:15" x14ac:dyDescent="0.3">
      <c r="A170">
        <v>36361</v>
      </c>
      <c r="B170">
        <v>3107109</v>
      </c>
      <c r="C170" t="s">
        <v>27</v>
      </c>
      <c r="D170">
        <v>0.39500000000000002</v>
      </c>
      <c r="E170">
        <v>1450707.13</v>
      </c>
      <c r="F170">
        <v>0</v>
      </c>
      <c r="G170">
        <v>1450707.13</v>
      </c>
      <c r="H170">
        <v>15679</v>
      </c>
      <c r="I170">
        <v>315619.96999999997</v>
      </c>
      <c r="J170">
        <v>0.56899999999999995</v>
      </c>
      <c r="K170">
        <v>26599.82</v>
      </c>
      <c r="L170">
        <v>0</v>
      </c>
      <c r="M170">
        <v>7966.64</v>
      </c>
      <c r="N170">
        <v>2023</v>
      </c>
      <c r="O170">
        <v>4</v>
      </c>
    </row>
    <row r="171" spans="1:15" x14ac:dyDescent="0.3">
      <c r="A171">
        <v>36362</v>
      </c>
      <c r="B171">
        <v>3201100</v>
      </c>
      <c r="C171" t="s">
        <v>28</v>
      </c>
      <c r="D171">
        <v>0.17599999999999999</v>
      </c>
      <c r="E171">
        <v>646391.01</v>
      </c>
      <c r="F171">
        <v>0</v>
      </c>
      <c r="G171">
        <v>646391.01</v>
      </c>
      <c r="H171">
        <v>6986.08</v>
      </c>
      <c r="I171">
        <v>990894.22</v>
      </c>
      <c r="J171">
        <v>0.43</v>
      </c>
      <c r="K171">
        <v>11852.07</v>
      </c>
      <c r="L171">
        <v>0</v>
      </c>
      <c r="M171">
        <v>3549.69</v>
      </c>
      <c r="N171">
        <v>2023</v>
      </c>
      <c r="O171">
        <v>4</v>
      </c>
    </row>
    <row r="172" spans="1:15" x14ac:dyDescent="0.3">
      <c r="A172">
        <v>36363</v>
      </c>
      <c r="B172">
        <v>3201159</v>
      </c>
      <c r="C172" t="s">
        <v>29</v>
      </c>
      <c r="D172">
        <v>0.42099999999999999</v>
      </c>
      <c r="E172">
        <v>1546196.7</v>
      </c>
      <c r="F172">
        <v>0</v>
      </c>
      <c r="G172">
        <v>1546196.7</v>
      </c>
      <c r="H172">
        <v>16711.03</v>
      </c>
      <c r="I172">
        <v>350265.56</v>
      </c>
      <c r="J172">
        <v>0.46</v>
      </c>
      <c r="K172">
        <v>28350.68</v>
      </c>
      <c r="L172">
        <v>0</v>
      </c>
      <c r="M172">
        <v>8491.02</v>
      </c>
      <c r="N172">
        <v>2023</v>
      </c>
      <c r="O172">
        <v>4</v>
      </c>
    </row>
    <row r="173" spans="1:15" x14ac:dyDescent="0.3">
      <c r="A173">
        <v>36364</v>
      </c>
      <c r="B173">
        <v>3201209</v>
      </c>
      <c r="C173" t="s">
        <v>30</v>
      </c>
      <c r="D173">
        <v>3.1120000000000001</v>
      </c>
      <c r="E173">
        <v>11429368.470000001</v>
      </c>
      <c r="F173">
        <v>0</v>
      </c>
      <c r="G173">
        <v>11429368.470000001</v>
      </c>
      <c r="H173">
        <v>123526.68</v>
      </c>
      <c r="I173">
        <v>7170549.0800000001</v>
      </c>
      <c r="J173">
        <v>4.4820000000000002</v>
      </c>
      <c r="K173">
        <v>209566.12</v>
      </c>
      <c r="L173">
        <v>0</v>
      </c>
      <c r="M173">
        <v>62764.99</v>
      </c>
      <c r="N173">
        <v>2023</v>
      </c>
      <c r="O173">
        <v>4</v>
      </c>
    </row>
    <row r="174" spans="1:15" x14ac:dyDescent="0.3">
      <c r="A174">
        <v>36365</v>
      </c>
      <c r="B174">
        <v>3201308</v>
      </c>
      <c r="C174" t="s">
        <v>31</v>
      </c>
      <c r="D174">
        <v>7.2990000000000004</v>
      </c>
      <c r="E174">
        <v>26806863.920000002</v>
      </c>
      <c r="F174">
        <v>0</v>
      </c>
      <c r="G174">
        <v>26806863.920000002</v>
      </c>
      <c r="H174">
        <v>289724.03999999998</v>
      </c>
      <c r="I174">
        <v>10934107.1</v>
      </c>
      <c r="J174">
        <v>6.6040000000000001</v>
      </c>
      <c r="K174">
        <v>491524.13</v>
      </c>
      <c r="L174">
        <v>0</v>
      </c>
      <c r="M174">
        <v>147211.34</v>
      </c>
      <c r="N174">
        <v>2023</v>
      </c>
      <c r="O174">
        <v>4</v>
      </c>
    </row>
    <row r="175" spans="1:15" x14ac:dyDescent="0.3">
      <c r="A175">
        <v>36366</v>
      </c>
      <c r="B175">
        <v>3201407</v>
      </c>
      <c r="C175" t="s">
        <v>32</v>
      </c>
      <c r="D175">
        <v>0.89900000000000002</v>
      </c>
      <c r="E175">
        <v>3301735.96</v>
      </c>
      <c r="F175">
        <v>0</v>
      </c>
      <c r="G175">
        <v>3301735.96</v>
      </c>
      <c r="H175">
        <v>35684.6</v>
      </c>
      <c r="I175">
        <v>2060198.99</v>
      </c>
      <c r="J175">
        <v>1.155</v>
      </c>
      <c r="K175">
        <v>60539.83</v>
      </c>
      <c r="L175">
        <v>0</v>
      </c>
      <c r="M175">
        <v>18131.66</v>
      </c>
      <c r="N175">
        <v>2023</v>
      </c>
      <c r="O175">
        <v>4</v>
      </c>
    </row>
    <row r="176" spans="1:15" x14ac:dyDescent="0.3">
      <c r="A176">
        <v>36367</v>
      </c>
      <c r="B176">
        <v>3201506</v>
      </c>
      <c r="C176" t="s">
        <v>33</v>
      </c>
      <c r="D176">
        <v>2.2320000000000002</v>
      </c>
      <c r="E176">
        <v>8197413.3700000001</v>
      </c>
      <c r="F176">
        <v>0</v>
      </c>
      <c r="G176">
        <v>8197413.3700000001</v>
      </c>
      <c r="H176">
        <v>88596.25</v>
      </c>
      <c r="I176">
        <v>4750080.18</v>
      </c>
      <c r="J176">
        <v>2.8220000000000001</v>
      </c>
      <c r="K176">
        <v>150305.76999999999</v>
      </c>
      <c r="L176">
        <v>0</v>
      </c>
      <c r="M176">
        <v>45016.54</v>
      </c>
      <c r="N176">
        <v>2023</v>
      </c>
      <c r="O176">
        <v>4</v>
      </c>
    </row>
    <row r="177" spans="1:15" x14ac:dyDescent="0.3">
      <c r="A177">
        <v>36368</v>
      </c>
      <c r="B177">
        <v>3201605</v>
      </c>
      <c r="C177" t="s">
        <v>34</v>
      </c>
      <c r="D177">
        <v>0.79400000000000004</v>
      </c>
      <c r="E177">
        <v>2916104.93</v>
      </c>
      <c r="F177">
        <v>0</v>
      </c>
      <c r="G177">
        <v>2916104.93</v>
      </c>
      <c r="H177">
        <v>31516.77</v>
      </c>
      <c r="I177">
        <v>433609.72</v>
      </c>
      <c r="J177">
        <v>0.999</v>
      </c>
      <c r="K177">
        <v>53468.99</v>
      </c>
      <c r="L177">
        <v>0</v>
      </c>
      <c r="M177">
        <v>16013.95</v>
      </c>
      <c r="N177">
        <v>2023</v>
      </c>
      <c r="O177">
        <v>4</v>
      </c>
    </row>
    <row r="178" spans="1:15" x14ac:dyDescent="0.3">
      <c r="A178">
        <v>36369</v>
      </c>
      <c r="B178">
        <v>3201704</v>
      </c>
      <c r="C178" t="s">
        <v>35</v>
      </c>
      <c r="D178">
        <v>0.46</v>
      </c>
      <c r="E178">
        <v>1689431.09</v>
      </c>
      <c r="F178">
        <v>0</v>
      </c>
      <c r="G178">
        <v>1689431.09</v>
      </c>
      <c r="H178">
        <v>18259.080000000002</v>
      </c>
      <c r="I178">
        <v>388403.07</v>
      </c>
      <c r="J178">
        <v>0.46500000000000002</v>
      </c>
      <c r="K178">
        <v>30976.99</v>
      </c>
      <c r="L178">
        <v>0</v>
      </c>
      <c r="M178">
        <v>9277.6</v>
      </c>
      <c r="N178">
        <v>2023</v>
      </c>
      <c r="O178">
        <v>4</v>
      </c>
    </row>
    <row r="179" spans="1:15" x14ac:dyDescent="0.3">
      <c r="A179">
        <v>36370</v>
      </c>
      <c r="B179">
        <v>3201803</v>
      </c>
      <c r="C179" t="s">
        <v>36</v>
      </c>
      <c r="D179">
        <v>0.182</v>
      </c>
      <c r="E179">
        <v>668427.1</v>
      </c>
      <c r="F179">
        <v>0</v>
      </c>
      <c r="G179">
        <v>668427.1</v>
      </c>
      <c r="H179">
        <v>7224.25</v>
      </c>
      <c r="I179">
        <v>87583.73</v>
      </c>
      <c r="J179">
        <v>0.28299999999999997</v>
      </c>
      <c r="K179">
        <v>12256.12</v>
      </c>
      <c r="L179">
        <v>0</v>
      </c>
      <c r="M179">
        <v>3670.7</v>
      </c>
      <c r="N179">
        <v>2023</v>
      </c>
      <c r="O179">
        <v>4</v>
      </c>
    </row>
    <row r="180" spans="1:15" x14ac:dyDescent="0.3">
      <c r="A180">
        <v>36371</v>
      </c>
      <c r="B180">
        <v>3201902</v>
      </c>
      <c r="C180" t="s">
        <v>37</v>
      </c>
      <c r="D180">
        <v>1.268</v>
      </c>
      <c r="E180">
        <v>4656953.47</v>
      </c>
      <c r="F180">
        <v>0</v>
      </c>
      <c r="G180">
        <v>4656953.47</v>
      </c>
      <c r="H180">
        <v>50331.56</v>
      </c>
      <c r="I180">
        <v>1586329.31</v>
      </c>
      <c r="J180">
        <v>1.0309999999999999</v>
      </c>
      <c r="K180">
        <v>85388.76</v>
      </c>
      <c r="L180">
        <v>0</v>
      </c>
      <c r="M180">
        <v>25573.91</v>
      </c>
      <c r="N180">
        <v>2023</v>
      </c>
      <c r="O180">
        <v>4</v>
      </c>
    </row>
    <row r="181" spans="1:15" x14ac:dyDescent="0.3">
      <c r="A181">
        <v>36372</v>
      </c>
      <c r="B181">
        <v>3202009</v>
      </c>
      <c r="C181" t="s">
        <v>38</v>
      </c>
      <c r="D181">
        <v>0.27</v>
      </c>
      <c r="E181">
        <v>991622.58</v>
      </c>
      <c r="F181">
        <v>0</v>
      </c>
      <c r="G181">
        <v>991622.58</v>
      </c>
      <c r="H181">
        <v>10717.29</v>
      </c>
      <c r="I181">
        <v>462450.5</v>
      </c>
      <c r="J181">
        <v>0.314</v>
      </c>
      <c r="K181">
        <v>18182.150000000001</v>
      </c>
      <c r="L181">
        <v>0</v>
      </c>
      <c r="M181">
        <v>5445.55</v>
      </c>
      <c r="N181">
        <v>2023</v>
      </c>
      <c r="O181">
        <v>4</v>
      </c>
    </row>
    <row r="182" spans="1:15" x14ac:dyDescent="0.3">
      <c r="A182">
        <v>36373</v>
      </c>
      <c r="B182">
        <v>3202108</v>
      </c>
      <c r="C182" t="s">
        <v>39</v>
      </c>
      <c r="D182">
        <v>0.69399999999999995</v>
      </c>
      <c r="E182">
        <v>2548837.31</v>
      </c>
      <c r="F182">
        <v>0</v>
      </c>
      <c r="G182">
        <v>2548837.31</v>
      </c>
      <c r="H182">
        <v>27547.4</v>
      </c>
      <c r="I182">
        <v>391718.35</v>
      </c>
      <c r="J182">
        <v>0.81599999999999995</v>
      </c>
      <c r="K182">
        <v>46734.86</v>
      </c>
      <c r="L182">
        <v>0</v>
      </c>
      <c r="M182">
        <v>13997.08</v>
      </c>
      <c r="N182">
        <v>2023</v>
      </c>
      <c r="O182">
        <v>4</v>
      </c>
    </row>
    <row r="183" spans="1:15" x14ac:dyDescent="0.3">
      <c r="A183">
        <v>36374</v>
      </c>
      <c r="B183">
        <v>3202207</v>
      </c>
      <c r="C183" t="s">
        <v>40</v>
      </c>
      <c r="D183">
        <v>0.28599999999999998</v>
      </c>
      <c r="E183">
        <v>1050385.4099999999</v>
      </c>
      <c r="F183">
        <v>0</v>
      </c>
      <c r="G183">
        <v>1050385.4099999999</v>
      </c>
      <c r="H183">
        <v>11352.39</v>
      </c>
      <c r="I183">
        <v>446851.52</v>
      </c>
      <c r="J183">
        <v>0.73399999999999999</v>
      </c>
      <c r="K183">
        <v>19259.61</v>
      </c>
      <c r="L183">
        <v>0</v>
      </c>
      <c r="M183">
        <v>5768.25</v>
      </c>
      <c r="N183">
        <v>2023</v>
      </c>
      <c r="O183">
        <v>4</v>
      </c>
    </row>
    <row r="184" spans="1:15" x14ac:dyDescent="0.3">
      <c r="A184">
        <v>36375</v>
      </c>
      <c r="B184">
        <v>3202256</v>
      </c>
      <c r="C184" t="s">
        <v>41</v>
      </c>
      <c r="D184">
        <v>0.438</v>
      </c>
      <c r="E184">
        <v>1608632.19</v>
      </c>
      <c r="F184">
        <v>0</v>
      </c>
      <c r="G184">
        <v>1608632.19</v>
      </c>
      <c r="H184">
        <v>17385.82</v>
      </c>
      <c r="I184">
        <v>417184.95</v>
      </c>
      <c r="J184">
        <v>0.46700000000000003</v>
      </c>
      <c r="K184">
        <v>29495.49</v>
      </c>
      <c r="L184">
        <v>0</v>
      </c>
      <c r="M184">
        <v>8833.89</v>
      </c>
      <c r="N184">
        <v>2023</v>
      </c>
      <c r="O184">
        <v>4</v>
      </c>
    </row>
    <row r="185" spans="1:15" x14ac:dyDescent="0.3">
      <c r="A185">
        <v>36376</v>
      </c>
      <c r="B185">
        <v>3202306</v>
      </c>
      <c r="C185" t="s">
        <v>42</v>
      </c>
      <c r="D185">
        <v>0.35899999999999999</v>
      </c>
      <c r="E185">
        <v>1318490.78</v>
      </c>
      <c r="F185">
        <v>0</v>
      </c>
      <c r="G185">
        <v>1318490.78</v>
      </c>
      <c r="H185">
        <v>14250.02</v>
      </c>
      <c r="I185">
        <v>1260991.8700000001</v>
      </c>
      <c r="J185">
        <v>0.998</v>
      </c>
      <c r="K185">
        <v>24175.53</v>
      </c>
      <c r="L185">
        <v>0</v>
      </c>
      <c r="M185">
        <v>7240.56</v>
      </c>
      <c r="N185">
        <v>2023</v>
      </c>
      <c r="O185">
        <v>4</v>
      </c>
    </row>
    <row r="186" spans="1:15" x14ac:dyDescent="0.3">
      <c r="A186">
        <v>36377</v>
      </c>
      <c r="B186">
        <v>3202405</v>
      </c>
      <c r="C186" t="s">
        <v>43</v>
      </c>
      <c r="D186">
        <v>0.81200000000000006</v>
      </c>
      <c r="E186">
        <v>2982213.1</v>
      </c>
      <c r="F186">
        <v>0</v>
      </c>
      <c r="G186">
        <v>2982213.1</v>
      </c>
      <c r="H186">
        <v>32231.25</v>
      </c>
      <c r="I186">
        <v>7604546.3799999999</v>
      </c>
      <c r="J186">
        <v>2.8730000000000002</v>
      </c>
      <c r="K186">
        <v>54681.13</v>
      </c>
      <c r="L186">
        <v>0</v>
      </c>
      <c r="M186">
        <v>16376.98</v>
      </c>
      <c r="N186">
        <v>2023</v>
      </c>
      <c r="O186">
        <v>4</v>
      </c>
    </row>
    <row r="187" spans="1:15" x14ac:dyDescent="0.3">
      <c r="A187">
        <v>36378</v>
      </c>
      <c r="B187">
        <v>3202454</v>
      </c>
      <c r="C187" t="s">
        <v>44</v>
      </c>
      <c r="D187">
        <v>0.372</v>
      </c>
      <c r="E187">
        <v>1366235.55</v>
      </c>
      <c r="F187">
        <v>0</v>
      </c>
      <c r="G187">
        <v>1366235.55</v>
      </c>
      <c r="H187">
        <v>14766.04</v>
      </c>
      <c r="I187">
        <v>957888.8</v>
      </c>
      <c r="J187">
        <v>0.86499999999999999</v>
      </c>
      <c r="K187">
        <v>25050.959999999999</v>
      </c>
      <c r="L187">
        <v>0</v>
      </c>
      <c r="M187">
        <v>7502.76</v>
      </c>
      <c r="N187">
        <v>2023</v>
      </c>
      <c r="O187">
        <v>4</v>
      </c>
    </row>
    <row r="188" spans="1:15" x14ac:dyDescent="0.3">
      <c r="A188">
        <v>36379</v>
      </c>
      <c r="B188">
        <v>3202504</v>
      </c>
      <c r="C188" t="s">
        <v>45</v>
      </c>
      <c r="D188">
        <v>0.23100000000000001</v>
      </c>
      <c r="E188">
        <v>848388.21</v>
      </c>
      <c r="F188">
        <v>0</v>
      </c>
      <c r="G188">
        <v>848388.21</v>
      </c>
      <c r="H188">
        <v>9169.24</v>
      </c>
      <c r="I188">
        <v>526269.6</v>
      </c>
      <c r="J188">
        <v>0.46300000000000002</v>
      </c>
      <c r="K188">
        <v>15555.83</v>
      </c>
      <c r="L188">
        <v>0</v>
      </c>
      <c r="M188">
        <v>4658.97</v>
      </c>
      <c r="N188">
        <v>2023</v>
      </c>
      <c r="O188">
        <v>4</v>
      </c>
    </row>
    <row r="189" spans="1:15" x14ac:dyDescent="0.3">
      <c r="A189">
        <v>36380</v>
      </c>
      <c r="B189">
        <v>3202553</v>
      </c>
      <c r="C189" t="s">
        <v>46</v>
      </c>
      <c r="D189">
        <v>0.24299999999999999</v>
      </c>
      <c r="E189">
        <v>892460.32</v>
      </c>
      <c r="F189">
        <v>0</v>
      </c>
      <c r="G189">
        <v>892460.32</v>
      </c>
      <c r="H189">
        <v>9645.56</v>
      </c>
      <c r="I189">
        <v>170565.52</v>
      </c>
      <c r="J189">
        <v>0.33800000000000002</v>
      </c>
      <c r="K189">
        <v>16363.93</v>
      </c>
      <c r="L189">
        <v>0</v>
      </c>
      <c r="M189">
        <v>4900.99</v>
      </c>
      <c r="N189">
        <v>2023</v>
      </c>
      <c r="O189">
        <v>4</v>
      </c>
    </row>
    <row r="190" spans="1:15" x14ac:dyDescent="0.3">
      <c r="A190">
        <v>36381</v>
      </c>
      <c r="B190">
        <v>3202603</v>
      </c>
      <c r="C190" t="s">
        <v>47</v>
      </c>
      <c r="D190">
        <v>0.315</v>
      </c>
      <c r="E190">
        <v>1156893.03</v>
      </c>
      <c r="F190">
        <v>0</v>
      </c>
      <c r="G190">
        <v>1156893.03</v>
      </c>
      <c r="H190">
        <v>12503.5</v>
      </c>
      <c r="I190">
        <v>980073.56</v>
      </c>
      <c r="J190">
        <v>0.55600000000000005</v>
      </c>
      <c r="K190">
        <v>21212.51</v>
      </c>
      <c r="L190">
        <v>0</v>
      </c>
      <c r="M190">
        <v>6353.14</v>
      </c>
      <c r="N190">
        <v>2023</v>
      </c>
      <c r="O190">
        <v>4</v>
      </c>
    </row>
    <row r="191" spans="1:15" x14ac:dyDescent="0.3">
      <c r="A191">
        <v>36382</v>
      </c>
      <c r="B191">
        <v>3202652</v>
      </c>
      <c r="C191" t="s">
        <v>48</v>
      </c>
      <c r="D191">
        <v>0.29899999999999999</v>
      </c>
      <c r="E191">
        <v>1098130.21</v>
      </c>
      <c r="F191">
        <v>0</v>
      </c>
      <c r="G191">
        <v>1098130.21</v>
      </c>
      <c r="H191">
        <v>11868.41</v>
      </c>
      <c r="I191">
        <v>434001.9</v>
      </c>
      <c r="J191">
        <v>0.55100000000000005</v>
      </c>
      <c r="K191">
        <v>20135.05</v>
      </c>
      <c r="L191">
        <v>0</v>
      </c>
      <c r="M191">
        <v>6030.44</v>
      </c>
      <c r="N191">
        <v>2023</v>
      </c>
      <c r="O191">
        <v>4</v>
      </c>
    </row>
    <row r="192" spans="1:15" x14ac:dyDescent="0.3">
      <c r="A192">
        <v>36383</v>
      </c>
      <c r="B192">
        <v>3202702</v>
      </c>
      <c r="C192" t="s">
        <v>49</v>
      </c>
      <c r="D192">
        <v>0.31900000000000001</v>
      </c>
      <c r="E192">
        <v>1171583.72</v>
      </c>
      <c r="F192">
        <v>0</v>
      </c>
      <c r="G192">
        <v>1171583.72</v>
      </c>
      <c r="H192">
        <v>12662.28</v>
      </c>
      <c r="I192">
        <v>346433.56</v>
      </c>
      <c r="J192">
        <v>0.55500000000000005</v>
      </c>
      <c r="K192">
        <v>21481.88</v>
      </c>
      <c r="L192">
        <v>0</v>
      </c>
      <c r="M192">
        <v>6433.82</v>
      </c>
      <c r="N192">
        <v>2023</v>
      </c>
      <c r="O192">
        <v>4</v>
      </c>
    </row>
    <row r="193" spans="1:15" x14ac:dyDescent="0.3">
      <c r="A193">
        <v>36384</v>
      </c>
      <c r="B193">
        <v>3202801</v>
      </c>
      <c r="C193" t="s">
        <v>50</v>
      </c>
      <c r="D193">
        <v>2.4550000000000001</v>
      </c>
      <c r="E193">
        <v>9016420.1899999995</v>
      </c>
      <c r="F193">
        <v>0</v>
      </c>
      <c r="G193">
        <v>9016420.1899999995</v>
      </c>
      <c r="H193">
        <v>97447.94</v>
      </c>
      <c r="I193">
        <v>755225.19</v>
      </c>
      <c r="J193">
        <v>1.0409999999999999</v>
      </c>
      <c r="K193">
        <v>165322.89000000001</v>
      </c>
      <c r="L193">
        <v>0</v>
      </c>
      <c r="M193">
        <v>49514.16</v>
      </c>
      <c r="N193">
        <v>2023</v>
      </c>
      <c r="O193">
        <v>4</v>
      </c>
    </row>
    <row r="194" spans="1:15" x14ac:dyDescent="0.3">
      <c r="A194">
        <v>36385</v>
      </c>
      <c r="B194">
        <v>3202900</v>
      </c>
      <c r="C194" t="s">
        <v>51</v>
      </c>
      <c r="D194">
        <v>0.34799999999999998</v>
      </c>
      <c r="E194">
        <v>1278091.3400000001</v>
      </c>
      <c r="F194">
        <v>0</v>
      </c>
      <c r="G194">
        <v>1278091.3400000001</v>
      </c>
      <c r="H194">
        <v>13813.39</v>
      </c>
      <c r="I194">
        <v>433446.11</v>
      </c>
      <c r="J194">
        <v>0.435</v>
      </c>
      <c r="K194">
        <v>23434.76</v>
      </c>
      <c r="L194">
        <v>0</v>
      </c>
      <c r="M194">
        <v>7018.71</v>
      </c>
      <c r="N194">
        <v>2023</v>
      </c>
      <c r="O194">
        <v>4</v>
      </c>
    </row>
    <row r="195" spans="1:15" x14ac:dyDescent="0.3">
      <c r="A195">
        <v>36386</v>
      </c>
      <c r="B195">
        <v>3203007</v>
      </c>
      <c r="C195" t="s">
        <v>52</v>
      </c>
      <c r="D195">
        <v>0.496</v>
      </c>
      <c r="E195">
        <v>1821647.44</v>
      </c>
      <c r="F195">
        <v>0</v>
      </c>
      <c r="G195">
        <v>1821647.44</v>
      </c>
      <c r="H195">
        <v>19688.060000000001</v>
      </c>
      <c r="I195">
        <v>720161.49</v>
      </c>
      <c r="J195">
        <v>0.89700000000000002</v>
      </c>
      <c r="K195">
        <v>33401.279999999999</v>
      </c>
      <c r="L195">
        <v>0</v>
      </c>
      <c r="M195">
        <v>10003.68</v>
      </c>
      <c r="N195">
        <v>2023</v>
      </c>
      <c r="O195">
        <v>4</v>
      </c>
    </row>
    <row r="196" spans="1:15" x14ac:dyDescent="0.3">
      <c r="A196">
        <v>36387</v>
      </c>
      <c r="B196">
        <v>3203056</v>
      </c>
      <c r="C196" t="s">
        <v>53</v>
      </c>
      <c r="D196">
        <v>0.871</v>
      </c>
      <c r="E196">
        <v>3198901.02</v>
      </c>
      <c r="F196">
        <v>0</v>
      </c>
      <c r="G196">
        <v>3198901.02</v>
      </c>
      <c r="H196">
        <v>34573.18</v>
      </c>
      <c r="I196">
        <v>1065947.49</v>
      </c>
      <c r="J196">
        <v>1</v>
      </c>
      <c r="K196">
        <v>58654.27</v>
      </c>
      <c r="L196">
        <v>0</v>
      </c>
      <c r="M196">
        <v>17566.939999999999</v>
      </c>
      <c r="N196">
        <v>2023</v>
      </c>
      <c r="O196">
        <v>4</v>
      </c>
    </row>
    <row r="197" spans="1:15" x14ac:dyDescent="0.3">
      <c r="A197">
        <v>36388</v>
      </c>
      <c r="B197">
        <v>3203106</v>
      </c>
      <c r="C197" t="s">
        <v>54</v>
      </c>
      <c r="D197">
        <v>0.21</v>
      </c>
      <c r="E197">
        <v>771262</v>
      </c>
      <c r="F197">
        <v>0</v>
      </c>
      <c r="G197">
        <v>771262</v>
      </c>
      <c r="H197">
        <v>8335.67</v>
      </c>
      <c r="I197">
        <v>237831.11</v>
      </c>
      <c r="J197">
        <v>0.45800000000000002</v>
      </c>
      <c r="K197">
        <v>14141.68</v>
      </c>
      <c r="L197">
        <v>0</v>
      </c>
      <c r="M197">
        <v>4235.43</v>
      </c>
      <c r="N197">
        <v>2023</v>
      </c>
      <c r="O197">
        <v>4</v>
      </c>
    </row>
    <row r="198" spans="1:15" x14ac:dyDescent="0.3">
      <c r="A198">
        <v>36389</v>
      </c>
      <c r="B198">
        <v>3203130</v>
      </c>
      <c r="C198" t="s">
        <v>55</v>
      </c>
      <c r="D198">
        <v>0.36199999999999999</v>
      </c>
      <c r="E198">
        <v>1329508.8</v>
      </c>
      <c r="F198">
        <v>0</v>
      </c>
      <c r="G198">
        <v>1329508.8</v>
      </c>
      <c r="H198">
        <v>14369.11</v>
      </c>
      <c r="I198">
        <v>631466.80000000005</v>
      </c>
      <c r="J198">
        <v>0.66600000000000004</v>
      </c>
      <c r="K198">
        <v>24377.55</v>
      </c>
      <c r="L198">
        <v>0</v>
      </c>
      <c r="M198">
        <v>7301.07</v>
      </c>
      <c r="N198">
        <v>2023</v>
      </c>
      <c r="O198">
        <v>4</v>
      </c>
    </row>
    <row r="199" spans="1:15" x14ac:dyDescent="0.3">
      <c r="A199">
        <v>36390</v>
      </c>
      <c r="B199">
        <v>3203163</v>
      </c>
      <c r="C199" t="s">
        <v>56</v>
      </c>
      <c r="D199">
        <v>0.373</v>
      </c>
      <c r="E199">
        <v>1369908.24</v>
      </c>
      <c r="F199">
        <v>0</v>
      </c>
      <c r="G199">
        <v>1369908.24</v>
      </c>
      <c r="H199">
        <v>14805.74</v>
      </c>
      <c r="I199">
        <v>345849.77</v>
      </c>
      <c r="J199">
        <v>0.441</v>
      </c>
      <c r="K199">
        <v>25118.3</v>
      </c>
      <c r="L199">
        <v>0</v>
      </c>
      <c r="M199">
        <v>7522.92</v>
      </c>
      <c r="N199">
        <v>2023</v>
      </c>
      <c r="O199">
        <v>4</v>
      </c>
    </row>
    <row r="200" spans="1:15" x14ac:dyDescent="0.3">
      <c r="A200">
        <v>36391</v>
      </c>
      <c r="B200">
        <v>3203205</v>
      </c>
      <c r="C200" t="s">
        <v>57</v>
      </c>
      <c r="D200">
        <v>4.9790000000000001</v>
      </c>
      <c r="E200">
        <v>18286255.030000001</v>
      </c>
      <c r="F200">
        <v>0</v>
      </c>
      <c r="G200">
        <v>18286255.030000001</v>
      </c>
      <c r="H200">
        <v>197634.75</v>
      </c>
      <c r="I200">
        <v>5909479.1100000003</v>
      </c>
      <c r="J200">
        <v>4.0880000000000001</v>
      </c>
      <c r="K200">
        <v>335292.31</v>
      </c>
      <c r="L200">
        <v>0</v>
      </c>
      <c r="M200">
        <v>100419.96</v>
      </c>
      <c r="N200">
        <v>2023</v>
      </c>
      <c r="O200">
        <v>4</v>
      </c>
    </row>
    <row r="201" spans="1:15" x14ac:dyDescent="0.3">
      <c r="A201">
        <v>36392</v>
      </c>
      <c r="B201">
        <v>3203304</v>
      </c>
      <c r="C201" t="s">
        <v>58</v>
      </c>
      <c r="D201">
        <v>0.27600000000000002</v>
      </c>
      <c r="E201">
        <v>1013658.66</v>
      </c>
      <c r="F201">
        <v>0</v>
      </c>
      <c r="G201">
        <v>1013658.66</v>
      </c>
      <c r="H201">
        <v>10955.45</v>
      </c>
      <c r="I201">
        <v>405985.07</v>
      </c>
      <c r="J201">
        <v>0.57599999999999996</v>
      </c>
      <c r="K201">
        <v>18586.2</v>
      </c>
      <c r="L201">
        <v>0</v>
      </c>
      <c r="M201">
        <v>5566.56</v>
      </c>
      <c r="N201">
        <v>2023</v>
      </c>
      <c r="O201">
        <v>4</v>
      </c>
    </row>
    <row r="202" spans="1:15" x14ac:dyDescent="0.3">
      <c r="A202">
        <v>36393</v>
      </c>
      <c r="B202">
        <v>3203320</v>
      </c>
      <c r="C202" t="s">
        <v>59</v>
      </c>
      <c r="D202">
        <v>0.65800000000000003</v>
      </c>
      <c r="E202">
        <v>2416620.9500000002</v>
      </c>
      <c r="F202">
        <v>0</v>
      </c>
      <c r="G202">
        <v>2416620.9500000002</v>
      </c>
      <c r="H202">
        <v>26118.43</v>
      </c>
      <c r="I202">
        <v>1094685.8400000001</v>
      </c>
      <c r="J202">
        <v>1.171</v>
      </c>
      <c r="K202">
        <v>44310.58</v>
      </c>
      <c r="L202">
        <v>0</v>
      </c>
      <c r="M202">
        <v>13271</v>
      </c>
      <c r="N202">
        <v>2023</v>
      </c>
      <c r="O202">
        <v>4</v>
      </c>
    </row>
    <row r="203" spans="1:15" x14ac:dyDescent="0.3">
      <c r="A203">
        <v>36394</v>
      </c>
      <c r="B203">
        <v>3203346</v>
      </c>
      <c r="C203" t="s">
        <v>60</v>
      </c>
      <c r="D203">
        <v>0.61099999999999999</v>
      </c>
      <c r="E203">
        <v>2244005.16</v>
      </c>
      <c r="F203">
        <v>0</v>
      </c>
      <c r="G203">
        <v>2244005.16</v>
      </c>
      <c r="H203">
        <v>24252.83</v>
      </c>
      <c r="I203">
        <v>930309.23</v>
      </c>
      <c r="J203">
        <v>0.67100000000000004</v>
      </c>
      <c r="K203">
        <v>41145.53</v>
      </c>
      <c r="L203">
        <v>0</v>
      </c>
      <c r="M203">
        <v>12323.08</v>
      </c>
      <c r="N203">
        <v>2023</v>
      </c>
      <c r="O203">
        <v>4</v>
      </c>
    </row>
    <row r="204" spans="1:15" x14ac:dyDescent="0.3">
      <c r="A204">
        <v>36395</v>
      </c>
      <c r="B204">
        <v>3203353</v>
      </c>
      <c r="C204" t="s">
        <v>61</v>
      </c>
      <c r="D204">
        <v>0.436</v>
      </c>
      <c r="E204">
        <v>1601286.85</v>
      </c>
      <c r="F204">
        <v>0</v>
      </c>
      <c r="G204">
        <v>1601286.85</v>
      </c>
      <c r="H204">
        <v>17306.439999999999</v>
      </c>
      <c r="I204">
        <v>668154.93999999994</v>
      </c>
      <c r="J204">
        <v>0.46700000000000003</v>
      </c>
      <c r="K204">
        <v>29360.81</v>
      </c>
      <c r="L204">
        <v>0</v>
      </c>
      <c r="M204">
        <v>8793.5499999999993</v>
      </c>
      <c r="N204">
        <v>2023</v>
      </c>
      <c r="O204">
        <v>4</v>
      </c>
    </row>
    <row r="205" spans="1:15" x14ac:dyDescent="0.3">
      <c r="A205">
        <v>36396</v>
      </c>
      <c r="B205">
        <v>3203403</v>
      </c>
      <c r="C205" t="s">
        <v>62</v>
      </c>
      <c r="D205">
        <v>0.495</v>
      </c>
      <c r="E205">
        <v>1817974.75</v>
      </c>
      <c r="F205">
        <v>0</v>
      </c>
      <c r="G205">
        <v>1817974.75</v>
      </c>
      <c r="H205">
        <v>19648.36</v>
      </c>
      <c r="I205">
        <v>677507.23</v>
      </c>
      <c r="J205">
        <v>0.85599999999999998</v>
      </c>
      <c r="K205">
        <v>33333.94</v>
      </c>
      <c r="L205">
        <v>0</v>
      </c>
      <c r="M205">
        <v>9983.51</v>
      </c>
      <c r="N205">
        <v>2023</v>
      </c>
      <c r="O205">
        <v>4</v>
      </c>
    </row>
    <row r="206" spans="1:15" x14ac:dyDescent="0.3">
      <c r="A206">
        <v>36397</v>
      </c>
      <c r="B206">
        <v>3203502</v>
      </c>
      <c r="C206" t="s">
        <v>63</v>
      </c>
      <c r="D206">
        <v>0.52100000000000002</v>
      </c>
      <c r="E206">
        <v>1913464.31</v>
      </c>
      <c r="F206">
        <v>0</v>
      </c>
      <c r="G206">
        <v>1913464.31</v>
      </c>
      <c r="H206">
        <v>20680.400000000001</v>
      </c>
      <c r="I206">
        <v>524136.01</v>
      </c>
      <c r="J206">
        <v>0.69299999999999995</v>
      </c>
      <c r="K206">
        <v>35084.82</v>
      </c>
      <c r="L206">
        <v>0</v>
      </c>
      <c r="M206">
        <v>10507.89</v>
      </c>
      <c r="N206">
        <v>2023</v>
      </c>
      <c r="O206">
        <v>4</v>
      </c>
    </row>
    <row r="207" spans="1:15" x14ac:dyDescent="0.3">
      <c r="A207">
        <v>36398</v>
      </c>
      <c r="B207">
        <v>3203601</v>
      </c>
      <c r="C207" t="s">
        <v>64</v>
      </c>
      <c r="D207">
        <v>0.28299999999999997</v>
      </c>
      <c r="E207">
        <v>1039367.38</v>
      </c>
      <c r="F207">
        <v>0</v>
      </c>
      <c r="G207">
        <v>1039367.38</v>
      </c>
      <c r="H207">
        <v>11233.31</v>
      </c>
      <c r="I207">
        <v>101220.57</v>
      </c>
      <c r="J207">
        <v>0.29799999999999999</v>
      </c>
      <c r="K207">
        <v>19057.59</v>
      </c>
      <c r="L207">
        <v>0</v>
      </c>
      <c r="M207">
        <v>5707.74</v>
      </c>
      <c r="N207">
        <v>2023</v>
      </c>
      <c r="O207">
        <v>4</v>
      </c>
    </row>
    <row r="208" spans="1:15" x14ac:dyDescent="0.3">
      <c r="A208">
        <v>36399</v>
      </c>
      <c r="B208">
        <v>3203700</v>
      </c>
      <c r="C208" t="s">
        <v>65</v>
      </c>
      <c r="D208">
        <v>0.54600000000000004</v>
      </c>
      <c r="E208">
        <v>2005281.22</v>
      </c>
      <c r="F208">
        <v>0</v>
      </c>
      <c r="G208">
        <v>2005281.22</v>
      </c>
      <c r="H208">
        <v>21672.74</v>
      </c>
      <c r="I208">
        <v>401128.52</v>
      </c>
      <c r="J208">
        <v>0.67100000000000004</v>
      </c>
      <c r="K208">
        <v>36768.35</v>
      </c>
      <c r="L208">
        <v>0</v>
      </c>
      <c r="M208">
        <v>11012.11</v>
      </c>
      <c r="N208">
        <v>2023</v>
      </c>
      <c r="O208">
        <v>4</v>
      </c>
    </row>
    <row r="209" spans="1:15" x14ac:dyDescent="0.3">
      <c r="A209">
        <v>36400</v>
      </c>
      <c r="B209">
        <v>3203809</v>
      </c>
      <c r="C209" t="s">
        <v>66</v>
      </c>
      <c r="D209">
        <v>0.28100000000000003</v>
      </c>
      <c r="E209">
        <v>1032022.03</v>
      </c>
      <c r="F209">
        <v>0</v>
      </c>
      <c r="G209">
        <v>1032022.03</v>
      </c>
      <c r="H209">
        <v>11153.92</v>
      </c>
      <c r="I209">
        <v>286404.55</v>
      </c>
      <c r="J209">
        <v>0.57499999999999996</v>
      </c>
      <c r="K209">
        <v>18922.900000000001</v>
      </c>
      <c r="L209">
        <v>0</v>
      </c>
      <c r="M209">
        <v>5667.4</v>
      </c>
      <c r="N209">
        <v>2023</v>
      </c>
      <c r="O209">
        <v>4</v>
      </c>
    </row>
    <row r="210" spans="1:15" x14ac:dyDescent="0.3">
      <c r="A210">
        <v>36401</v>
      </c>
      <c r="B210">
        <v>3203908</v>
      </c>
      <c r="C210" t="s">
        <v>67</v>
      </c>
      <c r="D210">
        <v>1.3109999999999999</v>
      </c>
      <c r="E210">
        <v>4814878.5599999996</v>
      </c>
      <c r="F210">
        <v>0</v>
      </c>
      <c r="G210">
        <v>4814878.5599999996</v>
      </c>
      <c r="H210">
        <v>52038.39</v>
      </c>
      <c r="I210">
        <v>1508389.13</v>
      </c>
      <c r="J210">
        <v>1.4650000000000001</v>
      </c>
      <c r="K210">
        <v>88284.44</v>
      </c>
      <c r="L210">
        <v>0</v>
      </c>
      <c r="M210">
        <v>26441.17</v>
      </c>
      <c r="N210">
        <v>2023</v>
      </c>
      <c r="O210">
        <v>4</v>
      </c>
    </row>
    <row r="211" spans="1:15" x14ac:dyDescent="0.3">
      <c r="A211">
        <v>36402</v>
      </c>
      <c r="B211">
        <v>3204005</v>
      </c>
      <c r="C211" t="s">
        <v>68</v>
      </c>
      <c r="D211">
        <v>0.436</v>
      </c>
      <c r="E211">
        <v>1601286.85</v>
      </c>
      <c r="F211">
        <v>0</v>
      </c>
      <c r="G211">
        <v>1601286.85</v>
      </c>
      <c r="H211">
        <v>17306.439999999999</v>
      </c>
      <c r="I211">
        <v>367785.1</v>
      </c>
      <c r="J211">
        <v>0.747</v>
      </c>
      <c r="K211">
        <v>29360.81</v>
      </c>
      <c r="L211">
        <v>0</v>
      </c>
      <c r="M211">
        <v>8793.5499999999993</v>
      </c>
      <c r="N211">
        <v>2023</v>
      </c>
      <c r="O211">
        <v>4</v>
      </c>
    </row>
    <row r="212" spans="1:15" x14ac:dyDescent="0.3">
      <c r="A212">
        <v>36403</v>
      </c>
      <c r="B212">
        <v>3204054</v>
      </c>
      <c r="C212" t="s">
        <v>69</v>
      </c>
      <c r="D212">
        <v>0.307</v>
      </c>
      <c r="E212">
        <v>1127511.6000000001</v>
      </c>
      <c r="F212">
        <v>0</v>
      </c>
      <c r="G212">
        <v>1127511.6000000001</v>
      </c>
      <c r="H212">
        <v>12185.95</v>
      </c>
      <c r="I212">
        <v>552881.49</v>
      </c>
      <c r="J212">
        <v>0.86199999999999999</v>
      </c>
      <c r="K212">
        <v>20673.78</v>
      </c>
      <c r="L212">
        <v>0</v>
      </c>
      <c r="M212">
        <v>6191.79</v>
      </c>
      <c r="N212">
        <v>2023</v>
      </c>
      <c r="O212">
        <v>4</v>
      </c>
    </row>
    <row r="213" spans="1:15" x14ac:dyDescent="0.3">
      <c r="A213">
        <v>36404</v>
      </c>
      <c r="B213">
        <v>3204104</v>
      </c>
      <c r="C213" t="s">
        <v>70</v>
      </c>
      <c r="D213">
        <v>0.73199999999999998</v>
      </c>
      <c r="E213">
        <v>2688399.02</v>
      </c>
      <c r="F213">
        <v>0</v>
      </c>
      <c r="G213">
        <v>2688399.02</v>
      </c>
      <c r="H213">
        <v>29055.759999999998</v>
      </c>
      <c r="I213">
        <v>452851.85</v>
      </c>
      <c r="J213">
        <v>0.875</v>
      </c>
      <c r="K213">
        <v>49293.83</v>
      </c>
      <c r="L213">
        <v>0</v>
      </c>
      <c r="M213">
        <v>14763.49</v>
      </c>
      <c r="N213">
        <v>2023</v>
      </c>
      <c r="O213">
        <v>4</v>
      </c>
    </row>
    <row r="214" spans="1:15" x14ac:dyDescent="0.3">
      <c r="A214">
        <v>36405</v>
      </c>
      <c r="B214">
        <v>3204203</v>
      </c>
      <c r="C214" t="s">
        <v>71</v>
      </c>
      <c r="D214">
        <v>0.14199999999999999</v>
      </c>
      <c r="E214">
        <v>521520.03</v>
      </c>
      <c r="F214">
        <v>0</v>
      </c>
      <c r="G214">
        <v>521520.03</v>
      </c>
      <c r="H214">
        <v>5636.5</v>
      </c>
      <c r="I214">
        <v>967789.55</v>
      </c>
      <c r="J214">
        <v>0.73399999999999999</v>
      </c>
      <c r="K214">
        <v>9562.4599999999991</v>
      </c>
      <c r="L214">
        <v>0</v>
      </c>
      <c r="M214">
        <v>2863.96</v>
      </c>
      <c r="N214">
        <v>2023</v>
      </c>
      <c r="O214">
        <v>4</v>
      </c>
    </row>
    <row r="215" spans="1:15" x14ac:dyDescent="0.3">
      <c r="A215">
        <v>36406</v>
      </c>
      <c r="B215">
        <v>3204252</v>
      </c>
      <c r="C215" t="s">
        <v>72</v>
      </c>
      <c r="D215">
        <v>0.20899999999999999</v>
      </c>
      <c r="E215">
        <v>767589.34</v>
      </c>
      <c r="F215">
        <v>0</v>
      </c>
      <c r="G215">
        <v>767589.34</v>
      </c>
      <c r="H215">
        <v>8295.98</v>
      </c>
      <c r="I215">
        <v>110334</v>
      </c>
      <c r="J215">
        <v>0.32900000000000001</v>
      </c>
      <c r="K215">
        <v>14074.33</v>
      </c>
      <c r="L215">
        <v>0</v>
      </c>
      <c r="M215">
        <v>4215.26</v>
      </c>
      <c r="N215">
        <v>2023</v>
      </c>
      <c r="O215">
        <v>4</v>
      </c>
    </row>
    <row r="216" spans="1:15" x14ac:dyDescent="0.3">
      <c r="A216">
        <v>36407</v>
      </c>
      <c r="B216">
        <v>1718402</v>
      </c>
      <c r="C216" t="s">
        <v>73</v>
      </c>
      <c r="D216">
        <v>0.32</v>
      </c>
      <c r="E216">
        <v>1175256.43</v>
      </c>
      <c r="F216">
        <v>0</v>
      </c>
      <c r="G216">
        <v>1175256.43</v>
      </c>
      <c r="H216">
        <v>12701.97</v>
      </c>
      <c r="I216">
        <v>551387.27</v>
      </c>
      <c r="J216">
        <v>0.45100000000000001</v>
      </c>
      <c r="K216">
        <v>21549.21</v>
      </c>
      <c r="L216">
        <v>0</v>
      </c>
      <c r="M216">
        <v>6453.98</v>
      </c>
      <c r="N216">
        <v>2023</v>
      </c>
      <c r="O216">
        <v>4</v>
      </c>
    </row>
    <row r="217" spans="1:15" x14ac:dyDescent="0.3">
      <c r="A217">
        <v>36408</v>
      </c>
      <c r="B217">
        <v>3204351</v>
      </c>
      <c r="C217" t="s">
        <v>74</v>
      </c>
      <c r="D217">
        <v>0.85399999999999998</v>
      </c>
      <c r="E217">
        <v>3136465.52</v>
      </c>
      <c r="F217">
        <v>0</v>
      </c>
      <c r="G217">
        <v>3136465.52</v>
      </c>
      <c r="H217">
        <v>33898.39</v>
      </c>
      <c r="I217">
        <v>1122000.94</v>
      </c>
      <c r="J217">
        <v>0.69799999999999995</v>
      </c>
      <c r="K217">
        <v>57509.47</v>
      </c>
      <c r="L217">
        <v>0</v>
      </c>
      <c r="M217">
        <v>17224.07</v>
      </c>
      <c r="N217">
        <v>2023</v>
      </c>
      <c r="O217">
        <v>4</v>
      </c>
    </row>
    <row r="218" spans="1:15" x14ac:dyDescent="0.3">
      <c r="A218">
        <v>36409</v>
      </c>
      <c r="B218">
        <v>3204401</v>
      </c>
      <c r="C218" t="s">
        <v>75</v>
      </c>
      <c r="D218">
        <v>0.25</v>
      </c>
      <c r="E218">
        <v>918169.06</v>
      </c>
      <c r="F218">
        <v>0</v>
      </c>
      <c r="G218">
        <v>918169.06</v>
      </c>
      <c r="H218">
        <v>9923.42</v>
      </c>
      <c r="I218">
        <v>362529.06</v>
      </c>
      <c r="J218">
        <v>0.45</v>
      </c>
      <c r="K218">
        <v>16835.32</v>
      </c>
      <c r="L218">
        <v>0</v>
      </c>
      <c r="M218">
        <v>5042.17</v>
      </c>
      <c r="N218">
        <v>2023</v>
      </c>
      <c r="O218">
        <v>4</v>
      </c>
    </row>
    <row r="219" spans="1:15" x14ac:dyDescent="0.3">
      <c r="A219">
        <v>36410</v>
      </c>
      <c r="B219">
        <v>3204500</v>
      </c>
      <c r="C219" t="s">
        <v>76</v>
      </c>
      <c r="D219">
        <v>0.54500000000000004</v>
      </c>
      <c r="E219">
        <v>2001608.55</v>
      </c>
      <c r="F219">
        <v>0</v>
      </c>
      <c r="G219">
        <v>2001608.55</v>
      </c>
      <c r="H219">
        <v>21633.05</v>
      </c>
      <c r="I219">
        <v>302748.77</v>
      </c>
      <c r="J219">
        <v>0.45600000000000002</v>
      </c>
      <c r="K219">
        <v>36701</v>
      </c>
      <c r="L219">
        <v>0</v>
      </c>
      <c r="M219">
        <v>10991.94</v>
      </c>
      <c r="N219">
        <v>2023</v>
      </c>
      <c r="O219">
        <v>4</v>
      </c>
    </row>
    <row r="220" spans="1:15" x14ac:dyDescent="0.3">
      <c r="A220">
        <v>36411</v>
      </c>
      <c r="B220">
        <v>3204559</v>
      </c>
      <c r="C220" t="s">
        <v>77</v>
      </c>
      <c r="D220">
        <v>2.2349999999999999</v>
      </c>
      <c r="E220">
        <v>8208431.4100000001</v>
      </c>
      <c r="F220">
        <v>0</v>
      </c>
      <c r="G220">
        <v>8208431.4100000001</v>
      </c>
      <c r="H220">
        <v>88715.34</v>
      </c>
      <c r="I220">
        <v>2134021.06</v>
      </c>
      <c r="J220">
        <v>1.1990000000000001</v>
      </c>
      <c r="K220">
        <v>150507.79999999999</v>
      </c>
      <c r="L220">
        <v>0</v>
      </c>
      <c r="M220">
        <v>45077.04</v>
      </c>
      <c r="N220">
        <v>2023</v>
      </c>
      <c r="O220">
        <v>4</v>
      </c>
    </row>
    <row r="221" spans="1:15" x14ac:dyDescent="0.3">
      <c r="A221">
        <v>36412</v>
      </c>
      <c r="B221">
        <v>3204609</v>
      </c>
      <c r="C221" t="s">
        <v>78</v>
      </c>
      <c r="D221">
        <v>0.65100000000000002</v>
      </c>
      <c r="E221">
        <v>2390912.25</v>
      </c>
      <c r="F221">
        <v>0</v>
      </c>
      <c r="G221">
        <v>2390912.25</v>
      </c>
      <c r="H221">
        <v>25840.57</v>
      </c>
      <c r="I221">
        <v>1114850.1100000001</v>
      </c>
      <c r="J221">
        <v>0.82899999999999996</v>
      </c>
      <c r="K221">
        <v>43839.19</v>
      </c>
      <c r="L221">
        <v>0</v>
      </c>
      <c r="M221">
        <v>13129.82</v>
      </c>
      <c r="N221">
        <v>2023</v>
      </c>
      <c r="O221">
        <v>4</v>
      </c>
    </row>
    <row r="222" spans="1:15" x14ac:dyDescent="0.3">
      <c r="A222">
        <v>36413</v>
      </c>
      <c r="B222">
        <v>3204658</v>
      </c>
      <c r="C222" t="s">
        <v>79</v>
      </c>
      <c r="D222">
        <v>0.42299999999999999</v>
      </c>
      <c r="E222">
        <v>1553542.08</v>
      </c>
      <c r="F222">
        <v>0</v>
      </c>
      <c r="G222">
        <v>1553542.08</v>
      </c>
      <c r="H222">
        <v>16790.419999999998</v>
      </c>
      <c r="I222">
        <v>359730.01</v>
      </c>
      <c r="J222">
        <v>0.33700000000000002</v>
      </c>
      <c r="K222">
        <v>28485.37</v>
      </c>
      <c r="L222">
        <v>0</v>
      </c>
      <c r="M222">
        <v>8531.36</v>
      </c>
      <c r="N222">
        <v>2023</v>
      </c>
      <c r="O222">
        <v>4</v>
      </c>
    </row>
    <row r="223" spans="1:15" x14ac:dyDescent="0.3">
      <c r="A223">
        <v>36414</v>
      </c>
      <c r="B223">
        <v>3204708</v>
      </c>
      <c r="C223" t="s">
        <v>80</v>
      </c>
      <c r="D223">
        <v>0.85199999999999998</v>
      </c>
      <c r="E223">
        <v>3129120.16</v>
      </c>
      <c r="F223">
        <v>0</v>
      </c>
      <c r="G223">
        <v>3129120.16</v>
      </c>
      <c r="H223">
        <v>33819</v>
      </c>
      <c r="I223">
        <v>1225453.3700000001</v>
      </c>
      <c r="J223">
        <v>1.169</v>
      </c>
      <c r="K223">
        <v>57374.79</v>
      </c>
      <c r="L223">
        <v>0</v>
      </c>
      <c r="M223">
        <v>17183.73</v>
      </c>
      <c r="N223">
        <v>2023</v>
      </c>
      <c r="O223">
        <v>4</v>
      </c>
    </row>
    <row r="224" spans="1:15" x14ac:dyDescent="0.3">
      <c r="A224">
        <v>36415</v>
      </c>
      <c r="B224">
        <v>3204807</v>
      </c>
      <c r="C224" t="s">
        <v>81</v>
      </c>
      <c r="D224">
        <v>0.22600000000000001</v>
      </c>
      <c r="E224">
        <v>830024.84</v>
      </c>
      <c r="F224">
        <v>0</v>
      </c>
      <c r="G224">
        <v>830024.84</v>
      </c>
      <c r="H224">
        <v>8970.77</v>
      </c>
      <c r="I224">
        <v>308054.25</v>
      </c>
      <c r="J224">
        <v>0.436</v>
      </c>
      <c r="K224">
        <v>15219.13</v>
      </c>
      <c r="L224">
        <v>0</v>
      </c>
      <c r="M224">
        <v>4558.13</v>
      </c>
      <c r="N224">
        <v>2023</v>
      </c>
      <c r="O224">
        <v>4</v>
      </c>
    </row>
    <row r="225" spans="1:15" x14ac:dyDescent="0.3">
      <c r="A225">
        <v>36416</v>
      </c>
      <c r="B225">
        <v>3204906</v>
      </c>
      <c r="C225" t="s">
        <v>82</v>
      </c>
      <c r="D225">
        <v>1.901</v>
      </c>
      <c r="E225">
        <v>6981757.5300000003</v>
      </c>
      <c r="F225">
        <v>0</v>
      </c>
      <c r="G225">
        <v>6981757.5300000003</v>
      </c>
      <c r="H225">
        <v>75457.649999999994</v>
      </c>
      <c r="I225">
        <v>3252887.57</v>
      </c>
      <c r="J225">
        <v>3.0249999999999999</v>
      </c>
      <c r="K225">
        <v>128015.8</v>
      </c>
      <c r="L225">
        <v>0</v>
      </c>
      <c r="M225">
        <v>38340.699999999997</v>
      </c>
      <c r="N225">
        <v>2023</v>
      </c>
      <c r="O225">
        <v>4</v>
      </c>
    </row>
    <row r="226" spans="1:15" x14ac:dyDescent="0.3">
      <c r="A226">
        <v>36417</v>
      </c>
      <c r="B226">
        <v>3204955</v>
      </c>
      <c r="C226" t="s">
        <v>83</v>
      </c>
      <c r="D226">
        <v>0.312</v>
      </c>
      <c r="E226">
        <v>1145875</v>
      </c>
      <c r="F226">
        <v>0</v>
      </c>
      <c r="G226">
        <v>1145875</v>
      </c>
      <c r="H226">
        <v>12384.42</v>
      </c>
      <c r="I226">
        <v>413793.65</v>
      </c>
      <c r="J226">
        <v>0.46100000000000002</v>
      </c>
      <c r="K226">
        <v>21010.49</v>
      </c>
      <c r="L226">
        <v>0</v>
      </c>
      <c r="M226">
        <v>6292.63</v>
      </c>
      <c r="N226">
        <v>2023</v>
      </c>
      <c r="O226">
        <v>4</v>
      </c>
    </row>
    <row r="227" spans="1:15" x14ac:dyDescent="0.3">
      <c r="A227">
        <v>36418</v>
      </c>
      <c r="B227">
        <v>3205002</v>
      </c>
      <c r="C227" t="s">
        <v>84</v>
      </c>
      <c r="D227">
        <v>15.625</v>
      </c>
      <c r="E227">
        <v>57385566.350000001</v>
      </c>
      <c r="F227">
        <v>0</v>
      </c>
      <c r="G227">
        <v>57385566.350000001</v>
      </c>
      <c r="H227">
        <v>620213.48</v>
      </c>
      <c r="I227">
        <v>14044667.880000001</v>
      </c>
      <c r="J227">
        <v>8.4320000000000004</v>
      </c>
      <c r="K227">
        <v>1052207.76</v>
      </c>
      <c r="L227">
        <v>0</v>
      </c>
      <c r="M227">
        <v>315135.93</v>
      </c>
      <c r="N227">
        <v>2023</v>
      </c>
      <c r="O227">
        <v>4</v>
      </c>
    </row>
    <row r="228" spans="1:15" x14ac:dyDescent="0.3">
      <c r="A228">
        <v>36419</v>
      </c>
      <c r="B228">
        <v>3205010</v>
      </c>
      <c r="C228" t="s">
        <v>85</v>
      </c>
      <c r="D228">
        <v>0.72199999999999998</v>
      </c>
      <c r="E228">
        <v>2651672.2599999998</v>
      </c>
      <c r="F228">
        <v>0</v>
      </c>
      <c r="G228">
        <v>2651672.2599999998</v>
      </c>
      <c r="H228">
        <v>28658.82</v>
      </c>
      <c r="I228">
        <v>526949.68999999994</v>
      </c>
      <c r="J228">
        <v>0.997</v>
      </c>
      <c r="K228">
        <v>48620.42</v>
      </c>
      <c r="L228">
        <v>0</v>
      </c>
      <c r="M228">
        <v>14561.8</v>
      </c>
      <c r="N228">
        <v>2023</v>
      </c>
      <c r="O228">
        <v>4</v>
      </c>
    </row>
    <row r="229" spans="1:15" x14ac:dyDescent="0.3">
      <c r="A229">
        <v>36420</v>
      </c>
      <c r="B229">
        <v>3205036</v>
      </c>
      <c r="C229" t="s">
        <v>86</v>
      </c>
      <c r="D229">
        <v>0.49099999999999999</v>
      </c>
      <c r="E229">
        <v>1803284.05</v>
      </c>
      <c r="F229">
        <v>0</v>
      </c>
      <c r="G229">
        <v>1803284.05</v>
      </c>
      <c r="H229">
        <v>19489.59</v>
      </c>
      <c r="I229">
        <v>694034.47</v>
      </c>
      <c r="J229">
        <v>0.72699999999999998</v>
      </c>
      <c r="K229">
        <v>33064.57</v>
      </c>
      <c r="L229">
        <v>0</v>
      </c>
      <c r="M229">
        <v>9902.83</v>
      </c>
      <c r="N229">
        <v>2023</v>
      </c>
      <c r="O229">
        <v>4</v>
      </c>
    </row>
    <row r="230" spans="1:15" x14ac:dyDescent="0.3">
      <c r="A230">
        <v>36421</v>
      </c>
      <c r="B230">
        <v>3205069</v>
      </c>
      <c r="C230" t="s">
        <v>87</v>
      </c>
      <c r="D230">
        <v>0.68700000000000006</v>
      </c>
      <c r="E230">
        <v>2523128.58</v>
      </c>
      <c r="F230">
        <v>0</v>
      </c>
      <c r="G230">
        <v>2523128.58</v>
      </c>
      <c r="H230">
        <v>27269.55</v>
      </c>
      <c r="I230">
        <v>1599963.37</v>
      </c>
      <c r="J230">
        <v>0.85799999999999998</v>
      </c>
      <c r="K230">
        <v>46263.47</v>
      </c>
      <c r="L230">
        <v>0</v>
      </c>
      <c r="M230">
        <v>13855.9</v>
      </c>
      <c r="N230">
        <v>2023</v>
      </c>
      <c r="O230">
        <v>4</v>
      </c>
    </row>
    <row r="231" spans="1:15" x14ac:dyDescent="0.3">
      <c r="A231">
        <v>36422</v>
      </c>
      <c r="B231">
        <v>2112803</v>
      </c>
      <c r="C231" t="s">
        <v>88</v>
      </c>
      <c r="D231">
        <v>2.9870000000000001</v>
      </c>
      <c r="E231">
        <v>10970283.939999999</v>
      </c>
      <c r="F231">
        <v>0</v>
      </c>
      <c r="G231">
        <v>10970283.939999999</v>
      </c>
      <c r="H231">
        <v>118564.97</v>
      </c>
      <c r="I231">
        <v>2498623.86</v>
      </c>
      <c r="J231">
        <v>1.984</v>
      </c>
      <c r="K231">
        <v>201148.45</v>
      </c>
      <c r="L231">
        <v>0</v>
      </c>
      <c r="M231">
        <v>60243.91</v>
      </c>
      <c r="N231">
        <v>2023</v>
      </c>
      <c r="O231">
        <v>4</v>
      </c>
    </row>
    <row r="232" spans="1:15" x14ac:dyDescent="0.3">
      <c r="A232">
        <v>36423</v>
      </c>
      <c r="B232">
        <v>3205150</v>
      </c>
      <c r="C232" t="s">
        <v>89</v>
      </c>
      <c r="D232">
        <v>0.31900000000000001</v>
      </c>
      <c r="E232">
        <v>1171583.72</v>
      </c>
      <c r="F232">
        <v>0</v>
      </c>
      <c r="G232">
        <v>1171583.72</v>
      </c>
      <c r="H232">
        <v>12662.28</v>
      </c>
      <c r="I232">
        <v>258218.37</v>
      </c>
      <c r="J232">
        <v>0.34399999999999997</v>
      </c>
      <c r="K232">
        <v>21481.88</v>
      </c>
      <c r="L232">
        <v>0</v>
      </c>
      <c r="M232">
        <v>6433.82</v>
      </c>
      <c r="N232">
        <v>2023</v>
      </c>
      <c r="O232">
        <v>4</v>
      </c>
    </row>
    <row r="233" spans="1:15" x14ac:dyDescent="0.3">
      <c r="A233">
        <v>36424</v>
      </c>
      <c r="B233">
        <v>3205176</v>
      </c>
      <c r="C233" t="s">
        <v>90</v>
      </c>
      <c r="D233">
        <v>0.65800000000000003</v>
      </c>
      <c r="E233">
        <v>2416620.9500000002</v>
      </c>
      <c r="F233">
        <v>0</v>
      </c>
      <c r="G233">
        <v>2416620.9500000002</v>
      </c>
      <c r="H233">
        <v>26118.43</v>
      </c>
      <c r="I233">
        <v>694298.45</v>
      </c>
      <c r="J233">
        <v>0.55600000000000005</v>
      </c>
      <c r="K233">
        <v>44310.58</v>
      </c>
      <c r="L233">
        <v>0</v>
      </c>
      <c r="M233">
        <v>13271</v>
      </c>
      <c r="N233">
        <v>2023</v>
      </c>
      <c r="O233">
        <v>4</v>
      </c>
    </row>
    <row r="234" spans="1:15" x14ac:dyDescent="0.3">
      <c r="A234">
        <v>36425</v>
      </c>
      <c r="B234">
        <v>3205200</v>
      </c>
      <c r="C234" t="s">
        <v>91</v>
      </c>
      <c r="D234">
        <v>5.056</v>
      </c>
      <c r="E234">
        <v>18569051.079999998</v>
      </c>
      <c r="F234">
        <v>0</v>
      </c>
      <c r="G234">
        <v>18569051.079999998</v>
      </c>
      <c r="H234">
        <v>200691.16</v>
      </c>
      <c r="I234">
        <v>18157707.16</v>
      </c>
      <c r="J234">
        <v>8.09</v>
      </c>
      <c r="K234">
        <v>340477.59</v>
      </c>
      <c r="L234">
        <v>0</v>
      </c>
      <c r="M234">
        <v>101972.95</v>
      </c>
      <c r="N234">
        <v>2023</v>
      </c>
      <c r="O234">
        <v>4</v>
      </c>
    </row>
    <row r="235" spans="1:15" x14ac:dyDescent="0.3">
      <c r="A235">
        <v>36426</v>
      </c>
      <c r="B235">
        <v>3205309</v>
      </c>
      <c r="C235" t="s">
        <v>92</v>
      </c>
      <c r="D235">
        <v>14.782</v>
      </c>
      <c r="E235">
        <v>54289500.159999996</v>
      </c>
      <c r="F235">
        <v>0</v>
      </c>
      <c r="G235">
        <v>54289500.159999996</v>
      </c>
      <c r="H235">
        <v>586751.72</v>
      </c>
      <c r="I235">
        <v>21572087.670000002</v>
      </c>
      <c r="J235">
        <v>9.4969999999999999</v>
      </c>
      <c r="K235">
        <v>995439.01</v>
      </c>
      <c r="L235">
        <v>0</v>
      </c>
      <c r="M235">
        <v>298133.71999999997</v>
      </c>
      <c r="N235">
        <v>2023</v>
      </c>
      <c r="O235">
        <v>4</v>
      </c>
    </row>
    <row r="236" spans="1:15" x14ac:dyDescent="0.3">
      <c r="A236">
        <v>36427</v>
      </c>
      <c r="B236">
        <v>3200102</v>
      </c>
      <c r="C236" t="s">
        <v>15</v>
      </c>
      <c r="D236">
        <v>0.76100000000000001</v>
      </c>
      <c r="E236">
        <v>2783213.02</v>
      </c>
      <c r="F236">
        <v>0</v>
      </c>
      <c r="G236">
        <v>2783213.02</v>
      </c>
      <c r="H236">
        <v>27163.79</v>
      </c>
      <c r="I236">
        <v>461933.46</v>
      </c>
      <c r="J236">
        <v>0.98499999999999999</v>
      </c>
      <c r="K236">
        <v>51076.01</v>
      </c>
      <c r="L236">
        <v>0</v>
      </c>
      <c r="M236">
        <v>0</v>
      </c>
      <c r="N236">
        <v>2023</v>
      </c>
      <c r="O236">
        <v>5</v>
      </c>
    </row>
    <row r="237" spans="1:15" x14ac:dyDescent="0.3">
      <c r="A237">
        <v>36428</v>
      </c>
      <c r="B237">
        <v>3200169</v>
      </c>
      <c r="C237" t="s">
        <v>16</v>
      </c>
      <c r="D237">
        <v>0.28899999999999998</v>
      </c>
      <c r="E237">
        <v>1056962.6399999999</v>
      </c>
      <c r="F237">
        <v>0</v>
      </c>
      <c r="G237">
        <v>1056962.6399999999</v>
      </c>
      <c r="H237">
        <v>10315.82</v>
      </c>
      <c r="I237">
        <v>167373.19</v>
      </c>
      <c r="J237">
        <v>0.439</v>
      </c>
      <c r="K237">
        <v>19396.810000000001</v>
      </c>
      <c r="L237">
        <v>0</v>
      </c>
      <c r="M237">
        <v>0</v>
      </c>
      <c r="N237">
        <v>2023</v>
      </c>
      <c r="O237">
        <v>5</v>
      </c>
    </row>
    <row r="238" spans="1:15" x14ac:dyDescent="0.3">
      <c r="A238">
        <v>36429</v>
      </c>
      <c r="B238">
        <v>3200136</v>
      </c>
      <c r="C238" t="s">
        <v>17</v>
      </c>
      <c r="D238">
        <v>0.40400000000000003</v>
      </c>
      <c r="E238">
        <v>1477553.3</v>
      </c>
      <c r="F238">
        <v>0</v>
      </c>
      <c r="G238">
        <v>1477553.3</v>
      </c>
      <c r="H238">
        <v>14420.73</v>
      </c>
      <c r="I238">
        <v>222565.7</v>
      </c>
      <c r="J238">
        <v>0.34799999999999998</v>
      </c>
      <c r="K238">
        <v>27115.25</v>
      </c>
      <c r="L238">
        <v>0</v>
      </c>
      <c r="M238">
        <v>0</v>
      </c>
      <c r="N238">
        <v>2023</v>
      </c>
      <c r="O238">
        <v>5</v>
      </c>
    </row>
    <row r="239" spans="1:15" x14ac:dyDescent="0.3">
      <c r="A239">
        <v>36430</v>
      </c>
      <c r="B239">
        <v>3200201</v>
      </c>
      <c r="C239" t="s">
        <v>18</v>
      </c>
      <c r="D239">
        <v>0.498</v>
      </c>
      <c r="E239">
        <v>1821340.44</v>
      </c>
      <c r="F239">
        <v>0</v>
      </c>
      <c r="G239">
        <v>1821340.44</v>
      </c>
      <c r="H239">
        <v>17776.04</v>
      </c>
      <c r="I239">
        <v>441732.96</v>
      </c>
      <c r="J239">
        <v>0.98</v>
      </c>
      <c r="K239">
        <v>33424.25</v>
      </c>
      <c r="L239">
        <v>0</v>
      </c>
      <c r="M239">
        <v>0</v>
      </c>
      <c r="N239">
        <v>2023</v>
      </c>
      <c r="O239">
        <v>5</v>
      </c>
    </row>
    <row r="240" spans="1:15" x14ac:dyDescent="0.3">
      <c r="A240">
        <v>36431</v>
      </c>
      <c r="B240">
        <v>3200300</v>
      </c>
      <c r="C240" t="s">
        <v>19</v>
      </c>
      <c r="D240">
        <v>0.46700000000000003</v>
      </c>
      <c r="E240">
        <v>1707963.83</v>
      </c>
      <c r="F240">
        <v>0</v>
      </c>
      <c r="G240">
        <v>1707963.83</v>
      </c>
      <c r="H240">
        <v>16669.5</v>
      </c>
      <c r="I240">
        <v>407704.18</v>
      </c>
      <c r="J240">
        <v>0.56399999999999995</v>
      </c>
      <c r="K240">
        <v>31343.62</v>
      </c>
      <c r="L240">
        <v>0</v>
      </c>
      <c r="M240">
        <v>0</v>
      </c>
      <c r="N240">
        <v>2023</v>
      </c>
      <c r="O240">
        <v>5</v>
      </c>
    </row>
    <row r="241" spans="1:15" x14ac:dyDescent="0.3">
      <c r="A241">
        <v>36432</v>
      </c>
      <c r="B241">
        <v>3200359</v>
      </c>
      <c r="C241" t="s">
        <v>20</v>
      </c>
      <c r="D241">
        <v>0.22600000000000001</v>
      </c>
      <c r="E241">
        <v>826552.07</v>
      </c>
      <c r="F241">
        <v>0</v>
      </c>
      <c r="G241">
        <v>826552.07</v>
      </c>
      <c r="H241">
        <v>8067.04</v>
      </c>
      <c r="I241">
        <v>115669.8</v>
      </c>
      <c r="J241">
        <v>0.32700000000000001</v>
      </c>
      <c r="K241">
        <v>15168.43</v>
      </c>
      <c r="L241">
        <v>0</v>
      </c>
      <c r="M241">
        <v>0</v>
      </c>
      <c r="N241">
        <v>2023</v>
      </c>
      <c r="O241">
        <v>5</v>
      </c>
    </row>
    <row r="242" spans="1:15" x14ac:dyDescent="0.3">
      <c r="A242">
        <v>36433</v>
      </c>
      <c r="B242">
        <v>3200409</v>
      </c>
      <c r="C242" t="s">
        <v>21</v>
      </c>
      <c r="D242">
        <v>3.1480000000000001</v>
      </c>
      <c r="E242">
        <v>11513212.26</v>
      </c>
      <c r="F242">
        <v>0</v>
      </c>
      <c r="G242">
        <v>11513212.26</v>
      </c>
      <c r="H242">
        <v>112367.44</v>
      </c>
      <c r="I242">
        <v>550085</v>
      </c>
      <c r="J242">
        <v>0.90800000000000003</v>
      </c>
      <c r="K242">
        <v>211284.19</v>
      </c>
      <c r="L242">
        <v>0</v>
      </c>
      <c r="M242">
        <v>0</v>
      </c>
      <c r="N242">
        <v>2023</v>
      </c>
      <c r="O242">
        <v>5</v>
      </c>
    </row>
    <row r="243" spans="1:15" x14ac:dyDescent="0.3">
      <c r="A243">
        <v>36434</v>
      </c>
      <c r="B243">
        <v>3200508</v>
      </c>
      <c r="C243" t="s">
        <v>22</v>
      </c>
      <c r="D243">
        <v>0.185</v>
      </c>
      <c r="E243">
        <v>676602.37</v>
      </c>
      <c r="F243">
        <v>0</v>
      </c>
      <c r="G243">
        <v>676602.37</v>
      </c>
      <c r="H243">
        <v>6603.55</v>
      </c>
      <c r="I243">
        <v>197078.84</v>
      </c>
      <c r="J243">
        <v>0.32300000000000001</v>
      </c>
      <c r="K243">
        <v>12416.63</v>
      </c>
      <c r="L243">
        <v>0</v>
      </c>
      <c r="M243">
        <v>0</v>
      </c>
      <c r="N243">
        <v>2023</v>
      </c>
      <c r="O243">
        <v>5</v>
      </c>
    </row>
    <row r="244" spans="1:15" x14ac:dyDescent="0.3">
      <c r="A244">
        <v>36435</v>
      </c>
      <c r="B244">
        <v>3200607</v>
      </c>
      <c r="C244" t="s">
        <v>23</v>
      </c>
      <c r="D244">
        <v>2.9220000000000002</v>
      </c>
      <c r="E244">
        <v>10686660.18</v>
      </c>
      <c r="F244">
        <v>0</v>
      </c>
      <c r="G244">
        <v>10686660.18</v>
      </c>
      <c r="H244">
        <v>104300.4</v>
      </c>
      <c r="I244">
        <v>2118737.37</v>
      </c>
      <c r="J244">
        <v>2.5089999999999999</v>
      </c>
      <c r="K244">
        <v>196115.76</v>
      </c>
      <c r="L244">
        <v>0</v>
      </c>
      <c r="M244">
        <v>0</v>
      </c>
      <c r="N244">
        <v>2023</v>
      </c>
      <c r="O244">
        <v>5</v>
      </c>
    </row>
    <row r="245" spans="1:15" x14ac:dyDescent="0.3">
      <c r="A245">
        <v>36436</v>
      </c>
      <c r="B245">
        <v>3200706</v>
      </c>
      <c r="C245" t="s">
        <v>24</v>
      </c>
      <c r="D245">
        <v>0.35399999999999998</v>
      </c>
      <c r="E245">
        <v>1294687.78</v>
      </c>
      <c r="F245">
        <v>0</v>
      </c>
      <c r="G245">
        <v>1294687.78</v>
      </c>
      <c r="H245">
        <v>12635.98</v>
      </c>
      <c r="I245">
        <v>169504.04</v>
      </c>
      <c r="J245">
        <v>0.45700000000000002</v>
      </c>
      <c r="K245">
        <v>23759.4</v>
      </c>
      <c r="L245">
        <v>0</v>
      </c>
      <c r="M245">
        <v>0</v>
      </c>
      <c r="N245">
        <v>2023</v>
      </c>
      <c r="O245">
        <v>5</v>
      </c>
    </row>
    <row r="246" spans="1:15" x14ac:dyDescent="0.3">
      <c r="A246">
        <v>36437</v>
      </c>
      <c r="B246">
        <v>3200805</v>
      </c>
      <c r="C246" t="s">
        <v>25</v>
      </c>
      <c r="D246">
        <v>0.60699999999999998</v>
      </c>
      <c r="E246">
        <v>2219987.2400000002</v>
      </c>
      <c r="F246">
        <v>0</v>
      </c>
      <c r="G246">
        <v>2219987.2400000002</v>
      </c>
      <c r="H246">
        <v>21666.78</v>
      </c>
      <c r="I246">
        <v>825218.81</v>
      </c>
      <c r="J246">
        <v>0.997</v>
      </c>
      <c r="K246">
        <v>40739.99</v>
      </c>
      <c r="L246">
        <v>0</v>
      </c>
      <c r="M246">
        <v>0</v>
      </c>
      <c r="N246">
        <v>2023</v>
      </c>
      <c r="O246">
        <v>5</v>
      </c>
    </row>
    <row r="247" spans="1:15" x14ac:dyDescent="0.3">
      <c r="A247">
        <v>36438</v>
      </c>
      <c r="B247">
        <v>3200904</v>
      </c>
      <c r="C247" t="s">
        <v>26</v>
      </c>
      <c r="D247">
        <v>1.0289999999999999</v>
      </c>
      <c r="E247">
        <v>3763372.1</v>
      </c>
      <c r="F247">
        <v>0</v>
      </c>
      <c r="G247">
        <v>3763372.1</v>
      </c>
      <c r="H247">
        <v>36730.019999999997</v>
      </c>
      <c r="I247">
        <v>1023025.52</v>
      </c>
      <c r="J247">
        <v>1.321</v>
      </c>
      <c r="K247">
        <v>69063.350000000006</v>
      </c>
      <c r="L247">
        <v>0</v>
      </c>
      <c r="M247">
        <v>0</v>
      </c>
      <c r="N247">
        <v>2023</v>
      </c>
      <c r="O247">
        <v>5</v>
      </c>
    </row>
    <row r="248" spans="1:15" x14ac:dyDescent="0.3">
      <c r="A248">
        <v>36439</v>
      </c>
      <c r="B248">
        <v>3107109</v>
      </c>
      <c r="C248" t="s">
        <v>27</v>
      </c>
      <c r="D248">
        <v>0.39500000000000002</v>
      </c>
      <c r="E248">
        <v>1444637.5</v>
      </c>
      <c r="F248">
        <v>0</v>
      </c>
      <c r="G248">
        <v>1444637.5</v>
      </c>
      <c r="H248">
        <v>14099.47</v>
      </c>
      <c r="I248">
        <v>210775.09</v>
      </c>
      <c r="J248">
        <v>0.56899999999999995</v>
      </c>
      <c r="K248">
        <v>26511.200000000001</v>
      </c>
      <c r="L248">
        <v>0</v>
      </c>
      <c r="M248">
        <v>0</v>
      </c>
      <c r="N248">
        <v>2023</v>
      </c>
      <c r="O248">
        <v>5</v>
      </c>
    </row>
    <row r="249" spans="1:15" x14ac:dyDescent="0.3">
      <c r="A249">
        <v>36440</v>
      </c>
      <c r="B249">
        <v>3201100</v>
      </c>
      <c r="C249" t="s">
        <v>28</v>
      </c>
      <c r="D249">
        <v>0.17599999999999999</v>
      </c>
      <c r="E249">
        <v>643686.56999999995</v>
      </c>
      <c r="F249">
        <v>0</v>
      </c>
      <c r="G249">
        <v>643686.56999999995</v>
      </c>
      <c r="H249">
        <v>6282.3</v>
      </c>
      <c r="I249">
        <v>494564.62</v>
      </c>
      <c r="J249">
        <v>0.43</v>
      </c>
      <c r="K249">
        <v>11812.58</v>
      </c>
      <c r="L249">
        <v>0</v>
      </c>
      <c r="M249">
        <v>0</v>
      </c>
      <c r="N249">
        <v>2023</v>
      </c>
      <c r="O249">
        <v>5</v>
      </c>
    </row>
    <row r="250" spans="1:15" x14ac:dyDescent="0.3">
      <c r="A250">
        <v>36441</v>
      </c>
      <c r="B250">
        <v>3201159</v>
      </c>
      <c r="C250" t="s">
        <v>29</v>
      </c>
      <c r="D250">
        <v>0.42099999999999999</v>
      </c>
      <c r="E250">
        <v>1539727.56</v>
      </c>
      <c r="F250">
        <v>0</v>
      </c>
      <c r="G250">
        <v>1539727.56</v>
      </c>
      <c r="H250">
        <v>15027.54</v>
      </c>
      <c r="I250">
        <v>204608.38</v>
      </c>
      <c r="J250">
        <v>0.46</v>
      </c>
      <c r="K250">
        <v>28256.240000000002</v>
      </c>
      <c r="L250">
        <v>0</v>
      </c>
      <c r="M250">
        <v>0</v>
      </c>
      <c r="N250">
        <v>2023</v>
      </c>
      <c r="O250">
        <v>5</v>
      </c>
    </row>
    <row r="251" spans="1:15" x14ac:dyDescent="0.3">
      <c r="A251">
        <v>36442</v>
      </c>
      <c r="B251">
        <v>3201209</v>
      </c>
      <c r="C251" t="s">
        <v>30</v>
      </c>
      <c r="D251">
        <v>3.1120000000000001</v>
      </c>
      <c r="E251">
        <v>11381549.130000001</v>
      </c>
      <c r="F251">
        <v>0</v>
      </c>
      <c r="G251">
        <v>11381549.130000001</v>
      </c>
      <c r="H251">
        <v>111082.43</v>
      </c>
      <c r="I251">
        <v>4169108.4</v>
      </c>
      <c r="J251">
        <v>4.4820000000000002</v>
      </c>
      <c r="K251">
        <v>208867.98</v>
      </c>
      <c r="L251">
        <v>0</v>
      </c>
      <c r="M251">
        <v>0</v>
      </c>
      <c r="N251">
        <v>2023</v>
      </c>
      <c r="O251">
        <v>5</v>
      </c>
    </row>
    <row r="252" spans="1:15" x14ac:dyDescent="0.3">
      <c r="A252">
        <v>36443</v>
      </c>
      <c r="B252">
        <v>3201308</v>
      </c>
      <c r="C252" t="s">
        <v>31</v>
      </c>
      <c r="D252">
        <v>7.2990000000000004</v>
      </c>
      <c r="E252">
        <v>26694706.620000001</v>
      </c>
      <c r="F252">
        <v>0</v>
      </c>
      <c r="G252">
        <v>26694706.620000001</v>
      </c>
      <c r="H252">
        <v>260536.83</v>
      </c>
      <c r="I252">
        <v>6137158.1600000001</v>
      </c>
      <c r="J252">
        <v>6.6040000000000001</v>
      </c>
      <c r="K252">
        <v>489886.69</v>
      </c>
      <c r="L252">
        <v>0</v>
      </c>
      <c r="M252">
        <v>0</v>
      </c>
      <c r="N252">
        <v>2023</v>
      </c>
      <c r="O252">
        <v>5</v>
      </c>
    </row>
    <row r="253" spans="1:15" x14ac:dyDescent="0.3">
      <c r="A253">
        <v>36444</v>
      </c>
      <c r="B253">
        <v>3201407</v>
      </c>
      <c r="C253" t="s">
        <v>32</v>
      </c>
      <c r="D253">
        <v>0.89900000000000002</v>
      </c>
      <c r="E253">
        <v>3287921.82</v>
      </c>
      <c r="F253">
        <v>0</v>
      </c>
      <c r="G253">
        <v>3287921.82</v>
      </c>
      <c r="H253">
        <v>32089.69</v>
      </c>
      <c r="I253">
        <v>1077668.3999999999</v>
      </c>
      <c r="J253">
        <v>1.155</v>
      </c>
      <c r="K253">
        <v>60338.15</v>
      </c>
      <c r="L253">
        <v>0</v>
      </c>
      <c r="M253">
        <v>0</v>
      </c>
      <c r="N253">
        <v>2023</v>
      </c>
      <c r="O253">
        <v>5</v>
      </c>
    </row>
    <row r="254" spans="1:15" x14ac:dyDescent="0.3">
      <c r="A254">
        <v>36445</v>
      </c>
      <c r="B254">
        <v>3201506</v>
      </c>
      <c r="C254" t="s">
        <v>33</v>
      </c>
      <c r="D254">
        <v>2.2320000000000002</v>
      </c>
      <c r="E254">
        <v>8163116.2199999997</v>
      </c>
      <c r="F254">
        <v>0</v>
      </c>
      <c r="G254">
        <v>8163116.2199999997</v>
      </c>
      <c r="H254">
        <v>79670.94</v>
      </c>
      <c r="I254">
        <v>3203137.97</v>
      </c>
      <c r="J254">
        <v>2.8220000000000001</v>
      </c>
      <c r="K254">
        <v>149805.06</v>
      </c>
      <c r="L254">
        <v>0</v>
      </c>
      <c r="M254">
        <v>0</v>
      </c>
      <c r="N254">
        <v>2023</v>
      </c>
      <c r="O254">
        <v>5</v>
      </c>
    </row>
    <row r="255" spans="1:15" x14ac:dyDescent="0.3">
      <c r="A255">
        <v>36446</v>
      </c>
      <c r="B255">
        <v>3201605</v>
      </c>
      <c r="C255" t="s">
        <v>34</v>
      </c>
      <c r="D255">
        <v>0.79400000000000004</v>
      </c>
      <c r="E255">
        <v>2903904.24</v>
      </c>
      <c r="F255">
        <v>0</v>
      </c>
      <c r="G255">
        <v>2903904.24</v>
      </c>
      <c r="H255">
        <v>28341.72</v>
      </c>
      <c r="I255">
        <v>316153.71999999997</v>
      </c>
      <c r="J255">
        <v>0.999</v>
      </c>
      <c r="K255">
        <v>53290.86</v>
      </c>
      <c r="L255">
        <v>0</v>
      </c>
      <c r="M255">
        <v>0</v>
      </c>
      <c r="N255">
        <v>2023</v>
      </c>
      <c r="O255">
        <v>5</v>
      </c>
    </row>
    <row r="256" spans="1:15" x14ac:dyDescent="0.3">
      <c r="A256">
        <v>36447</v>
      </c>
      <c r="B256">
        <v>3201704</v>
      </c>
      <c r="C256" t="s">
        <v>35</v>
      </c>
      <c r="D256">
        <v>0.46</v>
      </c>
      <c r="E256">
        <v>1682362.68</v>
      </c>
      <c r="F256">
        <v>0</v>
      </c>
      <c r="G256">
        <v>1682362.68</v>
      </c>
      <c r="H256">
        <v>16419.64</v>
      </c>
      <c r="I256">
        <v>226433.82</v>
      </c>
      <c r="J256">
        <v>0.46500000000000002</v>
      </c>
      <c r="K256">
        <v>30873.8</v>
      </c>
      <c r="L256">
        <v>0</v>
      </c>
      <c r="M256">
        <v>0</v>
      </c>
      <c r="N256">
        <v>2023</v>
      </c>
      <c r="O256">
        <v>5</v>
      </c>
    </row>
    <row r="257" spans="1:15" x14ac:dyDescent="0.3">
      <c r="A257">
        <v>36448</v>
      </c>
      <c r="B257">
        <v>3201803</v>
      </c>
      <c r="C257" t="s">
        <v>36</v>
      </c>
      <c r="D257">
        <v>0.182</v>
      </c>
      <c r="E257">
        <v>665630.46</v>
      </c>
      <c r="F257">
        <v>0</v>
      </c>
      <c r="G257">
        <v>665630.46</v>
      </c>
      <c r="H257">
        <v>6496.47</v>
      </c>
      <c r="I257">
        <v>57902.95</v>
      </c>
      <c r="J257">
        <v>0.28299999999999997</v>
      </c>
      <c r="K257">
        <v>12215.29</v>
      </c>
      <c r="L257">
        <v>0</v>
      </c>
      <c r="M257">
        <v>0</v>
      </c>
      <c r="N257">
        <v>2023</v>
      </c>
      <c r="O257">
        <v>5</v>
      </c>
    </row>
    <row r="258" spans="1:15" x14ac:dyDescent="0.3">
      <c r="A258">
        <v>36449</v>
      </c>
      <c r="B258">
        <v>3201902</v>
      </c>
      <c r="C258" t="s">
        <v>37</v>
      </c>
      <c r="D258">
        <v>1.268</v>
      </c>
      <c r="E258">
        <v>4637469.22</v>
      </c>
      <c r="F258">
        <v>0</v>
      </c>
      <c r="G258">
        <v>4637469.22</v>
      </c>
      <c r="H258">
        <v>45261.09</v>
      </c>
      <c r="I258">
        <v>835741.89</v>
      </c>
      <c r="J258">
        <v>1.0309999999999999</v>
      </c>
      <c r="K258">
        <v>85104.3</v>
      </c>
      <c r="L258">
        <v>0</v>
      </c>
      <c r="M258">
        <v>0</v>
      </c>
      <c r="N258">
        <v>2023</v>
      </c>
      <c r="O258">
        <v>5</v>
      </c>
    </row>
    <row r="259" spans="1:15" x14ac:dyDescent="0.3">
      <c r="A259">
        <v>36450</v>
      </c>
      <c r="B259">
        <v>3202009</v>
      </c>
      <c r="C259" t="s">
        <v>38</v>
      </c>
      <c r="D259">
        <v>0.27</v>
      </c>
      <c r="E259">
        <v>987473.72</v>
      </c>
      <c r="F259">
        <v>0</v>
      </c>
      <c r="G259">
        <v>987473.72</v>
      </c>
      <c r="H259">
        <v>9637.61</v>
      </c>
      <c r="I259">
        <v>185784.53</v>
      </c>
      <c r="J259">
        <v>0.314</v>
      </c>
      <c r="K259">
        <v>18121.580000000002</v>
      </c>
      <c r="L259">
        <v>0</v>
      </c>
      <c r="M259">
        <v>0</v>
      </c>
      <c r="N259">
        <v>2023</v>
      </c>
      <c r="O259">
        <v>5</v>
      </c>
    </row>
    <row r="260" spans="1:15" x14ac:dyDescent="0.3">
      <c r="A260">
        <v>36451</v>
      </c>
      <c r="B260">
        <v>3202108</v>
      </c>
      <c r="C260" t="s">
        <v>39</v>
      </c>
      <c r="D260">
        <v>0.69399999999999995</v>
      </c>
      <c r="E260">
        <v>2538173.23</v>
      </c>
      <c r="F260">
        <v>0</v>
      </c>
      <c r="G260">
        <v>2538173.23</v>
      </c>
      <c r="H260">
        <v>24772.240000000002</v>
      </c>
      <c r="I260">
        <v>299882.64</v>
      </c>
      <c r="J260">
        <v>0.81599999999999995</v>
      </c>
      <c r="K260">
        <v>46579.17</v>
      </c>
      <c r="L260">
        <v>0</v>
      </c>
      <c r="M260">
        <v>0</v>
      </c>
      <c r="N260">
        <v>2023</v>
      </c>
      <c r="O260">
        <v>5</v>
      </c>
    </row>
    <row r="261" spans="1:15" x14ac:dyDescent="0.3">
      <c r="A261">
        <v>36452</v>
      </c>
      <c r="B261">
        <v>3202207</v>
      </c>
      <c r="C261" t="s">
        <v>40</v>
      </c>
      <c r="D261">
        <v>0.28599999999999998</v>
      </c>
      <c r="E261">
        <v>1045990.73</v>
      </c>
      <c r="F261">
        <v>0</v>
      </c>
      <c r="G261">
        <v>1045990.73</v>
      </c>
      <c r="H261">
        <v>10208.73</v>
      </c>
      <c r="I261">
        <v>282210.62</v>
      </c>
      <c r="J261">
        <v>0.73399999999999999</v>
      </c>
      <c r="K261">
        <v>19195.45</v>
      </c>
      <c r="L261">
        <v>0</v>
      </c>
      <c r="M261">
        <v>0</v>
      </c>
      <c r="N261">
        <v>2023</v>
      </c>
      <c r="O261">
        <v>5</v>
      </c>
    </row>
    <row r="262" spans="1:15" x14ac:dyDescent="0.3">
      <c r="A262">
        <v>36453</v>
      </c>
      <c r="B262">
        <v>3202256</v>
      </c>
      <c r="C262" t="s">
        <v>41</v>
      </c>
      <c r="D262">
        <v>0.438</v>
      </c>
      <c r="E262">
        <v>1601901.81</v>
      </c>
      <c r="F262">
        <v>0</v>
      </c>
      <c r="G262">
        <v>1601901.81</v>
      </c>
      <c r="H262">
        <v>15634.35</v>
      </c>
      <c r="I262">
        <v>287006.84000000003</v>
      </c>
      <c r="J262">
        <v>0.46700000000000003</v>
      </c>
      <c r="K262">
        <v>29397.23</v>
      </c>
      <c r="L262">
        <v>0</v>
      </c>
      <c r="M262">
        <v>0</v>
      </c>
      <c r="N262">
        <v>2023</v>
      </c>
      <c r="O262">
        <v>5</v>
      </c>
    </row>
    <row r="263" spans="1:15" x14ac:dyDescent="0.3">
      <c r="A263">
        <v>36454</v>
      </c>
      <c r="B263">
        <v>3202306</v>
      </c>
      <c r="C263" t="s">
        <v>42</v>
      </c>
      <c r="D263">
        <v>0.35899999999999999</v>
      </c>
      <c r="E263">
        <v>1312974.33</v>
      </c>
      <c r="F263">
        <v>0</v>
      </c>
      <c r="G263">
        <v>1312974.33</v>
      </c>
      <c r="H263">
        <v>12814.46</v>
      </c>
      <c r="I263">
        <v>644551.71</v>
      </c>
      <c r="J263">
        <v>0.998</v>
      </c>
      <c r="K263">
        <v>24094.98</v>
      </c>
      <c r="L263">
        <v>0</v>
      </c>
      <c r="M263">
        <v>0</v>
      </c>
      <c r="N263">
        <v>2023</v>
      </c>
      <c r="O263">
        <v>5</v>
      </c>
    </row>
    <row r="264" spans="1:15" x14ac:dyDescent="0.3">
      <c r="A264">
        <v>36455</v>
      </c>
      <c r="B264">
        <v>3202405</v>
      </c>
      <c r="C264" t="s">
        <v>43</v>
      </c>
      <c r="D264">
        <v>0.81200000000000006</v>
      </c>
      <c r="E264">
        <v>2969735.84</v>
      </c>
      <c r="F264">
        <v>0</v>
      </c>
      <c r="G264">
        <v>2969735.84</v>
      </c>
      <c r="H264">
        <v>28984.23</v>
      </c>
      <c r="I264">
        <v>4144332.68</v>
      </c>
      <c r="J264">
        <v>2.8730000000000002</v>
      </c>
      <c r="K264">
        <v>54498.97</v>
      </c>
      <c r="L264">
        <v>0</v>
      </c>
      <c r="M264">
        <v>0</v>
      </c>
      <c r="N264">
        <v>2023</v>
      </c>
      <c r="O264">
        <v>5</v>
      </c>
    </row>
    <row r="265" spans="1:15" x14ac:dyDescent="0.3">
      <c r="A265">
        <v>36456</v>
      </c>
      <c r="B265">
        <v>3202454</v>
      </c>
      <c r="C265" t="s">
        <v>44</v>
      </c>
      <c r="D265">
        <v>0.372</v>
      </c>
      <c r="E265">
        <v>1360519.39</v>
      </c>
      <c r="F265">
        <v>0</v>
      </c>
      <c r="G265">
        <v>1360519.39</v>
      </c>
      <c r="H265">
        <v>13278.49</v>
      </c>
      <c r="I265">
        <v>593242.59</v>
      </c>
      <c r="J265">
        <v>0.86499999999999999</v>
      </c>
      <c r="K265">
        <v>24967.51</v>
      </c>
      <c r="L265">
        <v>0</v>
      </c>
      <c r="M265">
        <v>0</v>
      </c>
      <c r="N265">
        <v>2023</v>
      </c>
      <c r="O265">
        <v>5</v>
      </c>
    </row>
    <row r="266" spans="1:15" x14ac:dyDescent="0.3">
      <c r="A266">
        <v>36457</v>
      </c>
      <c r="B266">
        <v>3202504</v>
      </c>
      <c r="C266" t="s">
        <v>45</v>
      </c>
      <c r="D266">
        <v>0.23100000000000001</v>
      </c>
      <c r="E266">
        <v>844838.66</v>
      </c>
      <c r="F266">
        <v>0</v>
      </c>
      <c r="G266">
        <v>844838.66</v>
      </c>
      <c r="H266">
        <v>8245.51</v>
      </c>
      <c r="I266">
        <v>304533.05</v>
      </c>
      <c r="J266">
        <v>0.46300000000000002</v>
      </c>
      <c r="K266">
        <v>15504.02</v>
      </c>
      <c r="L266">
        <v>0</v>
      </c>
      <c r="M266">
        <v>0</v>
      </c>
      <c r="N266">
        <v>2023</v>
      </c>
      <c r="O266">
        <v>5</v>
      </c>
    </row>
    <row r="267" spans="1:15" x14ac:dyDescent="0.3">
      <c r="A267">
        <v>36458</v>
      </c>
      <c r="B267">
        <v>3202553</v>
      </c>
      <c r="C267" t="s">
        <v>46</v>
      </c>
      <c r="D267">
        <v>0.24299999999999999</v>
      </c>
      <c r="E267">
        <v>888726.37</v>
      </c>
      <c r="F267">
        <v>0</v>
      </c>
      <c r="G267">
        <v>888726.37</v>
      </c>
      <c r="H267">
        <v>8673.85</v>
      </c>
      <c r="I267">
        <v>149108.92000000001</v>
      </c>
      <c r="J267">
        <v>0.33800000000000002</v>
      </c>
      <c r="K267">
        <v>16309.42</v>
      </c>
      <c r="L267">
        <v>0</v>
      </c>
      <c r="M267">
        <v>0</v>
      </c>
      <c r="N267">
        <v>2023</v>
      </c>
      <c r="O267">
        <v>5</v>
      </c>
    </row>
    <row r="268" spans="1:15" x14ac:dyDescent="0.3">
      <c r="A268">
        <v>36459</v>
      </c>
      <c r="B268">
        <v>3202603</v>
      </c>
      <c r="C268" t="s">
        <v>47</v>
      </c>
      <c r="D268">
        <v>0.315</v>
      </c>
      <c r="E268">
        <v>1152052.71</v>
      </c>
      <c r="F268">
        <v>0</v>
      </c>
      <c r="G268">
        <v>1152052.71</v>
      </c>
      <c r="H268">
        <v>11243.88</v>
      </c>
      <c r="I268">
        <v>452151.29</v>
      </c>
      <c r="J268">
        <v>0.55600000000000005</v>
      </c>
      <c r="K268">
        <v>21141.84</v>
      </c>
      <c r="L268">
        <v>0</v>
      </c>
      <c r="M268">
        <v>0</v>
      </c>
      <c r="N268">
        <v>2023</v>
      </c>
      <c r="O268">
        <v>5</v>
      </c>
    </row>
    <row r="269" spans="1:15" x14ac:dyDescent="0.3">
      <c r="A269">
        <v>36460</v>
      </c>
      <c r="B269">
        <v>3202652</v>
      </c>
      <c r="C269" t="s">
        <v>48</v>
      </c>
      <c r="D269">
        <v>0.29899999999999999</v>
      </c>
      <c r="E269">
        <v>1093535.7</v>
      </c>
      <c r="F269">
        <v>0</v>
      </c>
      <c r="G269">
        <v>1093535.7</v>
      </c>
      <c r="H269">
        <v>10672.77</v>
      </c>
      <c r="I269">
        <v>315184.77</v>
      </c>
      <c r="J269">
        <v>0.55100000000000005</v>
      </c>
      <c r="K269">
        <v>20067.97</v>
      </c>
      <c r="L269">
        <v>0</v>
      </c>
      <c r="M269">
        <v>0</v>
      </c>
      <c r="N269">
        <v>2023</v>
      </c>
      <c r="O269">
        <v>5</v>
      </c>
    </row>
    <row r="270" spans="1:15" x14ac:dyDescent="0.3">
      <c r="A270">
        <v>36461</v>
      </c>
      <c r="B270">
        <v>3202702</v>
      </c>
      <c r="C270" t="s">
        <v>49</v>
      </c>
      <c r="D270">
        <v>0.31900000000000001</v>
      </c>
      <c r="E270">
        <v>1166681.8899999999</v>
      </c>
      <c r="F270">
        <v>0</v>
      </c>
      <c r="G270">
        <v>1166681.8899999999</v>
      </c>
      <c r="H270">
        <v>11386.66</v>
      </c>
      <c r="I270">
        <v>212030.85</v>
      </c>
      <c r="J270">
        <v>0.55500000000000005</v>
      </c>
      <c r="K270">
        <v>21410.31</v>
      </c>
      <c r="L270">
        <v>0</v>
      </c>
      <c r="M270">
        <v>0</v>
      </c>
      <c r="N270">
        <v>2023</v>
      </c>
      <c r="O270">
        <v>5</v>
      </c>
    </row>
    <row r="271" spans="1:15" x14ac:dyDescent="0.3">
      <c r="A271">
        <v>36462</v>
      </c>
      <c r="B271">
        <v>3202801</v>
      </c>
      <c r="C271" t="s">
        <v>50</v>
      </c>
      <c r="D271">
        <v>2.4550000000000001</v>
      </c>
      <c r="E271">
        <v>8978696.3599999994</v>
      </c>
      <c r="F271">
        <v>0</v>
      </c>
      <c r="G271">
        <v>8978696.3599999994</v>
      </c>
      <c r="H271">
        <v>87630.9</v>
      </c>
      <c r="I271">
        <v>512686.54</v>
      </c>
      <c r="J271">
        <v>1.0409999999999999</v>
      </c>
      <c r="K271">
        <v>164772.14000000001</v>
      </c>
      <c r="L271">
        <v>0</v>
      </c>
      <c r="M271">
        <v>0</v>
      </c>
      <c r="N271">
        <v>2023</v>
      </c>
      <c r="O271">
        <v>5</v>
      </c>
    </row>
    <row r="272" spans="1:15" x14ac:dyDescent="0.3">
      <c r="A272">
        <v>36463</v>
      </c>
      <c r="B272">
        <v>3202900</v>
      </c>
      <c r="C272" t="s">
        <v>51</v>
      </c>
      <c r="D272">
        <v>0.34799999999999998</v>
      </c>
      <c r="E272">
        <v>1272743.94</v>
      </c>
      <c r="F272">
        <v>0</v>
      </c>
      <c r="G272">
        <v>1272743.94</v>
      </c>
      <c r="H272">
        <v>12421.81</v>
      </c>
      <c r="I272">
        <v>255207.51</v>
      </c>
      <c r="J272">
        <v>0.435</v>
      </c>
      <c r="K272">
        <v>23356.7</v>
      </c>
      <c r="L272">
        <v>0</v>
      </c>
      <c r="M272">
        <v>0</v>
      </c>
      <c r="N272">
        <v>2023</v>
      </c>
      <c r="O272">
        <v>5</v>
      </c>
    </row>
    <row r="273" spans="1:15" x14ac:dyDescent="0.3">
      <c r="A273">
        <v>36464</v>
      </c>
      <c r="B273">
        <v>3203007</v>
      </c>
      <c r="C273" t="s">
        <v>52</v>
      </c>
      <c r="D273">
        <v>0.496</v>
      </c>
      <c r="E273">
        <v>1814025.81</v>
      </c>
      <c r="F273">
        <v>0</v>
      </c>
      <c r="G273">
        <v>1814025.81</v>
      </c>
      <c r="H273">
        <v>17704.650000000001</v>
      </c>
      <c r="I273">
        <v>531090.22</v>
      </c>
      <c r="J273">
        <v>0.89700000000000002</v>
      </c>
      <c r="K273">
        <v>33290.019999999997</v>
      </c>
      <c r="L273">
        <v>0</v>
      </c>
      <c r="M273">
        <v>0</v>
      </c>
      <c r="N273">
        <v>2023</v>
      </c>
      <c r="O273">
        <v>5</v>
      </c>
    </row>
    <row r="274" spans="1:15" x14ac:dyDescent="0.3">
      <c r="A274">
        <v>36465</v>
      </c>
      <c r="B274">
        <v>3203056</v>
      </c>
      <c r="C274" t="s">
        <v>53</v>
      </c>
      <c r="D274">
        <v>0.871</v>
      </c>
      <c r="E274">
        <v>3185517.14</v>
      </c>
      <c r="F274">
        <v>0</v>
      </c>
      <c r="G274">
        <v>3185517.14</v>
      </c>
      <c r="H274">
        <v>31090.23</v>
      </c>
      <c r="I274">
        <v>610169.34</v>
      </c>
      <c r="J274">
        <v>1</v>
      </c>
      <c r="K274">
        <v>58458.879999999997</v>
      </c>
      <c r="L274">
        <v>0</v>
      </c>
      <c r="M274">
        <v>0</v>
      </c>
      <c r="N274">
        <v>2023</v>
      </c>
      <c r="O274">
        <v>5</v>
      </c>
    </row>
    <row r="275" spans="1:15" x14ac:dyDescent="0.3">
      <c r="A275">
        <v>36466</v>
      </c>
      <c r="B275">
        <v>3203106</v>
      </c>
      <c r="C275" t="s">
        <v>54</v>
      </c>
      <c r="D275">
        <v>0.21</v>
      </c>
      <c r="E275">
        <v>768035.12</v>
      </c>
      <c r="F275">
        <v>0</v>
      </c>
      <c r="G275">
        <v>768035.12</v>
      </c>
      <c r="H275">
        <v>7495.92</v>
      </c>
      <c r="I275">
        <v>128636.69</v>
      </c>
      <c r="J275">
        <v>0.45800000000000002</v>
      </c>
      <c r="K275">
        <v>14094.56</v>
      </c>
      <c r="L275">
        <v>0</v>
      </c>
      <c r="M275">
        <v>0</v>
      </c>
      <c r="N275">
        <v>2023</v>
      </c>
      <c r="O275">
        <v>5</v>
      </c>
    </row>
    <row r="276" spans="1:15" x14ac:dyDescent="0.3">
      <c r="A276">
        <v>36467</v>
      </c>
      <c r="B276">
        <v>3203130</v>
      </c>
      <c r="C276" t="s">
        <v>55</v>
      </c>
      <c r="D276">
        <v>0.36199999999999999</v>
      </c>
      <c r="E276">
        <v>1323946.25</v>
      </c>
      <c r="F276">
        <v>0</v>
      </c>
      <c r="G276">
        <v>1323946.25</v>
      </c>
      <c r="H276">
        <v>12921.54</v>
      </c>
      <c r="I276">
        <v>337354.59</v>
      </c>
      <c r="J276">
        <v>0.66600000000000004</v>
      </c>
      <c r="K276">
        <v>24296.34</v>
      </c>
      <c r="L276">
        <v>0</v>
      </c>
      <c r="M276">
        <v>0</v>
      </c>
      <c r="N276">
        <v>2023</v>
      </c>
      <c r="O276">
        <v>5</v>
      </c>
    </row>
    <row r="277" spans="1:15" x14ac:dyDescent="0.3">
      <c r="A277">
        <v>36468</v>
      </c>
      <c r="B277">
        <v>3203163</v>
      </c>
      <c r="C277" t="s">
        <v>56</v>
      </c>
      <c r="D277">
        <v>0.373</v>
      </c>
      <c r="E277">
        <v>1364176.66</v>
      </c>
      <c r="F277">
        <v>0</v>
      </c>
      <c r="G277">
        <v>1364176.66</v>
      </c>
      <c r="H277">
        <v>13314.19</v>
      </c>
      <c r="I277">
        <v>154191.94</v>
      </c>
      <c r="J277">
        <v>0.441</v>
      </c>
      <c r="K277">
        <v>25034.62</v>
      </c>
      <c r="L277">
        <v>0</v>
      </c>
      <c r="M277">
        <v>0</v>
      </c>
      <c r="N277">
        <v>2023</v>
      </c>
      <c r="O277">
        <v>5</v>
      </c>
    </row>
    <row r="278" spans="1:15" x14ac:dyDescent="0.3">
      <c r="A278">
        <v>36469</v>
      </c>
      <c r="B278">
        <v>3203205</v>
      </c>
      <c r="C278" t="s">
        <v>57</v>
      </c>
      <c r="D278">
        <v>4.9790000000000001</v>
      </c>
      <c r="E278">
        <v>18209747.140000001</v>
      </c>
      <c r="F278">
        <v>0</v>
      </c>
      <c r="G278">
        <v>18209747.140000001</v>
      </c>
      <c r="H278">
        <v>177724.74</v>
      </c>
      <c r="I278">
        <v>3910249.61</v>
      </c>
      <c r="J278">
        <v>4.0880000000000001</v>
      </c>
      <c r="K278">
        <v>334175.34999999998</v>
      </c>
      <c r="L278">
        <v>0</v>
      </c>
      <c r="M278">
        <v>0</v>
      </c>
      <c r="N278">
        <v>2023</v>
      </c>
      <c r="O278">
        <v>5</v>
      </c>
    </row>
    <row r="279" spans="1:15" x14ac:dyDescent="0.3">
      <c r="A279">
        <v>36470</v>
      </c>
      <c r="B279">
        <v>3203304</v>
      </c>
      <c r="C279" t="s">
        <v>58</v>
      </c>
      <c r="D279">
        <v>0.27600000000000002</v>
      </c>
      <c r="E279">
        <v>1009417.58</v>
      </c>
      <c r="F279">
        <v>0</v>
      </c>
      <c r="G279">
        <v>1009417.58</v>
      </c>
      <c r="H279">
        <v>9851.7800000000007</v>
      </c>
      <c r="I279">
        <v>274244.71000000002</v>
      </c>
      <c r="J279">
        <v>0.57599999999999996</v>
      </c>
      <c r="K279">
        <v>18524.28</v>
      </c>
      <c r="L279">
        <v>0</v>
      </c>
      <c r="M279">
        <v>0</v>
      </c>
      <c r="N279">
        <v>2023</v>
      </c>
      <c r="O279">
        <v>5</v>
      </c>
    </row>
    <row r="280" spans="1:15" x14ac:dyDescent="0.3">
      <c r="A280">
        <v>36471</v>
      </c>
      <c r="B280">
        <v>3203320</v>
      </c>
      <c r="C280" t="s">
        <v>59</v>
      </c>
      <c r="D280">
        <v>0.65800000000000003</v>
      </c>
      <c r="E280">
        <v>2406510.06</v>
      </c>
      <c r="F280">
        <v>0</v>
      </c>
      <c r="G280">
        <v>2406510.06</v>
      </c>
      <c r="H280">
        <v>23487.22</v>
      </c>
      <c r="I280">
        <v>754240.7</v>
      </c>
      <c r="J280">
        <v>1.171</v>
      </c>
      <c r="K280">
        <v>44162.96</v>
      </c>
      <c r="L280">
        <v>0</v>
      </c>
      <c r="M280">
        <v>0</v>
      </c>
      <c r="N280">
        <v>2023</v>
      </c>
      <c r="O280">
        <v>5</v>
      </c>
    </row>
    <row r="281" spans="1:15" x14ac:dyDescent="0.3">
      <c r="A281">
        <v>36472</v>
      </c>
      <c r="B281">
        <v>3203346</v>
      </c>
      <c r="C281" t="s">
        <v>60</v>
      </c>
      <c r="D281">
        <v>0.61099999999999999</v>
      </c>
      <c r="E281">
        <v>2234616.52</v>
      </c>
      <c r="F281">
        <v>0</v>
      </c>
      <c r="G281">
        <v>2234616.52</v>
      </c>
      <c r="H281">
        <v>21809.56</v>
      </c>
      <c r="I281">
        <v>449246.18</v>
      </c>
      <c r="J281">
        <v>0.67100000000000004</v>
      </c>
      <c r="K281">
        <v>41008.46</v>
      </c>
      <c r="L281">
        <v>0</v>
      </c>
      <c r="M281">
        <v>0</v>
      </c>
      <c r="N281">
        <v>2023</v>
      </c>
      <c r="O281">
        <v>5</v>
      </c>
    </row>
    <row r="282" spans="1:15" x14ac:dyDescent="0.3">
      <c r="A282">
        <v>36473</v>
      </c>
      <c r="B282">
        <v>3203353</v>
      </c>
      <c r="C282" t="s">
        <v>61</v>
      </c>
      <c r="D282">
        <v>0.436</v>
      </c>
      <c r="E282">
        <v>1594587.23</v>
      </c>
      <c r="F282">
        <v>0</v>
      </c>
      <c r="G282">
        <v>1594587.23</v>
      </c>
      <c r="H282">
        <v>15562.96</v>
      </c>
      <c r="I282">
        <v>288231.02</v>
      </c>
      <c r="J282">
        <v>0.46700000000000003</v>
      </c>
      <c r="K282">
        <v>29263</v>
      </c>
      <c r="L282">
        <v>0</v>
      </c>
      <c r="M282">
        <v>0</v>
      </c>
      <c r="N282">
        <v>2023</v>
      </c>
      <c r="O282">
        <v>5</v>
      </c>
    </row>
    <row r="283" spans="1:15" x14ac:dyDescent="0.3">
      <c r="A283">
        <v>36474</v>
      </c>
      <c r="B283">
        <v>3203403</v>
      </c>
      <c r="C283" t="s">
        <v>62</v>
      </c>
      <c r="D283">
        <v>0.495</v>
      </c>
      <c r="E283">
        <v>1810368.52</v>
      </c>
      <c r="F283">
        <v>0</v>
      </c>
      <c r="G283">
        <v>1810368.52</v>
      </c>
      <c r="H283">
        <v>17668.96</v>
      </c>
      <c r="I283">
        <v>379695</v>
      </c>
      <c r="J283">
        <v>0.85599999999999998</v>
      </c>
      <c r="K283">
        <v>33222.89</v>
      </c>
      <c r="L283">
        <v>0</v>
      </c>
      <c r="M283">
        <v>0</v>
      </c>
      <c r="N283">
        <v>2023</v>
      </c>
      <c r="O283">
        <v>5</v>
      </c>
    </row>
    <row r="284" spans="1:15" x14ac:dyDescent="0.3">
      <c r="A284">
        <v>36475</v>
      </c>
      <c r="B284">
        <v>3203502</v>
      </c>
      <c r="C284" t="s">
        <v>63</v>
      </c>
      <c r="D284">
        <v>0.52100000000000002</v>
      </c>
      <c r="E284">
        <v>1905458.58</v>
      </c>
      <c r="F284">
        <v>0</v>
      </c>
      <c r="G284">
        <v>1905458.58</v>
      </c>
      <c r="H284">
        <v>18597.03</v>
      </c>
      <c r="I284">
        <v>349980.36</v>
      </c>
      <c r="J284">
        <v>0.69299999999999995</v>
      </c>
      <c r="K284">
        <v>34967.94</v>
      </c>
      <c r="L284">
        <v>0</v>
      </c>
      <c r="M284">
        <v>0</v>
      </c>
      <c r="N284">
        <v>2023</v>
      </c>
      <c r="O284">
        <v>5</v>
      </c>
    </row>
    <row r="285" spans="1:15" x14ac:dyDescent="0.3">
      <c r="A285">
        <v>36476</v>
      </c>
      <c r="B285">
        <v>3203601</v>
      </c>
      <c r="C285" t="s">
        <v>64</v>
      </c>
      <c r="D285">
        <v>0.28299999999999997</v>
      </c>
      <c r="E285">
        <v>1035018.77</v>
      </c>
      <c r="F285">
        <v>0</v>
      </c>
      <c r="G285">
        <v>1035018.77</v>
      </c>
      <c r="H285">
        <v>10101.65</v>
      </c>
      <c r="I285">
        <v>90389.7</v>
      </c>
      <c r="J285">
        <v>0.29799999999999999</v>
      </c>
      <c r="K285">
        <v>18994.099999999999</v>
      </c>
      <c r="L285">
        <v>0</v>
      </c>
      <c r="M285">
        <v>0</v>
      </c>
      <c r="N285">
        <v>2023</v>
      </c>
      <c r="O285">
        <v>5</v>
      </c>
    </row>
    <row r="286" spans="1:15" x14ac:dyDescent="0.3">
      <c r="A286">
        <v>36477</v>
      </c>
      <c r="B286">
        <v>3203700</v>
      </c>
      <c r="C286" t="s">
        <v>65</v>
      </c>
      <c r="D286">
        <v>0.54600000000000004</v>
      </c>
      <c r="E286">
        <v>1996891.32</v>
      </c>
      <c r="F286">
        <v>0</v>
      </c>
      <c r="G286">
        <v>1996891.32</v>
      </c>
      <c r="H286">
        <v>19489.400000000001</v>
      </c>
      <c r="I286">
        <v>234289.41</v>
      </c>
      <c r="J286">
        <v>0.67100000000000004</v>
      </c>
      <c r="K286">
        <v>36645.86</v>
      </c>
      <c r="L286">
        <v>0</v>
      </c>
      <c r="M286">
        <v>0</v>
      </c>
      <c r="N286">
        <v>2023</v>
      </c>
      <c r="O286">
        <v>5</v>
      </c>
    </row>
    <row r="287" spans="1:15" x14ac:dyDescent="0.3">
      <c r="A287">
        <v>36478</v>
      </c>
      <c r="B287">
        <v>3203809</v>
      </c>
      <c r="C287" t="s">
        <v>66</v>
      </c>
      <c r="D287">
        <v>0.28100000000000003</v>
      </c>
      <c r="E287">
        <v>1027704.14</v>
      </c>
      <c r="F287">
        <v>0</v>
      </c>
      <c r="G287">
        <v>1027704.14</v>
      </c>
      <c r="H287">
        <v>10030.26</v>
      </c>
      <c r="I287">
        <v>180947.4</v>
      </c>
      <c r="J287">
        <v>0.57499999999999996</v>
      </c>
      <c r="K287">
        <v>18859.87</v>
      </c>
      <c r="L287">
        <v>0</v>
      </c>
      <c r="M287">
        <v>0</v>
      </c>
      <c r="N287">
        <v>2023</v>
      </c>
      <c r="O287">
        <v>5</v>
      </c>
    </row>
    <row r="288" spans="1:15" x14ac:dyDescent="0.3">
      <c r="A288">
        <v>36479</v>
      </c>
      <c r="B288">
        <v>3203908</v>
      </c>
      <c r="C288" t="s">
        <v>67</v>
      </c>
      <c r="D288">
        <v>1.3109999999999999</v>
      </c>
      <c r="E288">
        <v>4794733.59</v>
      </c>
      <c r="F288">
        <v>0</v>
      </c>
      <c r="G288">
        <v>4794733.59</v>
      </c>
      <c r="H288">
        <v>46795.97</v>
      </c>
      <c r="I288">
        <v>1031998.56</v>
      </c>
      <c r="J288">
        <v>1.4650000000000001</v>
      </c>
      <c r="K288">
        <v>87990.33</v>
      </c>
      <c r="L288">
        <v>0</v>
      </c>
      <c r="M288">
        <v>0</v>
      </c>
      <c r="N288">
        <v>2023</v>
      </c>
      <c r="O288">
        <v>5</v>
      </c>
    </row>
    <row r="289" spans="1:15" x14ac:dyDescent="0.3">
      <c r="A289">
        <v>36480</v>
      </c>
      <c r="B289">
        <v>3204005</v>
      </c>
      <c r="C289" t="s">
        <v>68</v>
      </c>
      <c r="D289">
        <v>0.436</v>
      </c>
      <c r="E289">
        <v>1594587.23</v>
      </c>
      <c r="F289">
        <v>0</v>
      </c>
      <c r="G289">
        <v>1594587.23</v>
      </c>
      <c r="H289">
        <v>15562.96</v>
      </c>
      <c r="I289">
        <v>285226.56</v>
      </c>
      <c r="J289">
        <v>0.747</v>
      </c>
      <c r="K289">
        <v>29263</v>
      </c>
      <c r="L289">
        <v>0</v>
      </c>
      <c r="M289">
        <v>0</v>
      </c>
      <c r="N289">
        <v>2023</v>
      </c>
      <c r="O289">
        <v>5</v>
      </c>
    </row>
    <row r="290" spans="1:15" x14ac:dyDescent="0.3">
      <c r="A290">
        <v>36481</v>
      </c>
      <c r="B290">
        <v>3204054</v>
      </c>
      <c r="C290" t="s">
        <v>69</v>
      </c>
      <c r="D290">
        <v>0.307</v>
      </c>
      <c r="E290">
        <v>1122794.2</v>
      </c>
      <c r="F290">
        <v>0</v>
      </c>
      <c r="G290">
        <v>1122794.2</v>
      </c>
      <c r="H290">
        <v>10958.32</v>
      </c>
      <c r="I290">
        <v>399565.84</v>
      </c>
      <c r="J290">
        <v>0.86199999999999999</v>
      </c>
      <c r="K290">
        <v>20604.900000000001</v>
      </c>
      <c r="L290">
        <v>0</v>
      </c>
      <c r="M290">
        <v>0</v>
      </c>
      <c r="N290">
        <v>2023</v>
      </c>
      <c r="O290">
        <v>5</v>
      </c>
    </row>
    <row r="291" spans="1:15" x14ac:dyDescent="0.3">
      <c r="A291">
        <v>36482</v>
      </c>
      <c r="B291">
        <v>3204104</v>
      </c>
      <c r="C291" t="s">
        <v>70</v>
      </c>
      <c r="D291">
        <v>0.73199999999999998</v>
      </c>
      <c r="E291">
        <v>2677151</v>
      </c>
      <c r="F291">
        <v>0</v>
      </c>
      <c r="G291">
        <v>2677151</v>
      </c>
      <c r="H291">
        <v>26128.639999999999</v>
      </c>
      <c r="I291">
        <v>349102.02</v>
      </c>
      <c r="J291">
        <v>0.875</v>
      </c>
      <c r="K291">
        <v>49129.62</v>
      </c>
      <c r="L291">
        <v>0</v>
      </c>
      <c r="M291">
        <v>0</v>
      </c>
      <c r="N291">
        <v>2023</v>
      </c>
      <c r="O291">
        <v>5</v>
      </c>
    </row>
    <row r="292" spans="1:15" x14ac:dyDescent="0.3">
      <c r="A292">
        <v>36483</v>
      </c>
      <c r="B292">
        <v>3204203</v>
      </c>
      <c r="C292" t="s">
        <v>71</v>
      </c>
      <c r="D292">
        <v>0.14199999999999999</v>
      </c>
      <c r="E292">
        <v>519338.04</v>
      </c>
      <c r="F292">
        <v>0</v>
      </c>
      <c r="G292">
        <v>519338.04</v>
      </c>
      <c r="H292">
        <v>5068.67</v>
      </c>
      <c r="I292">
        <v>510804.61</v>
      </c>
      <c r="J292">
        <v>0.73399999999999999</v>
      </c>
      <c r="K292">
        <v>9530.61</v>
      </c>
      <c r="L292">
        <v>0</v>
      </c>
      <c r="M292">
        <v>0</v>
      </c>
      <c r="N292">
        <v>2023</v>
      </c>
      <c r="O292">
        <v>5</v>
      </c>
    </row>
    <row r="293" spans="1:15" x14ac:dyDescent="0.3">
      <c r="A293">
        <v>36484</v>
      </c>
      <c r="B293">
        <v>3204252</v>
      </c>
      <c r="C293" t="s">
        <v>72</v>
      </c>
      <c r="D293">
        <v>0.20899999999999999</v>
      </c>
      <c r="E293">
        <v>764377.84</v>
      </c>
      <c r="F293">
        <v>0</v>
      </c>
      <c r="G293">
        <v>764377.84</v>
      </c>
      <c r="H293">
        <v>7460.23</v>
      </c>
      <c r="I293">
        <v>71460.47</v>
      </c>
      <c r="J293">
        <v>0.32900000000000001</v>
      </c>
      <c r="K293">
        <v>14027.45</v>
      </c>
      <c r="L293">
        <v>0</v>
      </c>
      <c r="M293">
        <v>0</v>
      </c>
      <c r="N293">
        <v>2023</v>
      </c>
      <c r="O293">
        <v>5</v>
      </c>
    </row>
    <row r="294" spans="1:15" x14ac:dyDescent="0.3">
      <c r="A294">
        <v>36485</v>
      </c>
      <c r="B294">
        <v>1718402</v>
      </c>
      <c r="C294" t="s">
        <v>73</v>
      </c>
      <c r="D294">
        <v>0.32</v>
      </c>
      <c r="E294">
        <v>1170339.24</v>
      </c>
      <c r="F294">
        <v>0</v>
      </c>
      <c r="G294">
        <v>1170339.24</v>
      </c>
      <c r="H294">
        <v>11422.36</v>
      </c>
      <c r="I294">
        <v>343632.37</v>
      </c>
      <c r="J294">
        <v>0.45100000000000001</v>
      </c>
      <c r="K294">
        <v>21477.43</v>
      </c>
      <c r="L294">
        <v>0</v>
      </c>
      <c r="M294">
        <v>0</v>
      </c>
      <c r="N294">
        <v>2023</v>
      </c>
      <c r="O294">
        <v>5</v>
      </c>
    </row>
    <row r="295" spans="1:15" x14ac:dyDescent="0.3">
      <c r="A295">
        <v>36486</v>
      </c>
      <c r="B295">
        <v>3204351</v>
      </c>
      <c r="C295" t="s">
        <v>74</v>
      </c>
      <c r="D295">
        <v>0.85399999999999998</v>
      </c>
      <c r="E295">
        <v>3123342.83</v>
      </c>
      <c r="F295">
        <v>0</v>
      </c>
      <c r="G295">
        <v>3123342.83</v>
      </c>
      <c r="H295">
        <v>30483.42</v>
      </c>
      <c r="I295">
        <v>608669.43999999994</v>
      </c>
      <c r="J295">
        <v>0.69799999999999995</v>
      </c>
      <c r="K295">
        <v>57317.88</v>
      </c>
      <c r="L295">
        <v>0</v>
      </c>
      <c r="M295">
        <v>0</v>
      </c>
      <c r="N295">
        <v>2023</v>
      </c>
      <c r="O295">
        <v>5</v>
      </c>
    </row>
    <row r="296" spans="1:15" x14ac:dyDescent="0.3">
      <c r="A296">
        <v>36487</v>
      </c>
      <c r="B296">
        <v>3204401</v>
      </c>
      <c r="C296" t="s">
        <v>75</v>
      </c>
      <c r="D296">
        <v>0.25</v>
      </c>
      <c r="E296">
        <v>914327.55</v>
      </c>
      <c r="F296">
        <v>0</v>
      </c>
      <c r="G296">
        <v>914327.55</v>
      </c>
      <c r="H296">
        <v>8923.7199999999993</v>
      </c>
      <c r="I296">
        <v>198398.4</v>
      </c>
      <c r="J296">
        <v>0.45</v>
      </c>
      <c r="K296">
        <v>16779.240000000002</v>
      </c>
      <c r="L296">
        <v>0</v>
      </c>
      <c r="M296">
        <v>0</v>
      </c>
      <c r="N296">
        <v>2023</v>
      </c>
      <c r="O296">
        <v>5</v>
      </c>
    </row>
    <row r="297" spans="1:15" x14ac:dyDescent="0.3">
      <c r="A297">
        <v>36488</v>
      </c>
      <c r="B297">
        <v>3204500</v>
      </c>
      <c r="C297" t="s">
        <v>76</v>
      </c>
      <c r="D297">
        <v>0.54500000000000004</v>
      </c>
      <c r="E297">
        <v>1993234.03</v>
      </c>
      <c r="F297">
        <v>0</v>
      </c>
      <c r="G297">
        <v>1993234.03</v>
      </c>
      <c r="H297">
        <v>19453.7</v>
      </c>
      <c r="I297">
        <v>165812.09</v>
      </c>
      <c r="J297">
        <v>0.45600000000000002</v>
      </c>
      <c r="K297">
        <v>36578.74</v>
      </c>
      <c r="L297">
        <v>0</v>
      </c>
      <c r="M297">
        <v>0</v>
      </c>
      <c r="N297">
        <v>2023</v>
      </c>
      <c r="O297">
        <v>5</v>
      </c>
    </row>
    <row r="298" spans="1:15" x14ac:dyDescent="0.3">
      <c r="A298">
        <v>36489</v>
      </c>
      <c r="B298">
        <v>3204559</v>
      </c>
      <c r="C298" t="s">
        <v>77</v>
      </c>
      <c r="D298">
        <v>2.2349999999999999</v>
      </c>
      <c r="E298">
        <v>8174088.1299999999</v>
      </c>
      <c r="F298">
        <v>0</v>
      </c>
      <c r="G298">
        <v>8174088.1299999999</v>
      </c>
      <c r="H298">
        <v>79778.03</v>
      </c>
      <c r="I298">
        <v>1161141.56</v>
      </c>
      <c r="J298">
        <v>1.1990000000000001</v>
      </c>
      <c r="K298">
        <v>150006.39999999999</v>
      </c>
      <c r="L298">
        <v>0</v>
      </c>
      <c r="M298">
        <v>0</v>
      </c>
      <c r="N298">
        <v>2023</v>
      </c>
      <c r="O298">
        <v>5</v>
      </c>
    </row>
    <row r="299" spans="1:15" x14ac:dyDescent="0.3">
      <c r="A299">
        <v>36490</v>
      </c>
      <c r="B299">
        <v>3204609</v>
      </c>
      <c r="C299" t="s">
        <v>78</v>
      </c>
      <c r="D299">
        <v>0.65100000000000002</v>
      </c>
      <c r="E299">
        <v>2380908.89</v>
      </c>
      <c r="F299">
        <v>0</v>
      </c>
      <c r="G299">
        <v>2380908.89</v>
      </c>
      <c r="H299">
        <v>23237.360000000001</v>
      </c>
      <c r="I299">
        <v>581970.73</v>
      </c>
      <c r="J299">
        <v>0.82899999999999996</v>
      </c>
      <c r="K299">
        <v>43693.14</v>
      </c>
      <c r="L299">
        <v>0</v>
      </c>
      <c r="M299">
        <v>0</v>
      </c>
      <c r="N299">
        <v>2023</v>
      </c>
      <c r="O299">
        <v>5</v>
      </c>
    </row>
    <row r="300" spans="1:15" x14ac:dyDescent="0.3">
      <c r="A300">
        <v>36491</v>
      </c>
      <c r="B300">
        <v>3204658</v>
      </c>
      <c r="C300" t="s">
        <v>79</v>
      </c>
      <c r="D300">
        <v>0.42299999999999999</v>
      </c>
      <c r="E300">
        <v>1547042.18</v>
      </c>
      <c r="F300">
        <v>0</v>
      </c>
      <c r="G300">
        <v>1547042.18</v>
      </c>
      <c r="H300">
        <v>15098.93</v>
      </c>
      <c r="I300">
        <v>194026.81</v>
      </c>
      <c r="J300">
        <v>0.33700000000000002</v>
      </c>
      <c r="K300">
        <v>28390.47</v>
      </c>
      <c r="L300">
        <v>0</v>
      </c>
      <c r="M300">
        <v>0</v>
      </c>
      <c r="N300">
        <v>2023</v>
      </c>
      <c r="O300">
        <v>5</v>
      </c>
    </row>
    <row r="301" spans="1:15" x14ac:dyDescent="0.3">
      <c r="A301">
        <v>36492</v>
      </c>
      <c r="B301">
        <v>3204708</v>
      </c>
      <c r="C301" t="s">
        <v>80</v>
      </c>
      <c r="D301">
        <v>0.85199999999999998</v>
      </c>
      <c r="E301">
        <v>3116028.24</v>
      </c>
      <c r="F301">
        <v>0</v>
      </c>
      <c r="G301">
        <v>3116028.24</v>
      </c>
      <c r="H301">
        <v>30412.03</v>
      </c>
      <c r="I301">
        <v>709216.36</v>
      </c>
      <c r="J301">
        <v>1.169</v>
      </c>
      <c r="K301">
        <v>57183.65</v>
      </c>
      <c r="L301">
        <v>0</v>
      </c>
      <c r="M301">
        <v>0</v>
      </c>
      <c r="N301">
        <v>2023</v>
      </c>
      <c r="O301">
        <v>5</v>
      </c>
    </row>
    <row r="302" spans="1:15" x14ac:dyDescent="0.3">
      <c r="A302">
        <v>36493</v>
      </c>
      <c r="B302">
        <v>3204807</v>
      </c>
      <c r="C302" t="s">
        <v>81</v>
      </c>
      <c r="D302">
        <v>0.22600000000000001</v>
      </c>
      <c r="E302">
        <v>826552.07</v>
      </c>
      <c r="F302">
        <v>0</v>
      </c>
      <c r="G302">
        <v>826552.07</v>
      </c>
      <c r="H302">
        <v>8067.04</v>
      </c>
      <c r="I302">
        <v>143456.94</v>
      </c>
      <c r="J302">
        <v>0.436</v>
      </c>
      <c r="K302">
        <v>15168.43</v>
      </c>
      <c r="L302">
        <v>0</v>
      </c>
      <c r="M302">
        <v>0</v>
      </c>
      <c r="N302">
        <v>2023</v>
      </c>
      <c r="O302">
        <v>5</v>
      </c>
    </row>
    <row r="303" spans="1:15" x14ac:dyDescent="0.3">
      <c r="A303">
        <v>36494</v>
      </c>
      <c r="B303">
        <v>3204906</v>
      </c>
      <c r="C303" t="s">
        <v>82</v>
      </c>
      <c r="D303">
        <v>1.901</v>
      </c>
      <c r="E303">
        <v>6952546.5700000003</v>
      </c>
      <c r="F303">
        <v>0</v>
      </c>
      <c r="G303">
        <v>6952546.5700000003</v>
      </c>
      <c r="H303">
        <v>67855.94</v>
      </c>
      <c r="I303">
        <v>2261938.92</v>
      </c>
      <c r="J303">
        <v>3.0249999999999999</v>
      </c>
      <c r="K303">
        <v>127589.34</v>
      </c>
      <c r="L303">
        <v>0</v>
      </c>
      <c r="M303">
        <v>0</v>
      </c>
      <c r="N303">
        <v>2023</v>
      </c>
      <c r="O303">
        <v>5</v>
      </c>
    </row>
    <row r="304" spans="1:15" x14ac:dyDescent="0.3">
      <c r="A304">
        <v>36495</v>
      </c>
      <c r="B304">
        <v>3204955</v>
      </c>
      <c r="C304" t="s">
        <v>83</v>
      </c>
      <c r="D304">
        <v>0.312</v>
      </c>
      <c r="E304">
        <v>1141080.76</v>
      </c>
      <c r="F304">
        <v>0</v>
      </c>
      <c r="G304">
        <v>1141080.76</v>
      </c>
      <c r="H304">
        <v>11136.8</v>
      </c>
      <c r="I304">
        <v>201333.57</v>
      </c>
      <c r="J304">
        <v>0.46100000000000002</v>
      </c>
      <c r="K304">
        <v>20940.490000000002</v>
      </c>
      <c r="L304">
        <v>0</v>
      </c>
      <c r="M304">
        <v>0</v>
      </c>
      <c r="N304">
        <v>2023</v>
      </c>
      <c r="O304">
        <v>5</v>
      </c>
    </row>
    <row r="305" spans="1:15" x14ac:dyDescent="0.3">
      <c r="A305">
        <v>36496</v>
      </c>
      <c r="B305">
        <v>3205002</v>
      </c>
      <c r="C305" t="s">
        <v>84</v>
      </c>
      <c r="D305">
        <v>15.625</v>
      </c>
      <c r="E305">
        <v>57145470.729999997</v>
      </c>
      <c r="F305">
        <v>0</v>
      </c>
      <c r="G305">
        <v>57145470.729999997</v>
      </c>
      <c r="H305">
        <v>557732.30000000005</v>
      </c>
      <c r="I305">
        <v>9155139.3000000007</v>
      </c>
      <c r="J305">
        <v>8.4320000000000004</v>
      </c>
      <c r="K305">
        <v>1048702.5</v>
      </c>
      <c r="L305">
        <v>0</v>
      </c>
      <c r="M305">
        <v>0</v>
      </c>
      <c r="N305">
        <v>2023</v>
      </c>
      <c r="O305">
        <v>5</v>
      </c>
    </row>
    <row r="306" spans="1:15" x14ac:dyDescent="0.3">
      <c r="A306">
        <v>36497</v>
      </c>
      <c r="B306">
        <v>3205010</v>
      </c>
      <c r="C306" t="s">
        <v>85</v>
      </c>
      <c r="D306">
        <v>0.72199999999999998</v>
      </c>
      <c r="E306">
        <v>2640577.91</v>
      </c>
      <c r="F306">
        <v>0</v>
      </c>
      <c r="G306">
        <v>2640577.91</v>
      </c>
      <c r="H306">
        <v>25771.69</v>
      </c>
      <c r="I306">
        <v>351589.23</v>
      </c>
      <c r="J306">
        <v>0.997</v>
      </c>
      <c r="K306">
        <v>48458.45</v>
      </c>
      <c r="L306">
        <v>0</v>
      </c>
      <c r="M306">
        <v>0</v>
      </c>
      <c r="N306">
        <v>2023</v>
      </c>
      <c r="O306">
        <v>5</v>
      </c>
    </row>
    <row r="307" spans="1:15" x14ac:dyDescent="0.3">
      <c r="A307">
        <v>36498</v>
      </c>
      <c r="B307">
        <v>3205036</v>
      </c>
      <c r="C307" t="s">
        <v>86</v>
      </c>
      <c r="D307">
        <v>0.49099999999999999</v>
      </c>
      <c r="E307">
        <v>1795739.23</v>
      </c>
      <c r="F307">
        <v>0</v>
      </c>
      <c r="G307">
        <v>1795739.23</v>
      </c>
      <c r="H307">
        <v>17526.18</v>
      </c>
      <c r="I307">
        <v>363318.15</v>
      </c>
      <c r="J307">
        <v>0.72699999999999998</v>
      </c>
      <c r="K307">
        <v>32954.43</v>
      </c>
      <c r="L307">
        <v>0</v>
      </c>
      <c r="M307">
        <v>0</v>
      </c>
      <c r="N307">
        <v>2023</v>
      </c>
      <c r="O307">
        <v>5</v>
      </c>
    </row>
    <row r="308" spans="1:15" x14ac:dyDescent="0.3">
      <c r="A308">
        <v>36499</v>
      </c>
      <c r="B308">
        <v>3205069</v>
      </c>
      <c r="C308" t="s">
        <v>87</v>
      </c>
      <c r="D308">
        <v>0.68700000000000006</v>
      </c>
      <c r="E308">
        <v>2512572.0499999998</v>
      </c>
      <c r="F308">
        <v>0</v>
      </c>
      <c r="G308">
        <v>2512572.0499999998</v>
      </c>
      <c r="H308">
        <v>24522.37</v>
      </c>
      <c r="I308">
        <v>781823.1</v>
      </c>
      <c r="J308">
        <v>0.85799999999999998</v>
      </c>
      <c r="K308">
        <v>46109.35</v>
      </c>
      <c r="L308">
        <v>0</v>
      </c>
      <c r="M308">
        <v>0</v>
      </c>
      <c r="N308">
        <v>2023</v>
      </c>
      <c r="O308">
        <v>5</v>
      </c>
    </row>
    <row r="309" spans="1:15" x14ac:dyDescent="0.3">
      <c r="A309">
        <v>36500</v>
      </c>
      <c r="B309">
        <v>2112803</v>
      </c>
      <c r="C309" t="s">
        <v>88</v>
      </c>
      <c r="D309">
        <v>2.9870000000000001</v>
      </c>
      <c r="E309">
        <v>10924385.34</v>
      </c>
      <c r="F309">
        <v>0</v>
      </c>
      <c r="G309">
        <v>10924385.34</v>
      </c>
      <c r="H309">
        <v>106620.57</v>
      </c>
      <c r="I309">
        <v>1490372.49</v>
      </c>
      <c r="J309">
        <v>1.984</v>
      </c>
      <c r="K309">
        <v>200478.36</v>
      </c>
      <c r="L309">
        <v>0</v>
      </c>
      <c r="M309">
        <v>0</v>
      </c>
      <c r="N309">
        <v>2023</v>
      </c>
      <c r="O309">
        <v>5</v>
      </c>
    </row>
    <row r="310" spans="1:15" x14ac:dyDescent="0.3">
      <c r="A310">
        <v>36501</v>
      </c>
      <c r="B310">
        <v>3205150</v>
      </c>
      <c r="C310" t="s">
        <v>89</v>
      </c>
      <c r="D310">
        <v>0.31900000000000001</v>
      </c>
      <c r="E310">
        <v>1166681.8899999999</v>
      </c>
      <c r="F310">
        <v>0</v>
      </c>
      <c r="G310">
        <v>1166681.8899999999</v>
      </c>
      <c r="H310">
        <v>11386.66</v>
      </c>
      <c r="I310">
        <v>159281.44</v>
      </c>
      <c r="J310">
        <v>0.34399999999999997</v>
      </c>
      <c r="K310">
        <v>21410.31</v>
      </c>
      <c r="L310">
        <v>0</v>
      </c>
      <c r="M310">
        <v>0</v>
      </c>
      <c r="N310">
        <v>2023</v>
      </c>
      <c r="O310">
        <v>5</v>
      </c>
    </row>
    <row r="311" spans="1:15" x14ac:dyDescent="0.3">
      <c r="A311">
        <v>36502</v>
      </c>
      <c r="B311">
        <v>3205176</v>
      </c>
      <c r="C311" t="s">
        <v>90</v>
      </c>
      <c r="D311">
        <v>0.65800000000000003</v>
      </c>
      <c r="E311">
        <v>2406510.06</v>
      </c>
      <c r="F311">
        <v>0</v>
      </c>
      <c r="G311">
        <v>2406510.06</v>
      </c>
      <c r="H311">
        <v>23487.22</v>
      </c>
      <c r="I311">
        <v>449009.53</v>
      </c>
      <c r="J311">
        <v>0.55600000000000005</v>
      </c>
      <c r="K311">
        <v>44162.96</v>
      </c>
      <c r="L311">
        <v>0</v>
      </c>
      <c r="M311">
        <v>0</v>
      </c>
      <c r="N311">
        <v>2023</v>
      </c>
      <c r="O311">
        <v>5</v>
      </c>
    </row>
    <row r="312" spans="1:15" x14ac:dyDescent="0.3">
      <c r="A312">
        <v>36503</v>
      </c>
      <c r="B312">
        <v>3205200</v>
      </c>
      <c r="C312" t="s">
        <v>91</v>
      </c>
      <c r="D312">
        <v>5.056</v>
      </c>
      <c r="E312">
        <v>18491360.010000002</v>
      </c>
      <c r="F312">
        <v>0</v>
      </c>
      <c r="G312">
        <v>18491360.010000002</v>
      </c>
      <c r="H312">
        <v>180473.25</v>
      </c>
      <c r="I312">
        <v>11217820.970000001</v>
      </c>
      <c r="J312">
        <v>8.09</v>
      </c>
      <c r="K312">
        <v>339343.35</v>
      </c>
      <c r="L312">
        <v>0</v>
      </c>
      <c r="M312">
        <v>0</v>
      </c>
      <c r="N312">
        <v>2023</v>
      </c>
      <c r="O312">
        <v>5</v>
      </c>
    </row>
    <row r="313" spans="1:15" x14ac:dyDescent="0.3">
      <c r="A313">
        <v>36504</v>
      </c>
      <c r="B313">
        <v>3205309</v>
      </c>
      <c r="C313" t="s">
        <v>92</v>
      </c>
      <c r="D313">
        <v>14.782</v>
      </c>
      <c r="E313">
        <v>54062358.390000001</v>
      </c>
      <c r="F313">
        <v>0</v>
      </c>
      <c r="G313">
        <v>54062358.390000001</v>
      </c>
      <c r="H313">
        <v>527641.52</v>
      </c>
      <c r="I313">
        <v>12457398.75</v>
      </c>
      <c r="J313">
        <v>9.4969999999999999</v>
      </c>
      <c r="K313">
        <v>992122.9</v>
      </c>
      <c r="L313">
        <v>0</v>
      </c>
      <c r="M313">
        <v>0</v>
      </c>
      <c r="N313">
        <v>2023</v>
      </c>
      <c r="O313">
        <v>5</v>
      </c>
    </row>
    <row r="314" spans="1:15" x14ac:dyDescent="0.3">
      <c r="A314">
        <v>36505</v>
      </c>
      <c r="B314">
        <v>3200102</v>
      </c>
      <c r="C314" t="s">
        <v>15</v>
      </c>
      <c r="D314">
        <v>0.76100000000000001</v>
      </c>
      <c r="E314">
        <v>2763532.74</v>
      </c>
      <c r="F314">
        <v>0</v>
      </c>
      <c r="G314">
        <v>2763532.74</v>
      </c>
      <c r="H314">
        <v>33872.53</v>
      </c>
      <c r="I314">
        <v>229587.57</v>
      </c>
      <c r="J314">
        <v>0.98499999999999999</v>
      </c>
      <c r="K314">
        <v>56978.37</v>
      </c>
      <c r="L314">
        <v>0</v>
      </c>
      <c r="M314">
        <v>0</v>
      </c>
      <c r="N314">
        <v>2023</v>
      </c>
      <c r="O314">
        <v>6</v>
      </c>
    </row>
    <row r="315" spans="1:15" x14ac:dyDescent="0.3">
      <c r="A315">
        <v>36506</v>
      </c>
      <c r="B315">
        <v>3200169</v>
      </c>
      <c r="C315" t="s">
        <v>16</v>
      </c>
      <c r="D315">
        <v>0.28899999999999998</v>
      </c>
      <c r="E315">
        <v>1049488.77</v>
      </c>
      <c r="F315">
        <v>0</v>
      </c>
      <c r="G315">
        <v>1049488.77</v>
      </c>
      <c r="H315">
        <v>12863.55</v>
      </c>
      <c r="I315">
        <v>119074.13</v>
      </c>
      <c r="J315">
        <v>0.439</v>
      </c>
      <c r="K315">
        <v>21638.3</v>
      </c>
      <c r="L315">
        <v>0</v>
      </c>
      <c r="M315">
        <v>0</v>
      </c>
      <c r="N315">
        <v>2023</v>
      </c>
      <c r="O315">
        <v>6</v>
      </c>
    </row>
    <row r="316" spans="1:15" x14ac:dyDescent="0.3">
      <c r="A316">
        <v>36507</v>
      </c>
      <c r="B316">
        <v>3200136</v>
      </c>
      <c r="C316" t="s">
        <v>17</v>
      </c>
      <c r="D316">
        <v>0.40400000000000003</v>
      </c>
      <c r="E316">
        <v>1467105.41</v>
      </c>
      <c r="F316">
        <v>0</v>
      </c>
      <c r="G316">
        <v>1467105.41</v>
      </c>
      <c r="H316">
        <v>17982.259999999998</v>
      </c>
      <c r="I316">
        <v>92826.45</v>
      </c>
      <c r="J316">
        <v>0.34799999999999998</v>
      </c>
      <c r="K316">
        <v>30248.69</v>
      </c>
      <c r="L316">
        <v>0</v>
      </c>
      <c r="M316">
        <v>0</v>
      </c>
      <c r="N316">
        <v>2023</v>
      </c>
      <c r="O316">
        <v>6</v>
      </c>
    </row>
    <row r="317" spans="1:15" x14ac:dyDescent="0.3">
      <c r="A317">
        <v>36508</v>
      </c>
      <c r="B317">
        <v>3200201</v>
      </c>
      <c r="C317" t="s">
        <v>18</v>
      </c>
      <c r="D317">
        <v>0.498</v>
      </c>
      <c r="E317">
        <v>1808461.62</v>
      </c>
      <c r="F317">
        <v>0</v>
      </c>
      <c r="G317">
        <v>1808461.62</v>
      </c>
      <c r="H317">
        <v>22166.26</v>
      </c>
      <c r="I317">
        <v>219019.19</v>
      </c>
      <c r="J317">
        <v>0.98</v>
      </c>
      <c r="K317">
        <v>37286.76</v>
      </c>
      <c r="L317">
        <v>0</v>
      </c>
      <c r="M317">
        <v>0</v>
      </c>
      <c r="N317">
        <v>2023</v>
      </c>
      <c r="O317">
        <v>6</v>
      </c>
    </row>
    <row r="318" spans="1:15" x14ac:dyDescent="0.3">
      <c r="A318">
        <v>36509</v>
      </c>
      <c r="B318">
        <v>3200300</v>
      </c>
      <c r="C318" t="s">
        <v>19</v>
      </c>
      <c r="D318">
        <v>0.46700000000000003</v>
      </c>
      <c r="E318">
        <v>1695886.72</v>
      </c>
      <c r="F318">
        <v>0</v>
      </c>
      <c r="G318">
        <v>1695886.72</v>
      </c>
      <c r="H318">
        <v>20786.43</v>
      </c>
      <c r="I318">
        <v>153562.19</v>
      </c>
      <c r="J318">
        <v>0.56399999999999995</v>
      </c>
      <c r="K318">
        <v>34965.699999999997</v>
      </c>
      <c r="L318">
        <v>0</v>
      </c>
      <c r="M318">
        <v>0</v>
      </c>
      <c r="N318">
        <v>2023</v>
      </c>
      <c r="O318">
        <v>6</v>
      </c>
    </row>
    <row r="319" spans="1:15" x14ac:dyDescent="0.3">
      <c r="A319">
        <v>36510</v>
      </c>
      <c r="B319">
        <v>3200359</v>
      </c>
      <c r="C319" t="s">
        <v>20</v>
      </c>
      <c r="D319">
        <v>0.22600000000000001</v>
      </c>
      <c r="E319">
        <v>820707.48</v>
      </c>
      <c r="F319">
        <v>0</v>
      </c>
      <c r="G319">
        <v>820707.48</v>
      </c>
      <c r="H319">
        <v>10059.379999999999</v>
      </c>
      <c r="I319">
        <v>90895.43</v>
      </c>
      <c r="J319">
        <v>0.32700000000000001</v>
      </c>
      <c r="K319">
        <v>16921.3</v>
      </c>
      <c r="L319">
        <v>0</v>
      </c>
      <c r="M319">
        <v>0</v>
      </c>
      <c r="N319">
        <v>2023</v>
      </c>
      <c r="O319">
        <v>6</v>
      </c>
    </row>
    <row r="320" spans="1:15" x14ac:dyDescent="0.3">
      <c r="A320">
        <v>36511</v>
      </c>
      <c r="B320">
        <v>3200409</v>
      </c>
      <c r="C320" t="s">
        <v>21</v>
      </c>
      <c r="D320">
        <v>3.1480000000000001</v>
      </c>
      <c r="E320">
        <v>11431801.640000001</v>
      </c>
      <c r="F320">
        <v>0</v>
      </c>
      <c r="G320">
        <v>11431801.640000001</v>
      </c>
      <c r="H320">
        <v>140119.22</v>
      </c>
      <c r="I320">
        <v>351034.17</v>
      </c>
      <c r="J320">
        <v>0.90800000000000003</v>
      </c>
      <c r="K320">
        <v>235700.25</v>
      </c>
      <c r="L320">
        <v>0</v>
      </c>
      <c r="M320">
        <v>0</v>
      </c>
      <c r="N320">
        <v>2023</v>
      </c>
      <c r="O320">
        <v>6</v>
      </c>
    </row>
    <row r="321" spans="1:15" x14ac:dyDescent="0.3">
      <c r="A321">
        <v>36512</v>
      </c>
      <c r="B321">
        <v>3200508</v>
      </c>
      <c r="C321" t="s">
        <v>22</v>
      </c>
      <c r="D321">
        <v>0.185</v>
      </c>
      <c r="E321">
        <v>671818.08</v>
      </c>
      <c r="F321">
        <v>0</v>
      </c>
      <c r="G321">
        <v>671818.08</v>
      </c>
      <c r="H321">
        <v>8234.4500000000007</v>
      </c>
      <c r="I321">
        <v>111571.82</v>
      </c>
      <c r="J321">
        <v>0.32300000000000001</v>
      </c>
      <c r="K321">
        <v>13851.5</v>
      </c>
      <c r="L321">
        <v>0</v>
      </c>
      <c r="M321">
        <v>0</v>
      </c>
      <c r="N321">
        <v>2023</v>
      </c>
      <c r="O321">
        <v>6</v>
      </c>
    </row>
    <row r="322" spans="1:15" x14ac:dyDescent="0.3">
      <c r="A322">
        <v>36513</v>
      </c>
      <c r="B322">
        <v>3200607</v>
      </c>
      <c r="C322" t="s">
        <v>23</v>
      </c>
      <c r="D322">
        <v>2.9220000000000002</v>
      </c>
      <c r="E322">
        <v>10611094.15</v>
      </c>
      <c r="F322">
        <v>0</v>
      </c>
      <c r="G322">
        <v>10611094.15</v>
      </c>
      <c r="H322">
        <v>130059.83</v>
      </c>
      <c r="I322">
        <v>1099701.05</v>
      </c>
      <c r="J322">
        <v>2.5089999999999999</v>
      </c>
      <c r="K322">
        <v>218778.94</v>
      </c>
      <c r="L322">
        <v>0</v>
      </c>
      <c r="M322">
        <v>0</v>
      </c>
      <c r="N322">
        <v>2023</v>
      </c>
      <c r="O322">
        <v>6</v>
      </c>
    </row>
    <row r="323" spans="1:15" x14ac:dyDescent="0.3">
      <c r="A323">
        <v>36514</v>
      </c>
      <c r="B323">
        <v>3200706</v>
      </c>
      <c r="C323" t="s">
        <v>24</v>
      </c>
      <c r="D323">
        <v>0.35399999999999998</v>
      </c>
      <c r="E323">
        <v>1285532.97</v>
      </c>
      <c r="F323">
        <v>0</v>
      </c>
      <c r="G323">
        <v>1285532.97</v>
      </c>
      <c r="H323">
        <v>15756.74</v>
      </c>
      <c r="I323">
        <v>90935.59</v>
      </c>
      <c r="J323">
        <v>0.45700000000000002</v>
      </c>
      <c r="K323">
        <v>26505.05</v>
      </c>
      <c r="L323">
        <v>0</v>
      </c>
      <c r="M323">
        <v>0</v>
      </c>
      <c r="N323">
        <v>2023</v>
      </c>
      <c r="O323">
        <v>6</v>
      </c>
    </row>
    <row r="324" spans="1:15" x14ac:dyDescent="0.3">
      <c r="A324">
        <v>36515</v>
      </c>
      <c r="B324">
        <v>3200805</v>
      </c>
      <c r="C324" t="s">
        <v>25</v>
      </c>
      <c r="D324">
        <v>0.60699999999999998</v>
      </c>
      <c r="E324">
        <v>2204289.61</v>
      </c>
      <c r="F324">
        <v>0</v>
      </c>
      <c r="G324">
        <v>2204289.61</v>
      </c>
      <c r="H324">
        <v>27017.91</v>
      </c>
      <c r="I324">
        <v>460869.77</v>
      </c>
      <c r="J324">
        <v>0.997</v>
      </c>
      <c r="K324">
        <v>45447.92</v>
      </c>
      <c r="L324">
        <v>0</v>
      </c>
      <c r="M324">
        <v>0</v>
      </c>
      <c r="N324">
        <v>2023</v>
      </c>
      <c r="O324">
        <v>6</v>
      </c>
    </row>
    <row r="325" spans="1:15" x14ac:dyDescent="0.3">
      <c r="A325">
        <v>36516</v>
      </c>
      <c r="B325">
        <v>3200904</v>
      </c>
      <c r="C325" t="s">
        <v>26</v>
      </c>
      <c r="D325">
        <v>1.0289999999999999</v>
      </c>
      <c r="E325">
        <v>3736761.07</v>
      </c>
      <c r="F325">
        <v>0</v>
      </c>
      <c r="G325">
        <v>3736761.07</v>
      </c>
      <c r="H325">
        <v>45801.36</v>
      </c>
      <c r="I325">
        <v>536246.85</v>
      </c>
      <c r="J325">
        <v>1.321</v>
      </c>
      <c r="K325">
        <v>77044.33</v>
      </c>
      <c r="L325">
        <v>0</v>
      </c>
      <c r="M325">
        <v>0</v>
      </c>
      <c r="N325">
        <v>2023</v>
      </c>
      <c r="O325">
        <v>6</v>
      </c>
    </row>
    <row r="326" spans="1:15" x14ac:dyDescent="0.3">
      <c r="A326">
        <v>36517</v>
      </c>
      <c r="B326">
        <v>3107109</v>
      </c>
      <c r="C326" t="s">
        <v>27</v>
      </c>
      <c r="D326">
        <v>0.39500000000000002</v>
      </c>
      <c r="E326">
        <v>1434422.37</v>
      </c>
      <c r="F326">
        <v>0</v>
      </c>
      <c r="G326">
        <v>1434422.37</v>
      </c>
      <c r="H326">
        <v>17581.669999999998</v>
      </c>
      <c r="I326">
        <v>143708.5</v>
      </c>
      <c r="J326">
        <v>0.56899999999999995</v>
      </c>
      <c r="K326">
        <v>29574.84</v>
      </c>
      <c r="L326">
        <v>0</v>
      </c>
      <c r="M326">
        <v>0</v>
      </c>
      <c r="N326">
        <v>2023</v>
      </c>
      <c r="O326">
        <v>6</v>
      </c>
    </row>
    <row r="327" spans="1:15" x14ac:dyDescent="0.3">
      <c r="A327">
        <v>36518</v>
      </c>
      <c r="B327">
        <v>3201100</v>
      </c>
      <c r="C327" t="s">
        <v>28</v>
      </c>
      <c r="D327">
        <v>0.17599999999999999</v>
      </c>
      <c r="E327">
        <v>639135.05000000005</v>
      </c>
      <c r="F327">
        <v>0</v>
      </c>
      <c r="G327">
        <v>639135.05000000005</v>
      </c>
      <c r="H327">
        <v>7833.86</v>
      </c>
      <c r="I327">
        <v>245627.98</v>
      </c>
      <c r="J327">
        <v>0.43</v>
      </c>
      <c r="K327">
        <v>13177.65</v>
      </c>
      <c r="L327">
        <v>0</v>
      </c>
      <c r="M327">
        <v>0</v>
      </c>
      <c r="N327">
        <v>2023</v>
      </c>
      <c r="O327">
        <v>6</v>
      </c>
    </row>
    <row r="328" spans="1:15" x14ac:dyDescent="0.3">
      <c r="A328">
        <v>36519</v>
      </c>
      <c r="B328">
        <v>3201159</v>
      </c>
      <c r="C328" t="s">
        <v>29</v>
      </c>
      <c r="D328">
        <v>0.42099999999999999</v>
      </c>
      <c r="E328">
        <v>1528840.07</v>
      </c>
      <c r="F328">
        <v>0</v>
      </c>
      <c r="G328">
        <v>1528840.07</v>
      </c>
      <c r="H328">
        <v>18738.939999999999</v>
      </c>
      <c r="I328">
        <v>130893.95</v>
      </c>
      <c r="J328">
        <v>0.46</v>
      </c>
      <c r="K328">
        <v>31521.54</v>
      </c>
      <c r="L328">
        <v>0</v>
      </c>
      <c r="M328">
        <v>0</v>
      </c>
      <c r="N328">
        <v>2023</v>
      </c>
      <c r="O328">
        <v>6</v>
      </c>
    </row>
    <row r="329" spans="1:15" x14ac:dyDescent="0.3">
      <c r="A329">
        <v>36520</v>
      </c>
      <c r="B329">
        <v>3201209</v>
      </c>
      <c r="C329" t="s">
        <v>30</v>
      </c>
      <c r="D329">
        <v>3.1120000000000001</v>
      </c>
      <c r="E329">
        <v>11301069.49</v>
      </c>
      <c r="F329">
        <v>0</v>
      </c>
      <c r="G329">
        <v>11301069.49</v>
      </c>
      <c r="H329">
        <v>138516.84</v>
      </c>
      <c r="I329">
        <v>2401696.87</v>
      </c>
      <c r="J329">
        <v>4.4820000000000002</v>
      </c>
      <c r="K329">
        <v>233004.82</v>
      </c>
      <c r="L329">
        <v>0</v>
      </c>
      <c r="M329">
        <v>0</v>
      </c>
      <c r="N329">
        <v>2023</v>
      </c>
      <c r="O329">
        <v>6</v>
      </c>
    </row>
    <row r="330" spans="1:15" x14ac:dyDescent="0.3">
      <c r="A330">
        <v>36521</v>
      </c>
      <c r="B330">
        <v>3201308</v>
      </c>
      <c r="C330" t="s">
        <v>31</v>
      </c>
      <c r="D330">
        <v>7.2990000000000004</v>
      </c>
      <c r="E330">
        <v>26505946.710000001</v>
      </c>
      <c r="F330">
        <v>0</v>
      </c>
      <c r="G330">
        <v>26505946.710000001</v>
      </c>
      <c r="H330">
        <v>324882.52</v>
      </c>
      <c r="I330">
        <v>3008676.57</v>
      </c>
      <c r="J330">
        <v>6.6040000000000001</v>
      </c>
      <c r="K330">
        <v>546498.12</v>
      </c>
      <c r="L330">
        <v>0</v>
      </c>
      <c r="M330">
        <v>0</v>
      </c>
      <c r="N330">
        <v>2023</v>
      </c>
      <c r="O330">
        <v>6</v>
      </c>
    </row>
    <row r="331" spans="1:15" x14ac:dyDescent="0.3">
      <c r="A331">
        <v>36522</v>
      </c>
      <c r="B331">
        <v>3201407</v>
      </c>
      <c r="C331" t="s">
        <v>32</v>
      </c>
      <c r="D331">
        <v>0.89900000000000002</v>
      </c>
      <c r="E331">
        <v>3264672.69</v>
      </c>
      <c r="F331">
        <v>0</v>
      </c>
      <c r="G331">
        <v>3264672.69</v>
      </c>
      <c r="H331">
        <v>40014.99</v>
      </c>
      <c r="I331">
        <v>592024.72</v>
      </c>
      <c r="J331">
        <v>1.155</v>
      </c>
      <c r="K331">
        <v>67310.84</v>
      </c>
      <c r="L331">
        <v>0</v>
      </c>
      <c r="M331">
        <v>0</v>
      </c>
      <c r="N331">
        <v>2023</v>
      </c>
      <c r="O331">
        <v>6</v>
      </c>
    </row>
    <row r="332" spans="1:15" x14ac:dyDescent="0.3">
      <c r="A332">
        <v>36523</v>
      </c>
      <c r="B332">
        <v>3201506</v>
      </c>
      <c r="C332" t="s">
        <v>33</v>
      </c>
      <c r="D332">
        <v>2.2320000000000002</v>
      </c>
      <c r="E332">
        <v>8105394.2699999996</v>
      </c>
      <c r="F332">
        <v>0</v>
      </c>
      <c r="G332">
        <v>8105394.2699999996</v>
      </c>
      <c r="H332">
        <v>99347.55</v>
      </c>
      <c r="I332">
        <v>1468482.14</v>
      </c>
      <c r="J332">
        <v>2.8220000000000001</v>
      </c>
      <c r="K332">
        <v>167116.57</v>
      </c>
      <c r="L332">
        <v>0</v>
      </c>
      <c r="M332">
        <v>0</v>
      </c>
      <c r="N332">
        <v>2023</v>
      </c>
      <c r="O332">
        <v>6</v>
      </c>
    </row>
    <row r="333" spans="1:15" x14ac:dyDescent="0.3">
      <c r="A333">
        <v>36524</v>
      </c>
      <c r="B333">
        <v>3201605</v>
      </c>
      <c r="C333" t="s">
        <v>34</v>
      </c>
      <c r="D333">
        <v>0.79400000000000004</v>
      </c>
      <c r="E333">
        <v>2883370.57</v>
      </c>
      <c r="F333">
        <v>0</v>
      </c>
      <c r="G333">
        <v>2883370.57</v>
      </c>
      <c r="H333">
        <v>35341.379999999997</v>
      </c>
      <c r="I333">
        <v>186792.02</v>
      </c>
      <c r="J333">
        <v>0.999</v>
      </c>
      <c r="K333">
        <v>59449.17</v>
      </c>
      <c r="L333">
        <v>0</v>
      </c>
      <c r="M333">
        <v>0</v>
      </c>
      <c r="N333">
        <v>2023</v>
      </c>
      <c r="O333">
        <v>6</v>
      </c>
    </row>
    <row r="334" spans="1:15" x14ac:dyDescent="0.3">
      <c r="A334">
        <v>36525</v>
      </c>
      <c r="B334">
        <v>3201704</v>
      </c>
      <c r="C334" t="s">
        <v>35</v>
      </c>
      <c r="D334">
        <v>0.46</v>
      </c>
      <c r="E334">
        <v>1670466.57</v>
      </c>
      <c r="F334">
        <v>0</v>
      </c>
      <c r="G334">
        <v>1670466.57</v>
      </c>
      <c r="H334">
        <v>20474.849999999999</v>
      </c>
      <c r="I334">
        <v>114852.82</v>
      </c>
      <c r="J334">
        <v>0.46500000000000002</v>
      </c>
      <c r="K334">
        <v>34441.58</v>
      </c>
      <c r="L334">
        <v>0</v>
      </c>
      <c r="M334">
        <v>0</v>
      </c>
      <c r="N334">
        <v>2023</v>
      </c>
      <c r="O334">
        <v>6</v>
      </c>
    </row>
    <row r="335" spans="1:15" x14ac:dyDescent="0.3">
      <c r="A335">
        <v>36526</v>
      </c>
      <c r="B335">
        <v>3201803</v>
      </c>
      <c r="C335" t="s">
        <v>36</v>
      </c>
      <c r="D335">
        <v>0.182</v>
      </c>
      <c r="E335">
        <v>660923.74</v>
      </c>
      <c r="F335">
        <v>0</v>
      </c>
      <c r="G335">
        <v>660923.74</v>
      </c>
      <c r="H335">
        <v>8100.92</v>
      </c>
      <c r="I335">
        <v>39377.14</v>
      </c>
      <c r="J335">
        <v>0.28299999999999997</v>
      </c>
      <c r="K335">
        <v>13626.88</v>
      </c>
      <c r="L335">
        <v>0</v>
      </c>
      <c r="M335">
        <v>0</v>
      </c>
      <c r="N335">
        <v>2023</v>
      </c>
      <c r="O335">
        <v>6</v>
      </c>
    </row>
    <row r="336" spans="1:15" x14ac:dyDescent="0.3">
      <c r="A336">
        <v>36527</v>
      </c>
      <c r="B336">
        <v>3201902</v>
      </c>
      <c r="C336" t="s">
        <v>37</v>
      </c>
      <c r="D336">
        <v>1.268</v>
      </c>
      <c r="E336">
        <v>4604677.4000000004</v>
      </c>
      <c r="F336">
        <v>0</v>
      </c>
      <c r="G336">
        <v>4604677.4000000004</v>
      </c>
      <c r="H336">
        <v>56439.38</v>
      </c>
      <c r="I336">
        <v>415292.19</v>
      </c>
      <c r="J336">
        <v>1.0309999999999999</v>
      </c>
      <c r="K336">
        <v>94938.98</v>
      </c>
      <c r="L336">
        <v>0</v>
      </c>
      <c r="M336">
        <v>0</v>
      </c>
      <c r="N336">
        <v>2023</v>
      </c>
      <c r="O336">
        <v>6</v>
      </c>
    </row>
    <row r="337" spans="1:15" x14ac:dyDescent="0.3">
      <c r="A337">
        <v>36528</v>
      </c>
      <c r="B337">
        <v>3202009</v>
      </c>
      <c r="C337" t="s">
        <v>38</v>
      </c>
      <c r="D337">
        <v>0.27</v>
      </c>
      <c r="E337">
        <v>980491.23</v>
      </c>
      <c r="F337">
        <v>0</v>
      </c>
      <c r="G337">
        <v>980491.23</v>
      </c>
      <c r="H337">
        <v>12017.85</v>
      </c>
      <c r="I337">
        <v>108291.61</v>
      </c>
      <c r="J337">
        <v>0.314</v>
      </c>
      <c r="K337">
        <v>20215.71</v>
      </c>
      <c r="L337">
        <v>0</v>
      </c>
      <c r="M337">
        <v>0</v>
      </c>
      <c r="N337">
        <v>2023</v>
      </c>
      <c r="O337">
        <v>6</v>
      </c>
    </row>
    <row r="338" spans="1:15" x14ac:dyDescent="0.3">
      <c r="A338">
        <v>36529</v>
      </c>
      <c r="B338">
        <v>3202108</v>
      </c>
      <c r="C338" t="s">
        <v>39</v>
      </c>
      <c r="D338">
        <v>0.69399999999999995</v>
      </c>
      <c r="E338">
        <v>2520225.66</v>
      </c>
      <c r="F338">
        <v>0</v>
      </c>
      <c r="G338">
        <v>2520225.66</v>
      </c>
      <c r="H338">
        <v>30890.32</v>
      </c>
      <c r="I338">
        <v>179704.92</v>
      </c>
      <c r="J338">
        <v>0.81599999999999995</v>
      </c>
      <c r="K338">
        <v>51961.87</v>
      </c>
      <c r="L338">
        <v>0</v>
      </c>
      <c r="M338">
        <v>0</v>
      </c>
      <c r="N338">
        <v>2023</v>
      </c>
      <c r="O338">
        <v>6</v>
      </c>
    </row>
    <row r="339" spans="1:15" x14ac:dyDescent="0.3">
      <c r="A339">
        <v>36530</v>
      </c>
      <c r="B339">
        <v>3202207</v>
      </c>
      <c r="C339" t="s">
        <v>40</v>
      </c>
      <c r="D339">
        <v>0.28599999999999998</v>
      </c>
      <c r="E339">
        <v>1038594.43</v>
      </c>
      <c r="F339">
        <v>0</v>
      </c>
      <c r="G339">
        <v>1038594.43</v>
      </c>
      <c r="H339">
        <v>12730.02</v>
      </c>
      <c r="I339">
        <v>152118.22</v>
      </c>
      <c r="J339">
        <v>0.73399999999999999</v>
      </c>
      <c r="K339">
        <v>21413.68</v>
      </c>
      <c r="L339">
        <v>0</v>
      </c>
      <c r="M339">
        <v>0</v>
      </c>
      <c r="N339">
        <v>2023</v>
      </c>
      <c r="O339">
        <v>6</v>
      </c>
    </row>
    <row r="340" spans="1:15" x14ac:dyDescent="0.3">
      <c r="A340">
        <v>36531</v>
      </c>
      <c r="B340">
        <v>3202256</v>
      </c>
      <c r="C340" t="s">
        <v>41</v>
      </c>
      <c r="D340">
        <v>0.438</v>
      </c>
      <c r="E340">
        <v>1590574.72</v>
      </c>
      <c r="F340">
        <v>0</v>
      </c>
      <c r="G340">
        <v>1590574.72</v>
      </c>
      <c r="H340">
        <v>19495.62</v>
      </c>
      <c r="I340">
        <v>152602.98000000001</v>
      </c>
      <c r="J340">
        <v>0.46700000000000003</v>
      </c>
      <c r="K340">
        <v>32794.379999999997</v>
      </c>
      <c r="L340">
        <v>0</v>
      </c>
      <c r="M340">
        <v>0</v>
      </c>
      <c r="N340">
        <v>2023</v>
      </c>
      <c r="O340">
        <v>6</v>
      </c>
    </row>
    <row r="341" spans="1:15" x14ac:dyDescent="0.3">
      <c r="A341">
        <v>36532</v>
      </c>
      <c r="B341">
        <v>3202306</v>
      </c>
      <c r="C341" t="s">
        <v>42</v>
      </c>
      <c r="D341">
        <v>0.35899999999999999</v>
      </c>
      <c r="E341">
        <v>1303690.22</v>
      </c>
      <c r="F341">
        <v>0</v>
      </c>
      <c r="G341">
        <v>1303690.22</v>
      </c>
      <c r="H341">
        <v>15979.29</v>
      </c>
      <c r="I341">
        <v>317438.88</v>
      </c>
      <c r="J341">
        <v>0.998</v>
      </c>
      <c r="K341">
        <v>26879.41</v>
      </c>
      <c r="L341">
        <v>0</v>
      </c>
      <c r="M341">
        <v>0</v>
      </c>
      <c r="N341">
        <v>2023</v>
      </c>
      <c r="O341">
        <v>6</v>
      </c>
    </row>
    <row r="342" spans="1:15" x14ac:dyDescent="0.3">
      <c r="A342">
        <v>36533</v>
      </c>
      <c r="B342">
        <v>3202405</v>
      </c>
      <c r="C342" t="s">
        <v>43</v>
      </c>
      <c r="D342">
        <v>0.81200000000000006</v>
      </c>
      <c r="E342">
        <v>2948736.65</v>
      </c>
      <c r="F342">
        <v>0</v>
      </c>
      <c r="G342">
        <v>2948736.65</v>
      </c>
      <c r="H342">
        <v>36142.57</v>
      </c>
      <c r="I342">
        <v>2183790.73</v>
      </c>
      <c r="J342">
        <v>2.8730000000000002</v>
      </c>
      <c r="K342">
        <v>60796.88</v>
      </c>
      <c r="L342">
        <v>0</v>
      </c>
      <c r="M342">
        <v>0</v>
      </c>
      <c r="N342">
        <v>2023</v>
      </c>
      <c r="O342">
        <v>6</v>
      </c>
    </row>
    <row r="343" spans="1:15" x14ac:dyDescent="0.3">
      <c r="A343">
        <v>36534</v>
      </c>
      <c r="B343">
        <v>3202454</v>
      </c>
      <c r="C343" t="s">
        <v>44</v>
      </c>
      <c r="D343">
        <v>0.372</v>
      </c>
      <c r="E343">
        <v>1350899.06</v>
      </c>
      <c r="F343">
        <v>0</v>
      </c>
      <c r="G343">
        <v>1350899.06</v>
      </c>
      <c r="H343">
        <v>16557.93</v>
      </c>
      <c r="I343">
        <v>293790.44</v>
      </c>
      <c r="J343">
        <v>0.86499999999999999</v>
      </c>
      <c r="K343">
        <v>27852.76</v>
      </c>
      <c r="L343">
        <v>0</v>
      </c>
      <c r="M343">
        <v>0</v>
      </c>
      <c r="N343">
        <v>2023</v>
      </c>
      <c r="O343">
        <v>6</v>
      </c>
    </row>
    <row r="344" spans="1:15" x14ac:dyDescent="0.3">
      <c r="A344">
        <v>36535</v>
      </c>
      <c r="B344">
        <v>3202504</v>
      </c>
      <c r="C344" t="s">
        <v>45</v>
      </c>
      <c r="D344">
        <v>0.23100000000000001</v>
      </c>
      <c r="E344">
        <v>838864.74</v>
      </c>
      <c r="F344">
        <v>0</v>
      </c>
      <c r="G344">
        <v>838864.74</v>
      </c>
      <c r="H344">
        <v>10281.94</v>
      </c>
      <c r="I344">
        <v>132362.64000000001</v>
      </c>
      <c r="J344">
        <v>0.46300000000000002</v>
      </c>
      <c r="K344">
        <v>17295.66</v>
      </c>
      <c r="L344">
        <v>0</v>
      </c>
      <c r="M344">
        <v>0</v>
      </c>
      <c r="N344">
        <v>2023</v>
      </c>
      <c r="O344">
        <v>6</v>
      </c>
    </row>
    <row r="345" spans="1:15" x14ac:dyDescent="0.3">
      <c r="A345">
        <v>36536</v>
      </c>
      <c r="B345">
        <v>3202553</v>
      </c>
      <c r="C345" t="s">
        <v>46</v>
      </c>
      <c r="D345">
        <v>0.24299999999999999</v>
      </c>
      <c r="E345">
        <v>882442.1</v>
      </c>
      <c r="F345">
        <v>0</v>
      </c>
      <c r="G345">
        <v>882442.1</v>
      </c>
      <c r="H345">
        <v>10816.06</v>
      </c>
      <c r="I345">
        <v>74754.509999999995</v>
      </c>
      <c r="J345">
        <v>0.33800000000000002</v>
      </c>
      <c r="K345">
        <v>18194.14</v>
      </c>
      <c r="L345">
        <v>0</v>
      </c>
      <c r="M345">
        <v>0</v>
      </c>
      <c r="N345">
        <v>2023</v>
      </c>
      <c r="O345">
        <v>6</v>
      </c>
    </row>
    <row r="346" spans="1:15" x14ac:dyDescent="0.3">
      <c r="A346">
        <v>36537</v>
      </c>
      <c r="B346">
        <v>3202603</v>
      </c>
      <c r="C346" t="s">
        <v>47</v>
      </c>
      <c r="D346">
        <v>0.315</v>
      </c>
      <c r="E346">
        <v>1143906.48</v>
      </c>
      <c r="F346">
        <v>0</v>
      </c>
      <c r="G346">
        <v>1143906.48</v>
      </c>
      <c r="H346">
        <v>14020.82</v>
      </c>
      <c r="I346">
        <v>205939.17</v>
      </c>
      <c r="J346">
        <v>0.55600000000000005</v>
      </c>
      <c r="K346">
        <v>23585</v>
      </c>
      <c r="L346">
        <v>0</v>
      </c>
      <c r="M346">
        <v>0</v>
      </c>
      <c r="N346">
        <v>2023</v>
      </c>
      <c r="O346">
        <v>6</v>
      </c>
    </row>
    <row r="347" spans="1:15" x14ac:dyDescent="0.3">
      <c r="A347">
        <v>36538</v>
      </c>
      <c r="B347">
        <v>3202652</v>
      </c>
      <c r="C347" t="s">
        <v>48</v>
      </c>
      <c r="D347">
        <v>0.29899999999999999</v>
      </c>
      <c r="E347">
        <v>1085803.26</v>
      </c>
      <c r="F347">
        <v>0</v>
      </c>
      <c r="G347">
        <v>1085803.26</v>
      </c>
      <c r="H347">
        <v>13308.66</v>
      </c>
      <c r="I347">
        <v>159832.1</v>
      </c>
      <c r="J347">
        <v>0.55100000000000005</v>
      </c>
      <c r="K347">
        <v>22387.03</v>
      </c>
      <c r="L347">
        <v>0</v>
      </c>
      <c r="M347">
        <v>0</v>
      </c>
      <c r="N347">
        <v>2023</v>
      </c>
      <c r="O347">
        <v>6</v>
      </c>
    </row>
    <row r="348" spans="1:15" x14ac:dyDescent="0.3">
      <c r="A348">
        <v>36539</v>
      </c>
      <c r="B348">
        <v>3202702</v>
      </c>
      <c r="C348" t="s">
        <v>49</v>
      </c>
      <c r="D348">
        <v>0.31900000000000001</v>
      </c>
      <c r="E348">
        <v>1158432.26</v>
      </c>
      <c r="F348">
        <v>0</v>
      </c>
      <c r="G348">
        <v>1158432.26</v>
      </c>
      <c r="H348">
        <v>14198.87</v>
      </c>
      <c r="I348">
        <v>105361.60000000001</v>
      </c>
      <c r="J348">
        <v>0.55500000000000005</v>
      </c>
      <c r="K348">
        <v>23884.49</v>
      </c>
      <c r="L348">
        <v>0</v>
      </c>
      <c r="M348">
        <v>0</v>
      </c>
      <c r="N348">
        <v>2023</v>
      </c>
      <c r="O348">
        <v>6</v>
      </c>
    </row>
    <row r="349" spans="1:15" x14ac:dyDescent="0.3">
      <c r="A349">
        <v>36540</v>
      </c>
      <c r="B349">
        <v>3202801</v>
      </c>
      <c r="C349" t="s">
        <v>50</v>
      </c>
      <c r="D349">
        <v>2.4550000000000001</v>
      </c>
      <c r="E349">
        <v>8915207.4299999997</v>
      </c>
      <c r="F349">
        <v>0</v>
      </c>
      <c r="G349">
        <v>8915207.4299999997</v>
      </c>
      <c r="H349">
        <v>109273.41</v>
      </c>
      <c r="I349">
        <v>313752.93</v>
      </c>
      <c r="J349">
        <v>1.0409999999999999</v>
      </c>
      <c r="K349">
        <v>183813.24</v>
      </c>
      <c r="L349">
        <v>0</v>
      </c>
      <c r="M349">
        <v>0</v>
      </c>
      <c r="N349">
        <v>2023</v>
      </c>
      <c r="O349">
        <v>6</v>
      </c>
    </row>
    <row r="350" spans="1:15" x14ac:dyDescent="0.3">
      <c r="A350">
        <v>36541</v>
      </c>
      <c r="B350">
        <v>3202900</v>
      </c>
      <c r="C350" t="s">
        <v>51</v>
      </c>
      <c r="D350">
        <v>0.34799999999999998</v>
      </c>
      <c r="E350">
        <v>1263744.28</v>
      </c>
      <c r="F350">
        <v>0</v>
      </c>
      <c r="G350">
        <v>1263744.28</v>
      </c>
      <c r="H350">
        <v>15489.67</v>
      </c>
      <c r="I350">
        <v>131551.91</v>
      </c>
      <c r="J350">
        <v>0.435</v>
      </c>
      <c r="K350">
        <v>26055.81</v>
      </c>
      <c r="L350">
        <v>0</v>
      </c>
      <c r="M350">
        <v>0</v>
      </c>
      <c r="N350">
        <v>2023</v>
      </c>
      <c r="O350">
        <v>6</v>
      </c>
    </row>
    <row r="351" spans="1:15" x14ac:dyDescent="0.3">
      <c r="A351">
        <v>36542</v>
      </c>
      <c r="B351">
        <v>3203007</v>
      </c>
      <c r="C351" t="s">
        <v>52</v>
      </c>
      <c r="D351">
        <v>0.496</v>
      </c>
      <c r="E351">
        <v>1801198.73</v>
      </c>
      <c r="F351">
        <v>0</v>
      </c>
      <c r="G351">
        <v>1801198.73</v>
      </c>
      <c r="H351">
        <v>22077.23</v>
      </c>
      <c r="I351">
        <v>330399.75</v>
      </c>
      <c r="J351">
        <v>0.89700000000000002</v>
      </c>
      <c r="K351">
        <v>37137.019999999997</v>
      </c>
      <c r="L351">
        <v>0</v>
      </c>
      <c r="M351">
        <v>0</v>
      </c>
      <c r="N351">
        <v>2023</v>
      </c>
      <c r="O351">
        <v>6</v>
      </c>
    </row>
    <row r="352" spans="1:15" x14ac:dyDescent="0.3">
      <c r="A352">
        <v>36543</v>
      </c>
      <c r="B352">
        <v>3203056</v>
      </c>
      <c r="C352" t="s">
        <v>53</v>
      </c>
      <c r="D352">
        <v>0.871</v>
      </c>
      <c r="E352">
        <v>3162992.13</v>
      </c>
      <c r="F352">
        <v>0</v>
      </c>
      <c r="G352">
        <v>3162992.13</v>
      </c>
      <c r="H352">
        <v>38768.69</v>
      </c>
      <c r="I352">
        <v>351238.15</v>
      </c>
      <c r="J352">
        <v>1</v>
      </c>
      <c r="K352">
        <v>65214.39</v>
      </c>
      <c r="L352">
        <v>0</v>
      </c>
      <c r="M352">
        <v>0</v>
      </c>
      <c r="N352">
        <v>2023</v>
      </c>
      <c r="O352">
        <v>6</v>
      </c>
    </row>
    <row r="353" spans="1:15" x14ac:dyDescent="0.3">
      <c r="A353">
        <v>36544</v>
      </c>
      <c r="B353">
        <v>3203106</v>
      </c>
      <c r="C353" t="s">
        <v>54</v>
      </c>
      <c r="D353">
        <v>0.21</v>
      </c>
      <c r="E353">
        <v>762604.3</v>
      </c>
      <c r="F353">
        <v>0</v>
      </c>
      <c r="G353">
        <v>762604.3</v>
      </c>
      <c r="H353">
        <v>9347.2199999999993</v>
      </c>
      <c r="I353">
        <v>71211.25</v>
      </c>
      <c r="J353">
        <v>0.45800000000000002</v>
      </c>
      <c r="K353">
        <v>15723.34</v>
      </c>
      <c r="L353">
        <v>0</v>
      </c>
      <c r="M353">
        <v>0</v>
      </c>
      <c r="N353">
        <v>2023</v>
      </c>
      <c r="O353">
        <v>6</v>
      </c>
    </row>
    <row r="354" spans="1:15" x14ac:dyDescent="0.3">
      <c r="A354">
        <v>36545</v>
      </c>
      <c r="B354">
        <v>3203130</v>
      </c>
      <c r="C354" t="s">
        <v>55</v>
      </c>
      <c r="D354">
        <v>0.36199999999999999</v>
      </c>
      <c r="E354">
        <v>1314584.57</v>
      </c>
      <c r="F354">
        <v>0</v>
      </c>
      <c r="G354">
        <v>1314584.57</v>
      </c>
      <c r="H354">
        <v>16112.82</v>
      </c>
      <c r="I354">
        <v>158001.74</v>
      </c>
      <c r="J354">
        <v>0.66600000000000004</v>
      </c>
      <c r="K354">
        <v>27104.03</v>
      </c>
      <c r="L354">
        <v>0</v>
      </c>
      <c r="M354">
        <v>0</v>
      </c>
      <c r="N354">
        <v>2023</v>
      </c>
      <c r="O354">
        <v>6</v>
      </c>
    </row>
    <row r="355" spans="1:15" x14ac:dyDescent="0.3">
      <c r="A355">
        <v>36546</v>
      </c>
      <c r="B355">
        <v>3203163</v>
      </c>
      <c r="C355" t="s">
        <v>56</v>
      </c>
      <c r="D355">
        <v>0.373</v>
      </c>
      <c r="E355">
        <v>1354530.51</v>
      </c>
      <c r="F355">
        <v>0</v>
      </c>
      <c r="G355">
        <v>1354530.51</v>
      </c>
      <c r="H355">
        <v>16602.439999999999</v>
      </c>
      <c r="I355">
        <v>67472.460000000006</v>
      </c>
      <c r="J355">
        <v>0.441</v>
      </c>
      <c r="K355">
        <v>27927.63</v>
      </c>
      <c r="L355">
        <v>0</v>
      </c>
      <c r="M355">
        <v>0</v>
      </c>
      <c r="N355">
        <v>2023</v>
      </c>
      <c r="O355">
        <v>6</v>
      </c>
    </row>
    <row r="356" spans="1:15" x14ac:dyDescent="0.3">
      <c r="A356">
        <v>36547</v>
      </c>
      <c r="B356">
        <v>3203205</v>
      </c>
      <c r="C356" t="s">
        <v>57</v>
      </c>
      <c r="D356">
        <v>4.9790000000000001</v>
      </c>
      <c r="E356">
        <v>18080984.859999999</v>
      </c>
      <c r="F356">
        <v>0</v>
      </c>
      <c r="G356">
        <v>18080984.859999999</v>
      </c>
      <c r="H356">
        <v>221618.04</v>
      </c>
      <c r="I356">
        <v>2028040.03</v>
      </c>
      <c r="J356">
        <v>4.0880000000000001</v>
      </c>
      <c r="K356">
        <v>372792.73</v>
      </c>
      <c r="L356">
        <v>0</v>
      </c>
      <c r="M356">
        <v>0</v>
      </c>
      <c r="N356">
        <v>2023</v>
      </c>
      <c r="O356">
        <v>6</v>
      </c>
    </row>
    <row r="357" spans="1:15" x14ac:dyDescent="0.3">
      <c r="A357">
        <v>36548</v>
      </c>
      <c r="B357">
        <v>3203304</v>
      </c>
      <c r="C357" t="s">
        <v>58</v>
      </c>
      <c r="D357">
        <v>0.27600000000000002</v>
      </c>
      <c r="E357">
        <v>1002279.93</v>
      </c>
      <c r="F357">
        <v>0</v>
      </c>
      <c r="G357">
        <v>1002279.93</v>
      </c>
      <c r="H357">
        <v>12284.91</v>
      </c>
      <c r="I357">
        <v>187221.9</v>
      </c>
      <c r="J357">
        <v>0.57599999999999996</v>
      </c>
      <c r="K357">
        <v>20664.95</v>
      </c>
      <c r="L357">
        <v>0</v>
      </c>
      <c r="M357">
        <v>0</v>
      </c>
      <c r="N357">
        <v>2023</v>
      </c>
      <c r="O357">
        <v>6</v>
      </c>
    </row>
    <row r="358" spans="1:15" x14ac:dyDescent="0.3">
      <c r="A358">
        <v>36549</v>
      </c>
      <c r="B358">
        <v>3203320</v>
      </c>
      <c r="C358" t="s">
        <v>59</v>
      </c>
      <c r="D358">
        <v>0.65800000000000003</v>
      </c>
      <c r="E358">
        <v>2389493.4700000002</v>
      </c>
      <c r="F358">
        <v>0</v>
      </c>
      <c r="G358">
        <v>2389493.4700000002</v>
      </c>
      <c r="H358">
        <v>29287.94</v>
      </c>
      <c r="I358">
        <v>443994.66</v>
      </c>
      <c r="J358">
        <v>1.171</v>
      </c>
      <c r="K358">
        <v>49266.44</v>
      </c>
      <c r="L358">
        <v>0</v>
      </c>
      <c r="M358">
        <v>0</v>
      </c>
      <c r="N358">
        <v>2023</v>
      </c>
      <c r="O358">
        <v>6</v>
      </c>
    </row>
    <row r="359" spans="1:15" x14ac:dyDescent="0.3">
      <c r="A359">
        <v>36550</v>
      </c>
      <c r="B359">
        <v>3203346</v>
      </c>
      <c r="C359" t="s">
        <v>60</v>
      </c>
      <c r="D359">
        <v>0.61099999999999999</v>
      </c>
      <c r="E359">
        <v>2218815.38</v>
      </c>
      <c r="F359">
        <v>0</v>
      </c>
      <c r="G359">
        <v>2218815.38</v>
      </c>
      <c r="H359">
        <v>27195.95</v>
      </c>
      <c r="I359">
        <v>181241.78</v>
      </c>
      <c r="J359">
        <v>0.67100000000000004</v>
      </c>
      <c r="K359">
        <v>45747.41</v>
      </c>
      <c r="L359">
        <v>0</v>
      </c>
      <c r="M359">
        <v>0</v>
      </c>
      <c r="N359">
        <v>2023</v>
      </c>
      <c r="O359">
        <v>6</v>
      </c>
    </row>
    <row r="360" spans="1:15" x14ac:dyDescent="0.3">
      <c r="A360">
        <v>36551</v>
      </c>
      <c r="B360">
        <v>3203353</v>
      </c>
      <c r="C360" t="s">
        <v>61</v>
      </c>
      <c r="D360">
        <v>0.436</v>
      </c>
      <c r="E360">
        <v>1583311.81</v>
      </c>
      <c r="F360">
        <v>0</v>
      </c>
      <c r="G360">
        <v>1583311.81</v>
      </c>
      <c r="H360">
        <v>19406.599999999999</v>
      </c>
      <c r="I360">
        <v>133252.29999999999</v>
      </c>
      <c r="J360">
        <v>0.46700000000000003</v>
      </c>
      <c r="K360">
        <v>32644.63</v>
      </c>
      <c r="L360">
        <v>0</v>
      </c>
      <c r="M360">
        <v>0</v>
      </c>
      <c r="N360">
        <v>2023</v>
      </c>
      <c r="O360">
        <v>6</v>
      </c>
    </row>
    <row r="361" spans="1:15" x14ac:dyDescent="0.3">
      <c r="A361">
        <v>36552</v>
      </c>
      <c r="B361">
        <v>3203403</v>
      </c>
      <c r="C361" t="s">
        <v>62</v>
      </c>
      <c r="D361">
        <v>0.495</v>
      </c>
      <c r="E361">
        <v>1797567.29</v>
      </c>
      <c r="F361">
        <v>0</v>
      </c>
      <c r="G361">
        <v>1797567.29</v>
      </c>
      <c r="H361">
        <v>22032.720000000001</v>
      </c>
      <c r="I361">
        <v>208261.56</v>
      </c>
      <c r="J361">
        <v>0.85599999999999998</v>
      </c>
      <c r="K361">
        <v>37062.14</v>
      </c>
      <c r="L361">
        <v>0</v>
      </c>
      <c r="M361">
        <v>0</v>
      </c>
      <c r="N361">
        <v>2023</v>
      </c>
      <c r="O361">
        <v>6</v>
      </c>
    </row>
    <row r="362" spans="1:15" x14ac:dyDescent="0.3">
      <c r="A362">
        <v>36553</v>
      </c>
      <c r="B362">
        <v>3203502</v>
      </c>
      <c r="C362" t="s">
        <v>63</v>
      </c>
      <c r="D362">
        <v>0.52100000000000002</v>
      </c>
      <c r="E362">
        <v>1891984.97</v>
      </c>
      <c r="F362">
        <v>0</v>
      </c>
      <c r="G362">
        <v>1891984.97</v>
      </c>
      <c r="H362">
        <v>23190</v>
      </c>
      <c r="I362">
        <v>189726.6</v>
      </c>
      <c r="J362">
        <v>0.69299999999999995</v>
      </c>
      <c r="K362">
        <v>39008.839999999997</v>
      </c>
      <c r="L362">
        <v>0</v>
      </c>
      <c r="M362">
        <v>0</v>
      </c>
      <c r="N362">
        <v>2023</v>
      </c>
      <c r="O362">
        <v>6</v>
      </c>
    </row>
    <row r="363" spans="1:15" x14ac:dyDescent="0.3">
      <c r="A363">
        <v>36554</v>
      </c>
      <c r="B363">
        <v>3203601</v>
      </c>
      <c r="C363" t="s">
        <v>64</v>
      </c>
      <c r="D363">
        <v>0.28299999999999997</v>
      </c>
      <c r="E363">
        <v>1027700.07</v>
      </c>
      <c r="F363">
        <v>0</v>
      </c>
      <c r="G363">
        <v>1027700.07</v>
      </c>
      <c r="H363">
        <v>12596.49</v>
      </c>
      <c r="I363">
        <v>50737.21</v>
      </c>
      <c r="J363">
        <v>0.29799999999999999</v>
      </c>
      <c r="K363">
        <v>21189.07</v>
      </c>
      <c r="L363">
        <v>0</v>
      </c>
      <c r="M363">
        <v>0</v>
      </c>
      <c r="N363">
        <v>2023</v>
      </c>
      <c r="O363">
        <v>6</v>
      </c>
    </row>
    <row r="364" spans="1:15" x14ac:dyDescent="0.3">
      <c r="A364">
        <v>36555</v>
      </c>
      <c r="B364">
        <v>3203700</v>
      </c>
      <c r="C364" t="s">
        <v>65</v>
      </c>
      <c r="D364">
        <v>0.54600000000000004</v>
      </c>
      <c r="E364">
        <v>1982771.22</v>
      </c>
      <c r="F364">
        <v>0</v>
      </c>
      <c r="G364">
        <v>1982771.22</v>
      </c>
      <c r="H364">
        <v>24302.76</v>
      </c>
      <c r="I364">
        <v>129334.44</v>
      </c>
      <c r="J364">
        <v>0.67100000000000004</v>
      </c>
      <c r="K364">
        <v>40880.660000000003</v>
      </c>
      <c r="L364">
        <v>0</v>
      </c>
      <c r="M364">
        <v>0</v>
      </c>
      <c r="N364">
        <v>2023</v>
      </c>
      <c r="O364">
        <v>6</v>
      </c>
    </row>
    <row r="365" spans="1:15" x14ac:dyDescent="0.3">
      <c r="A365">
        <v>36556</v>
      </c>
      <c r="B365">
        <v>3203809</v>
      </c>
      <c r="C365" t="s">
        <v>66</v>
      </c>
      <c r="D365">
        <v>0.28100000000000003</v>
      </c>
      <c r="E365">
        <v>1020437.19</v>
      </c>
      <c r="F365">
        <v>0</v>
      </c>
      <c r="G365">
        <v>1020437.19</v>
      </c>
      <c r="H365">
        <v>12507.47</v>
      </c>
      <c r="I365">
        <v>90109.77</v>
      </c>
      <c r="J365">
        <v>0.57499999999999996</v>
      </c>
      <c r="K365">
        <v>21039.32</v>
      </c>
      <c r="L365">
        <v>0</v>
      </c>
      <c r="M365">
        <v>0</v>
      </c>
      <c r="N365">
        <v>2023</v>
      </c>
      <c r="O365">
        <v>6</v>
      </c>
    </row>
    <row r="366" spans="1:15" x14ac:dyDescent="0.3">
      <c r="A366">
        <v>36557</v>
      </c>
      <c r="B366">
        <v>3203908</v>
      </c>
      <c r="C366" t="s">
        <v>67</v>
      </c>
      <c r="D366">
        <v>1.3109999999999999</v>
      </c>
      <c r="E366">
        <v>4760829.71</v>
      </c>
      <c r="F366">
        <v>0</v>
      </c>
      <c r="G366">
        <v>4760829.71</v>
      </c>
      <c r="H366">
        <v>58353.33</v>
      </c>
      <c r="I366">
        <v>647889.5</v>
      </c>
      <c r="J366">
        <v>1.4650000000000001</v>
      </c>
      <c r="K366">
        <v>98158.52</v>
      </c>
      <c r="L366">
        <v>0</v>
      </c>
      <c r="M366">
        <v>0</v>
      </c>
      <c r="N366">
        <v>2023</v>
      </c>
      <c r="O366">
        <v>6</v>
      </c>
    </row>
    <row r="367" spans="1:15" x14ac:dyDescent="0.3">
      <c r="A367">
        <v>36558</v>
      </c>
      <c r="B367">
        <v>3204005</v>
      </c>
      <c r="C367" t="s">
        <v>68</v>
      </c>
      <c r="D367">
        <v>0.436</v>
      </c>
      <c r="E367">
        <v>1583311.81</v>
      </c>
      <c r="F367">
        <v>0</v>
      </c>
      <c r="G367">
        <v>1583311.81</v>
      </c>
      <c r="H367">
        <v>19406.599999999999</v>
      </c>
      <c r="I367">
        <v>178785.04</v>
      </c>
      <c r="J367">
        <v>0.747</v>
      </c>
      <c r="K367">
        <v>32644.63</v>
      </c>
      <c r="L367">
        <v>0</v>
      </c>
      <c r="M367">
        <v>0</v>
      </c>
      <c r="N367">
        <v>2023</v>
      </c>
      <c r="O367">
        <v>6</v>
      </c>
    </row>
    <row r="368" spans="1:15" x14ac:dyDescent="0.3">
      <c r="A368">
        <v>36559</v>
      </c>
      <c r="B368">
        <v>3204054</v>
      </c>
      <c r="C368" t="s">
        <v>69</v>
      </c>
      <c r="D368">
        <v>0.307</v>
      </c>
      <c r="E368">
        <v>1114854.8799999999</v>
      </c>
      <c r="F368">
        <v>0</v>
      </c>
      <c r="G368">
        <v>1114854.8799999999</v>
      </c>
      <c r="H368">
        <v>13664.74</v>
      </c>
      <c r="I368">
        <v>204055.96</v>
      </c>
      <c r="J368">
        <v>0.86199999999999999</v>
      </c>
      <c r="K368">
        <v>22986.02</v>
      </c>
      <c r="L368">
        <v>0</v>
      </c>
      <c r="M368">
        <v>0</v>
      </c>
      <c r="N368">
        <v>2023</v>
      </c>
      <c r="O368">
        <v>6</v>
      </c>
    </row>
    <row r="369" spans="1:15" x14ac:dyDescent="0.3">
      <c r="A369">
        <v>36560</v>
      </c>
      <c r="B369">
        <v>3204104</v>
      </c>
      <c r="C369" t="s">
        <v>70</v>
      </c>
      <c r="D369">
        <v>0.73199999999999998</v>
      </c>
      <c r="E369">
        <v>2658220.71</v>
      </c>
      <c r="F369">
        <v>0</v>
      </c>
      <c r="G369">
        <v>2658220.71</v>
      </c>
      <c r="H369">
        <v>32581.72</v>
      </c>
      <c r="I369">
        <v>210109.88</v>
      </c>
      <c r="J369">
        <v>0.875</v>
      </c>
      <c r="K369">
        <v>54807.05</v>
      </c>
      <c r="L369">
        <v>0</v>
      </c>
      <c r="M369">
        <v>0</v>
      </c>
      <c r="N369">
        <v>2023</v>
      </c>
      <c r="O369">
        <v>6</v>
      </c>
    </row>
    <row r="370" spans="1:15" x14ac:dyDescent="0.3">
      <c r="A370">
        <v>36561</v>
      </c>
      <c r="B370">
        <v>3204203</v>
      </c>
      <c r="C370" t="s">
        <v>71</v>
      </c>
      <c r="D370">
        <v>0.14199999999999999</v>
      </c>
      <c r="E370">
        <v>515665.77</v>
      </c>
      <c r="F370">
        <v>0</v>
      </c>
      <c r="G370">
        <v>515665.77</v>
      </c>
      <c r="H370">
        <v>6320.5</v>
      </c>
      <c r="I370">
        <v>264767.90999999997</v>
      </c>
      <c r="J370">
        <v>0.73399999999999999</v>
      </c>
      <c r="K370">
        <v>10631.97</v>
      </c>
      <c r="L370">
        <v>0</v>
      </c>
      <c r="M370">
        <v>0</v>
      </c>
      <c r="N370">
        <v>2023</v>
      </c>
      <c r="O370">
        <v>6</v>
      </c>
    </row>
    <row r="371" spans="1:15" x14ac:dyDescent="0.3">
      <c r="A371">
        <v>36562</v>
      </c>
      <c r="B371">
        <v>3204252</v>
      </c>
      <c r="C371" t="s">
        <v>72</v>
      </c>
      <c r="D371">
        <v>0.20899999999999999</v>
      </c>
      <c r="E371">
        <v>758972.87</v>
      </c>
      <c r="F371">
        <v>0</v>
      </c>
      <c r="G371">
        <v>758972.87</v>
      </c>
      <c r="H371">
        <v>9302.7099999999991</v>
      </c>
      <c r="I371">
        <v>59137.06</v>
      </c>
      <c r="J371">
        <v>0.32900000000000001</v>
      </c>
      <c r="K371">
        <v>15648.46</v>
      </c>
      <c r="L371">
        <v>0</v>
      </c>
      <c r="M371">
        <v>0</v>
      </c>
      <c r="N371">
        <v>2023</v>
      </c>
      <c r="O371">
        <v>6</v>
      </c>
    </row>
    <row r="372" spans="1:15" x14ac:dyDescent="0.3">
      <c r="A372">
        <v>36563</v>
      </c>
      <c r="B372">
        <v>1718402</v>
      </c>
      <c r="C372" t="s">
        <v>73</v>
      </c>
      <c r="D372">
        <v>0.32</v>
      </c>
      <c r="E372">
        <v>1162063.7</v>
      </c>
      <c r="F372">
        <v>0</v>
      </c>
      <c r="G372">
        <v>1162063.7</v>
      </c>
      <c r="H372">
        <v>14243.38</v>
      </c>
      <c r="I372">
        <v>220583.31</v>
      </c>
      <c r="J372">
        <v>0.45100000000000001</v>
      </c>
      <c r="K372">
        <v>23959.360000000001</v>
      </c>
      <c r="L372">
        <v>0</v>
      </c>
      <c r="M372">
        <v>0</v>
      </c>
      <c r="N372">
        <v>2023</v>
      </c>
      <c r="O372">
        <v>6</v>
      </c>
    </row>
    <row r="373" spans="1:15" x14ac:dyDescent="0.3">
      <c r="A373">
        <v>36564</v>
      </c>
      <c r="B373">
        <v>3204351</v>
      </c>
      <c r="C373" t="s">
        <v>74</v>
      </c>
      <c r="D373">
        <v>0.85399999999999998</v>
      </c>
      <c r="E373">
        <v>3101257.49</v>
      </c>
      <c r="F373">
        <v>0</v>
      </c>
      <c r="G373">
        <v>3101257.49</v>
      </c>
      <c r="H373">
        <v>38012.01</v>
      </c>
      <c r="I373">
        <v>265797.21999999997</v>
      </c>
      <c r="J373">
        <v>0.69799999999999995</v>
      </c>
      <c r="K373">
        <v>63941.55</v>
      </c>
      <c r="L373">
        <v>0</v>
      </c>
      <c r="M373">
        <v>0</v>
      </c>
      <c r="N373">
        <v>2023</v>
      </c>
      <c r="O373">
        <v>6</v>
      </c>
    </row>
    <row r="374" spans="1:15" x14ac:dyDescent="0.3">
      <c r="A374">
        <v>36565</v>
      </c>
      <c r="B374">
        <v>3204401</v>
      </c>
      <c r="C374" t="s">
        <v>75</v>
      </c>
      <c r="D374">
        <v>0.25</v>
      </c>
      <c r="E374">
        <v>907862.27</v>
      </c>
      <c r="F374">
        <v>0</v>
      </c>
      <c r="G374">
        <v>907862.27</v>
      </c>
      <c r="H374">
        <v>11127.64</v>
      </c>
      <c r="I374">
        <v>109804.06</v>
      </c>
      <c r="J374">
        <v>0.45</v>
      </c>
      <c r="K374">
        <v>18718.259999999998</v>
      </c>
      <c r="L374">
        <v>0</v>
      </c>
      <c r="M374">
        <v>0</v>
      </c>
      <c r="N374">
        <v>2023</v>
      </c>
      <c r="O374">
        <v>6</v>
      </c>
    </row>
    <row r="375" spans="1:15" x14ac:dyDescent="0.3">
      <c r="A375">
        <v>36566</v>
      </c>
      <c r="B375">
        <v>3204500</v>
      </c>
      <c r="C375" t="s">
        <v>76</v>
      </c>
      <c r="D375">
        <v>0.54500000000000004</v>
      </c>
      <c r="E375">
        <v>1979139.74</v>
      </c>
      <c r="F375">
        <v>0</v>
      </c>
      <c r="G375">
        <v>1979139.74</v>
      </c>
      <c r="H375">
        <v>24258.25</v>
      </c>
      <c r="I375">
        <v>100031.85</v>
      </c>
      <c r="J375">
        <v>0.45600000000000002</v>
      </c>
      <c r="K375">
        <v>40805.800000000003</v>
      </c>
      <c r="L375">
        <v>0</v>
      </c>
      <c r="M375">
        <v>0</v>
      </c>
      <c r="N375">
        <v>2023</v>
      </c>
      <c r="O375">
        <v>6</v>
      </c>
    </row>
    <row r="376" spans="1:15" x14ac:dyDescent="0.3">
      <c r="A376">
        <v>36567</v>
      </c>
      <c r="B376">
        <v>3204559</v>
      </c>
      <c r="C376" t="s">
        <v>77</v>
      </c>
      <c r="D376">
        <v>2.2349999999999999</v>
      </c>
      <c r="E376">
        <v>8116288.6299999999</v>
      </c>
      <c r="F376">
        <v>0</v>
      </c>
      <c r="G376">
        <v>8116288.6299999999</v>
      </c>
      <c r="H376">
        <v>99481.09</v>
      </c>
      <c r="I376">
        <v>637374.31000000006</v>
      </c>
      <c r="J376">
        <v>1.1990000000000001</v>
      </c>
      <c r="K376">
        <v>167341.18</v>
      </c>
      <c r="L376">
        <v>0</v>
      </c>
      <c r="M376">
        <v>0</v>
      </c>
      <c r="N376">
        <v>2023</v>
      </c>
      <c r="O376">
        <v>6</v>
      </c>
    </row>
    <row r="377" spans="1:15" x14ac:dyDescent="0.3">
      <c r="A377">
        <v>36568</v>
      </c>
      <c r="B377">
        <v>3204609</v>
      </c>
      <c r="C377" t="s">
        <v>78</v>
      </c>
      <c r="D377">
        <v>0.65100000000000002</v>
      </c>
      <c r="E377">
        <v>2364073.35</v>
      </c>
      <c r="F377">
        <v>0</v>
      </c>
      <c r="G377">
        <v>2364073.35</v>
      </c>
      <c r="H377">
        <v>28976.37</v>
      </c>
      <c r="I377">
        <v>276368.46000000002</v>
      </c>
      <c r="J377">
        <v>0.82899999999999996</v>
      </c>
      <c r="K377">
        <v>48742.33</v>
      </c>
      <c r="L377">
        <v>0</v>
      </c>
      <c r="M377">
        <v>0</v>
      </c>
      <c r="N377">
        <v>2023</v>
      </c>
      <c r="O377">
        <v>6</v>
      </c>
    </row>
    <row r="378" spans="1:15" x14ac:dyDescent="0.3">
      <c r="A378">
        <v>36569</v>
      </c>
      <c r="B378">
        <v>3204658</v>
      </c>
      <c r="C378" t="s">
        <v>79</v>
      </c>
      <c r="D378">
        <v>0.42299999999999999</v>
      </c>
      <c r="E378">
        <v>1536102.97</v>
      </c>
      <c r="F378">
        <v>0</v>
      </c>
      <c r="G378">
        <v>1536102.97</v>
      </c>
      <c r="H378">
        <v>18827.96</v>
      </c>
      <c r="I378">
        <v>121942.79</v>
      </c>
      <c r="J378">
        <v>0.33700000000000002</v>
      </c>
      <c r="K378">
        <v>31671.29</v>
      </c>
      <c r="L378">
        <v>0</v>
      </c>
      <c r="M378">
        <v>0</v>
      </c>
      <c r="N378">
        <v>2023</v>
      </c>
      <c r="O378">
        <v>6</v>
      </c>
    </row>
    <row r="379" spans="1:15" x14ac:dyDescent="0.3">
      <c r="A379">
        <v>36570</v>
      </c>
      <c r="B379">
        <v>3204708</v>
      </c>
      <c r="C379" t="s">
        <v>80</v>
      </c>
      <c r="D379">
        <v>0.85199999999999998</v>
      </c>
      <c r="E379">
        <v>3093994.6</v>
      </c>
      <c r="F379">
        <v>0</v>
      </c>
      <c r="G379">
        <v>3093994.6</v>
      </c>
      <c r="H379">
        <v>37922.99</v>
      </c>
      <c r="I379">
        <v>408917.73</v>
      </c>
      <c r="J379">
        <v>1.169</v>
      </c>
      <c r="K379">
        <v>63791.8</v>
      </c>
      <c r="L379">
        <v>0</v>
      </c>
      <c r="M379">
        <v>0</v>
      </c>
      <c r="N379">
        <v>2023</v>
      </c>
      <c r="O379">
        <v>6</v>
      </c>
    </row>
    <row r="380" spans="1:15" x14ac:dyDescent="0.3">
      <c r="A380">
        <v>36571</v>
      </c>
      <c r="B380">
        <v>3204807</v>
      </c>
      <c r="C380" t="s">
        <v>81</v>
      </c>
      <c r="D380">
        <v>0.22600000000000001</v>
      </c>
      <c r="E380">
        <v>820707.48</v>
      </c>
      <c r="F380">
        <v>0</v>
      </c>
      <c r="G380">
        <v>820707.48</v>
      </c>
      <c r="H380">
        <v>10059.379999999999</v>
      </c>
      <c r="I380">
        <v>89665.02</v>
      </c>
      <c r="J380">
        <v>0.436</v>
      </c>
      <c r="K380">
        <v>16921.3</v>
      </c>
      <c r="L380">
        <v>0</v>
      </c>
      <c r="M380">
        <v>0</v>
      </c>
      <c r="N380">
        <v>2023</v>
      </c>
      <c r="O380">
        <v>6</v>
      </c>
    </row>
    <row r="381" spans="1:15" x14ac:dyDescent="0.3">
      <c r="A381">
        <v>36572</v>
      </c>
      <c r="B381">
        <v>3204906</v>
      </c>
      <c r="C381" t="s">
        <v>82</v>
      </c>
      <c r="D381">
        <v>1.901</v>
      </c>
      <c r="E381">
        <v>6903384.6600000001</v>
      </c>
      <c r="F381">
        <v>0</v>
      </c>
      <c r="G381">
        <v>6903384.6600000001</v>
      </c>
      <c r="H381">
        <v>84614.56</v>
      </c>
      <c r="I381">
        <v>1381462.64</v>
      </c>
      <c r="J381">
        <v>3.0249999999999999</v>
      </c>
      <c r="K381">
        <v>142333.59</v>
      </c>
      <c r="L381">
        <v>0</v>
      </c>
      <c r="M381">
        <v>0</v>
      </c>
      <c r="N381">
        <v>2023</v>
      </c>
      <c r="O381">
        <v>6</v>
      </c>
    </row>
    <row r="382" spans="1:15" x14ac:dyDescent="0.3">
      <c r="A382">
        <v>36573</v>
      </c>
      <c r="B382">
        <v>3204955</v>
      </c>
      <c r="C382" t="s">
        <v>83</v>
      </c>
      <c r="D382">
        <v>0.312</v>
      </c>
      <c r="E382">
        <v>1133012.1200000001</v>
      </c>
      <c r="F382">
        <v>0</v>
      </c>
      <c r="G382">
        <v>1133012.1200000001</v>
      </c>
      <c r="H382">
        <v>13887.29</v>
      </c>
      <c r="I382">
        <v>101846.98</v>
      </c>
      <c r="J382">
        <v>0.46100000000000002</v>
      </c>
      <c r="K382">
        <v>23360.38</v>
      </c>
      <c r="L382">
        <v>0</v>
      </c>
      <c r="M382">
        <v>0</v>
      </c>
      <c r="N382">
        <v>2023</v>
      </c>
      <c r="O382">
        <v>6</v>
      </c>
    </row>
    <row r="383" spans="1:15" x14ac:dyDescent="0.3">
      <c r="A383">
        <v>36574</v>
      </c>
      <c r="B383">
        <v>3205002</v>
      </c>
      <c r="C383" t="s">
        <v>84</v>
      </c>
      <c r="D383">
        <v>15.625</v>
      </c>
      <c r="E383">
        <v>56741391.619999997</v>
      </c>
      <c r="F383">
        <v>0</v>
      </c>
      <c r="G383">
        <v>56741391.619999997</v>
      </c>
      <c r="H383">
        <v>695477.39</v>
      </c>
      <c r="I383">
        <v>5163451.47</v>
      </c>
      <c r="J383">
        <v>8.4320000000000004</v>
      </c>
      <c r="K383">
        <v>1169890.83</v>
      </c>
      <c r="L383">
        <v>0</v>
      </c>
      <c r="M383">
        <v>0</v>
      </c>
      <c r="N383">
        <v>2023</v>
      </c>
      <c r="O383">
        <v>6</v>
      </c>
    </row>
    <row r="384" spans="1:15" x14ac:dyDescent="0.3">
      <c r="A384">
        <v>36575</v>
      </c>
      <c r="B384">
        <v>3205010</v>
      </c>
      <c r="C384" t="s">
        <v>85</v>
      </c>
      <c r="D384">
        <v>0.72199999999999998</v>
      </c>
      <c r="E384">
        <v>2621906.21</v>
      </c>
      <c r="F384">
        <v>0</v>
      </c>
      <c r="G384">
        <v>2621906.21</v>
      </c>
      <c r="H384">
        <v>32136.62</v>
      </c>
      <c r="I384">
        <v>233389.19</v>
      </c>
      <c r="J384">
        <v>0.997</v>
      </c>
      <c r="K384">
        <v>54058.31</v>
      </c>
      <c r="L384">
        <v>0</v>
      </c>
      <c r="M384">
        <v>0</v>
      </c>
      <c r="N384">
        <v>2023</v>
      </c>
      <c r="O384">
        <v>6</v>
      </c>
    </row>
    <row r="385" spans="1:15" x14ac:dyDescent="0.3">
      <c r="A385">
        <v>36576</v>
      </c>
      <c r="B385">
        <v>3205036</v>
      </c>
      <c r="C385" t="s">
        <v>86</v>
      </c>
      <c r="D385">
        <v>0.49099999999999999</v>
      </c>
      <c r="E385">
        <v>1783041.47</v>
      </c>
      <c r="F385">
        <v>0</v>
      </c>
      <c r="G385">
        <v>1783041.47</v>
      </c>
      <c r="H385">
        <v>21854.68</v>
      </c>
      <c r="I385">
        <v>181215.78</v>
      </c>
      <c r="J385">
        <v>0.72699999999999998</v>
      </c>
      <c r="K385">
        <v>36762.65</v>
      </c>
      <c r="L385">
        <v>0</v>
      </c>
      <c r="M385">
        <v>0</v>
      </c>
      <c r="N385">
        <v>2023</v>
      </c>
      <c r="O385">
        <v>6</v>
      </c>
    </row>
    <row r="386" spans="1:15" x14ac:dyDescent="0.3">
      <c r="A386">
        <v>36577</v>
      </c>
      <c r="B386">
        <v>3205069</v>
      </c>
      <c r="C386" t="s">
        <v>87</v>
      </c>
      <c r="D386">
        <v>0.68700000000000006</v>
      </c>
      <c r="E386">
        <v>2494805.4900000002</v>
      </c>
      <c r="F386">
        <v>0</v>
      </c>
      <c r="G386">
        <v>2494805.4900000002</v>
      </c>
      <c r="H386">
        <v>30578.75</v>
      </c>
      <c r="I386">
        <v>337741.59</v>
      </c>
      <c r="J386">
        <v>0.85799999999999998</v>
      </c>
      <c r="K386">
        <v>51437.760000000002</v>
      </c>
      <c r="L386">
        <v>0</v>
      </c>
      <c r="M386">
        <v>0</v>
      </c>
      <c r="N386">
        <v>2023</v>
      </c>
      <c r="O386">
        <v>6</v>
      </c>
    </row>
    <row r="387" spans="1:15" x14ac:dyDescent="0.3">
      <c r="A387">
        <v>36578</v>
      </c>
      <c r="B387">
        <v>2112803</v>
      </c>
      <c r="C387" t="s">
        <v>88</v>
      </c>
      <c r="D387">
        <v>2.9870000000000001</v>
      </c>
      <c r="E387">
        <v>10847138.359999999</v>
      </c>
      <c r="F387">
        <v>0</v>
      </c>
      <c r="G387">
        <v>10847138.359999999</v>
      </c>
      <c r="H387">
        <v>132953.01999999999</v>
      </c>
      <c r="I387">
        <v>496972.2</v>
      </c>
      <c r="J387">
        <v>1.984</v>
      </c>
      <c r="K387">
        <v>223645.69</v>
      </c>
      <c r="L387">
        <v>0</v>
      </c>
      <c r="M387">
        <v>0</v>
      </c>
      <c r="N387">
        <v>2023</v>
      </c>
      <c r="O387">
        <v>6</v>
      </c>
    </row>
    <row r="388" spans="1:15" x14ac:dyDescent="0.3">
      <c r="A388">
        <v>36579</v>
      </c>
      <c r="B388">
        <v>3205150</v>
      </c>
      <c r="C388" t="s">
        <v>89</v>
      </c>
      <c r="D388">
        <v>0.31900000000000001</v>
      </c>
      <c r="E388">
        <v>1158432.26</v>
      </c>
      <c r="F388">
        <v>0</v>
      </c>
      <c r="G388">
        <v>1158432.26</v>
      </c>
      <c r="H388">
        <v>14198.87</v>
      </c>
      <c r="I388">
        <v>91599.8</v>
      </c>
      <c r="J388">
        <v>0.34399999999999997</v>
      </c>
      <c r="K388">
        <v>23884.49</v>
      </c>
      <c r="L388">
        <v>0</v>
      </c>
      <c r="M388">
        <v>0</v>
      </c>
      <c r="N388">
        <v>2023</v>
      </c>
      <c r="O388">
        <v>6</v>
      </c>
    </row>
    <row r="389" spans="1:15" x14ac:dyDescent="0.3">
      <c r="A389">
        <v>36580</v>
      </c>
      <c r="B389">
        <v>3205176</v>
      </c>
      <c r="C389" t="s">
        <v>90</v>
      </c>
      <c r="D389">
        <v>0.65800000000000003</v>
      </c>
      <c r="E389">
        <v>2389493.4700000002</v>
      </c>
      <c r="F389">
        <v>0</v>
      </c>
      <c r="G389">
        <v>2389493.4700000002</v>
      </c>
      <c r="H389">
        <v>29287.94</v>
      </c>
      <c r="I389">
        <v>232345.56</v>
      </c>
      <c r="J389">
        <v>0.55600000000000005</v>
      </c>
      <c r="K389">
        <v>49266.44</v>
      </c>
      <c r="L389">
        <v>0</v>
      </c>
      <c r="M389">
        <v>0</v>
      </c>
      <c r="N389">
        <v>2023</v>
      </c>
      <c r="O389">
        <v>6</v>
      </c>
    </row>
    <row r="390" spans="1:15" x14ac:dyDescent="0.3">
      <c r="A390">
        <v>36581</v>
      </c>
      <c r="B390">
        <v>3205200</v>
      </c>
      <c r="C390" t="s">
        <v>91</v>
      </c>
      <c r="D390">
        <v>5.056</v>
      </c>
      <c r="E390">
        <v>18360606.469999999</v>
      </c>
      <c r="F390">
        <v>0</v>
      </c>
      <c r="G390">
        <v>18360606.469999999</v>
      </c>
      <c r="H390">
        <v>225045.35</v>
      </c>
      <c r="I390">
        <v>6225768.8600000003</v>
      </c>
      <c r="J390">
        <v>8.09</v>
      </c>
      <c r="K390">
        <v>378557.96</v>
      </c>
      <c r="L390">
        <v>0</v>
      </c>
      <c r="M390">
        <v>0</v>
      </c>
      <c r="N390">
        <v>2023</v>
      </c>
      <c r="O390">
        <v>6</v>
      </c>
    </row>
    <row r="391" spans="1:15" x14ac:dyDescent="0.3">
      <c r="A391">
        <v>36582</v>
      </c>
      <c r="B391">
        <v>3205309</v>
      </c>
      <c r="C391" t="s">
        <v>92</v>
      </c>
      <c r="D391">
        <v>14.782</v>
      </c>
      <c r="E391">
        <v>53680080</v>
      </c>
      <c r="F391">
        <v>0</v>
      </c>
      <c r="G391">
        <v>53680080</v>
      </c>
      <c r="H391">
        <v>657954.99</v>
      </c>
      <c r="I391">
        <v>6042672.1900000004</v>
      </c>
      <c r="J391">
        <v>9.4969999999999999</v>
      </c>
      <c r="K391">
        <v>1106772.9099999999</v>
      </c>
      <c r="L391">
        <v>0</v>
      </c>
      <c r="M391">
        <v>0</v>
      </c>
      <c r="N391">
        <v>2023</v>
      </c>
      <c r="O391">
        <v>6</v>
      </c>
    </row>
    <row r="392" spans="1:15" x14ac:dyDescent="0.3">
      <c r="A392">
        <v>36583</v>
      </c>
      <c r="B392">
        <v>3200102</v>
      </c>
      <c r="C392" t="s">
        <v>15</v>
      </c>
      <c r="D392">
        <v>0.76100000000000001</v>
      </c>
      <c r="E392">
        <v>2680985.27</v>
      </c>
      <c r="F392">
        <v>0</v>
      </c>
      <c r="G392">
        <v>2680985.27</v>
      </c>
      <c r="H392">
        <v>30774.3</v>
      </c>
      <c r="I392">
        <v>308619.99</v>
      </c>
      <c r="J392">
        <v>0.98499999999999999</v>
      </c>
      <c r="K392">
        <v>52157.94</v>
      </c>
      <c r="L392">
        <v>0</v>
      </c>
      <c r="M392">
        <v>15632.73</v>
      </c>
      <c r="N392">
        <v>2023</v>
      </c>
      <c r="O392">
        <v>7</v>
      </c>
    </row>
    <row r="393" spans="1:15" x14ac:dyDescent="0.3">
      <c r="A393">
        <v>36584</v>
      </c>
      <c r="B393">
        <v>3200169</v>
      </c>
      <c r="C393" t="s">
        <v>16</v>
      </c>
      <c r="D393">
        <v>0.28899999999999998</v>
      </c>
      <c r="E393">
        <v>1018140.27</v>
      </c>
      <c r="F393">
        <v>0</v>
      </c>
      <c r="G393">
        <v>1018140.27</v>
      </c>
      <c r="H393">
        <v>11686.95</v>
      </c>
      <c r="I393">
        <v>82740.91</v>
      </c>
      <c r="J393">
        <v>0.439</v>
      </c>
      <c r="K393">
        <v>19807.68</v>
      </c>
      <c r="L393">
        <v>0</v>
      </c>
      <c r="M393">
        <v>5936.74</v>
      </c>
      <c r="N393">
        <v>2023</v>
      </c>
      <c r="O393">
        <v>7</v>
      </c>
    </row>
    <row r="394" spans="1:15" x14ac:dyDescent="0.3">
      <c r="A394">
        <v>36585</v>
      </c>
      <c r="B394">
        <v>3200136</v>
      </c>
      <c r="C394" t="s">
        <v>17</v>
      </c>
      <c r="D394">
        <v>0.40400000000000003</v>
      </c>
      <c r="E394">
        <v>1423282.55</v>
      </c>
      <c r="F394">
        <v>0</v>
      </c>
      <c r="G394">
        <v>1423282.55</v>
      </c>
      <c r="H394">
        <v>16337.47</v>
      </c>
      <c r="I394">
        <v>92194.63</v>
      </c>
      <c r="J394">
        <v>0.34799999999999998</v>
      </c>
      <c r="K394">
        <v>27689.63</v>
      </c>
      <c r="L394">
        <v>0</v>
      </c>
      <c r="M394">
        <v>8299.11</v>
      </c>
      <c r="N394">
        <v>2023</v>
      </c>
      <c r="O394">
        <v>7</v>
      </c>
    </row>
    <row r="395" spans="1:15" x14ac:dyDescent="0.3">
      <c r="A395">
        <v>36586</v>
      </c>
      <c r="B395">
        <v>3200201</v>
      </c>
      <c r="C395" t="s">
        <v>18</v>
      </c>
      <c r="D395">
        <v>0.498</v>
      </c>
      <c r="E395">
        <v>1754442.4</v>
      </c>
      <c r="F395">
        <v>0</v>
      </c>
      <c r="G395">
        <v>1754442.4</v>
      </c>
      <c r="H395">
        <v>20138.759999999998</v>
      </c>
      <c r="I395">
        <v>226940.65</v>
      </c>
      <c r="J395">
        <v>0.98</v>
      </c>
      <c r="K395">
        <v>34132.269999999997</v>
      </c>
      <c r="L395">
        <v>0</v>
      </c>
      <c r="M395">
        <v>10230.09</v>
      </c>
      <c r="N395">
        <v>2023</v>
      </c>
      <c r="O395">
        <v>7</v>
      </c>
    </row>
    <row r="396" spans="1:15" x14ac:dyDescent="0.3">
      <c r="A396">
        <v>36587</v>
      </c>
      <c r="B396">
        <v>3200300</v>
      </c>
      <c r="C396" t="s">
        <v>19</v>
      </c>
      <c r="D396">
        <v>0.46700000000000003</v>
      </c>
      <c r="E396">
        <v>1645230.11</v>
      </c>
      <c r="F396">
        <v>0</v>
      </c>
      <c r="G396">
        <v>1645230.11</v>
      </c>
      <c r="H396">
        <v>18885.150000000001</v>
      </c>
      <c r="I396">
        <v>147066.63</v>
      </c>
      <c r="J396">
        <v>0.56399999999999995</v>
      </c>
      <c r="K396">
        <v>32007.57</v>
      </c>
      <c r="L396">
        <v>0</v>
      </c>
      <c r="M396">
        <v>9593.2800000000007</v>
      </c>
      <c r="N396">
        <v>2023</v>
      </c>
      <c r="O396">
        <v>7</v>
      </c>
    </row>
    <row r="397" spans="1:15" x14ac:dyDescent="0.3">
      <c r="A397">
        <v>36588</v>
      </c>
      <c r="B397">
        <v>3200359</v>
      </c>
      <c r="C397" t="s">
        <v>20</v>
      </c>
      <c r="D397">
        <v>0.22600000000000001</v>
      </c>
      <c r="E397">
        <v>796192.75</v>
      </c>
      <c r="F397">
        <v>0</v>
      </c>
      <c r="G397">
        <v>796192.75</v>
      </c>
      <c r="H397">
        <v>9139.2800000000007</v>
      </c>
      <c r="I397">
        <v>64464.72</v>
      </c>
      <c r="J397">
        <v>0.32700000000000001</v>
      </c>
      <c r="K397">
        <v>15489.74</v>
      </c>
      <c r="L397">
        <v>0</v>
      </c>
      <c r="M397">
        <v>4642.57</v>
      </c>
      <c r="N397">
        <v>2023</v>
      </c>
      <c r="O397">
        <v>7</v>
      </c>
    </row>
    <row r="398" spans="1:15" x14ac:dyDescent="0.3">
      <c r="A398">
        <v>36589</v>
      </c>
      <c r="B398">
        <v>3200409</v>
      </c>
      <c r="C398" t="s">
        <v>21</v>
      </c>
      <c r="D398">
        <v>3.1480000000000001</v>
      </c>
      <c r="E398">
        <v>11090330.710000001</v>
      </c>
      <c r="F398">
        <v>0</v>
      </c>
      <c r="G398">
        <v>11090330.710000001</v>
      </c>
      <c r="H398">
        <v>127302.87</v>
      </c>
      <c r="I398">
        <v>277889.34000000003</v>
      </c>
      <c r="J398">
        <v>0.90800000000000003</v>
      </c>
      <c r="K398">
        <v>215759.79</v>
      </c>
      <c r="L398">
        <v>0</v>
      </c>
      <c r="M398">
        <v>64667.34</v>
      </c>
      <c r="N398">
        <v>2023</v>
      </c>
      <c r="O398">
        <v>7</v>
      </c>
    </row>
    <row r="399" spans="1:15" x14ac:dyDescent="0.3">
      <c r="A399">
        <v>36590</v>
      </c>
      <c r="B399">
        <v>3200508</v>
      </c>
      <c r="C399" t="s">
        <v>22</v>
      </c>
      <c r="D399">
        <v>0.185</v>
      </c>
      <c r="E399">
        <v>651750.68000000005</v>
      </c>
      <c r="F399">
        <v>0</v>
      </c>
      <c r="G399">
        <v>651750.68000000005</v>
      </c>
      <c r="H399">
        <v>7481.27</v>
      </c>
      <c r="I399">
        <v>85194.99</v>
      </c>
      <c r="J399">
        <v>0.32300000000000001</v>
      </c>
      <c r="K399">
        <v>12679.66</v>
      </c>
      <c r="L399">
        <v>0</v>
      </c>
      <c r="M399">
        <v>3800.34</v>
      </c>
      <c r="N399">
        <v>2023</v>
      </c>
      <c r="O399">
        <v>7</v>
      </c>
    </row>
    <row r="400" spans="1:15" x14ac:dyDescent="0.3">
      <c r="A400">
        <v>36591</v>
      </c>
      <c r="B400">
        <v>3200607</v>
      </c>
      <c r="C400" t="s">
        <v>23</v>
      </c>
      <c r="D400">
        <v>2.9220000000000002</v>
      </c>
      <c r="E400">
        <v>10294137.93</v>
      </c>
      <c r="F400">
        <v>0</v>
      </c>
      <c r="G400">
        <v>10294137.93</v>
      </c>
      <c r="H400">
        <v>118163.59</v>
      </c>
      <c r="I400">
        <v>1076212.07</v>
      </c>
      <c r="J400">
        <v>2.5089999999999999</v>
      </c>
      <c r="K400">
        <v>200270.04</v>
      </c>
      <c r="L400">
        <v>0</v>
      </c>
      <c r="M400">
        <v>60024.77</v>
      </c>
      <c r="N400">
        <v>2023</v>
      </c>
      <c r="O400">
        <v>7</v>
      </c>
    </row>
    <row r="401" spans="1:15" x14ac:dyDescent="0.3">
      <c r="A401">
        <v>36592</v>
      </c>
      <c r="B401">
        <v>3200706</v>
      </c>
      <c r="C401" t="s">
        <v>24</v>
      </c>
      <c r="D401">
        <v>0.35399999999999998</v>
      </c>
      <c r="E401">
        <v>1247133.76</v>
      </c>
      <c r="F401">
        <v>0</v>
      </c>
      <c r="G401">
        <v>1247133.76</v>
      </c>
      <c r="H401">
        <v>14315.51</v>
      </c>
      <c r="I401">
        <v>96904.12</v>
      </c>
      <c r="J401">
        <v>0.45700000000000002</v>
      </c>
      <c r="K401">
        <v>24262.7</v>
      </c>
      <c r="L401">
        <v>0</v>
      </c>
      <c r="M401">
        <v>7271.99</v>
      </c>
      <c r="N401">
        <v>2023</v>
      </c>
      <c r="O401">
        <v>7</v>
      </c>
    </row>
    <row r="402" spans="1:15" x14ac:dyDescent="0.3">
      <c r="A402">
        <v>36593</v>
      </c>
      <c r="B402">
        <v>3200805</v>
      </c>
      <c r="C402" t="s">
        <v>25</v>
      </c>
      <c r="D402">
        <v>0.60699999999999998</v>
      </c>
      <c r="E402">
        <v>2138446.87</v>
      </c>
      <c r="F402">
        <v>0</v>
      </c>
      <c r="G402">
        <v>2138446.87</v>
      </c>
      <c r="H402">
        <v>24546.65</v>
      </c>
      <c r="I402">
        <v>416077.49</v>
      </c>
      <c r="J402">
        <v>0.997</v>
      </c>
      <c r="K402">
        <v>41602.980000000003</v>
      </c>
      <c r="L402">
        <v>0</v>
      </c>
      <c r="M402">
        <v>12469.21</v>
      </c>
      <c r="N402">
        <v>2023</v>
      </c>
      <c r="O402">
        <v>7</v>
      </c>
    </row>
    <row r="403" spans="1:15" x14ac:dyDescent="0.3">
      <c r="A403">
        <v>36594</v>
      </c>
      <c r="B403">
        <v>3200904</v>
      </c>
      <c r="C403" t="s">
        <v>26</v>
      </c>
      <c r="D403">
        <v>1.0289999999999999</v>
      </c>
      <c r="E403">
        <v>3625143.03</v>
      </c>
      <c r="F403">
        <v>0</v>
      </c>
      <c r="G403">
        <v>3625143.03</v>
      </c>
      <c r="H403">
        <v>41612.019999999997</v>
      </c>
      <c r="I403">
        <v>465322.93</v>
      </c>
      <c r="J403">
        <v>1.321</v>
      </c>
      <c r="K403">
        <v>70526.31</v>
      </c>
      <c r="L403">
        <v>0</v>
      </c>
      <c r="M403">
        <v>21138.09</v>
      </c>
      <c r="N403">
        <v>2023</v>
      </c>
      <c r="O403">
        <v>7</v>
      </c>
    </row>
    <row r="404" spans="1:15" x14ac:dyDescent="0.3">
      <c r="A404">
        <v>36595</v>
      </c>
      <c r="B404">
        <v>3107109</v>
      </c>
      <c r="C404" t="s">
        <v>27</v>
      </c>
      <c r="D404">
        <v>0.39500000000000002</v>
      </c>
      <c r="E404">
        <v>1391575.81</v>
      </c>
      <c r="F404">
        <v>0</v>
      </c>
      <c r="G404">
        <v>1391575.81</v>
      </c>
      <c r="H404">
        <v>15973.52</v>
      </c>
      <c r="I404">
        <v>112760.68</v>
      </c>
      <c r="J404">
        <v>0.56899999999999995</v>
      </c>
      <c r="K404">
        <v>27072.78</v>
      </c>
      <c r="L404">
        <v>0</v>
      </c>
      <c r="M404">
        <v>8114.23</v>
      </c>
      <c r="N404">
        <v>2023</v>
      </c>
      <c r="O404">
        <v>7</v>
      </c>
    </row>
    <row r="405" spans="1:15" x14ac:dyDescent="0.3">
      <c r="A405">
        <v>36596</v>
      </c>
      <c r="B405">
        <v>3201100</v>
      </c>
      <c r="C405" t="s">
        <v>28</v>
      </c>
      <c r="D405">
        <v>0.17599999999999999</v>
      </c>
      <c r="E405">
        <v>620043.91</v>
      </c>
      <c r="F405">
        <v>0</v>
      </c>
      <c r="G405">
        <v>620043.91</v>
      </c>
      <c r="H405">
        <v>7117.31</v>
      </c>
      <c r="I405">
        <v>225567.34</v>
      </c>
      <c r="J405">
        <v>0.43</v>
      </c>
      <c r="K405">
        <v>12062.81</v>
      </c>
      <c r="L405">
        <v>0</v>
      </c>
      <c r="M405">
        <v>3615.46</v>
      </c>
      <c r="N405">
        <v>2023</v>
      </c>
      <c r="O405">
        <v>7</v>
      </c>
    </row>
    <row r="406" spans="1:15" x14ac:dyDescent="0.3">
      <c r="A406">
        <v>36597</v>
      </c>
      <c r="B406">
        <v>3201159</v>
      </c>
      <c r="C406" t="s">
        <v>29</v>
      </c>
      <c r="D406">
        <v>0.42099999999999999</v>
      </c>
      <c r="E406">
        <v>1483173.21</v>
      </c>
      <c r="F406">
        <v>0</v>
      </c>
      <c r="G406">
        <v>1483173.21</v>
      </c>
      <c r="H406">
        <v>17024.939999999999</v>
      </c>
      <c r="I406">
        <v>114569.78</v>
      </c>
      <c r="J406">
        <v>0.46</v>
      </c>
      <c r="K406">
        <v>28854.79</v>
      </c>
      <c r="L406">
        <v>0</v>
      </c>
      <c r="M406">
        <v>8648.33</v>
      </c>
      <c r="N406">
        <v>2023</v>
      </c>
      <c r="O406">
        <v>7</v>
      </c>
    </row>
    <row r="407" spans="1:15" x14ac:dyDescent="0.3">
      <c r="A407">
        <v>36598</v>
      </c>
      <c r="B407">
        <v>3201209</v>
      </c>
      <c r="C407" t="s">
        <v>30</v>
      </c>
      <c r="D407">
        <v>3.1120000000000001</v>
      </c>
      <c r="E407">
        <v>10963503.51</v>
      </c>
      <c r="F407">
        <v>0</v>
      </c>
      <c r="G407">
        <v>10963503.51</v>
      </c>
      <c r="H407">
        <v>125847.06</v>
      </c>
      <c r="I407">
        <v>2163528.73</v>
      </c>
      <c r="J407">
        <v>4.4820000000000002</v>
      </c>
      <c r="K407">
        <v>213292.4</v>
      </c>
      <c r="L407">
        <v>0</v>
      </c>
      <c r="M407">
        <v>63927.82</v>
      </c>
      <c r="N407">
        <v>2023</v>
      </c>
      <c r="O407">
        <v>7</v>
      </c>
    </row>
    <row r="408" spans="1:15" x14ac:dyDescent="0.3">
      <c r="A408">
        <v>36599</v>
      </c>
      <c r="B408">
        <v>3201308</v>
      </c>
      <c r="C408" t="s">
        <v>31</v>
      </c>
      <c r="D408">
        <v>7.2990000000000004</v>
      </c>
      <c r="E408">
        <v>25714207.050000001</v>
      </c>
      <c r="F408">
        <v>0</v>
      </c>
      <c r="G408">
        <v>25714207.050000001</v>
      </c>
      <c r="H408">
        <v>295166.34000000003</v>
      </c>
      <c r="I408">
        <v>2817192.51</v>
      </c>
      <c r="J408">
        <v>6.6040000000000001</v>
      </c>
      <c r="K408">
        <v>500263.88</v>
      </c>
      <c r="L408">
        <v>0</v>
      </c>
      <c r="M408">
        <v>149938.67000000001</v>
      </c>
      <c r="N408">
        <v>2023</v>
      </c>
      <c r="O408">
        <v>7</v>
      </c>
    </row>
    <row r="409" spans="1:15" x14ac:dyDescent="0.3">
      <c r="A409">
        <v>36600</v>
      </c>
      <c r="B409">
        <v>3201407</v>
      </c>
      <c r="C409" t="s">
        <v>32</v>
      </c>
      <c r="D409">
        <v>0.89900000000000002</v>
      </c>
      <c r="E409">
        <v>3167156.08</v>
      </c>
      <c r="F409">
        <v>0</v>
      </c>
      <c r="G409">
        <v>3167156.08</v>
      </c>
      <c r="H409">
        <v>36354.92</v>
      </c>
      <c r="I409">
        <v>492147.27</v>
      </c>
      <c r="J409">
        <v>1.155</v>
      </c>
      <c r="K409">
        <v>61616.28</v>
      </c>
      <c r="L409">
        <v>0</v>
      </c>
      <c r="M409">
        <v>18467.580000000002</v>
      </c>
      <c r="N409">
        <v>2023</v>
      </c>
      <c r="O409">
        <v>7</v>
      </c>
    </row>
    <row r="410" spans="1:15" x14ac:dyDescent="0.3">
      <c r="A410">
        <v>36601</v>
      </c>
      <c r="B410">
        <v>3201506</v>
      </c>
      <c r="C410" t="s">
        <v>33</v>
      </c>
      <c r="D410">
        <v>2.2320000000000002</v>
      </c>
      <c r="E410">
        <v>7863284.0199999996</v>
      </c>
      <c r="F410">
        <v>0</v>
      </c>
      <c r="G410">
        <v>7863284.0199999996</v>
      </c>
      <c r="H410">
        <v>90260.479999999996</v>
      </c>
      <c r="I410">
        <v>1455534.0800000001</v>
      </c>
      <c r="J410">
        <v>2.8220000000000001</v>
      </c>
      <c r="K410">
        <v>152978.35</v>
      </c>
      <c r="L410">
        <v>0</v>
      </c>
      <c r="M410">
        <v>45850.54</v>
      </c>
      <c r="N410">
        <v>2023</v>
      </c>
      <c r="O410">
        <v>7</v>
      </c>
    </row>
    <row r="411" spans="1:15" x14ac:dyDescent="0.3">
      <c r="A411">
        <v>36602</v>
      </c>
      <c r="B411">
        <v>3201605</v>
      </c>
      <c r="C411" t="s">
        <v>34</v>
      </c>
      <c r="D411">
        <v>0.79400000000000004</v>
      </c>
      <c r="E411">
        <v>2797243.5</v>
      </c>
      <c r="F411">
        <v>0</v>
      </c>
      <c r="G411">
        <v>2797243.5</v>
      </c>
      <c r="H411">
        <v>32108.79</v>
      </c>
      <c r="I411">
        <v>200002.3</v>
      </c>
      <c r="J411">
        <v>0.999</v>
      </c>
      <c r="K411">
        <v>54419.72</v>
      </c>
      <c r="L411">
        <v>0</v>
      </c>
      <c r="M411">
        <v>16310.63</v>
      </c>
      <c r="N411">
        <v>2023</v>
      </c>
      <c r="O411">
        <v>7</v>
      </c>
    </row>
    <row r="412" spans="1:15" x14ac:dyDescent="0.3">
      <c r="A412">
        <v>36603</v>
      </c>
      <c r="B412">
        <v>3201704</v>
      </c>
      <c r="C412" t="s">
        <v>35</v>
      </c>
      <c r="D412">
        <v>0.46</v>
      </c>
      <c r="E412">
        <v>1620569.26</v>
      </c>
      <c r="F412">
        <v>0</v>
      </c>
      <c r="G412">
        <v>1620569.26</v>
      </c>
      <c r="H412">
        <v>18602.07</v>
      </c>
      <c r="I412">
        <v>100491.05</v>
      </c>
      <c r="J412">
        <v>0.46500000000000002</v>
      </c>
      <c r="K412">
        <v>31527.8</v>
      </c>
      <c r="L412">
        <v>0</v>
      </c>
      <c r="M412">
        <v>9449.48</v>
      </c>
      <c r="N412">
        <v>2023</v>
      </c>
      <c r="O412">
        <v>7</v>
      </c>
    </row>
    <row r="413" spans="1:15" x14ac:dyDescent="0.3">
      <c r="A413">
        <v>36604</v>
      </c>
      <c r="B413">
        <v>3201803</v>
      </c>
      <c r="C413" t="s">
        <v>36</v>
      </c>
      <c r="D413">
        <v>0.182</v>
      </c>
      <c r="E413">
        <v>641181.77</v>
      </c>
      <c r="F413">
        <v>0</v>
      </c>
      <c r="G413">
        <v>641181.77</v>
      </c>
      <c r="H413">
        <v>7359.95</v>
      </c>
      <c r="I413">
        <v>32312.36</v>
      </c>
      <c r="J413">
        <v>0.28299999999999997</v>
      </c>
      <c r="K413">
        <v>12474.04</v>
      </c>
      <c r="L413">
        <v>0</v>
      </c>
      <c r="M413">
        <v>3738.71</v>
      </c>
      <c r="N413">
        <v>2023</v>
      </c>
      <c r="O413">
        <v>7</v>
      </c>
    </row>
    <row r="414" spans="1:15" x14ac:dyDescent="0.3">
      <c r="A414">
        <v>36605</v>
      </c>
      <c r="B414">
        <v>3201902</v>
      </c>
      <c r="C414" t="s">
        <v>37</v>
      </c>
      <c r="D414">
        <v>1.268</v>
      </c>
      <c r="E414">
        <v>4467134.47</v>
      </c>
      <c r="F414">
        <v>0</v>
      </c>
      <c r="G414">
        <v>4467134.47</v>
      </c>
      <c r="H414">
        <v>51277.01</v>
      </c>
      <c r="I414">
        <v>357520.04</v>
      </c>
      <c r="J414">
        <v>1.0309999999999999</v>
      </c>
      <c r="K414">
        <v>86907.06</v>
      </c>
      <c r="L414">
        <v>0</v>
      </c>
      <c r="M414">
        <v>26047.71</v>
      </c>
      <c r="N414">
        <v>2023</v>
      </c>
      <c r="O414">
        <v>7</v>
      </c>
    </row>
    <row r="415" spans="1:15" x14ac:dyDescent="0.3">
      <c r="A415">
        <v>36606</v>
      </c>
      <c r="B415">
        <v>3202009</v>
      </c>
      <c r="C415" t="s">
        <v>38</v>
      </c>
      <c r="D415">
        <v>0.27</v>
      </c>
      <c r="E415">
        <v>951203.71</v>
      </c>
      <c r="F415">
        <v>0</v>
      </c>
      <c r="G415">
        <v>951203.71</v>
      </c>
      <c r="H415">
        <v>10918.61</v>
      </c>
      <c r="I415">
        <v>89063.65</v>
      </c>
      <c r="J415">
        <v>0.314</v>
      </c>
      <c r="K415">
        <v>18505.45</v>
      </c>
      <c r="L415">
        <v>0</v>
      </c>
      <c r="M415">
        <v>5546.44</v>
      </c>
      <c r="N415">
        <v>2023</v>
      </c>
      <c r="O415">
        <v>7</v>
      </c>
    </row>
    <row r="416" spans="1:15" x14ac:dyDescent="0.3">
      <c r="A416">
        <v>36607</v>
      </c>
      <c r="B416">
        <v>3202108</v>
      </c>
      <c r="C416" t="s">
        <v>39</v>
      </c>
      <c r="D416">
        <v>0.69399999999999995</v>
      </c>
      <c r="E416">
        <v>2444945.84</v>
      </c>
      <c r="F416">
        <v>0</v>
      </c>
      <c r="G416">
        <v>2444945.84</v>
      </c>
      <c r="H416">
        <v>28064.86</v>
      </c>
      <c r="I416">
        <v>164582.14000000001</v>
      </c>
      <c r="J416">
        <v>0.81599999999999995</v>
      </c>
      <c r="K416">
        <v>47565.85</v>
      </c>
      <c r="L416">
        <v>0</v>
      </c>
      <c r="M416">
        <v>14256.4</v>
      </c>
      <c r="N416">
        <v>2023</v>
      </c>
      <c r="O416">
        <v>7</v>
      </c>
    </row>
    <row r="417" spans="1:15" x14ac:dyDescent="0.3">
      <c r="A417">
        <v>36608</v>
      </c>
      <c r="B417">
        <v>3202207</v>
      </c>
      <c r="C417" t="s">
        <v>40</v>
      </c>
      <c r="D417">
        <v>0.28599999999999998</v>
      </c>
      <c r="E417">
        <v>1007571.33</v>
      </c>
      <c r="F417">
        <v>0</v>
      </c>
      <c r="G417">
        <v>1007571.33</v>
      </c>
      <c r="H417">
        <v>11565.64</v>
      </c>
      <c r="I417">
        <v>149756.94</v>
      </c>
      <c r="J417">
        <v>0.73399999999999999</v>
      </c>
      <c r="K417">
        <v>19602.060000000001</v>
      </c>
      <c r="L417">
        <v>0</v>
      </c>
      <c r="M417">
        <v>5875.11</v>
      </c>
      <c r="N417">
        <v>2023</v>
      </c>
      <c r="O417">
        <v>7</v>
      </c>
    </row>
    <row r="418" spans="1:15" x14ac:dyDescent="0.3">
      <c r="A418">
        <v>36609</v>
      </c>
      <c r="B418">
        <v>3202256</v>
      </c>
      <c r="C418" t="s">
        <v>41</v>
      </c>
      <c r="D418">
        <v>0.438</v>
      </c>
      <c r="E418">
        <v>1543063.82</v>
      </c>
      <c r="F418">
        <v>0</v>
      </c>
      <c r="G418">
        <v>1543063.82</v>
      </c>
      <c r="H418">
        <v>17712.41</v>
      </c>
      <c r="I418">
        <v>143852.13</v>
      </c>
      <c r="J418">
        <v>0.46700000000000003</v>
      </c>
      <c r="K418">
        <v>30019.95</v>
      </c>
      <c r="L418">
        <v>0</v>
      </c>
      <c r="M418">
        <v>8997.5499999999993</v>
      </c>
      <c r="N418">
        <v>2023</v>
      </c>
      <c r="O418">
        <v>7</v>
      </c>
    </row>
    <row r="419" spans="1:15" x14ac:dyDescent="0.3">
      <c r="A419">
        <v>36610</v>
      </c>
      <c r="B419">
        <v>3202306</v>
      </c>
      <c r="C419" t="s">
        <v>42</v>
      </c>
      <c r="D419">
        <v>0.35899999999999999</v>
      </c>
      <c r="E419">
        <v>1264748.6299999999</v>
      </c>
      <c r="F419">
        <v>0</v>
      </c>
      <c r="G419">
        <v>1264748.6299999999</v>
      </c>
      <c r="H419">
        <v>14517.7</v>
      </c>
      <c r="I419">
        <v>296644.03999999998</v>
      </c>
      <c r="J419">
        <v>0.998</v>
      </c>
      <c r="K419">
        <v>24605.39</v>
      </c>
      <c r="L419">
        <v>0</v>
      </c>
      <c r="M419">
        <v>7374.71</v>
      </c>
      <c r="N419">
        <v>2023</v>
      </c>
      <c r="O419">
        <v>7</v>
      </c>
    </row>
    <row r="420" spans="1:15" x14ac:dyDescent="0.3">
      <c r="A420">
        <v>36611</v>
      </c>
      <c r="B420">
        <v>3202405</v>
      </c>
      <c r="C420" t="s">
        <v>43</v>
      </c>
      <c r="D420">
        <v>0.81200000000000006</v>
      </c>
      <c r="E420">
        <v>2860657.11</v>
      </c>
      <c r="F420">
        <v>0</v>
      </c>
      <c r="G420">
        <v>2860657.11</v>
      </c>
      <c r="H420">
        <v>32836.699999999997</v>
      </c>
      <c r="I420">
        <v>1975622.73</v>
      </c>
      <c r="J420">
        <v>2.8730000000000002</v>
      </c>
      <c r="K420">
        <v>55653.41</v>
      </c>
      <c r="L420">
        <v>0</v>
      </c>
      <c r="M420">
        <v>16680.39</v>
      </c>
      <c r="N420">
        <v>2023</v>
      </c>
      <c r="O420">
        <v>7</v>
      </c>
    </row>
    <row r="421" spans="1:15" x14ac:dyDescent="0.3">
      <c r="A421">
        <v>36612</v>
      </c>
      <c r="B421">
        <v>3202454</v>
      </c>
      <c r="C421" t="s">
        <v>44</v>
      </c>
      <c r="D421">
        <v>0.372</v>
      </c>
      <c r="E421">
        <v>1310547.33</v>
      </c>
      <c r="F421">
        <v>0</v>
      </c>
      <c r="G421">
        <v>1310547.33</v>
      </c>
      <c r="H421">
        <v>15043.41</v>
      </c>
      <c r="I421">
        <v>278452.24</v>
      </c>
      <c r="J421">
        <v>0.86499999999999999</v>
      </c>
      <c r="K421">
        <v>25496.39</v>
      </c>
      <c r="L421">
        <v>0</v>
      </c>
      <c r="M421">
        <v>7641.76</v>
      </c>
      <c r="N421">
        <v>2023</v>
      </c>
      <c r="O421">
        <v>7</v>
      </c>
    </row>
    <row r="422" spans="1:15" x14ac:dyDescent="0.3">
      <c r="A422">
        <v>36613</v>
      </c>
      <c r="B422">
        <v>3202504</v>
      </c>
      <c r="C422" t="s">
        <v>45</v>
      </c>
      <c r="D422">
        <v>0.23100000000000001</v>
      </c>
      <c r="E422">
        <v>813807.62</v>
      </c>
      <c r="F422">
        <v>0</v>
      </c>
      <c r="G422">
        <v>813807.62</v>
      </c>
      <c r="H422">
        <v>9341.4699999999993</v>
      </c>
      <c r="I422">
        <v>118411.47</v>
      </c>
      <c r="J422">
        <v>0.46300000000000002</v>
      </c>
      <c r="K422">
        <v>15832.44</v>
      </c>
      <c r="L422">
        <v>0</v>
      </c>
      <c r="M422">
        <v>4745.28</v>
      </c>
      <c r="N422">
        <v>2023</v>
      </c>
      <c r="O422">
        <v>7</v>
      </c>
    </row>
    <row r="423" spans="1:15" x14ac:dyDescent="0.3">
      <c r="A423">
        <v>36614</v>
      </c>
      <c r="B423">
        <v>3202553</v>
      </c>
      <c r="C423" t="s">
        <v>46</v>
      </c>
      <c r="D423">
        <v>0.24299999999999999</v>
      </c>
      <c r="E423">
        <v>856083.34</v>
      </c>
      <c r="F423">
        <v>0</v>
      </c>
      <c r="G423">
        <v>856083.34</v>
      </c>
      <c r="H423">
        <v>9826.75</v>
      </c>
      <c r="I423">
        <v>52787.22</v>
      </c>
      <c r="J423">
        <v>0.33800000000000002</v>
      </c>
      <c r="K423">
        <v>16654.900000000001</v>
      </c>
      <c r="L423">
        <v>0</v>
      </c>
      <c r="M423">
        <v>4991.79</v>
      </c>
      <c r="N423">
        <v>2023</v>
      </c>
      <c r="O423">
        <v>7</v>
      </c>
    </row>
    <row r="424" spans="1:15" x14ac:dyDescent="0.3">
      <c r="A424">
        <v>36615</v>
      </c>
      <c r="B424">
        <v>3202603</v>
      </c>
      <c r="C424" t="s">
        <v>47</v>
      </c>
      <c r="D424">
        <v>0.315</v>
      </c>
      <c r="E424">
        <v>1109737.6599999999</v>
      </c>
      <c r="F424">
        <v>0</v>
      </c>
      <c r="G424">
        <v>1109737.6599999999</v>
      </c>
      <c r="H424">
        <v>12738.37</v>
      </c>
      <c r="I424">
        <v>179861.8</v>
      </c>
      <c r="J424">
        <v>0.55600000000000005</v>
      </c>
      <c r="K424">
        <v>21589.69</v>
      </c>
      <c r="L424">
        <v>0</v>
      </c>
      <c r="M424">
        <v>6470.84</v>
      </c>
      <c r="N424">
        <v>2023</v>
      </c>
      <c r="O424">
        <v>7</v>
      </c>
    </row>
    <row r="425" spans="1:15" x14ac:dyDescent="0.3">
      <c r="A425">
        <v>36616</v>
      </c>
      <c r="B425">
        <v>3202652</v>
      </c>
      <c r="C425" t="s">
        <v>48</v>
      </c>
      <c r="D425">
        <v>0.29899999999999999</v>
      </c>
      <c r="E425">
        <v>1053370.02</v>
      </c>
      <c r="F425">
        <v>0</v>
      </c>
      <c r="G425">
        <v>1053370.02</v>
      </c>
      <c r="H425">
        <v>12091.35</v>
      </c>
      <c r="I425">
        <v>138626.35999999999</v>
      </c>
      <c r="J425">
        <v>0.55100000000000005</v>
      </c>
      <c r="K425">
        <v>20493.07</v>
      </c>
      <c r="L425">
        <v>0</v>
      </c>
      <c r="M425">
        <v>6142.17</v>
      </c>
      <c r="N425">
        <v>2023</v>
      </c>
      <c r="O425">
        <v>7</v>
      </c>
    </row>
    <row r="426" spans="1:15" x14ac:dyDescent="0.3">
      <c r="A426">
        <v>36617</v>
      </c>
      <c r="B426">
        <v>3202702</v>
      </c>
      <c r="C426" t="s">
        <v>49</v>
      </c>
      <c r="D426">
        <v>0.31900000000000001</v>
      </c>
      <c r="E426">
        <v>1123829.55</v>
      </c>
      <c r="F426">
        <v>0</v>
      </c>
      <c r="G426">
        <v>1123829.55</v>
      </c>
      <c r="H426">
        <v>12900.13</v>
      </c>
      <c r="I426">
        <v>80558.14</v>
      </c>
      <c r="J426">
        <v>0.55500000000000005</v>
      </c>
      <c r="K426">
        <v>21863.84</v>
      </c>
      <c r="L426">
        <v>0</v>
      </c>
      <c r="M426">
        <v>6553.01</v>
      </c>
      <c r="N426">
        <v>2023</v>
      </c>
      <c r="O426">
        <v>7</v>
      </c>
    </row>
    <row r="427" spans="1:15" x14ac:dyDescent="0.3">
      <c r="A427">
        <v>36618</v>
      </c>
      <c r="B427">
        <v>3202801</v>
      </c>
      <c r="C427" t="s">
        <v>50</v>
      </c>
      <c r="D427">
        <v>2.4550000000000001</v>
      </c>
      <c r="E427">
        <v>8648907.8300000001</v>
      </c>
      <c r="F427">
        <v>0</v>
      </c>
      <c r="G427">
        <v>8648907.8300000001</v>
      </c>
      <c r="H427">
        <v>99278.45</v>
      </c>
      <c r="I427">
        <v>296832.5</v>
      </c>
      <c r="J427">
        <v>1.0409999999999999</v>
      </c>
      <c r="K427">
        <v>168262.48</v>
      </c>
      <c r="L427">
        <v>0</v>
      </c>
      <c r="M427">
        <v>50431.49</v>
      </c>
      <c r="N427">
        <v>2023</v>
      </c>
      <c r="O427">
        <v>7</v>
      </c>
    </row>
    <row r="428" spans="1:15" x14ac:dyDescent="0.3">
      <c r="A428">
        <v>36619</v>
      </c>
      <c r="B428">
        <v>3202900</v>
      </c>
      <c r="C428" t="s">
        <v>51</v>
      </c>
      <c r="D428">
        <v>0.34799999999999998</v>
      </c>
      <c r="E428">
        <v>1225995.8899999999</v>
      </c>
      <c r="F428">
        <v>0</v>
      </c>
      <c r="G428">
        <v>1225995.8899999999</v>
      </c>
      <c r="H428">
        <v>14072.87</v>
      </c>
      <c r="I428">
        <v>129916.8</v>
      </c>
      <c r="J428">
        <v>0.435</v>
      </c>
      <c r="K428">
        <v>23851.46</v>
      </c>
      <c r="L428">
        <v>0</v>
      </c>
      <c r="M428">
        <v>7148.74</v>
      </c>
      <c r="N428">
        <v>2023</v>
      </c>
      <c r="O428">
        <v>7</v>
      </c>
    </row>
    <row r="429" spans="1:15" x14ac:dyDescent="0.3">
      <c r="A429">
        <v>36620</v>
      </c>
      <c r="B429">
        <v>3203007</v>
      </c>
      <c r="C429" t="s">
        <v>52</v>
      </c>
      <c r="D429">
        <v>0.496</v>
      </c>
      <c r="E429">
        <v>1747396.45</v>
      </c>
      <c r="F429">
        <v>0</v>
      </c>
      <c r="G429">
        <v>1747396.45</v>
      </c>
      <c r="H429">
        <v>20057.89</v>
      </c>
      <c r="I429">
        <v>296045.74</v>
      </c>
      <c r="J429">
        <v>0.89700000000000002</v>
      </c>
      <c r="K429">
        <v>33995.19</v>
      </c>
      <c r="L429">
        <v>0</v>
      </c>
      <c r="M429">
        <v>10189.01</v>
      </c>
      <c r="N429">
        <v>2023</v>
      </c>
      <c r="O429">
        <v>7</v>
      </c>
    </row>
    <row r="430" spans="1:15" x14ac:dyDescent="0.3">
      <c r="A430">
        <v>36621</v>
      </c>
      <c r="B430">
        <v>3203056</v>
      </c>
      <c r="C430" t="s">
        <v>53</v>
      </c>
      <c r="D430">
        <v>0.871</v>
      </c>
      <c r="E430">
        <v>3068512.73</v>
      </c>
      <c r="F430">
        <v>0</v>
      </c>
      <c r="G430">
        <v>3068512.73</v>
      </c>
      <c r="H430">
        <v>35222.620000000003</v>
      </c>
      <c r="I430">
        <v>293308.81</v>
      </c>
      <c r="J430">
        <v>1</v>
      </c>
      <c r="K430">
        <v>59697.2</v>
      </c>
      <c r="L430">
        <v>0</v>
      </c>
      <c r="M430">
        <v>17892.39</v>
      </c>
      <c r="N430">
        <v>2023</v>
      </c>
      <c r="O430">
        <v>7</v>
      </c>
    </row>
    <row r="431" spans="1:15" x14ac:dyDescent="0.3">
      <c r="A431">
        <v>36622</v>
      </c>
      <c r="B431">
        <v>3203106</v>
      </c>
      <c r="C431" t="s">
        <v>54</v>
      </c>
      <c r="D431">
        <v>0.21</v>
      </c>
      <c r="E431">
        <v>739825.12</v>
      </c>
      <c r="F431">
        <v>0</v>
      </c>
      <c r="G431">
        <v>739825.12</v>
      </c>
      <c r="H431">
        <v>8492.25</v>
      </c>
      <c r="I431">
        <v>67507.72</v>
      </c>
      <c r="J431">
        <v>0.45800000000000002</v>
      </c>
      <c r="K431">
        <v>14393.12</v>
      </c>
      <c r="L431">
        <v>0</v>
      </c>
      <c r="M431">
        <v>4313.8999999999996</v>
      </c>
      <c r="N431">
        <v>2023</v>
      </c>
      <c r="O431">
        <v>7</v>
      </c>
    </row>
    <row r="432" spans="1:15" x14ac:dyDescent="0.3">
      <c r="A432">
        <v>36623</v>
      </c>
      <c r="B432">
        <v>3203130</v>
      </c>
      <c r="C432" t="s">
        <v>55</v>
      </c>
      <c r="D432">
        <v>0.36199999999999999</v>
      </c>
      <c r="E432">
        <v>1275317.54</v>
      </c>
      <c r="F432">
        <v>0</v>
      </c>
      <c r="G432">
        <v>1275317.54</v>
      </c>
      <c r="H432">
        <v>14639.02</v>
      </c>
      <c r="I432">
        <v>128291.1</v>
      </c>
      <c r="J432">
        <v>0.66600000000000004</v>
      </c>
      <c r="K432">
        <v>24811</v>
      </c>
      <c r="L432">
        <v>0</v>
      </c>
      <c r="M432">
        <v>7436.33</v>
      </c>
      <c r="N432">
        <v>2023</v>
      </c>
      <c r="O432">
        <v>7</v>
      </c>
    </row>
    <row r="433" spans="1:15" x14ac:dyDescent="0.3">
      <c r="A433">
        <v>36624</v>
      </c>
      <c r="B433">
        <v>3203163</v>
      </c>
      <c r="C433" t="s">
        <v>56</v>
      </c>
      <c r="D433">
        <v>0.373</v>
      </c>
      <c r="E433">
        <v>1314070.33</v>
      </c>
      <c r="F433">
        <v>0</v>
      </c>
      <c r="G433">
        <v>1314070.33</v>
      </c>
      <c r="H433">
        <v>15083.85</v>
      </c>
      <c r="I433">
        <v>71137.919999999998</v>
      </c>
      <c r="J433">
        <v>0.441</v>
      </c>
      <c r="K433">
        <v>25564.93</v>
      </c>
      <c r="L433">
        <v>0</v>
      </c>
      <c r="M433">
        <v>7662.3</v>
      </c>
      <c r="N433">
        <v>2023</v>
      </c>
      <c r="O433">
        <v>7</v>
      </c>
    </row>
    <row r="434" spans="1:15" x14ac:dyDescent="0.3">
      <c r="A434">
        <v>36625</v>
      </c>
      <c r="B434">
        <v>3203205</v>
      </c>
      <c r="C434" t="s">
        <v>57</v>
      </c>
      <c r="D434">
        <v>4.9790000000000001</v>
      </c>
      <c r="E434">
        <v>17540901.039999999</v>
      </c>
      <c r="F434">
        <v>0</v>
      </c>
      <c r="G434">
        <v>17540901.039999999</v>
      </c>
      <c r="H434">
        <v>201347.20000000001</v>
      </c>
      <c r="I434">
        <v>1894590.06</v>
      </c>
      <c r="J434">
        <v>4.0880000000000001</v>
      </c>
      <c r="K434">
        <v>341254.12</v>
      </c>
      <c r="L434">
        <v>0</v>
      </c>
      <c r="M434">
        <v>102280.4</v>
      </c>
      <c r="N434">
        <v>2023</v>
      </c>
      <c r="O434">
        <v>7</v>
      </c>
    </row>
    <row r="435" spans="1:15" x14ac:dyDescent="0.3">
      <c r="A435">
        <v>36626</v>
      </c>
      <c r="B435">
        <v>3203304</v>
      </c>
      <c r="C435" t="s">
        <v>58</v>
      </c>
      <c r="D435">
        <v>0.27600000000000002</v>
      </c>
      <c r="E435">
        <v>972341.56</v>
      </c>
      <c r="F435">
        <v>0</v>
      </c>
      <c r="G435">
        <v>972341.56</v>
      </c>
      <c r="H435">
        <v>11161.24</v>
      </c>
      <c r="I435">
        <v>172894.2</v>
      </c>
      <c r="J435">
        <v>0.57599999999999996</v>
      </c>
      <c r="K435">
        <v>18916.68</v>
      </c>
      <c r="L435">
        <v>0</v>
      </c>
      <c r="M435">
        <v>5669.69</v>
      </c>
      <c r="N435">
        <v>2023</v>
      </c>
      <c r="O435">
        <v>7</v>
      </c>
    </row>
    <row r="436" spans="1:15" x14ac:dyDescent="0.3">
      <c r="A436">
        <v>36627</v>
      </c>
      <c r="B436">
        <v>3203320</v>
      </c>
      <c r="C436" t="s">
        <v>59</v>
      </c>
      <c r="D436">
        <v>0.65800000000000003</v>
      </c>
      <c r="E436">
        <v>2318118.64</v>
      </c>
      <c r="F436">
        <v>0</v>
      </c>
      <c r="G436">
        <v>2318118.64</v>
      </c>
      <c r="H436">
        <v>26609.05</v>
      </c>
      <c r="I436">
        <v>428755.5</v>
      </c>
      <c r="J436">
        <v>1.171</v>
      </c>
      <c r="K436">
        <v>45098.46</v>
      </c>
      <c r="L436">
        <v>0</v>
      </c>
      <c r="M436">
        <v>13516.87</v>
      </c>
      <c r="N436">
        <v>2023</v>
      </c>
      <c r="O436">
        <v>7</v>
      </c>
    </row>
    <row r="437" spans="1:15" x14ac:dyDescent="0.3">
      <c r="A437">
        <v>36628</v>
      </c>
      <c r="B437">
        <v>3203346</v>
      </c>
      <c r="C437" t="s">
        <v>60</v>
      </c>
      <c r="D437">
        <v>0.61099999999999999</v>
      </c>
      <c r="E437">
        <v>2152538.79</v>
      </c>
      <c r="F437">
        <v>0</v>
      </c>
      <c r="G437">
        <v>2152538.79</v>
      </c>
      <c r="H437">
        <v>24708.400000000001</v>
      </c>
      <c r="I437">
        <v>176978.65</v>
      </c>
      <c r="J437">
        <v>0.67100000000000004</v>
      </c>
      <c r="K437">
        <v>41877.14</v>
      </c>
      <c r="L437">
        <v>0</v>
      </c>
      <c r="M437">
        <v>12551.38</v>
      </c>
      <c r="N437">
        <v>2023</v>
      </c>
      <c r="O437">
        <v>7</v>
      </c>
    </row>
    <row r="438" spans="1:15" x14ac:dyDescent="0.3">
      <c r="A438">
        <v>36629</v>
      </c>
      <c r="B438">
        <v>3203353</v>
      </c>
      <c r="C438" t="s">
        <v>61</v>
      </c>
      <c r="D438">
        <v>0.436</v>
      </c>
      <c r="E438">
        <v>1536017.83</v>
      </c>
      <c r="F438">
        <v>0</v>
      </c>
      <c r="G438">
        <v>1536017.83</v>
      </c>
      <c r="H438">
        <v>17631.53</v>
      </c>
      <c r="I438">
        <v>109932.37</v>
      </c>
      <c r="J438">
        <v>0.46700000000000003</v>
      </c>
      <c r="K438">
        <v>29882.87</v>
      </c>
      <c r="L438">
        <v>0</v>
      </c>
      <c r="M438">
        <v>8956.4699999999993</v>
      </c>
      <c r="N438">
        <v>2023</v>
      </c>
      <c r="O438">
        <v>7</v>
      </c>
    </row>
    <row r="439" spans="1:15" x14ac:dyDescent="0.3">
      <c r="A439">
        <v>36630</v>
      </c>
      <c r="B439">
        <v>3203403</v>
      </c>
      <c r="C439" t="s">
        <v>62</v>
      </c>
      <c r="D439">
        <v>0.495</v>
      </c>
      <c r="E439">
        <v>1743873.46</v>
      </c>
      <c r="F439">
        <v>0</v>
      </c>
      <c r="G439">
        <v>1743873.46</v>
      </c>
      <c r="H439">
        <v>20017.45</v>
      </c>
      <c r="I439">
        <v>185034.78</v>
      </c>
      <c r="J439">
        <v>0.85599999999999998</v>
      </c>
      <c r="K439">
        <v>33926.65</v>
      </c>
      <c r="L439">
        <v>0</v>
      </c>
      <c r="M439">
        <v>10168.469999999999</v>
      </c>
      <c r="N439">
        <v>2023</v>
      </c>
      <c r="O439">
        <v>7</v>
      </c>
    </row>
    <row r="440" spans="1:15" x14ac:dyDescent="0.3">
      <c r="A440">
        <v>36631</v>
      </c>
      <c r="B440">
        <v>3203502</v>
      </c>
      <c r="C440" t="s">
        <v>63</v>
      </c>
      <c r="D440">
        <v>0.52100000000000002</v>
      </c>
      <c r="E440">
        <v>1835470.86</v>
      </c>
      <c r="F440">
        <v>0</v>
      </c>
      <c r="G440">
        <v>1835470.86</v>
      </c>
      <c r="H440">
        <v>21068.87</v>
      </c>
      <c r="I440">
        <v>183855.07</v>
      </c>
      <c r="J440">
        <v>0.69299999999999995</v>
      </c>
      <c r="K440">
        <v>35708.660000000003</v>
      </c>
      <c r="L440">
        <v>0</v>
      </c>
      <c r="M440">
        <v>10702.57</v>
      </c>
      <c r="N440">
        <v>2023</v>
      </c>
      <c r="O440">
        <v>7</v>
      </c>
    </row>
    <row r="441" spans="1:15" x14ac:dyDescent="0.3">
      <c r="A441">
        <v>36632</v>
      </c>
      <c r="B441">
        <v>3203601</v>
      </c>
      <c r="C441" t="s">
        <v>64</v>
      </c>
      <c r="D441">
        <v>0.28299999999999997</v>
      </c>
      <c r="E441">
        <v>997002.43</v>
      </c>
      <c r="F441">
        <v>0</v>
      </c>
      <c r="G441">
        <v>997002.43</v>
      </c>
      <c r="H441">
        <v>11444.32</v>
      </c>
      <c r="I441">
        <v>41383.49</v>
      </c>
      <c r="J441">
        <v>0.29799999999999999</v>
      </c>
      <c r="K441">
        <v>19396.45</v>
      </c>
      <c r="L441">
        <v>0</v>
      </c>
      <c r="M441">
        <v>5813.49</v>
      </c>
      <c r="N441">
        <v>2023</v>
      </c>
      <c r="O441">
        <v>7</v>
      </c>
    </row>
    <row r="442" spans="1:15" x14ac:dyDescent="0.3">
      <c r="A442">
        <v>36633</v>
      </c>
      <c r="B442">
        <v>3203700</v>
      </c>
      <c r="C442" t="s">
        <v>65</v>
      </c>
      <c r="D442">
        <v>0.54600000000000004</v>
      </c>
      <c r="E442">
        <v>1923545.29</v>
      </c>
      <c r="F442">
        <v>0</v>
      </c>
      <c r="G442">
        <v>1923545.29</v>
      </c>
      <c r="H442">
        <v>22079.85</v>
      </c>
      <c r="I442">
        <v>117332.11</v>
      </c>
      <c r="J442">
        <v>0.67100000000000004</v>
      </c>
      <c r="K442">
        <v>37422.120000000003</v>
      </c>
      <c r="L442">
        <v>0</v>
      </c>
      <c r="M442">
        <v>11216.13</v>
      </c>
      <c r="N442">
        <v>2023</v>
      </c>
      <c r="O442">
        <v>7</v>
      </c>
    </row>
    <row r="443" spans="1:15" x14ac:dyDescent="0.3">
      <c r="A443">
        <v>36634</v>
      </c>
      <c r="B443">
        <v>3203809</v>
      </c>
      <c r="C443" t="s">
        <v>66</v>
      </c>
      <c r="D443">
        <v>0.28100000000000003</v>
      </c>
      <c r="E443">
        <v>989956.45</v>
      </c>
      <c r="F443">
        <v>0</v>
      </c>
      <c r="G443">
        <v>989956.45</v>
      </c>
      <c r="H443">
        <v>11363.44</v>
      </c>
      <c r="I443">
        <v>91201.01</v>
      </c>
      <c r="J443">
        <v>0.57499999999999996</v>
      </c>
      <c r="K443">
        <v>19259.37</v>
      </c>
      <c r="L443">
        <v>0</v>
      </c>
      <c r="M443">
        <v>5772.4</v>
      </c>
      <c r="N443">
        <v>2023</v>
      </c>
      <c r="O443">
        <v>7</v>
      </c>
    </row>
    <row r="444" spans="1:15" x14ac:dyDescent="0.3">
      <c r="A444">
        <v>36635</v>
      </c>
      <c r="B444">
        <v>3203908</v>
      </c>
      <c r="C444" t="s">
        <v>67</v>
      </c>
      <c r="D444">
        <v>1.3109999999999999</v>
      </c>
      <c r="E444">
        <v>4618622.5</v>
      </c>
      <c r="F444">
        <v>0</v>
      </c>
      <c r="G444">
        <v>4618622.5</v>
      </c>
      <c r="H444">
        <v>53015.9</v>
      </c>
      <c r="I444">
        <v>600683.86</v>
      </c>
      <c r="J444">
        <v>1.4650000000000001</v>
      </c>
      <c r="K444">
        <v>89854.22</v>
      </c>
      <c r="L444">
        <v>0</v>
      </c>
      <c r="M444">
        <v>26931.03</v>
      </c>
      <c r="N444">
        <v>2023</v>
      </c>
      <c r="O444">
        <v>7</v>
      </c>
    </row>
    <row r="445" spans="1:15" x14ac:dyDescent="0.3">
      <c r="A445">
        <v>36636</v>
      </c>
      <c r="B445">
        <v>3204005</v>
      </c>
      <c r="C445" t="s">
        <v>68</v>
      </c>
      <c r="D445">
        <v>0.436</v>
      </c>
      <c r="E445">
        <v>1536017.83</v>
      </c>
      <c r="F445">
        <v>0</v>
      </c>
      <c r="G445">
        <v>1536017.83</v>
      </c>
      <c r="H445">
        <v>17631.53</v>
      </c>
      <c r="I445">
        <v>156128.09</v>
      </c>
      <c r="J445">
        <v>0.747</v>
      </c>
      <c r="K445">
        <v>29882.87</v>
      </c>
      <c r="L445">
        <v>0</v>
      </c>
      <c r="M445">
        <v>8956.4699999999993</v>
      </c>
      <c r="N445">
        <v>2023</v>
      </c>
      <c r="O445">
        <v>7</v>
      </c>
    </row>
    <row r="446" spans="1:15" x14ac:dyDescent="0.3">
      <c r="A446">
        <v>36637</v>
      </c>
      <c r="B446">
        <v>3204054</v>
      </c>
      <c r="C446" t="s">
        <v>69</v>
      </c>
      <c r="D446">
        <v>0.307</v>
      </c>
      <c r="E446">
        <v>1081553.8600000001</v>
      </c>
      <c r="F446">
        <v>0</v>
      </c>
      <c r="G446">
        <v>1081553.8600000001</v>
      </c>
      <c r="H446">
        <v>12414.86</v>
      </c>
      <c r="I446">
        <v>180600.66</v>
      </c>
      <c r="J446">
        <v>0.86199999999999999</v>
      </c>
      <c r="K446">
        <v>21041.38</v>
      </c>
      <c r="L446">
        <v>0</v>
      </c>
      <c r="M446">
        <v>6306.5</v>
      </c>
      <c r="N446">
        <v>2023</v>
      </c>
      <c r="O446">
        <v>7</v>
      </c>
    </row>
    <row r="447" spans="1:15" x14ac:dyDescent="0.3">
      <c r="A447">
        <v>36638</v>
      </c>
      <c r="B447">
        <v>3204104</v>
      </c>
      <c r="C447" t="s">
        <v>70</v>
      </c>
      <c r="D447">
        <v>0.73199999999999998</v>
      </c>
      <c r="E447">
        <v>2578818.96</v>
      </c>
      <c r="F447">
        <v>0</v>
      </c>
      <c r="G447">
        <v>2578818.96</v>
      </c>
      <c r="H447">
        <v>29601.56</v>
      </c>
      <c r="I447">
        <v>177639.77</v>
      </c>
      <c r="J447">
        <v>0.875</v>
      </c>
      <c r="K447">
        <v>50170.32</v>
      </c>
      <c r="L447">
        <v>0</v>
      </c>
      <c r="M447">
        <v>15037.01</v>
      </c>
      <c r="N447">
        <v>2023</v>
      </c>
      <c r="O447">
        <v>7</v>
      </c>
    </row>
    <row r="448" spans="1:15" x14ac:dyDescent="0.3">
      <c r="A448">
        <v>36639</v>
      </c>
      <c r="B448">
        <v>3204203</v>
      </c>
      <c r="C448" t="s">
        <v>71</v>
      </c>
      <c r="D448">
        <v>0.14199999999999999</v>
      </c>
      <c r="E448">
        <v>500262.67</v>
      </c>
      <c r="F448">
        <v>0</v>
      </c>
      <c r="G448">
        <v>500262.67</v>
      </c>
      <c r="H448">
        <v>5742.38</v>
      </c>
      <c r="I448">
        <v>244887.41</v>
      </c>
      <c r="J448">
        <v>0.73399999999999999</v>
      </c>
      <c r="K448">
        <v>9732.49</v>
      </c>
      <c r="L448">
        <v>0</v>
      </c>
      <c r="M448">
        <v>2917.01</v>
      </c>
      <c r="N448">
        <v>2023</v>
      </c>
      <c r="O448">
        <v>7</v>
      </c>
    </row>
    <row r="449" spans="1:15" x14ac:dyDescent="0.3">
      <c r="A449">
        <v>36640</v>
      </c>
      <c r="B449">
        <v>3204252</v>
      </c>
      <c r="C449" t="s">
        <v>72</v>
      </c>
      <c r="D449">
        <v>0.20899999999999999</v>
      </c>
      <c r="E449">
        <v>736302.15</v>
      </c>
      <c r="F449">
        <v>0</v>
      </c>
      <c r="G449">
        <v>736302.15</v>
      </c>
      <c r="H449">
        <v>8451.81</v>
      </c>
      <c r="I449">
        <v>49174.97</v>
      </c>
      <c r="J449">
        <v>0.32900000000000001</v>
      </c>
      <c r="K449">
        <v>14324.59</v>
      </c>
      <c r="L449">
        <v>0</v>
      </c>
      <c r="M449">
        <v>4293.3500000000004</v>
      </c>
      <c r="N449">
        <v>2023</v>
      </c>
      <c r="O449">
        <v>7</v>
      </c>
    </row>
    <row r="450" spans="1:15" x14ac:dyDescent="0.3">
      <c r="A450">
        <v>36641</v>
      </c>
      <c r="B450">
        <v>1718402</v>
      </c>
      <c r="C450" t="s">
        <v>73</v>
      </c>
      <c r="D450">
        <v>0.32</v>
      </c>
      <c r="E450">
        <v>1127352.56</v>
      </c>
      <c r="F450">
        <v>0</v>
      </c>
      <c r="G450">
        <v>1127352.56</v>
      </c>
      <c r="H450">
        <v>12940.57</v>
      </c>
      <c r="I450">
        <v>222854.62</v>
      </c>
      <c r="J450">
        <v>0.45100000000000001</v>
      </c>
      <c r="K450">
        <v>21932.38</v>
      </c>
      <c r="L450">
        <v>0</v>
      </c>
      <c r="M450">
        <v>6573.55</v>
      </c>
      <c r="N450">
        <v>2023</v>
      </c>
      <c r="O450">
        <v>7</v>
      </c>
    </row>
    <row r="451" spans="1:15" x14ac:dyDescent="0.3">
      <c r="A451">
        <v>36642</v>
      </c>
      <c r="B451">
        <v>3204351</v>
      </c>
      <c r="C451" t="s">
        <v>74</v>
      </c>
      <c r="D451">
        <v>0.85399999999999998</v>
      </c>
      <c r="E451">
        <v>3008622.11</v>
      </c>
      <c r="F451">
        <v>0</v>
      </c>
      <c r="G451">
        <v>3008622.11</v>
      </c>
      <c r="H451">
        <v>34535.15</v>
      </c>
      <c r="I451">
        <v>220039.02</v>
      </c>
      <c r="J451">
        <v>0.69799999999999995</v>
      </c>
      <c r="K451">
        <v>58532.04</v>
      </c>
      <c r="L451">
        <v>0</v>
      </c>
      <c r="M451">
        <v>17543.169999999998</v>
      </c>
      <c r="N451">
        <v>2023</v>
      </c>
      <c r="O451">
        <v>7</v>
      </c>
    </row>
    <row r="452" spans="1:15" x14ac:dyDescent="0.3">
      <c r="A452">
        <v>36643</v>
      </c>
      <c r="B452">
        <v>3204401</v>
      </c>
      <c r="C452" t="s">
        <v>75</v>
      </c>
      <c r="D452">
        <v>0.25</v>
      </c>
      <c r="E452">
        <v>880744.19</v>
      </c>
      <c r="F452">
        <v>0</v>
      </c>
      <c r="G452">
        <v>880744.19</v>
      </c>
      <c r="H452">
        <v>10109.82</v>
      </c>
      <c r="I452">
        <v>88398.98</v>
      </c>
      <c r="J452">
        <v>0.45</v>
      </c>
      <c r="K452">
        <v>17134.669999999998</v>
      </c>
      <c r="L452">
        <v>0</v>
      </c>
      <c r="M452">
        <v>5135.59</v>
      </c>
      <c r="N452">
        <v>2023</v>
      </c>
      <c r="O452">
        <v>7</v>
      </c>
    </row>
    <row r="453" spans="1:15" x14ac:dyDescent="0.3">
      <c r="A453">
        <v>36644</v>
      </c>
      <c r="B453">
        <v>3204500</v>
      </c>
      <c r="C453" t="s">
        <v>76</v>
      </c>
      <c r="D453">
        <v>0.54500000000000004</v>
      </c>
      <c r="E453">
        <v>1920022.3</v>
      </c>
      <c r="F453">
        <v>0</v>
      </c>
      <c r="G453">
        <v>1920022.3</v>
      </c>
      <c r="H453">
        <v>22039.41</v>
      </c>
      <c r="I453">
        <v>71117.02</v>
      </c>
      <c r="J453">
        <v>0.45600000000000002</v>
      </c>
      <c r="K453">
        <v>37353.58</v>
      </c>
      <c r="L453">
        <v>0</v>
      </c>
      <c r="M453">
        <v>11195.59</v>
      </c>
      <c r="N453">
        <v>2023</v>
      </c>
      <c r="O453">
        <v>7</v>
      </c>
    </row>
    <row r="454" spans="1:15" x14ac:dyDescent="0.3">
      <c r="A454">
        <v>36645</v>
      </c>
      <c r="B454">
        <v>3204559</v>
      </c>
      <c r="C454" t="s">
        <v>77</v>
      </c>
      <c r="D454">
        <v>2.2349999999999999</v>
      </c>
      <c r="E454">
        <v>7873852.96</v>
      </c>
      <c r="F454">
        <v>0</v>
      </c>
      <c r="G454">
        <v>7873852.96</v>
      </c>
      <c r="H454">
        <v>90381.8</v>
      </c>
      <c r="I454">
        <v>566203.75</v>
      </c>
      <c r="J454">
        <v>1.1990000000000001</v>
      </c>
      <c r="K454">
        <v>153183.97</v>
      </c>
      <c r="L454">
        <v>0</v>
      </c>
      <c r="M454">
        <v>45912.17</v>
      </c>
      <c r="N454">
        <v>2023</v>
      </c>
      <c r="O454">
        <v>7</v>
      </c>
    </row>
    <row r="455" spans="1:15" x14ac:dyDescent="0.3">
      <c r="A455">
        <v>36646</v>
      </c>
      <c r="B455">
        <v>3204609</v>
      </c>
      <c r="C455" t="s">
        <v>78</v>
      </c>
      <c r="D455">
        <v>0.65100000000000002</v>
      </c>
      <c r="E455">
        <v>2293457.86</v>
      </c>
      <c r="F455">
        <v>0</v>
      </c>
      <c r="G455">
        <v>2293457.86</v>
      </c>
      <c r="H455">
        <v>26325.97</v>
      </c>
      <c r="I455">
        <v>296073.34999999998</v>
      </c>
      <c r="J455">
        <v>0.82899999999999996</v>
      </c>
      <c r="K455">
        <v>44618.69</v>
      </c>
      <c r="L455">
        <v>0</v>
      </c>
      <c r="M455">
        <v>13373.08</v>
      </c>
      <c r="N455">
        <v>2023</v>
      </c>
      <c r="O455">
        <v>7</v>
      </c>
    </row>
    <row r="456" spans="1:15" x14ac:dyDescent="0.3">
      <c r="A456">
        <v>36647</v>
      </c>
      <c r="B456">
        <v>3204658</v>
      </c>
      <c r="C456" t="s">
        <v>79</v>
      </c>
      <c r="D456">
        <v>0.42299999999999999</v>
      </c>
      <c r="E456">
        <v>1490219.12</v>
      </c>
      <c r="F456">
        <v>0</v>
      </c>
      <c r="G456">
        <v>1490219.12</v>
      </c>
      <c r="H456">
        <v>17105.82</v>
      </c>
      <c r="I456">
        <v>102130.37</v>
      </c>
      <c r="J456">
        <v>0.33700000000000002</v>
      </c>
      <c r="K456">
        <v>28991.86</v>
      </c>
      <c r="L456">
        <v>0</v>
      </c>
      <c r="M456">
        <v>8689.42</v>
      </c>
      <c r="N456">
        <v>2023</v>
      </c>
      <c r="O456">
        <v>7</v>
      </c>
    </row>
    <row r="457" spans="1:15" x14ac:dyDescent="0.3">
      <c r="A457">
        <v>36648</v>
      </c>
      <c r="B457">
        <v>3204708</v>
      </c>
      <c r="C457" t="s">
        <v>80</v>
      </c>
      <c r="D457">
        <v>0.85199999999999998</v>
      </c>
      <c r="E457">
        <v>3001576.17</v>
      </c>
      <c r="F457">
        <v>0</v>
      </c>
      <c r="G457">
        <v>3001576.17</v>
      </c>
      <c r="H457">
        <v>34454.269999999997</v>
      </c>
      <c r="I457">
        <v>341458.35</v>
      </c>
      <c r="J457">
        <v>1.169</v>
      </c>
      <c r="K457">
        <v>58394.96</v>
      </c>
      <c r="L457">
        <v>0</v>
      </c>
      <c r="M457">
        <v>17502.09</v>
      </c>
      <c r="N457">
        <v>2023</v>
      </c>
      <c r="O457">
        <v>7</v>
      </c>
    </row>
    <row r="458" spans="1:15" x14ac:dyDescent="0.3">
      <c r="A458">
        <v>36649</v>
      </c>
      <c r="B458">
        <v>3204807</v>
      </c>
      <c r="C458" t="s">
        <v>81</v>
      </c>
      <c r="D458">
        <v>0.22600000000000001</v>
      </c>
      <c r="E458">
        <v>796192.75</v>
      </c>
      <c r="F458">
        <v>0</v>
      </c>
      <c r="G458">
        <v>796192.75</v>
      </c>
      <c r="H458">
        <v>9139.2800000000007</v>
      </c>
      <c r="I458">
        <v>82160.740000000005</v>
      </c>
      <c r="J458">
        <v>0.436</v>
      </c>
      <c r="K458">
        <v>15489.74</v>
      </c>
      <c r="L458">
        <v>0</v>
      </c>
      <c r="M458">
        <v>4642.57</v>
      </c>
      <c r="N458">
        <v>2023</v>
      </c>
      <c r="O458">
        <v>7</v>
      </c>
    </row>
    <row r="459" spans="1:15" x14ac:dyDescent="0.3">
      <c r="A459">
        <v>36650</v>
      </c>
      <c r="B459">
        <v>3204906</v>
      </c>
      <c r="C459" t="s">
        <v>82</v>
      </c>
      <c r="D459">
        <v>1.901</v>
      </c>
      <c r="E459">
        <v>6697178.75</v>
      </c>
      <c r="F459">
        <v>0</v>
      </c>
      <c r="G459">
        <v>6697178.75</v>
      </c>
      <c r="H459">
        <v>76875.08</v>
      </c>
      <c r="I459">
        <v>1328333.48</v>
      </c>
      <c r="J459">
        <v>3.0249999999999999</v>
      </c>
      <c r="K459">
        <v>130292.04</v>
      </c>
      <c r="L459">
        <v>0</v>
      </c>
      <c r="M459">
        <v>39051.019999999997</v>
      </c>
      <c r="N459">
        <v>2023</v>
      </c>
      <c r="O459">
        <v>7</v>
      </c>
    </row>
    <row r="460" spans="1:15" x14ac:dyDescent="0.3">
      <c r="A460">
        <v>36651</v>
      </c>
      <c r="B460">
        <v>3204955</v>
      </c>
      <c r="C460" t="s">
        <v>83</v>
      </c>
      <c r="D460">
        <v>0.312</v>
      </c>
      <c r="E460">
        <v>1099168.71</v>
      </c>
      <c r="F460">
        <v>0</v>
      </c>
      <c r="G460">
        <v>1099168.71</v>
      </c>
      <c r="H460">
        <v>12617.06</v>
      </c>
      <c r="I460">
        <v>81651.570000000007</v>
      </c>
      <c r="J460">
        <v>0.46100000000000002</v>
      </c>
      <c r="K460">
        <v>21384.07</v>
      </c>
      <c r="L460">
        <v>0</v>
      </c>
      <c r="M460">
        <v>6409.22</v>
      </c>
      <c r="N460">
        <v>2023</v>
      </c>
      <c r="O460">
        <v>7</v>
      </c>
    </row>
    <row r="461" spans="1:15" x14ac:dyDescent="0.3">
      <c r="A461">
        <v>36652</v>
      </c>
      <c r="B461">
        <v>3205002</v>
      </c>
      <c r="C461" t="s">
        <v>84</v>
      </c>
      <c r="D461">
        <v>15.625</v>
      </c>
      <c r="E461">
        <v>55046511.159999996</v>
      </c>
      <c r="F461">
        <v>0</v>
      </c>
      <c r="G461">
        <v>55046511.159999996</v>
      </c>
      <c r="H461">
        <v>631863.82999999996</v>
      </c>
      <c r="I461">
        <v>4811567.87</v>
      </c>
      <c r="J461">
        <v>8.4320000000000004</v>
      </c>
      <c r="K461">
        <v>1070916.99</v>
      </c>
      <c r="L461">
        <v>0</v>
      </c>
      <c r="M461">
        <v>320974.34999999998</v>
      </c>
      <c r="N461">
        <v>2023</v>
      </c>
      <c r="O461">
        <v>7</v>
      </c>
    </row>
    <row r="462" spans="1:15" x14ac:dyDescent="0.3">
      <c r="A462">
        <v>36653</v>
      </c>
      <c r="B462">
        <v>3205010</v>
      </c>
      <c r="C462" t="s">
        <v>85</v>
      </c>
      <c r="D462">
        <v>0.72199999999999998</v>
      </c>
      <c r="E462">
        <v>2543589.17</v>
      </c>
      <c r="F462">
        <v>0</v>
      </c>
      <c r="G462">
        <v>2543589.17</v>
      </c>
      <c r="H462">
        <v>29197.16</v>
      </c>
      <c r="I462">
        <v>179149.97</v>
      </c>
      <c r="J462">
        <v>0.997</v>
      </c>
      <c r="K462">
        <v>49484.93</v>
      </c>
      <c r="L462">
        <v>0</v>
      </c>
      <c r="M462">
        <v>14831.58</v>
      </c>
      <c r="N462">
        <v>2023</v>
      </c>
      <c r="O462">
        <v>7</v>
      </c>
    </row>
    <row r="463" spans="1:15" x14ac:dyDescent="0.3">
      <c r="A463">
        <v>36654</v>
      </c>
      <c r="B463">
        <v>3205036</v>
      </c>
      <c r="C463" t="s">
        <v>86</v>
      </c>
      <c r="D463">
        <v>0.49099999999999999</v>
      </c>
      <c r="E463">
        <v>1729781.58</v>
      </c>
      <c r="F463">
        <v>0</v>
      </c>
      <c r="G463">
        <v>1729781.58</v>
      </c>
      <c r="H463">
        <v>19855.689999999999</v>
      </c>
      <c r="I463">
        <v>190853.13</v>
      </c>
      <c r="J463">
        <v>0.72699999999999998</v>
      </c>
      <c r="K463">
        <v>33652.5</v>
      </c>
      <c r="L463">
        <v>0</v>
      </c>
      <c r="M463">
        <v>10086.299999999999</v>
      </c>
      <c r="N463">
        <v>2023</v>
      </c>
      <c r="O463">
        <v>7</v>
      </c>
    </row>
    <row r="464" spans="1:15" x14ac:dyDescent="0.3">
      <c r="A464">
        <v>36655</v>
      </c>
      <c r="B464">
        <v>3205069</v>
      </c>
      <c r="C464" t="s">
        <v>87</v>
      </c>
      <c r="D464">
        <v>0.68700000000000006</v>
      </c>
      <c r="E464">
        <v>2420285.02</v>
      </c>
      <c r="F464">
        <v>0</v>
      </c>
      <c r="G464">
        <v>2420285.02</v>
      </c>
      <c r="H464">
        <v>27781.79</v>
      </c>
      <c r="I464">
        <v>286163.8</v>
      </c>
      <c r="J464">
        <v>0.85799999999999998</v>
      </c>
      <c r="K464">
        <v>47086.080000000002</v>
      </c>
      <c r="L464">
        <v>0</v>
      </c>
      <c r="M464">
        <v>14112.6</v>
      </c>
      <c r="N464">
        <v>2023</v>
      </c>
      <c r="O464">
        <v>7</v>
      </c>
    </row>
    <row r="465" spans="1:15" x14ac:dyDescent="0.3">
      <c r="A465">
        <v>36656</v>
      </c>
      <c r="B465">
        <v>2112803</v>
      </c>
      <c r="C465" t="s">
        <v>88</v>
      </c>
      <c r="D465">
        <v>2.9870000000000001</v>
      </c>
      <c r="E465">
        <v>10523131.449999999</v>
      </c>
      <c r="F465">
        <v>0</v>
      </c>
      <c r="G465">
        <v>10523131.449999999</v>
      </c>
      <c r="H465">
        <v>120792.14</v>
      </c>
      <c r="I465">
        <v>517637.06</v>
      </c>
      <c r="J465">
        <v>1.984</v>
      </c>
      <c r="K465">
        <v>204725.06</v>
      </c>
      <c r="L465">
        <v>0</v>
      </c>
      <c r="M465">
        <v>61360.02</v>
      </c>
      <c r="N465">
        <v>2023</v>
      </c>
      <c r="O465">
        <v>7</v>
      </c>
    </row>
    <row r="466" spans="1:15" x14ac:dyDescent="0.3">
      <c r="A466">
        <v>36657</v>
      </c>
      <c r="B466">
        <v>3205150</v>
      </c>
      <c r="C466" t="s">
        <v>89</v>
      </c>
      <c r="D466">
        <v>0.31900000000000001</v>
      </c>
      <c r="E466">
        <v>1123829.55</v>
      </c>
      <c r="F466">
        <v>0</v>
      </c>
      <c r="G466">
        <v>1123829.55</v>
      </c>
      <c r="H466">
        <v>12900.13</v>
      </c>
      <c r="I466">
        <v>84479.46</v>
      </c>
      <c r="J466">
        <v>0.34399999999999997</v>
      </c>
      <c r="K466">
        <v>21863.84</v>
      </c>
      <c r="L466">
        <v>0</v>
      </c>
      <c r="M466">
        <v>6553.01</v>
      </c>
      <c r="N466">
        <v>2023</v>
      </c>
      <c r="O466">
        <v>7</v>
      </c>
    </row>
    <row r="467" spans="1:15" x14ac:dyDescent="0.3">
      <c r="A467">
        <v>36658</v>
      </c>
      <c r="B467">
        <v>3205176</v>
      </c>
      <c r="C467" t="s">
        <v>90</v>
      </c>
      <c r="D467">
        <v>0.65800000000000003</v>
      </c>
      <c r="E467">
        <v>2318118.64</v>
      </c>
      <c r="F467">
        <v>0</v>
      </c>
      <c r="G467">
        <v>2318118.64</v>
      </c>
      <c r="H467">
        <v>26609.05</v>
      </c>
      <c r="I467">
        <v>176584.07</v>
      </c>
      <c r="J467">
        <v>0.55600000000000005</v>
      </c>
      <c r="K467">
        <v>45098.46</v>
      </c>
      <c r="L467">
        <v>0</v>
      </c>
      <c r="M467">
        <v>13516.87</v>
      </c>
      <c r="N467">
        <v>2023</v>
      </c>
      <c r="O467">
        <v>7</v>
      </c>
    </row>
    <row r="468" spans="1:15" x14ac:dyDescent="0.3">
      <c r="A468">
        <v>36659</v>
      </c>
      <c r="B468">
        <v>3205200</v>
      </c>
      <c r="C468" t="s">
        <v>91</v>
      </c>
      <c r="D468">
        <v>5.056</v>
      </c>
      <c r="E468">
        <v>17812170.27</v>
      </c>
      <c r="F468">
        <v>0</v>
      </c>
      <c r="G468">
        <v>17812170.27</v>
      </c>
      <c r="H468">
        <v>204461.03</v>
      </c>
      <c r="I468">
        <v>5882638.6600000001</v>
      </c>
      <c r="J468">
        <v>8.09</v>
      </c>
      <c r="K468">
        <v>346531.6</v>
      </c>
      <c r="L468">
        <v>0</v>
      </c>
      <c r="M468">
        <v>103862.16</v>
      </c>
      <c r="N468">
        <v>2023</v>
      </c>
      <c r="O468">
        <v>7</v>
      </c>
    </row>
    <row r="469" spans="1:15" x14ac:dyDescent="0.3">
      <c r="A469">
        <v>36660</v>
      </c>
      <c r="B469">
        <v>3205309</v>
      </c>
      <c r="C469" t="s">
        <v>92</v>
      </c>
      <c r="D469">
        <v>14.782</v>
      </c>
      <c r="E469">
        <v>52076642</v>
      </c>
      <c r="F469">
        <v>0</v>
      </c>
      <c r="G469">
        <v>52076642</v>
      </c>
      <c r="H469">
        <v>597773.51</v>
      </c>
      <c r="I469">
        <v>5731868.3300000001</v>
      </c>
      <c r="J469">
        <v>9.4969999999999999</v>
      </c>
      <c r="K469">
        <v>1013138.85</v>
      </c>
      <c r="L469">
        <v>0</v>
      </c>
      <c r="M469">
        <v>303657.19</v>
      </c>
      <c r="N469">
        <v>2023</v>
      </c>
      <c r="O469">
        <v>7</v>
      </c>
    </row>
    <row r="470" spans="1:15" x14ac:dyDescent="0.3">
      <c r="A470">
        <v>37597</v>
      </c>
      <c r="B470">
        <v>3200102</v>
      </c>
      <c r="C470" t="s">
        <v>15</v>
      </c>
      <c r="D470">
        <v>0.76100000000000001</v>
      </c>
      <c r="E470">
        <v>2755810.67</v>
      </c>
      <c r="F470">
        <v>0</v>
      </c>
      <c r="G470">
        <v>2755810.67</v>
      </c>
      <c r="H470">
        <v>33703.949999999997</v>
      </c>
      <c r="I470">
        <v>87260.62</v>
      </c>
      <c r="J470">
        <v>0.76100000000000001</v>
      </c>
      <c r="K470">
        <v>47826.8</v>
      </c>
      <c r="L470">
        <v>243.82</v>
      </c>
      <c r="M470">
        <v>0</v>
      </c>
      <c r="N470">
        <v>2023</v>
      </c>
      <c r="O470">
        <v>1</v>
      </c>
    </row>
    <row r="471" spans="1:15" x14ac:dyDescent="0.3">
      <c r="A471">
        <v>37598</v>
      </c>
      <c r="B471">
        <v>3200169</v>
      </c>
      <c r="C471" t="s">
        <v>16</v>
      </c>
      <c r="D471">
        <v>0.28899999999999998</v>
      </c>
      <c r="E471">
        <v>1046459.29</v>
      </c>
      <c r="F471">
        <v>0</v>
      </c>
      <c r="G471">
        <v>1046459.29</v>
      </c>
      <c r="H471">
        <v>12681.11</v>
      </c>
      <c r="I471">
        <v>43440.51</v>
      </c>
      <c r="J471">
        <v>0.28899999999999998</v>
      </c>
      <c r="K471">
        <v>18162.87</v>
      </c>
      <c r="L471">
        <v>108.77</v>
      </c>
      <c r="M471">
        <v>0</v>
      </c>
      <c r="N471">
        <v>2023</v>
      </c>
      <c r="O471">
        <v>1</v>
      </c>
    </row>
    <row r="472" spans="1:15" x14ac:dyDescent="0.3">
      <c r="A472">
        <v>37599</v>
      </c>
      <c r="B472">
        <v>3200136</v>
      </c>
      <c r="C472" t="s">
        <v>17</v>
      </c>
      <c r="D472">
        <v>0.40400000000000003</v>
      </c>
      <c r="E472">
        <v>1462705.74</v>
      </c>
      <c r="F472">
        <v>0</v>
      </c>
      <c r="G472">
        <v>1462705.74</v>
      </c>
      <c r="H472">
        <v>17526.060000000001</v>
      </c>
      <c r="I472">
        <v>37502.92</v>
      </c>
      <c r="J472">
        <v>0.40400000000000003</v>
      </c>
      <c r="K472">
        <v>25390.31</v>
      </c>
      <c r="L472">
        <v>86.16</v>
      </c>
      <c r="M472">
        <v>0</v>
      </c>
      <c r="N472">
        <v>2023</v>
      </c>
      <c r="O472">
        <v>1</v>
      </c>
    </row>
    <row r="473" spans="1:15" x14ac:dyDescent="0.3">
      <c r="A473">
        <v>37600</v>
      </c>
      <c r="B473">
        <v>3200201</v>
      </c>
      <c r="C473" t="s">
        <v>18</v>
      </c>
      <c r="D473">
        <v>0.498</v>
      </c>
      <c r="E473">
        <v>1802941.93</v>
      </c>
      <c r="F473">
        <v>0</v>
      </c>
      <c r="G473">
        <v>1802941.93</v>
      </c>
      <c r="H473">
        <v>21486.27</v>
      </c>
      <c r="I473">
        <v>104760.49</v>
      </c>
      <c r="J473">
        <v>0.498</v>
      </c>
      <c r="K473">
        <v>31297.96</v>
      </c>
      <c r="L473">
        <v>242.44</v>
      </c>
      <c r="M473">
        <v>0</v>
      </c>
      <c r="N473">
        <v>2023</v>
      </c>
      <c r="O473">
        <v>1</v>
      </c>
    </row>
    <row r="474" spans="1:15" x14ac:dyDescent="0.3">
      <c r="A474">
        <v>37601</v>
      </c>
      <c r="B474">
        <v>3200300</v>
      </c>
      <c r="C474" t="s">
        <v>19</v>
      </c>
      <c r="D474">
        <v>0.46700000000000003</v>
      </c>
      <c r="E474">
        <v>1691115.78</v>
      </c>
      <c r="F474">
        <v>0</v>
      </c>
      <c r="G474">
        <v>1691115.78</v>
      </c>
      <c r="H474">
        <v>20643.669999999998</v>
      </c>
      <c r="I474">
        <v>81769.929999999993</v>
      </c>
      <c r="J474">
        <v>0.46700000000000003</v>
      </c>
      <c r="K474">
        <v>29349.69</v>
      </c>
      <c r="L474">
        <v>139.49</v>
      </c>
      <c r="M474">
        <v>0</v>
      </c>
      <c r="N474">
        <v>2023</v>
      </c>
      <c r="O474">
        <v>1</v>
      </c>
    </row>
    <row r="475" spans="1:15" x14ac:dyDescent="0.3">
      <c r="A475">
        <v>37602</v>
      </c>
      <c r="B475">
        <v>3200359</v>
      </c>
      <c r="C475" t="s">
        <v>20</v>
      </c>
      <c r="D475">
        <v>0.22600000000000001</v>
      </c>
      <c r="E475">
        <v>818187.17</v>
      </c>
      <c r="F475">
        <v>0</v>
      </c>
      <c r="G475">
        <v>818187.17</v>
      </c>
      <c r="H475">
        <v>9732.02</v>
      </c>
      <c r="I475">
        <v>24381.62</v>
      </c>
      <c r="J475">
        <v>0.22600000000000001</v>
      </c>
      <c r="K475">
        <v>14203.49</v>
      </c>
      <c r="L475">
        <v>81.010000000000005</v>
      </c>
      <c r="M475">
        <v>0</v>
      </c>
      <c r="N475">
        <v>2023</v>
      </c>
      <c r="O475">
        <v>1</v>
      </c>
    </row>
    <row r="476" spans="1:15" x14ac:dyDescent="0.3">
      <c r="A476">
        <v>37603</v>
      </c>
      <c r="B476">
        <v>3200409</v>
      </c>
      <c r="C476" t="s">
        <v>21</v>
      </c>
      <c r="D476">
        <v>3.1480000000000001</v>
      </c>
      <c r="E476">
        <v>11346628.460000001</v>
      </c>
      <c r="F476">
        <v>0</v>
      </c>
      <c r="G476">
        <v>11346628.460000001</v>
      </c>
      <c r="H476">
        <v>74401.48</v>
      </c>
      <c r="I476">
        <v>157265.89000000001</v>
      </c>
      <c r="J476">
        <v>3.1480000000000001</v>
      </c>
      <c r="K476">
        <v>197843.32</v>
      </c>
      <c r="L476">
        <v>224.64</v>
      </c>
      <c r="M476">
        <v>0</v>
      </c>
      <c r="N476">
        <v>2023</v>
      </c>
      <c r="O476">
        <v>1</v>
      </c>
    </row>
    <row r="477" spans="1:15" x14ac:dyDescent="0.3">
      <c r="A477">
        <v>37604</v>
      </c>
      <c r="B477">
        <v>3200508</v>
      </c>
      <c r="C477" t="s">
        <v>22</v>
      </c>
      <c r="D477">
        <v>0.185</v>
      </c>
      <c r="E477">
        <v>669613.82999999996</v>
      </c>
      <c r="F477">
        <v>0</v>
      </c>
      <c r="G477">
        <v>669613.82999999996</v>
      </c>
      <c r="H477">
        <v>7794.04</v>
      </c>
      <c r="I477">
        <v>89393.97</v>
      </c>
      <c r="J477">
        <v>0.185</v>
      </c>
      <c r="K477">
        <v>11626.75</v>
      </c>
      <c r="L477">
        <v>79.900000000000006</v>
      </c>
      <c r="M477">
        <v>0</v>
      </c>
      <c r="N477">
        <v>2023</v>
      </c>
      <c r="O477">
        <v>1</v>
      </c>
    </row>
    <row r="478" spans="1:15" x14ac:dyDescent="0.3">
      <c r="A478">
        <v>37605</v>
      </c>
      <c r="B478">
        <v>3200607</v>
      </c>
      <c r="C478" t="s">
        <v>23</v>
      </c>
      <c r="D478">
        <v>2.9220000000000002</v>
      </c>
      <c r="E478">
        <v>10647639.119999999</v>
      </c>
      <c r="F478">
        <v>0</v>
      </c>
      <c r="G478">
        <v>10647639.119999999</v>
      </c>
      <c r="H478">
        <v>210270.54</v>
      </c>
      <c r="I478">
        <v>492063.34</v>
      </c>
      <c r="J478">
        <v>2.9220000000000002</v>
      </c>
      <c r="K478">
        <v>183639.82</v>
      </c>
      <c r="L478">
        <v>621.04999999999995</v>
      </c>
      <c r="M478">
        <v>0</v>
      </c>
      <c r="N478">
        <v>2023</v>
      </c>
      <c r="O478">
        <v>1</v>
      </c>
    </row>
    <row r="479" spans="1:15" x14ac:dyDescent="0.3">
      <c r="A479">
        <v>37606</v>
      </c>
      <c r="B479">
        <v>3200706</v>
      </c>
      <c r="C479" t="s">
        <v>24</v>
      </c>
      <c r="D479">
        <v>0.35399999999999998</v>
      </c>
      <c r="E479">
        <v>1281970.45</v>
      </c>
      <c r="F479">
        <v>0</v>
      </c>
      <c r="G479">
        <v>1281970.45</v>
      </c>
      <c r="H479">
        <v>15714.47</v>
      </c>
      <c r="I479">
        <v>40152.160000000003</v>
      </c>
      <c r="J479">
        <v>0.35399999999999998</v>
      </c>
      <c r="K479">
        <v>22247.95</v>
      </c>
      <c r="L479">
        <v>113.2</v>
      </c>
      <c r="M479">
        <v>0</v>
      </c>
      <c r="N479">
        <v>2023</v>
      </c>
      <c r="O479">
        <v>1</v>
      </c>
    </row>
    <row r="480" spans="1:15" x14ac:dyDescent="0.3">
      <c r="A480">
        <v>37607</v>
      </c>
      <c r="B480">
        <v>3200805</v>
      </c>
      <c r="C480" t="s">
        <v>25</v>
      </c>
      <c r="D480">
        <v>0.60699999999999998</v>
      </c>
      <c r="E480">
        <v>2198298.96</v>
      </c>
      <c r="F480">
        <v>0</v>
      </c>
      <c r="G480">
        <v>2198298.96</v>
      </c>
      <c r="H480">
        <v>27089.55</v>
      </c>
      <c r="I480">
        <v>302854.15999999997</v>
      </c>
      <c r="J480">
        <v>0.60699999999999998</v>
      </c>
      <c r="K480">
        <v>38148.31</v>
      </c>
      <c r="L480">
        <v>246.64</v>
      </c>
      <c r="M480">
        <v>0</v>
      </c>
      <c r="N480">
        <v>2023</v>
      </c>
      <c r="O480">
        <v>1</v>
      </c>
    </row>
    <row r="481" spans="1:15" x14ac:dyDescent="0.3">
      <c r="A481">
        <v>37608</v>
      </c>
      <c r="B481">
        <v>3200904</v>
      </c>
      <c r="C481" t="s">
        <v>26</v>
      </c>
      <c r="D481">
        <v>1.0289999999999999</v>
      </c>
      <c r="E481">
        <v>3724742.15</v>
      </c>
      <c r="F481">
        <v>0</v>
      </c>
      <c r="G481">
        <v>3724742.15</v>
      </c>
      <c r="H481">
        <v>43646.62</v>
      </c>
      <c r="I481">
        <v>244700.71</v>
      </c>
      <c r="J481">
        <v>1.0289999999999999</v>
      </c>
      <c r="K481">
        <v>64669.87</v>
      </c>
      <c r="L481">
        <v>327.05</v>
      </c>
      <c r="M481">
        <v>0</v>
      </c>
      <c r="N481">
        <v>2023</v>
      </c>
      <c r="O481">
        <v>1</v>
      </c>
    </row>
    <row r="482" spans="1:15" x14ac:dyDescent="0.3">
      <c r="A482">
        <v>37609</v>
      </c>
      <c r="B482">
        <v>3107109</v>
      </c>
      <c r="C482" t="s">
        <v>27</v>
      </c>
      <c r="D482">
        <v>0.39500000000000002</v>
      </c>
      <c r="E482">
        <v>1429853.98</v>
      </c>
      <c r="F482">
        <v>0</v>
      </c>
      <c r="G482">
        <v>1429853.98</v>
      </c>
      <c r="H482">
        <v>16809.849999999999</v>
      </c>
      <c r="I482">
        <v>38928.230000000003</v>
      </c>
      <c r="J482">
        <v>0.39500000000000002</v>
      </c>
      <c r="K482">
        <v>24824.68</v>
      </c>
      <c r="L482">
        <v>140.91999999999999</v>
      </c>
      <c r="M482">
        <v>0</v>
      </c>
      <c r="N482">
        <v>2023</v>
      </c>
      <c r="O482">
        <v>1</v>
      </c>
    </row>
    <row r="483" spans="1:15" x14ac:dyDescent="0.3">
      <c r="A483">
        <v>37610</v>
      </c>
      <c r="B483">
        <v>3201100</v>
      </c>
      <c r="C483" t="s">
        <v>28</v>
      </c>
      <c r="D483">
        <v>0.17599999999999999</v>
      </c>
      <c r="E483">
        <v>637038.04</v>
      </c>
      <c r="F483">
        <v>0</v>
      </c>
      <c r="G483">
        <v>637038.04</v>
      </c>
      <c r="H483">
        <v>7414.87</v>
      </c>
      <c r="I483">
        <v>330995.78000000003</v>
      </c>
      <c r="J483">
        <v>0.17599999999999999</v>
      </c>
      <c r="K483">
        <v>11061.12</v>
      </c>
      <c r="L483">
        <v>106.32</v>
      </c>
      <c r="M483">
        <v>0</v>
      </c>
      <c r="N483">
        <v>2023</v>
      </c>
      <c r="O483">
        <v>1</v>
      </c>
    </row>
    <row r="484" spans="1:15" x14ac:dyDescent="0.3">
      <c r="A484">
        <v>37611</v>
      </c>
      <c r="B484">
        <v>3201159</v>
      </c>
      <c r="C484" t="s">
        <v>29</v>
      </c>
      <c r="D484">
        <v>0.42099999999999999</v>
      </c>
      <c r="E484">
        <v>1523823.91</v>
      </c>
      <c r="F484">
        <v>0</v>
      </c>
      <c r="G484">
        <v>1523823.91</v>
      </c>
      <c r="H484">
        <v>17736.71</v>
      </c>
      <c r="I484">
        <v>36461.050000000003</v>
      </c>
      <c r="J484">
        <v>0.42099999999999999</v>
      </c>
      <c r="K484">
        <v>26458.720000000001</v>
      </c>
      <c r="L484">
        <v>113.74</v>
      </c>
      <c r="M484">
        <v>0</v>
      </c>
      <c r="N484">
        <v>2023</v>
      </c>
      <c r="O484">
        <v>1</v>
      </c>
    </row>
    <row r="485" spans="1:15" x14ac:dyDescent="0.3">
      <c r="A485">
        <v>37612</v>
      </c>
      <c r="B485">
        <v>3201209</v>
      </c>
      <c r="C485" t="s">
        <v>30</v>
      </c>
      <c r="D485">
        <v>3.1120000000000001</v>
      </c>
      <c r="E485">
        <v>11268198.359999999</v>
      </c>
      <c r="F485">
        <v>0</v>
      </c>
      <c r="G485">
        <v>11268198.359999999</v>
      </c>
      <c r="H485">
        <v>136248.23000000001</v>
      </c>
      <c r="I485">
        <v>1268098.1399999999</v>
      </c>
      <c r="J485">
        <v>3.1120000000000001</v>
      </c>
      <c r="K485">
        <v>195580.82</v>
      </c>
      <c r="L485">
        <v>1109.3800000000001</v>
      </c>
      <c r="M485">
        <v>0</v>
      </c>
      <c r="N485">
        <v>2023</v>
      </c>
      <c r="O485">
        <v>1</v>
      </c>
    </row>
    <row r="486" spans="1:15" x14ac:dyDescent="0.3">
      <c r="A486">
        <v>37613</v>
      </c>
      <c r="B486">
        <v>3201308</v>
      </c>
      <c r="C486" t="s">
        <v>31</v>
      </c>
      <c r="D486">
        <v>7.2990000000000004</v>
      </c>
      <c r="E486">
        <v>26425809.48</v>
      </c>
      <c r="F486">
        <v>0</v>
      </c>
      <c r="G486">
        <v>26425809.48</v>
      </c>
      <c r="H486">
        <v>315848.17</v>
      </c>
      <c r="I486">
        <v>1898699.89</v>
      </c>
      <c r="J486">
        <v>7.2990000000000004</v>
      </c>
      <c r="K486">
        <v>458722.48</v>
      </c>
      <c r="L486">
        <v>1634.47</v>
      </c>
      <c r="M486">
        <v>0</v>
      </c>
      <c r="N486">
        <v>2023</v>
      </c>
      <c r="O486">
        <v>1</v>
      </c>
    </row>
    <row r="487" spans="1:15" x14ac:dyDescent="0.3">
      <c r="A487">
        <v>37614</v>
      </c>
      <c r="B487">
        <v>3201407</v>
      </c>
      <c r="C487" t="s">
        <v>32</v>
      </c>
      <c r="D487">
        <v>0.89900000000000002</v>
      </c>
      <c r="E487">
        <v>3256237.65</v>
      </c>
      <c r="F487">
        <v>0</v>
      </c>
      <c r="G487">
        <v>3256237.65</v>
      </c>
      <c r="H487">
        <v>40655.39</v>
      </c>
      <c r="I487">
        <v>338551.34</v>
      </c>
      <c r="J487">
        <v>0.89900000000000002</v>
      </c>
      <c r="K487">
        <v>56499.73</v>
      </c>
      <c r="L487">
        <v>285.86</v>
      </c>
      <c r="M487">
        <v>0</v>
      </c>
      <c r="N487">
        <v>2023</v>
      </c>
      <c r="O487">
        <v>1</v>
      </c>
    </row>
    <row r="488" spans="1:15" x14ac:dyDescent="0.3">
      <c r="A488">
        <v>37615</v>
      </c>
      <c r="B488">
        <v>3201506</v>
      </c>
      <c r="C488" t="s">
        <v>33</v>
      </c>
      <c r="D488">
        <v>2.2320000000000002</v>
      </c>
      <c r="E488">
        <v>8076800.0099999998</v>
      </c>
      <c r="F488">
        <v>0</v>
      </c>
      <c r="G488">
        <v>8076800.0099999998</v>
      </c>
      <c r="H488">
        <v>91590.49</v>
      </c>
      <c r="I488">
        <v>716616.27</v>
      </c>
      <c r="J488">
        <v>2.2320000000000002</v>
      </c>
      <c r="K488">
        <v>140275.19</v>
      </c>
      <c r="L488">
        <v>698.37</v>
      </c>
      <c r="M488">
        <v>0</v>
      </c>
      <c r="N488">
        <v>2023</v>
      </c>
      <c r="O488">
        <v>1</v>
      </c>
    </row>
    <row r="489" spans="1:15" x14ac:dyDescent="0.3">
      <c r="A489">
        <v>37616</v>
      </c>
      <c r="B489">
        <v>3201605</v>
      </c>
      <c r="C489" t="s">
        <v>34</v>
      </c>
      <c r="D489">
        <v>0.79400000000000004</v>
      </c>
      <c r="E489">
        <v>2869012.59</v>
      </c>
      <c r="F489">
        <v>0</v>
      </c>
      <c r="G489">
        <v>2869012.59</v>
      </c>
      <c r="H489">
        <v>27468.720000000001</v>
      </c>
      <c r="I489">
        <v>123233.48</v>
      </c>
      <c r="J489">
        <v>0.79400000000000004</v>
      </c>
      <c r="K489">
        <v>49900.76</v>
      </c>
      <c r="L489">
        <v>247.29</v>
      </c>
      <c r="M489">
        <v>0</v>
      </c>
      <c r="N489">
        <v>2023</v>
      </c>
      <c r="O489">
        <v>1</v>
      </c>
    </row>
    <row r="490" spans="1:15" x14ac:dyDescent="0.3">
      <c r="A490">
        <v>37617</v>
      </c>
      <c r="B490">
        <v>3201704</v>
      </c>
      <c r="C490" t="s">
        <v>35</v>
      </c>
      <c r="D490">
        <v>0.46</v>
      </c>
      <c r="E490">
        <v>1665503.11</v>
      </c>
      <c r="F490">
        <v>0</v>
      </c>
      <c r="G490">
        <v>1665503.11</v>
      </c>
      <c r="H490">
        <v>20011.72</v>
      </c>
      <c r="I490">
        <v>44889.77</v>
      </c>
      <c r="J490">
        <v>0.46</v>
      </c>
      <c r="K490">
        <v>28909.759999999998</v>
      </c>
      <c r="L490">
        <v>115.05</v>
      </c>
      <c r="M490">
        <v>0</v>
      </c>
      <c r="N490">
        <v>2023</v>
      </c>
      <c r="O490">
        <v>1</v>
      </c>
    </row>
    <row r="491" spans="1:15" x14ac:dyDescent="0.3">
      <c r="A491">
        <v>37618</v>
      </c>
      <c r="B491">
        <v>3201803</v>
      </c>
      <c r="C491" t="s">
        <v>36</v>
      </c>
      <c r="D491">
        <v>0.182</v>
      </c>
      <c r="E491">
        <v>658893.18999999994</v>
      </c>
      <c r="F491">
        <v>0</v>
      </c>
      <c r="G491">
        <v>658893.18999999994</v>
      </c>
      <c r="H491">
        <v>7836.17</v>
      </c>
      <c r="I491">
        <v>12173.6</v>
      </c>
      <c r="J491">
        <v>0.182</v>
      </c>
      <c r="K491">
        <v>11438.21</v>
      </c>
      <c r="L491">
        <v>69.94</v>
      </c>
      <c r="M491">
        <v>0</v>
      </c>
      <c r="N491">
        <v>2023</v>
      </c>
      <c r="O491">
        <v>1</v>
      </c>
    </row>
    <row r="492" spans="1:15" x14ac:dyDescent="0.3">
      <c r="A492">
        <v>37619</v>
      </c>
      <c r="B492">
        <v>3201902</v>
      </c>
      <c r="C492" t="s">
        <v>37</v>
      </c>
      <c r="D492">
        <v>1.268</v>
      </c>
      <c r="E492">
        <v>4591155.96</v>
      </c>
      <c r="F492">
        <v>0</v>
      </c>
      <c r="G492">
        <v>4591155.96</v>
      </c>
      <c r="H492">
        <v>55358.74</v>
      </c>
      <c r="I492">
        <v>214062.13</v>
      </c>
      <c r="J492">
        <v>1.268</v>
      </c>
      <c r="K492">
        <v>79690.38</v>
      </c>
      <c r="L492">
        <v>255.25</v>
      </c>
      <c r="M492">
        <v>0</v>
      </c>
      <c r="N492">
        <v>2023</v>
      </c>
      <c r="O492">
        <v>1</v>
      </c>
    </row>
    <row r="493" spans="1:15" x14ac:dyDescent="0.3">
      <c r="A493">
        <v>37620</v>
      </c>
      <c r="B493">
        <v>3202009</v>
      </c>
      <c r="C493" t="s">
        <v>38</v>
      </c>
      <c r="D493">
        <v>0.27</v>
      </c>
      <c r="E493">
        <v>976929.34</v>
      </c>
      <c r="F493">
        <v>0</v>
      </c>
      <c r="G493">
        <v>976929.34</v>
      </c>
      <c r="H493">
        <v>10953.78</v>
      </c>
      <c r="I493">
        <v>66959.62</v>
      </c>
      <c r="J493">
        <v>0.27</v>
      </c>
      <c r="K493">
        <v>16968.78</v>
      </c>
      <c r="L493">
        <v>77.64</v>
      </c>
      <c r="M493">
        <v>0</v>
      </c>
      <c r="N493">
        <v>2023</v>
      </c>
      <c r="O493">
        <v>1</v>
      </c>
    </row>
    <row r="494" spans="1:15" x14ac:dyDescent="0.3">
      <c r="A494">
        <v>37621</v>
      </c>
      <c r="B494">
        <v>3202108</v>
      </c>
      <c r="C494" t="s">
        <v>39</v>
      </c>
      <c r="D494">
        <v>0.69399999999999995</v>
      </c>
      <c r="E494">
        <v>2512129.23</v>
      </c>
      <c r="F494">
        <v>0</v>
      </c>
      <c r="G494">
        <v>2512129.23</v>
      </c>
      <c r="H494">
        <v>29448.83</v>
      </c>
      <c r="I494">
        <v>71545.820000000007</v>
      </c>
      <c r="J494">
        <v>0.69399999999999995</v>
      </c>
      <c r="K494">
        <v>43616.03</v>
      </c>
      <c r="L494">
        <v>201.94</v>
      </c>
      <c r="M494">
        <v>0</v>
      </c>
      <c r="N494">
        <v>2023</v>
      </c>
      <c r="O494">
        <v>1</v>
      </c>
    </row>
    <row r="495" spans="1:15" x14ac:dyDescent="0.3">
      <c r="A495">
        <v>37622</v>
      </c>
      <c r="B495">
        <v>3202207</v>
      </c>
      <c r="C495" t="s">
        <v>40</v>
      </c>
      <c r="D495">
        <v>0.28599999999999998</v>
      </c>
      <c r="E495">
        <v>1036118.01</v>
      </c>
      <c r="F495">
        <v>0</v>
      </c>
      <c r="G495">
        <v>1036118.01</v>
      </c>
      <c r="H495">
        <v>13186.67</v>
      </c>
      <c r="I495">
        <v>100940.95</v>
      </c>
      <c r="J495">
        <v>0.28599999999999998</v>
      </c>
      <c r="K495">
        <v>17974.330000000002</v>
      </c>
      <c r="L495">
        <v>181.77</v>
      </c>
      <c r="M495">
        <v>0</v>
      </c>
      <c r="N495">
        <v>2023</v>
      </c>
      <c r="O495">
        <v>1</v>
      </c>
    </row>
    <row r="496" spans="1:15" x14ac:dyDescent="0.3">
      <c r="A496">
        <v>37623</v>
      </c>
      <c r="B496">
        <v>3202256</v>
      </c>
      <c r="C496" t="s">
        <v>41</v>
      </c>
      <c r="D496">
        <v>0.438</v>
      </c>
      <c r="E496">
        <v>1585080.08</v>
      </c>
      <c r="F496">
        <v>0</v>
      </c>
      <c r="G496">
        <v>1585080.08</v>
      </c>
      <c r="H496">
        <v>18115.87</v>
      </c>
      <c r="I496">
        <v>40383.4</v>
      </c>
      <c r="J496">
        <v>0.438</v>
      </c>
      <c r="K496">
        <v>27527.119999999999</v>
      </c>
      <c r="L496">
        <v>115.54</v>
      </c>
      <c r="M496">
        <v>0</v>
      </c>
      <c r="N496">
        <v>2023</v>
      </c>
      <c r="O496">
        <v>1</v>
      </c>
    </row>
    <row r="497" spans="1:15" x14ac:dyDescent="0.3">
      <c r="A497">
        <v>37624</v>
      </c>
      <c r="B497">
        <v>3202306</v>
      </c>
      <c r="C497" t="s">
        <v>42</v>
      </c>
      <c r="D497">
        <v>0.35899999999999999</v>
      </c>
      <c r="E497">
        <v>1300068.1100000001</v>
      </c>
      <c r="F497">
        <v>0</v>
      </c>
      <c r="G497">
        <v>1300068.1100000001</v>
      </c>
      <c r="H497">
        <v>15925.12</v>
      </c>
      <c r="I497">
        <v>208484.22</v>
      </c>
      <c r="J497">
        <v>0.35899999999999999</v>
      </c>
      <c r="K497">
        <v>22562.19</v>
      </c>
      <c r="L497">
        <v>246.97</v>
      </c>
      <c r="M497">
        <v>0</v>
      </c>
      <c r="N497">
        <v>2023</v>
      </c>
      <c r="O497">
        <v>1</v>
      </c>
    </row>
    <row r="498" spans="1:15" x14ac:dyDescent="0.3">
      <c r="A498">
        <v>37625</v>
      </c>
      <c r="B498">
        <v>3202405</v>
      </c>
      <c r="C498" t="s">
        <v>43</v>
      </c>
      <c r="D498">
        <v>0.81200000000000006</v>
      </c>
      <c r="E498">
        <v>2942407.36</v>
      </c>
      <c r="F498">
        <v>0</v>
      </c>
      <c r="G498">
        <v>2942407.36</v>
      </c>
      <c r="H498">
        <v>38296.120000000003</v>
      </c>
      <c r="I498">
        <v>1760538.61</v>
      </c>
      <c r="J498">
        <v>0.81200000000000006</v>
      </c>
      <c r="K498">
        <v>51032.01</v>
      </c>
      <c r="L498">
        <v>711.08</v>
      </c>
      <c r="M498">
        <v>0</v>
      </c>
      <c r="N498">
        <v>2023</v>
      </c>
      <c r="O498">
        <v>1</v>
      </c>
    </row>
    <row r="499" spans="1:15" x14ac:dyDescent="0.3">
      <c r="A499">
        <v>37626</v>
      </c>
      <c r="B499">
        <v>3202454</v>
      </c>
      <c r="C499" t="s">
        <v>44</v>
      </c>
      <c r="D499">
        <v>0.372</v>
      </c>
      <c r="E499">
        <v>1345742.44</v>
      </c>
      <c r="F499">
        <v>0</v>
      </c>
      <c r="G499">
        <v>1345742.44</v>
      </c>
      <c r="H499">
        <v>14787.61</v>
      </c>
      <c r="I499">
        <v>155637.38</v>
      </c>
      <c r="J499">
        <v>0.372</v>
      </c>
      <c r="K499">
        <v>23379.200000000001</v>
      </c>
      <c r="L499">
        <v>214.03</v>
      </c>
      <c r="M499">
        <v>0</v>
      </c>
      <c r="N499">
        <v>2023</v>
      </c>
      <c r="O499">
        <v>1</v>
      </c>
    </row>
    <row r="500" spans="1:15" x14ac:dyDescent="0.3">
      <c r="A500">
        <v>37627</v>
      </c>
      <c r="B500">
        <v>3202504</v>
      </c>
      <c r="C500" t="s">
        <v>45</v>
      </c>
      <c r="D500">
        <v>0.23100000000000001</v>
      </c>
      <c r="E500">
        <v>837354.05</v>
      </c>
      <c r="F500">
        <v>0</v>
      </c>
      <c r="G500">
        <v>837354.05</v>
      </c>
      <c r="H500">
        <v>11248.69</v>
      </c>
      <c r="I500">
        <v>45340.87</v>
      </c>
      <c r="J500">
        <v>0.23100000000000001</v>
      </c>
      <c r="K500">
        <v>14517.73</v>
      </c>
      <c r="L500">
        <v>114.49</v>
      </c>
      <c r="M500">
        <v>0</v>
      </c>
      <c r="N500">
        <v>2023</v>
      </c>
      <c r="O500">
        <v>1</v>
      </c>
    </row>
    <row r="501" spans="1:15" x14ac:dyDescent="0.3">
      <c r="A501">
        <v>37628</v>
      </c>
      <c r="B501">
        <v>3202553</v>
      </c>
      <c r="C501" t="s">
        <v>46</v>
      </c>
      <c r="D501">
        <v>0.24299999999999999</v>
      </c>
      <c r="E501">
        <v>879719.26</v>
      </c>
      <c r="F501">
        <v>0</v>
      </c>
      <c r="G501">
        <v>879719.26</v>
      </c>
      <c r="H501">
        <v>10448.23</v>
      </c>
      <c r="I501">
        <v>37934.01</v>
      </c>
      <c r="J501">
        <v>0.24299999999999999</v>
      </c>
      <c r="K501">
        <v>15271.9</v>
      </c>
      <c r="L501">
        <v>83.78</v>
      </c>
      <c r="M501">
        <v>0</v>
      </c>
      <c r="N501">
        <v>2023</v>
      </c>
      <c r="O501">
        <v>1</v>
      </c>
    </row>
    <row r="502" spans="1:15" x14ac:dyDescent="0.3">
      <c r="A502">
        <v>37629</v>
      </c>
      <c r="B502">
        <v>3202603</v>
      </c>
      <c r="C502" t="s">
        <v>47</v>
      </c>
      <c r="D502">
        <v>0.315</v>
      </c>
      <c r="E502">
        <v>1141153.5</v>
      </c>
      <c r="F502">
        <v>0</v>
      </c>
      <c r="G502">
        <v>1141153.5</v>
      </c>
      <c r="H502">
        <v>14492.7</v>
      </c>
      <c r="I502">
        <v>425249.8</v>
      </c>
      <c r="J502">
        <v>0.315</v>
      </c>
      <c r="K502">
        <v>19796.900000000001</v>
      </c>
      <c r="L502">
        <v>137.72</v>
      </c>
      <c r="M502">
        <v>0</v>
      </c>
      <c r="N502">
        <v>2023</v>
      </c>
      <c r="O502">
        <v>1</v>
      </c>
    </row>
    <row r="503" spans="1:15" x14ac:dyDescent="0.3">
      <c r="A503">
        <v>37630</v>
      </c>
      <c r="B503">
        <v>3202652</v>
      </c>
      <c r="C503" t="s">
        <v>48</v>
      </c>
      <c r="D503">
        <v>0.29899999999999999</v>
      </c>
      <c r="E503">
        <v>1082551.1499999999</v>
      </c>
      <c r="F503">
        <v>0</v>
      </c>
      <c r="G503">
        <v>1082551.1499999999</v>
      </c>
      <c r="H503">
        <v>12976.02</v>
      </c>
      <c r="I503">
        <v>95829.8</v>
      </c>
      <c r="J503">
        <v>0.29899999999999999</v>
      </c>
      <c r="K503">
        <v>18791.34</v>
      </c>
      <c r="L503">
        <v>136.47999999999999</v>
      </c>
      <c r="M503">
        <v>0</v>
      </c>
      <c r="N503">
        <v>2023</v>
      </c>
      <c r="O503">
        <v>1</v>
      </c>
    </row>
    <row r="504" spans="1:15" x14ac:dyDescent="0.3">
      <c r="A504">
        <v>37631</v>
      </c>
      <c r="B504">
        <v>3202702</v>
      </c>
      <c r="C504" t="s">
        <v>49</v>
      </c>
      <c r="D504">
        <v>0.31900000000000001</v>
      </c>
      <c r="E504">
        <v>1155873.05</v>
      </c>
      <c r="F504">
        <v>0</v>
      </c>
      <c r="G504">
        <v>1155873.05</v>
      </c>
      <c r="H504">
        <v>14956.13</v>
      </c>
      <c r="I504">
        <v>28753.8</v>
      </c>
      <c r="J504">
        <v>0.31900000000000001</v>
      </c>
      <c r="K504">
        <v>20048.29</v>
      </c>
      <c r="L504">
        <v>137.41</v>
      </c>
      <c r="M504">
        <v>0</v>
      </c>
      <c r="N504">
        <v>2023</v>
      </c>
      <c r="O504">
        <v>1</v>
      </c>
    </row>
    <row r="505" spans="1:15" x14ac:dyDescent="0.3">
      <c r="A505">
        <v>37632</v>
      </c>
      <c r="B505">
        <v>3202801</v>
      </c>
      <c r="C505" t="s">
        <v>50</v>
      </c>
      <c r="D505">
        <v>2.4550000000000001</v>
      </c>
      <c r="E505">
        <v>8879299.9700000007</v>
      </c>
      <c r="F505">
        <v>0</v>
      </c>
      <c r="G505">
        <v>8879299.9700000007</v>
      </c>
      <c r="H505">
        <v>95297.93</v>
      </c>
      <c r="I505">
        <v>213987.26</v>
      </c>
      <c r="J505">
        <v>2.4550000000000001</v>
      </c>
      <c r="K505">
        <v>154290.13</v>
      </c>
      <c r="L505">
        <v>257.77</v>
      </c>
      <c r="M505">
        <v>0</v>
      </c>
      <c r="N505">
        <v>2023</v>
      </c>
      <c r="O505">
        <v>1</v>
      </c>
    </row>
    <row r="506" spans="1:15" x14ac:dyDescent="0.3">
      <c r="A506">
        <v>37633</v>
      </c>
      <c r="B506">
        <v>3202900</v>
      </c>
      <c r="C506" t="s">
        <v>51</v>
      </c>
      <c r="D506">
        <v>0.34799999999999998</v>
      </c>
      <c r="E506">
        <v>1259528.94</v>
      </c>
      <c r="F506">
        <v>0</v>
      </c>
      <c r="G506">
        <v>1259528.94</v>
      </c>
      <c r="H506">
        <v>14576.96</v>
      </c>
      <c r="I506">
        <v>57825.54</v>
      </c>
      <c r="J506">
        <v>0.34799999999999998</v>
      </c>
      <c r="K506">
        <v>21870.86</v>
      </c>
      <c r="L506">
        <v>107.66</v>
      </c>
      <c r="M506">
        <v>0</v>
      </c>
      <c r="N506">
        <v>2023</v>
      </c>
      <c r="O506">
        <v>1</v>
      </c>
    </row>
    <row r="507" spans="1:15" x14ac:dyDescent="0.3">
      <c r="A507">
        <v>37634</v>
      </c>
      <c r="B507">
        <v>3203007</v>
      </c>
      <c r="C507" t="s">
        <v>52</v>
      </c>
      <c r="D507">
        <v>0.496</v>
      </c>
      <c r="E507">
        <v>1793288.58</v>
      </c>
      <c r="F507">
        <v>0</v>
      </c>
      <c r="G507">
        <v>1793288.58</v>
      </c>
      <c r="H507">
        <v>18452.91</v>
      </c>
      <c r="I507">
        <v>123604.22</v>
      </c>
      <c r="J507">
        <v>0.496</v>
      </c>
      <c r="K507">
        <v>31172.26</v>
      </c>
      <c r="L507">
        <v>222.02</v>
      </c>
      <c r="M507">
        <v>0</v>
      </c>
      <c r="N507">
        <v>2023</v>
      </c>
      <c r="O507">
        <v>1</v>
      </c>
    </row>
    <row r="508" spans="1:15" x14ac:dyDescent="0.3">
      <c r="A508">
        <v>37635</v>
      </c>
      <c r="B508">
        <v>3203056</v>
      </c>
      <c r="C508" t="s">
        <v>53</v>
      </c>
      <c r="D508">
        <v>0.871</v>
      </c>
      <c r="E508">
        <v>3150165.52</v>
      </c>
      <c r="F508">
        <v>0</v>
      </c>
      <c r="G508">
        <v>3150165.52</v>
      </c>
      <c r="H508">
        <v>33703.949999999997</v>
      </c>
      <c r="I508">
        <v>99643.34</v>
      </c>
      <c r="J508">
        <v>0.871</v>
      </c>
      <c r="K508">
        <v>54740</v>
      </c>
      <c r="L508">
        <v>247.63</v>
      </c>
      <c r="M508">
        <v>0</v>
      </c>
      <c r="N508">
        <v>2023</v>
      </c>
      <c r="O508">
        <v>1</v>
      </c>
    </row>
    <row r="509" spans="1:15" x14ac:dyDescent="0.3">
      <c r="A509">
        <v>37636</v>
      </c>
      <c r="B509">
        <v>3203106</v>
      </c>
      <c r="C509" t="s">
        <v>54</v>
      </c>
      <c r="D509">
        <v>0.21</v>
      </c>
      <c r="E509">
        <v>760171.18</v>
      </c>
      <c r="F509">
        <v>0</v>
      </c>
      <c r="G509">
        <v>760171.18</v>
      </c>
      <c r="H509">
        <v>8931.5499999999993</v>
      </c>
      <c r="I509">
        <v>37458.949999999997</v>
      </c>
      <c r="J509">
        <v>0.21</v>
      </c>
      <c r="K509">
        <v>13197.93</v>
      </c>
      <c r="L509">
        <v>113.4</v>
      </c>
      <c r="M509">
        <v>0</v>
      </c>
      <c r="N509">
        <v>2023</v>
      </c>
      <c r="O509">
        <v>1</v>
      </c>
    </row>
    <row r="510" spans="1:15" x14ac:dyDescent="0.3">
      <c r="A510">
        <v>37637</v>
      </c>
      <c r="B510">
        <v>3203130</v>
      </c>
      <c r="C510" t="s">
        <v>55</v>
      </c>
      <c r="D510">
        <v>0.36199999999999999</v>
      </c>
      <c r="E510">
        <v>1311099.17</v>
      </c>
      <c r="F510">
        <v>0</v>
      </c>
      <c r="G510">
        <v>1311099.17</v>
      </c>
      <c r="H510">
        <v>16262.16</v>
      </c>
      <c r="I510">
        <v>51041.279999999999</v>
      </c>
      <c r="J510">
        <v>0.36199999999999999</v>
      </c>
      <c r="K510">
        <v>22750.73</v>
      </c>
      <c r="L510">
        <v>164.88</v>
      </c>
      <c r="M510">
        <v>0</v>
      </c>
      <c r="N510">
        <v>2023</v>
      </c>
      <c r="O510">
        <v>1</v>
      </c>
    </row>
    <row r="511" spans="1:15" x14ac:dyDescent="0.3">
      <c r="A511">
        <v>37638</v>
      </c>
      <c r="B511">
        <v>3203163</v>
      </c>
      <c r="C511" t="s">
        <v>56</v>
      </c>
      <c r="D511">
        <v>0.373</v>
      </c>
      <c r="E511">
        <v>1350051.81</v>
      </c>
      <c r="F511">
        <v>0</v>
      </c>
      <c r="G511">
        <v>1350051.81</v>
      </c>
      <c r="H511">
        <v>15672.34</v>
      </c>
      <c r="I511">
        <v>54026.27</v>
      </c>
      <c r="J511">
        <v>0.373</v>
      </c>
      <c r="K511">
        <v>23442.04</v>
      </c>
      <c r="L511">
        <v>109.13</v>
      </c>
      <c r="M511">
        <v>0</v>
      </c>
      <c r="N511">
        <v>2023</v>
      </c>
      <c r="O511">
        <v>1</v>
      </c>
    </row>
    <row r="512" spans="1:15" x14ac:dyDescent="0.3">
      <c r="A512">
        <v>37639</v>
      </c>
      <c r="B512">
        <v>3203205</v>
      </c>
      <c r="C512" t="s">
        <v>57</v>
      </c>
      <c r="D512">
        <v>4.9790000000000001</v>
      </c>
      <c r="E512">
        <v>18036181.34</v>
      </c>
      <c r="F512">
        <v>0</v>
      </c>
      <c r="G512">
        <v>18036181.34</v>
      </c>
      <c r="H512">
        <v>227501.68</v>
      </c>
      <c r="I512">
        <v>1008800.94</v>
      </c>
      <c r="J512">
        <v>4.9790000000000001</v>
      </c>
      <c r="K512">
        <v>312916.73</v>
      </c>
      <c r="L512">
        <v>1011.74</v>
      </c>
      <c r="M512">
        <v>0</v>
      </c>
      <c r="N512">
        <v>2023</v>
      </c>
      <c r="O512">
        <v>1</v>
      </c>
    </row>
    <row r="513" spans="1:15" x14ac:dyDescent="0.3">
      <c r="A513">
        <v>37640</v>
      </c>
      <c r="B513">
        <v>3203304</v>
      </c>
      <c r="C513" t="s">
        <v>58</v>
      </c>
      <c r="D513">
        <v>0.27600000000000002</v>
      </c>
      <c r="E513">
        <v>996922.05</v>
      </c>
      <c r="F513">
        <v>0</v>
      </c>
      <c r="G513">
        <v>996922.05</v>
      </c>
      <c r="H513">
        <v>9100.07</v>
      </c>
      <c r="I513">
        <v>61093.18</v>
      </c>
      <c r="J513">
        <v>0.27600000000000002</v>
      </c>
      <c r="K513">
        <v>17345.86</v>
      </c>
      <c r="L513">
        <v>142.44999999999999</v>
      </c>
      <c r="M513">
        <v>0</v>
      </c>
      <c r="N513">
        <v>2023</v>
      </c>
      <c r="O513">
        <v>1</v>
      </c>
    </row>
    <row r="514" spans="1:15" x14ac:dyDescent="0.3">
      <c r="A514">
        <v>37641</v>
      </c>
      <c r="B514">
        <v>3203320</v>
      </c>
      <c r="C514" t="s">
        <v>59</v>
      </c>
      <c r="D514">
        <v>0.65800000000000003</v>
      </c>
      <c r="E514">
        <v>2379963.52</v>
      </c>
      <c r="F514">
        <v>0</v>
      </c>
      <c r="G514">
        <v>2379963.52</v>
      </c>
      <c r="H514">
        <v>25657.13</v>
      </c>
      <c r="I514">
        <v>370045.54</v>
      </c>
      <c r="J514">
        <v>0.65800000000000003</v>
      </c>
      <c r="K514">
        <v>41353.53</v>
      </c>
      <c r="L514">
        <v>289.79000000000002</v>
      </c>
      <c r="M514">
        <v>0</v>
      </c>
      <c r="N514">
        <v>2023</v>
      </c>
      <c r="O514">
        <v>1</v>
      </c>
    </row>
    <row r="515" spans="1:15" x14ac:dyDescent="0.3">
      <c r="A515">
        <v>37642</v>
      </c>
      <c r="B515">
        <v>3203346</v>
      </c>
      <c r="C515" t="s">
        <v>60</v>
      </c>
      <c r="D515">
        <v>0.61099999999999999</v>
      </c>
      <c r="E515">
        <v>2212708.1</v>
      </c>
      <c r="F515">
        <v>0</v>
      </c>
      <c r="G515">
        <v>2212708.1</v>
      </c>
      <c r="H515">
        <v>27173.81</v>
      </c>
      <c r="I515">
        <v>79488.31</v>
      </c>
      <c r="J515">
        <v>0.61099999999999999</v>
      </c>
      <c r="K515">
        <v>38399.699999999997</v>
      </c>
      <c r="L515">
        <v>165.99</v>
      </c>
      <c r="M515">
        <v>0</v>
      </c>
      <c r="N515">
        <v>2023</v>
      </c>
      <c r="O515">
        <v>1</v>
      </c>
    </row>
    <row r="516" spans="1:15" x14ac:dyDescent="0.3">
      <c r="A516">
        <v>37643</v>
      </c>
      <c r="B516">
        <v>3203353</v>
      </c>
      <c r="C516" t="s">
        <v>61</v>
      </c>
      <c r="D516">
        <v>0.436</v>
      </c>
      <c r="E516">
        <v>1578668.77</v>
      </c>
      <c r="F516">
        <v>0</v>
      </c>
      <c r="G516">
        <v>1578668.77</v>
      </c>
      <c r="H516">
        <v>19042.73</v>
      </c>
      <c r="I516">
        <v>82617.929999999993</v>
      </c>
      <c r="J516">
        <v>0.436</v>
      </c>
      <c r="K516">
        <v>27401.43</v>
      </c>
      <c r="L516">
        <v>115.67</v>
      </c>
      <c r="M516">
        <v>0</v>
      </c>
      <c r="N516">
        <v>2023</v>
      </c>
      <c r="O516">
        <v>1</v>
      </c>
    </row>
    <row r="517" spans="1:15" x14ac:dyDescent="0.3">
      <c r="A517">
        <v>37644</v>
      </c>
      <c r="B517">
        <v>3203403</v>
      </c>
      <c r="C517" t="s">
        <v>62</v>
      </c>
      <c r="D517">
        <v>0.495</v>
      </c>
      <c r="E517">
        <v>1792324.79</v>
      </c>
      <c r="F517">
        <v>0</v>
      </c>
      <c r="G517">
        <v>1792324.79</v>
      </c>
      <c r="H517">
        <v>21654.79</v>
      </c>
      <c r="I517">
        <v>122543.77</v>
      </c>
      <c r="J517">
        <v>0.495</v>
      </c>
      <c r="K517">
        <v>31109.42</v>
      </c>
      <c r="L517">
        <v>211.97</v>
      </c>
      <c r="M517">
        <v>0</v>
      </c>
      <c r="N517">
        <v>2023</v>
      </c>
      <c r="O517">
        <v>1</v>
      </c>
    </row>
    <row r="518" spans="1:15" x14ac:dyDescent="0.3">
      <c r="A518">
        <v>37645</v>
      </c>
      <c r="B518">
        <v>3203502</v>
      </c>
      <c r="C518" t="s">
        <v>63</v>
      </c>
      <c r="D518">
        <v>0.52100000000000002</v>
      </c>
      <c r="E518">
        <v>1886294.69</v>
      </c>
      <c r="F518">
        <v>0</v>
      </c>
      <c r="G518">
        <v>1886294.69</v>
      </c>
      <c r="H518">
        <v>22581.65</v>
      </c>
      <c r="I518">
        <v>79376.039999999994</v>
      </c>
      <c r="J518">
        <v>0.52100000000000002</v>
      </c>
      <c r="K518">
        <v>32743.439999999999</v>
      </c>
      <c r="L518">
        <v>171.45</v>
      </c>
      <c r="M518">
        <v>0</v>
      </c>
      <c r="N518">
        <v>2023</v>
      </c>
      <c r="O518">
        <v>1</v>
      </c>
    </row>
    <row r="519" spans="1:15" x14ac:dyDescent="0.3">
      <c r="A519">
        <v>37646</v>
      </c>
      <c r="B519">
        <v>3203601</v>
      </c>
      <c r="C519" t="s">
        <v>64</v>
      </c>
      <c r="D519">
        <v>0.28299999999999997</v>
      </c>
      <c r="E519">
        <v>1024155.76</v>
      </c>
      <c r="F519">
        <v>0</v>
      </c>
      <c r="G519">
        <v>1024155.76</v>
      </c>
      <c r="H519">
        <v>11712.12</v>
      </c>
      <c r="I519">
        <v>21661.78</v>
      </c>
      <c r="J519">
        <v>0.28299999999999997</v>
      </c>
      <c r="K519">
        <v>17785.79</v>
      </c>
      <c r="L519">
        <v>73.650000000000006</v>
      </c>
      <c r="M519">
        <v>0</v>
      </c>
      <c r="N519">
        <v>2023</v>
      </c>
      <c r="O519">
        <v>1</v>
      </c>
    </row>
    <row r="520" spans="1:15" x14ac:dyDescent="0.3">
      <c r="A520">
        <v>37647</v>
      </c>
      <c r="B520">
        <v>3203700</v>
      </c>
      <c r="C520" t="s">
        <v>65</v>
      </c>
      <c r="D520">
        <v>0.54600000000000004</v>
      </c>
      <c r="E520">
        <v>1976403.67</v>
      </c>
      <c r="F520">
        <v>0</v>
      </c>
      <c r="G520">
        <v>1976403.67</v>
      </c>
      <c r="H520">
        <v>23171.47</v>
      </c>
      <c r="I520">
        <v>52263.16</v>
      </c>
      <c r="J520">
        <v>0.54600000000000004</v>
      </c>
      <c r="K520">
        <v>34314.629999999997</v>
      </c>
      <c r="L520">
        <v>166.09</v>
      </c>
      <c r="M520">
        <v>0</v>
      </c>
      <c r="N520">
        <v>2023</v>
      </c>
      <c r="O520">
        <v>1</v>
      </c>
    </row>
    <row r="521" spans="1:15" x14ac:dyDescent="0.3">
      <c r="A521">
        <v>37648</v>
      </c>
      <c r="B521">
        <v>3203809</v>
      </c>
      <c r="C521" t="s">
        <v>66</v>
      </c>
      <c r="D521">
        <v>0.28100000000000003</v>
      </c>
      <c r="E521">
        <v>1017606.48</v>
      </c>
      <c r="F521">
        <v>0</v>
      </c>
      <c r="G521">
        <v>1017606.48</v>
      </c>
      <c r="H521">
        <v>12470.46</v>
      </c>
      <c r="I521">
        <v>53496.1</v>
      </c>
      <c r="J521">
        <v>0.28100000000000003</v>
      </c>
      <c r="K521">
        <v>17660.09</v>
      </c>
      <c r="L521">
        <v>142.29</v>
      </c>
      <c r="M521">
        <v>0</v>
      </c>
      <c r="N521">
        <v>2023</v>
      </c>
      <c r="O521">
        <v>1</v>
      </c>
    </row>
    <row r="522" spans="1:15" x14ac:dyDescent="0.3">
      <c r="A522">
        <v>37649</v>
      </c>
      <c r="B522">
        <v>3203908</v>
      </c>
      <c r="C522" t="s">
        <v>67</v>
      </c>
      <c r="D522">
        <v>1.3109999999999999</v>
      </c>
      <c r="E522">
        <v>4743726.33</v>
      </c>
      <c r="F522">
        <v>0</v>
      </c>
      <c r="G522">
        <v>4743726.33</v>
      </c>
      <c r="H522">
        <v>53420.77</v>
      </c>
      <c r="I522">
        <v>254822.06</v>
      </c>
      <c r="J522">
        <v>1.3109999999999999</v>
      </c>
      <c r="K522">
        <v>82392.820000000007</v>
      </c>
      <c r="L522">
        <v>362.52</v>
      </c>
      <c r="M522">
        <v>0</v>
      </c>
      <c r="N522">
        <v>2023</v>
      </c>
      <c r="O522">
        <v>1</v>
      </c>
    </row>
    <row r="523" spans="1:15" x14ac:dyDescent="0.3">
      <c r="A523">
        <v>37650</v>
      </c>
      <c r="B523">
        <v>3204005</v>
      </c>
      <c r="C523" t="s">
        <v>68</v>
      </c>
      <c r="D523">
        <v>0.436</v>
      </c>
      <c r="E523">
        <v>1579324.08</v>
      </c>
      <c r="F523">
        <v>0</v>
      </c>
      <c r="G523">
        <v>1579324.08</v>
      </c>
      <c r="H523">
        <v>19843.2</v>
      </c>
      <c r="I523">
        <v>48445.88</v>
      </c>
      <c r="J523">
        <v>0.436</v>
      </c>
      <c r="K523">
        <v>27401.43</v>
      </c>
      <c r="L523">
        <v>184.92</v>
      </c>
      <c r="M523">
        <v>0</v>
      </c>
      <c r="N523">
        <v>2023</v>
      </c>
      <c r="O523">
        <v>1</v>
      </c>
    </row>
    <row r="524" spans="1:15" x14ac:dyDescent="0.3">
      <c r="A524">
        <v>37651</v>
      </c>
      <c r="B524">
        <v>3204054</v>
      </c>
      <c r="C524" t="s">
        <v>69</v>
      </c>
      <c r="D524">
        <v>0.307</v>
      </c>
      <c r="E524">
        <v>1111403.97</v>
      </c>
      <c r="F524">
        <v>0</v>
      </c>
      <c r="G524">
        <v>1111403.97</v>
      </c>
      <c r="H524">
        <v>13186.67</v>
      </c>
      <c r="I524">
        <v>75107.039999999994</v>
      </c>
      <c r="J524">
        <v>0.307</v>
      </c>
      <c r="K524">
        <v>19294.13</v>
      </c>
      <c r="L524">
        <v>213.46</v>
      </c>
      <c r="M524">
        <v>0</v>
      </c>
      <c r="N524">
        <v>2023</v>
      </c>
      <c r="O524">
        <v>1</v>
      </c>
    </row>
    <row r="525" spans="1:15" x14ac:dyDescent="0.3">
      <c r="A525">
        <v>37652</v>
      </c>
      <c r="B525">
        <v>3204104</v>
      </c>
      <c r="C525" t="s">
        <v>70</v>
      </c>
      <c r="D525">
        <v>0.73199999999999998</v>
      </c>
      <c r="E525">
        <v>2649292.1</v>
      </c>
      <c r="F525">
        <v>0</v>
      </c>
      <c r="G525">
        <v>2649292.1</v>
      </c>
      <c r="H525">
        <v>30586.34</v>
      </c>
      <c r="I525">
        <v>68826.05</v>
      </c>
      <c r="J525">
        <v>0.73199999999999998</v>
      </c>
      <c r="K525">
        <v>46004.23</v>
      </c>
      <c r="L525">
        <v>216.55</v>
      </c>
      <c r="M525">
        <v>0</v>
      </c>
      <c r="N525">
        <v>2023</v>
      </c>
      <c r="O525">
        <v>1</v>
      </c>
    </row>
    <row r="526" spans="1:15" x14ac:dyDescent="0.3">
      <c r="A526">
        <v>37653</v>
      </c>
      <c r="B526">
        <v>3204203</v>
      </c>
      <c r="C526" t="s">
        <v>71</v>
      </c>
      <c r="D526">
        <v>0.14199999999999999</v>
      </c>
      <c r="E526">
        <v>514111.86</v>
      </c>
      <c r="F526">
        <v>0</v>
      </c>
      <c r="G526">
        <v>514111.86</v>
      </c>
      <c r="H526">
        <v>6150.97</v>
      </c>
      <c r="I526">
        <v>221341.63</v>
      </c>
      <c r="J526">
        <v>0.14199999999999999</v>
      </c>
      <c r="K526">
        <v>8924.32</v>
      </c>
      <c r="L526">
        <v>181.79</v>
      </c>
      <c r="M526">
        <v>0</v>
      </c>
      <c r="N526">
        <v>2023</v>
      </c>
      <c r="O526">
        <v>1</v>
      </c>
    </row>
    <row r="527" spans="1:15" x14ac:dyDescent="0.3">
      <c r="A527">
        <v>37654</v>
      </c>
      <c r="B527">
        <v>3204252</v>
      </c>
      <c r="C527" t="s">
        <v>72</v>
      </c>
      <c r="D527">
        <v>0.20899999999999999</v>
      </c>
      <c r="E527">
        <v>756896.52</v>
      </c>
      <c r="F527">
        <v>0</v>
      </c>
      <c r="G527">
        <v>756896.52</v>
      </c>
      <c r="H527">
        <v>9310.7199999999993</v>
      </c>
      <c r="I527">
        <v>19964.810000000001</v>
      </c>
      <c r="J527">
        <v>0.20899999999999999</v>
      </c>
      <c r="K527">
        <v>13135.09</v>
      </c>
      <c r="L527">
        <v>81.319999999999993</v>
      </c>
      <c r="M527">
        <v>0</v>
      </c>
      <c r="N527">
        <v>2023</v>
      </c>
      <c r="O527">
        <v>1</v>
      </c>
    </row>
    <row r="528" spans="1:15" x14ac:dyDescent="0.3">
      <c r="A528">
        <v>37655</v>
      </c>
      <c r="B528">
        <v>1718402</v>
      </c>
      <c r="C528" t="s">
        <v>73</v>
      </c>
      <c r="D528">
        <v>0.32</v>
      </c>
      <c r="E528">
        <v>1158871.77</v>
      </c>
      <c r="F528">
        <v>0</v>
      </c>
      <c r="G528">
        <v>1158871.77</v>
      </c>
      <c r="H528">
        <v>14239.92</v>
      </c>
      <c r="I528">
        <v>172710.36</v>
      </c>
      <c r="J528">
        <v>0.32</v>
      </c>
      <c r="K528">
        <v>20111.14</v>
      </c>
      <c r="L528">
        <v>111.6</v>
      </c>
      <c r="M528">
        <v>0</v>
      </c>
      <c r="N528">
        <v>2023</v>
      </c>
      <c r="O528">
        <v>1</v>
      </c>
    </row>
    <row r="529" spans="1:15" x14ac:dyDescent="0.3">
      <c r="A529">
        <v>37656</v>
      </c>
      <c r="B529">
        <v>3204351</v>
      </c>
      <c r="C529" t="s">
        <v>74</v>
      </c>
      <c r="D529">
        <v>0.85399999999999998</v>
      </c>
      <c r="E529">
        <v>3089116.31</v>
      </c>
      <c r="F529">
        <v>0</v>
      </c>
      <c r="G529">
        <v>3089116.31</v>
      </c>
      <c r="H529">
        <v>33577.56</v>
      </c>
      <c r="I529">
        <v>109584.81</v>
      </c>
      <c r="J529">
        <v>0.85399999999999998</v>
      </c>
      <c r="K529">
        <v>53671.59</v>
      </c>
      <c r="L529">
        <v>172.79</v>
      </c>
      <c r="M529">
        <v>0</v>
      </c>
      <c r="N529">
        <v>2023</v>
      </c>
      <c r="O529">
        <v>1</v>
      </c>
    </row>
    <row r="530" spans="1:15" x14ac:dyDescent="0.3">
      <c r="A530">
        <v>37657</v>
      </c>
      <c r="B530">
        <v>3204401</v>
      </c>
      <c r="C530" t="s">
        <v>75</v>
      </c>
      <c r="D530">
        <v>0.25</v>
      </c>
      <c r="E530">
        <v>905745.82</v>
      </c>
      <c r="F530">
        <v>0</v>
      </c>
      <c r="G530">
        <v>905745.82</v>
      </c>
      <c r="H530">
        <v>11585.73</v>
      </c>
      <c r="I530">
        <v>45729.2</v>
      </c>
      <c r="J530">
        <v>0.25</v>
      </c>
      <c r="K530">
        <v>15711.82</v>
      </c>
      <c r="L530">
        <v>111.27</v>
      </c>
      <c r="M530">
        <v>0</v>
      </c>
      <c r="N530">
        <v>2023</v>
      </c>
      <c r="O530">
        <v>1</v>
      </c>
    </row>
    <row r="531" spans="1:15" x14ac:dyDescent="0.3">
      <c r="A531">
        <v>37658</v>
      </c>
      <c r="B531">
        <v>3204500</v>
      </c>
      <c r="C531" t="s">
        <v>76</v>
      </c>
      <c r="D531">
        <v>0.54500000000000004</v>
      </c>
      <c r="E531">
        <v>1972404.74</v>
      </c>
      <c r="F531">
        <v>0</v>
      </c>
      <c r="G531">
        <v>1972404.74</v>
      </c>
      <c r="H531">
        <v>22665.91</v>
      </c>
      <c r="I531">
        <v>45513.41</v>
      </c>
      <c r="J531">
        <v>0.54500000000000004</v>
      </c>
      <c r="K531">
        <v>34251.78</v>
      </c>
      <c r="L531">
        <v>112.9</v>
      </c>
      <c r="M531">
        <v>0</v>
      </c>
      <c r="N531">
        <v>2023</v>
      </c>
      <c r="O531">
        <v>1</v>
      </c>
    </row>
    <row r="532" spans="1:15" x14ac:dyDescent="0.3">
      <c r="A532">
        <v>37659</v>
      </c>
      <c r="B532">
        <v>3204559</v>
      </c>
      <c r="C532" t="s">
        <v>77</v>
      </c>
      <c r="D532">
        <v>2.2349999999999999</v>
      </c>
      <c r="E532">
        <v>8085554.7000000002</v>
      </c>
      <c r="F532">
        <v>0</v>
      </c>
      <c r="G532">
        <v>8085554.7000000002</v>
      </c>
      <c r="H532">
        <v>89146.96</v>
      </c>
      <c r="I532">
        <v>513814.82</v>
      </c>
      <c r="J532">
        <v>2.2349999999999999</v>
      </c>
      <c r="K532">
        <v>140463.73000000001</v>
      </c>
      <c r="L532">
        <v>296.8</v>
      </c>
      <c r="M532">
        <v>0</v>
      </c>
      <c r="N532">
        <v>2023</v>
      </c>
      <c r="O532">
        <v>1</v>
      </c>
    </row>
    <row r="533" spans="1:15" x14ac:dyDescent="0.3">
      <c r="A533">
        <v>37660</v>
      </c>
      <c r="B533">
        <v>3204609</v>
      </c>
      <c r="C533" t="s">
        <v>78</v>
      </c>
      <c r="D533">
        <v>0.65100000000000002</v>
      </c>
      <c r="E533">
        <v>2357592.9500000002</v>
      </c>
      <c r="F533">
        <v>0</v>
      </c>
      <c r="G533">
        <v>2357592.9500000002</v>
      </c>
      <c r="H533">
        <v>28985.4</v>
      </c>
      <c r="I533">
        <v>122849.11</v>
      </c>
      <c r="J533">
        <v>0.65100000000000002</v>
      </c>
      <c r="K533">
        <v>40913.589999999997</v>
      </c>
      <c r="L533">
        <v>205.26</v>
      </c>
      <c r="M533">
        <v>0</v>
      </c>
      <c r="N533">
        <v>2023</v>
      </c>
      <c r="O533">
        <v>1</v>
      </c>
    </row>
    <row r="534" spans="1:15" x14ac:dyDescent="0.3">
      <c r="A534">
        <v>37661</v>
      </c>
      <c r="B534">
        <v>3204658</v>
      </c>
      <c r="C534" t="s">
        <v>79</v>
      </c>
      <c r="D534">
        <v>0.42299999999999999</v>
      </c>
      <c r="E534">
        <v>1531097.46</v>
      </c>
      <c r="F534">
        <v>0</v>
      </c>
      <c r="G534">
        <v>1531097.46</v>
      </c>
      <c r="H534">
        <v>17863.099999999999</v>
      </c>
      <c r="I534">
        <v>29423.61</v>
      </c>
      <c r="J534">
        <v>0.42299999999999999</v>
      </c>
      <c r="K534">
        <v>26584.41</v>
      </c>
      <c r="L534">
        <v>83.49</v>
      </c>
      <c r="M534">
        <v>0</v>
      </c>
      <c r="N534">
        <v>2023</v>
      </c>
      <c r="O534">
        <v>1</v>
      </c>
    </row>
    <row r="535" spans="1:15" x14ac:dyDescent="0.3">
      <c r="A535">
        <v>37662</v>
      </c>
      <c r="B535">
        <v>3204708</v>
      </c>
      <c r="C535" t="s">
        <v>80</v>
      </c>
      <c r="D535">
        <v>0.85199999999999998</v>
      </c>
      <c r="E535">
        <v>3082567.02</v>
      </c>
      <c r="F535">
        <v>0</v>
      </c>
      <c r="G535">
        <v>3082567.02</v>
      </c>
      <c r="H535">
        <v>34335.9</v>
      </c>
      <c r="I535">
        <v>141520.53</v>
      </c>
      <c r="J535">
        <v>0.85199999999999998</v>
      </c>
      <c r="K535">
        <v>53545.91</v>
      </c>
      <c r="L535">
        <v>289.26</v>
      </c>
      <c r="M535">
        <v>0</v>
      </c>
      <c r="N535">
        <v>2023</v>
      </c>
      <c r="O535">
        <v>1</v>
      </c>
    </row>
    <row r="536" spans="1:15" x14ac:dyDescent="0.3">
      <c r="A536">
        <v>37663</v>
      </c>
      <c r="B536">
        <v>3204807</v>
      </c>
      <c r="C536" t="s">
        <v>81</v>
      </c>
      <c r="D536">
        <v>0.22600000000000001</v>
      </c>
      <c r="E536">
        <v>818152.69</v>
      </c>
      <c r="F536">
        <v>0</v>
      </c>
      <c r="G536">
        <v>818152.69</v>
      </c>
      <c r="H536">
        <v>9689.89</v>
      </c>
      <c r="I536">
        <v>65006.05</v>
      </c>
      <c r="J536">
        <v>0.22600000000000001</v>
      </c>
      <c r="K536">
        <v>14203.49</v>
      </c>
      <c r="L536">
        <v>107.97</v>
      </c>
      <c r="M536">
        <v>0</v>
      </c>
      <c r="N536">
        <v>2023</v>
      </c>
      <c r="O536">
        <v>1</v>
      </c>
    </row>
    <row r="537" spans="1:15" x14ac:dyDescent="0.3">
      <c r="A537">
        <v>37664</v>
      </c>
      <c r="B537">
        <v>3204906</v>
      </c>
      <c r="C537" t="s">
        <v>82</v>
      </c>
      <c r="D537">
        <v>1.901</v>
      </c>
      <c r="E537">
        <v>6880148.25</v>
      </c>
      <c r="F537">
        <v>0</v>
      </c>
      <c r="G537">
        <v>6880148.25</v>
      </c>
      <c r="H537">
        <v>79372.81</v>
      </c>
      <c r="I537">
        <v>664564.75</v>
      </c>
      <c r="J537">
        <v>1.901</v>
      </c>
      <c r="K537">
        <v>119472.72</v>
      </c>
      <c r="L537">
        <v>748.59</v>
      </c>
      <c r="M537">
        <v>0</v>
      </c>
      <c r="N537">
        <v>2023</v>
      </c>
      <c r="O537">
        <v>1</v>
      </c>
    </row>
    <row r="538" spans="1:15" x14ac:dyDescent="0.3">
      <c r="A538">
        <v>37665</v>
      </c>
      <c r="B538">
        <v>3204955</v>
      </c>
      <c r="C538" t="s">
        <v>83</v>
      </c>
      <c r="D538">
        <v>0.312</v>
      </c>
      <c r="E538">
        <v>1129777.52</v>
      </c>
      <c r="F538">
        <v>0</v>
      </c>
      <c r="G538">
        <v>1129777.52</v>
      </c>
      <c r="H538">
        <v>13734.36</v>
      </c>
      <c r="I538">
        <v>48155.76</v>
      </c>
      <c r="J538">
        <v>0.312</v>
      </c>
      <c r="K538">
        <v>19608.36</v>
      </c>
      <c r="L538">
        <v>114.2</v>
      </c>
      <c r="M538">
        <v>0</v>
      </c>
      <c r="N538">
        <v>2023</v>
      </c>
      <c r="O538">
        <v>1</v>
      </c>
    </row>
    <row r="539" spans="1:15" x14ac:dyDescent="0.3">
      <c r="A539">
        <v>37666</v>
      </c>
      <c r="B539">
        <v>3205002</v>
      </c>
      <c r="C539" t="s">
        <v>84</v>
      </c>
      <c r="D539">
        <v>15.625</v>
      </c>
      <c r="E539">
        <v>56505246.340000004</v>
      </c>
      <c r="F539">
        <v>0</v>
      </c>
      <c r="G539">
        <v>56505246.340000004</v>
      </c>
      <c r="H539">
        <v>597234.05000000005</v>
      </c>
      <c r="I539">
        <v>2473780.9700000002</v>
      </c>
      <c r="J539">
        <v>15.625</v>
      </c>
      <c r="K539">
        <v>981989.14</v>
      </c>
      <c r="L539">
        <v>2087.1</v>
      </c>
      <c r="M539">
        <v>0</v>
      </c>
      <c r="N539">
        <v>2023</v>
      </c>
      <c r="O539">
        <v>1</v>
      </c>
    </row>
    <row r="540" spans="1:15" x14ac:dyDescent="0.3">
      <c r="A540">
        <v>37667</v>
      </c>
      <c r="B540">
        <v>3205010</v>
      </c>
      <c r="C540" t="s">
        <v>85</v>
      </c>
      <c r="D540">
        <v>0.72199999999999998</v>
      </c>
      <c r="E540">
        <v>2613303.71</v>
      </c>
      <c r="F540">
        <v>0</v>
      </c>
      <c r="G540">
        <v>2613303.71</v>
      </c>
      <c r="H540">
        <v>30417.82</v>
      </c>
      <c r="I540">
        <v>61042.28</v>
      </c>
      <c r="J540">
        <v>0.72199999999999998</v>
      </c>
      <c r="K540">
        <v>45375.76</v>
      </c>
      <c r="L540">
        <v>246.69</v>
      </c>
      <c r="M540">
        <v>0</v>
      </c>
      <c r="N540">
        <v>2023</v>
      </c>
      <c r="O540">
        <v>1</v>
      </c>
    </row>
    <row r="541" spans="1:15" x14ac:dyDescent="0.3">
      <c r="A541">
        <v>37668</v>
      </c>
      <c r="B541">
        <v>3205036</v>
      </c>
      <c r="C541" t="s">
        <v>86</v>
      </c>
      <c r="D541">
        <v>0.49099999999999999</v>
      </c>
      <c r="E541">
        <v>1777432.76</v>
      </c>
      <c r="F541">
        <v>0</v>
      </c>
      <c r="G541">
        <v>1777432.76</v>
      </c>
      <c r="H541">
        <v>20980.71</v>
      </c>
      <c r="I541">
        <v>119527.76</v>
      </c>
      <c r="J541">
        <v>0.49099999999999999</v>
      </c>
      <c r="K541">
        <v>30858.02</v>
      </c>
      <c r="L541">
        <v>179.95</v>
      </c>
      <c r="M541">
        <v>0</v>
      </c>
      <c r="N541">
        <v>2023</v>
      </c>
      <c r="O541">
        <v>1</v>
      </c>
    </row>
    <row r="542" spans="1:15" x14ac:dyDescent="0.3">
      <c r="A542">
        <v>37669</v>
      </c>
      <c r="B542">
        <v>3205069</v>
      </c>
      <c r="C542" t="s">
        <v>87</v>
      </c>
      <c r="D542">
        <v>0.68700000000000006</v>
      </c>
      <c r="E542">
        <v>2489068.83</v>
      </c>
      <c r="F542">
        <v>0</v>
      </c>
      <c r="G542">
        <v>2489068.83</v>
      </c>
      <c r="H542">
        <v>31934.5</v>
      </c>
      <c r="I542">
        <v>172485.49</v>
      </c>
      <c r="J542">
        <v>0.68700000000000006</v>
      </c>
      <c r="K542">
        <v>43176.1</v>
      </c>
      <c r="L542">
        <v>212.35</v>
      </c>
      <c r="M542">
        <v>0</v>
      </c>
      <c r="N542">
        <v>2023</v>
      </c>
      <c r="O542">
        <v>1</v>
      </c>
    </row>
    <row r="543" spans="1:15" x14ac:dyDescent="0.3">
      <c r="A543">
        <v>37670</v>
      </c>
      <c r="B543">
        <v>2112803</v>
      </c>
      <c r="C543" t="s">
        <v>88</v>
      </c>
      <c r="D543">
        <v>2.9870000000000001</v>
      </c>
      <c r="E543">
        <v>10811755.720000001</v>
      </c>
      <c r="F543">
        <v>0</v>
      </c>
      <c r="G543">
        <v>10811755.720000001</v>
      </c>
      <c r="H543">
        <v>126094.91</v>
      </c>
      <c r="I543">
        <v>504235.99</v>
      </c>
      <c r="J543">
        <v>2.9870000000000001</v>
      </c>
      <c r="K543">
        <v>187724.9</v>
      </c>
      <c r="L543">
        <v>490.96</v>
      </c>
      <c r="M543">
        <v>0</v>
      </c>
      <c r="N543">
        <v>2023</v>
      </c>
      <c r="O543">
        <v>1</v>
      </c>
    </row>
    <row r="544" spans="1:15" x14ac:dyDescent="0.3">
      <c r="A544">
        <v>37671</v>
      </c>
      <c r="B544">
        <v>3205150</v>
      </c>
      <c r="C544" t="s">
        <v>89</v>
      </c>
      <c r="D544">
        <v>0.31900000000000001</v>
      </c>
      <c r="E544">
        <v>1154941.82</v>
      </c>
      <c r="F544">
        <v>0</v>
      </c>
      <c r="G544">
        <v>1154941.82</v>
      </c>
      <c r="H544">
        <v>13818.62</v>
      </c>
      <c r="I544">
        <v>62789.37</v>
      </c>
      <c r="J544">
        <v>0.31900000000000001</v>
      </c>
      <c r="K544">
        <v>20048.29</v>
      </c>
      <c r="L544">
        <v>85.13</v>
      </c>
      <c r="M544">
        <v>0</v>
      </c>
      <c r="N544">
        <v>2023</v>
      </c>
      <c r="O544">
        <v>1</v>
      </c>
    </row>
    <row r="545" spans="1:15" x14ac:dyDescent="0.3">
      <c r="A545">
        <v>37672</v>
      </c>
      <c r="B545">
        <v>3205176</v>
      </c>
      <c r="C545" t="s">
        <v>90</v>
      </c>
      <c r="D545">
        <v>0.65800000000000003</v>
      </c>
      <c r="E545">
        <v>2380446.39</v>
      </c>
      <c r="F545">
        <v>0</v>
      </c>
      <c r="G545">
        <v>2380446.39</v>
      </c>
      <c r="H545">
        <v>26246.95</v>
      </c>
      <c r="I545">
        <v>87488.73</v>
      </c>
      <c r="J545">
        <v>0.65800000000000003</v>
      </c>
      <c r="K545">
        <v>41353.53</v>
      </c>
      <c r="L545">
        <v>137.66</v>
      </c>
      <c r="M545">
        <v>0</v>
      </c>
      <c r="N545">
        <v>2023</v>
      </c>
      <c r="O545">
        <v>1</v>
      </c>
    </row>
    <row r="546" spans="1:15" x14ac:dyDescent="0.3">
      <c r="A546">
        <v>37673</v>
      </c>
      <c r="B546">
        <v>3205200</v>
      </c>
      <c r="C546" t="s">
        <v>91</v>
      </c>
      <c r="D546">
        <v>5.056</v>
      </c>
      <c r="E546">
        <v>18311608.920000002</v>
      </c>
      <c r="F546">
        <v>0</v>
      </c>
      <c r="G546">
        <v>18311608.920000002</v>
      </c>
      <c r="H546">
        <v>226743.34</v>
      </c>
      <c r="I546">
        <v>3397034.01</v>
      </c>
      <c r="J546">
        <v>5.056</v>
      </c>
      <c r="K546">
        <v>317755.96999999997</v>
      </c>
      <c r="L546">
        <v>2002.43</v>
      </c>
      <c r="M546">
        <v>0</v>
      </c>
      <c r="N546">
        <v>2023</v>
      </c>
      <c r="O546">
        <v>1</v>
      </c>
    </row>
    <row r="547" spans="1:15" x14ac:dyDescent="0.3">
      <c r="A547">
        <v>37674</v>
      </c>
      <c r="B547">
        <v>3205309</v>
      </c>
      <c r="C547" t="s">
        <v>92</v>
      </c>
      <c r="D547">
        <v>14.782</v>
      </c>
      <c r="E547">
        <v>53495435.909999996</v>
      </c>
      <c r="F547">
        <v>0</v>
      </c>
      <c r="G547">
        <v>53495435.909999996</v>
      </c>
      <c r="H547">
        <v>612358.69999999995</v>
      </c>
      <c r="I547">
        <v>3919506.44</v>
      </c>
      <c r="J547">
        <v>14.782</v>
      </c>
      <c r="K547">
        <v>929008.86</v>
      </c>
      <c r="L547">
        <v>2350.62</v>
      </c>
      <c r="M547">
        <v>0</v>
      </c>
      <c r="N547">
        <v>2023</v>
      </c>
      <c r="O547">
        <v>1</v>
      </c>
    </row>
    <row r="548" spans="1:15" x14ac:dyDescent="0.3">
      <c r="A548">
        <v>37675</v>
      </c>
      <c r="B548">
        <v>3200102</v>
      </c>
      <c r="C548" t="s">
        <v>15</v>
      </c>
      <c r="D548">
        <v>0.76100000000000001</v>
      </c>
      <c r="E548">
        <v>3040075.55</v>
      </c>
      <c r="F548">
        <v>0</v>
      </c>
      <c r="G548">
        <v>3040075.55</v>
      </c>
      <c r="H548">
        <v>27392.18</v>
      </c>
      <c r="I548">
        <v>205899.09</v>
      </c>
      <c r="J548">
        <v>0.98499999999999999</v>
      </c>
      <c r="K548">
        <v>51087.32</v>
      </c>
      <c r="L548">
        <v>0</v>
      </c>
      <c r="M548">
        <v>15781.28</v>
      </c>
      <c r="N548">
        <v>2023</v>
      </c>
      <c r="O548">
        <v>8</v>
      </c>
    </row>
    <row r="549" spans="1:15" x14ac:dyDescent="0.3">
      <c r="A549">
        <v>37676</v>
      </c>
      <c r="B549">
        <v>3200169</v>
      </c>
      <c r="C549" t="s">
        <v>16</v>
      </c>
      <c r="D549">
        <v>0.28899999999999998</v>
      </c>
      <c r="E549">
        <v>1154509.6399999999</v>
      </c>
      <c r="F549">
        <v>0</v>
      </c>
      <c r="G549">
        <v>1154509.6399999999</v>
      </c>
      <c r="H549">
        <v>10402.549999999999</v>
      </c>
      <c r="I549">
        <v>91154.9</v>
      </c>
      <c r="J549">
        <v>0.439</v>
      </c>
      <c r="K549">
        <v>19401.09</v>
      </c>
      <c r="L549">
        <v>0</v>
      </c>
      <c r="M549">
        <v>5993.15</v>
      </c>
      <c r="N549">
        <v>2023</v>
      </c>
      <c r="O549">
        <v>8</v>
      </c>
    </row>
    <row r="550" spans="1:15" x14ac:dyDescent="0.3">
      <c r="A550">
        <v>37677</v>
      </c>
      <c r="B550">
        <v>3200136</v>
      </c>
      <c r="C550" t="s">
        <v>17</v>
      </c>
      <c r="D550">
        <v>0.40400000000000003</v>
      </c>
      <c r="E550">
        <v>1613916.6</v>
      </c>
      <c r="F550">
        <v>0</v>
      </c>
      <c r="G550">
        <v>1613916.6</v>
      </c>
      <c r="H550">
        <v>14541.97</v>
      </c>
      <c r="I550">
        <v>70348.539999999994</v>
      </c>
      <c r="J550">
        <v>0.34799999999999998</v>
      </c>
      <c r="K550">
        <v>27121.26</v>
      </c>
      <c r="L550">
        <v>0</v>
      </c>
      <c r="M550">
        <v>8377.9699999999993</v>
      </c>
      <c r="N550">
        <v>2023</v>
      </c>
      <c r="O550">
        <v>8</v>
      </c>
    </row>
    <row r="551" spans="1:15" x14ac:dyDescent="0.3">
      <c r="A551">
        <v>37678</v>
      </c>
      <c r="B551">
        <v>3200201</v>
      </c>
      <c r="C551" t="s">
        <v>18</v>
      </c>
      <c r="D551">
        <v>0.498</v>
      </c>
      <c r="E551">
        <v>1989431.82</v>
      </c>
      <c r="F551">
        <v>0</v>
      </c>
      <c r="G551">
        <v>1989431.82</v>
      </c>
      <c r="H551">
        <v>17925.5</v>
      </c>
      <c r="I551">
        <v>201721.3</v>
      </c>
      <c r="J551">
        <v>0.98</v>
      </c>
      <c r="K551">
        <v>33431.65</v>
      </c>
      <c r="L551">
        <v>0</v>
      </c>
      <c r="M551">
        <v>10327.299999999999</v>
      </c>
      <c r="N551">
        <v>2023</v>
      </c>
      <c r="O551">
        <v>8</v>
      </c>
    </row>
    <row r="552" spans="1:15" x14ac:dyDescent="0.3">
      <c r="A552">
        <v>37679</v>
      </c>
      <c r="B552">
        <v>3200300</v>
      </c>
      <c r="C552" t="s">
        <v>19</v>
      </c>
      <c r="D552">
        <v>0.46700000000000003</v>
      </c>
      <c r="E552">
        <v>1865591.71</v>
      </c>
      <c r="F552">
        <v>0</v>
      </c>
      <c r="G552">
        <v>1865591.71</v>
      </c>
      <c r="H552">
        <v>16809.650000000001</v>
      </c>
      <c r="I552">
        <v>155021.35999999999</v>
      </c>
      <c r="J552">
        <v>0.56399999999999995</v>
      </c>
      <c r="K552">
        <v>31350.560000000001</v>
      </c>
      <c r="L552">
        <v>0</v>
      </c>
      <c r="M552">
        <v>9684.44</v>
      </c>
      <c r="N552">
        <v>2023</v>
      </c>
      <c r="O552">
        <v>8</v>
      </c>
    </row>
    <row r="553" spans="1:15" x14ac:dyDescent="0.3">
      <c r="A553">
        <v>37680</v>
      </c>
      <c r="B553">
        <v>3200359</v>
      </c>
      <c r="C553" t="s">
        <v>20</v>
      </c>
      <c r="D553">
        <v>0.22600000000000001</v>
      </c>
      <c r="E553">
        <v>902834.53</v>
      </c>
      <c r="F553">
        <v>0</v>
      </c>
      <c r="G553">
        <v>902834.53</v>
      </c>
      <c r="H553">
        <v>8134.86</v>
      </c>
      <c r="I553">
        <v>53498.12</v>
      </c>
      <c r="J553">
        <v>0.32700000000000001</v>
      </c>
      <c r="K553">
        <v>15171.79</v>
      </c>
      <c r="L553">
        <v>0</v>
      </c>
      <c r="M553">
        <v>4686.6899999999996</v>
      </c>
      <c r="N553">
        <v>2023</v>
      </c>
      <c r="O553">
        <v>8</v>
      </c>
    </row>
    <row r="554" spans="1:15" x14ac:dyDescent="0.3">
      <c r="A554">
        <v>37681</v>
      </c>
      <c r="B554">
        <v>3200409</v>
      </c>
      <c r="C554" t="s">
        <v>21</v>
      </c>
      <c r="D554">
        <v>3.1480000000000001</v>
      </c>
      <c r="E554">
        <v>12575765.85</v>
      </c>
      <c r="F554">
        <v>0</v>
      </c>
      <c r="G554">
        <v>12575765.85</v>
      </c>
      <c r="H554">
        <v>113312.18</v>
      </c>
      <c r="I554">
        <v>289456.90999999997</v>
      </c>
      <c r="J554">
        <v>0.90800000000000003</v>
      </c>
      <c r="K554">
        <v>211330.99</v>
      </c>
      <c r="L554">
        <v>0</v>
      </c>
      <c r="M554">
        <v>65281.82</v>
      </c>
      <c r="N554">
        <v>2023</v>
      </c>
      <c r="O554">
        <v>8</v>
      </c>
    </row>
    <row r="555" spans="1:15" x14ac:dyDescent="0.3">
      <c r="A555">
        <v>37682</v>
      </c>
      <c r="B555">
        <v>3200508</v>
      </c>
      <c r="C555" t="s">
        <v>22</v>
      </c>
      <c r="D555">
        <v>0.185</v>
      </c>
      <c r="E555">
        <v>739045.98</v>
      </c>
      <c r="F555">
        <v>0</v>
      </c>
      <c r="G555">
        <v>739045.98</v>
      </c>
      <c r="H555">
        <v>6659.07</v>
      </c>
      <c r="I555">
        <v>77415.5</v>
      </c>
      <c r="J555">
        <v>0.32300000000000001</v>
      </c>
      <c r="K555">
        <v>12419.39</v>
      </c>
      <c r="L555">
        <v>0</v>
      </c>
      <c r="M555">
        <v>3836.45</v>
      </c>
      <c r="N555">
        <v>2023</v>
      </c>
      <c r="O555">
        <v>8</v>
      </c>
    </row>
    <row r="556" spans="1:15" x14ac:dyDescent="0.3">
      <c r="A556">
        <v>37683</v>
      </c>
      <c r="B556">
        <v>3200607</v>
      </c>
      <c r="C556" t="s">
        <v>23</v>
      </c>
      <c r="D556">
        <v>2.9220000000000002</v>
      </c>
      <c r="E556">
        <v>11672931.310000001</v>
      </c>
      <c r="F556">
        <v>0</v>
      </c>
      <c r="G556">
        <v>11672931.310000001</v>
      </c>
      <c r="H556">
        <v>105177.32</v>
      </c>
      <c r="I556">
        <v>1105071.01</v>
      </c>
      <c r="J556">
        <v>2.5089999999999999</v>
      </c>
      <c r="K556">
        <v>196159.2</v>
      </c>
      <c r="L556">
        <v>0</v>
      </c>
      <c r="M556">
        <v>60595.13</v>
      </c>
      <c r="N556">
        <v>2023</v>
      </c>
      <c r="O556">
        <v>8</v>
      </c>
    </row>
    <row r="557" spans="1:15" x14ac:dyDescent="0.3">
      <c r="A557">
        <v>37684</v>
      </c>
      <c r="B557">
        <v>3200706</v>
      </c>
      <c r="C557" t="s">
        <v>24</v>
      </c>
      <c r="D557">
        <v>0.35399999999999998</v>
      </c>
      <c r="E557">
        <v>1414174.42</v>
      </c>
      <c r="F557">
        <v>0</v>
      </c>
      <c r="G557">
        <v>1414174.42</v>
      </c>
      <c r="H557">
        <v>12742.22</v>
      </c>
      <c r="I557">
        <v>86220.08</v>
      </c>
      <c r="J557">
        <v>0.45700000000000002</v>
      </c>
      <c r="K557">
        <v>23764.67</v>
      </c>
      <c r="L557">
        <v>0</v>
      </c>
      <c r="M557">
        <v>7341.09</v>
      </c>
      <c r="N557">
        <v>2023</v>
      </c>
      <c r="O557">
        <v>8</v>
      </c>
    </row>
    <row r="558" spans="1:15" x14ac:dyDescent="0.3">
      <c r="A558">
        <v>37685</v>
      </c>
      <c r="B558">
        <v>3200805</v>
      </c>
      <c r="C558" t="s">
        <v>25</v>
      </c>
      <c r="D558">
        <v>0.60699999999999998</v>
      </c>
      <c r="E558">
        <v>2424869.69</v>
      </c>
      <c r="F558">
        <v>0</v>
      </c>
      <c r="G558">
        <v>2424869.69</v>
      </c>
      <c r="H558">
        <v>21848.95</v>
      </c>
      <c r="I558">
        <v>407087.38</v>
      </c>
      <c r="J558">
        <v>0.997</v>
      </c>
      <c r="K558">
        <v>40749.01</v>
      </c>
      <c r="L558">
        <v>0</v>
      </c>
      <c r="M558">
        <v>12587.7</v>
      </c>
      <c r="N558">
        <v>2023</v>
      </c>
      <c r="O558">
        <v>8</v>
      </c>
    </row>
    <row r="559" spans="1:15" x14ac:dyDescent="0.3">
      <c r="A559">
        <v>37686</v>
      </c>
      <c r="B559">
        <v>3200904</v>
      </c>
      <c r="C559" t="s">
        <v>26</v>
      </c>
      <c r="D559">
        <v>1.0289999999999999</v>
      </c>
      <c r="E559">
        <v>4110693.48</v>
      </c>
      <c r="F559">
        <v>0</v>
      </c>
      <c r="G559">
        <v>4110693.48</v>
      </c>
      <c r="H559">
        <v>37038.83</v>
      </c>
      <c r="I559">
        <v>482787.86</v>
      </c>
      <c r="J559">
        <v>1.321</v>
      </c>
      <c r="K559">
        <v>69078.649999999994</v>
      </c>
      <c r="L559">
        <v>0</v>
      </c>
      <c r="M559">
        <v>21338.94</v>
      </c>
      <c r="N559">
        <v>2023</v>
      </c>
      <c r="O559">
        <v>8</v>
      </c>
    </row>
    <row r="560" spans="1:15" x14ac:dyDescent="0.3">
      <c r="A560">
        <v>37687</v>
      </c>
      <c r="B560">
        <v>3107109</v>
      </c>
      <c r="C560" t="s">
        <v>27</v>
      </c>
      <c r="D560">
        <v>0.39500000000000002</v>
      </c>
      <c r="E560">
        <v>1577962.97</v>
      </c>
      <c r="F560">
        <v>0</v>
      </c>
      <c r="G560">
        <v>1577962.97</v>
      </c>
      <c r="H560">
        <v>14218.02</v>
      </c>
      <c r="I560">
        <v>119191.14</v>
      </c>
      <c r="J560">
        <v>0.56899999999999995</v>
      </c>
      <c r="K560">
        <v>26517.07</v>
      </c>
      <c r="L560">
        <v>0</v>
      </c>
      <c r="M560">
        <v>8191.33</v>
      </c>
      <c r="N560">
        <v>2023</v>
      </c>
      <c r="O560">
        <v>8</v>
      </c>
    </row>
    <row r="561" spans="1:15" x14ac:dyDescent="0.3">
      <c r="A561">
        <v>37688</v>
      </c>
      <c r="B561">
        <v>3201100</v>
      </c>
      <c r="C561" t="s">
        <v>28</v>
      </c>
      <c r="D561">
        <v>0.17599999999999999</v>
      </c>
      <c r="E561">
        <v>703092.38</v>
      </c>
      <c r="F561">
        <v>0</v>
      </c>
      <c r="G561">
        <v>703092.38</v>
      </c>
      <c r="H561">
        <v>6335.12</v>
      </c>
      <c r="I561">
        <v>209377.67</v>
      </c>
      <c r="J561">
        <v>0.43</v>
      </c>
      <c r="K561">
        <v>11815.21</v>
      </c>
      <c r="L561">
        <v>0</v>
      </c>
      <c r="M561">
        <v>3649.81</v>
      </c>
      <c r="N561">
        <v>2023</v>
      </c>
      <c r="O561">
        <v>8</v>
      </c>
    </row>
    <row r="562" spans="1:15" x14ac:dyDescent="0.3">
      <c r="A562">
        <v>37689</v>
      </c>
      <c r="B562">
        <v>3201159</v>
      </c>
      <c r="C562" t="s">
        <v>29</v>
      </c>
      <c r="D562">
        <v>0.42099999999999999</v>
      </c>
      <c r="E562">
        <v>1681828.95</v>
      </c>
      <c r="F562">
        <v>0</v>
      </c>
      <c r="G562">
        <v>1681828.95</v>
      </c>
      <c r="H562">
        <v>15153.88</v>
      </c>
      <c r="I562">
        <v>85509.81</v>
      </c>
      <c r="J562">
        <v>0.46</v>
      </c>
      <c r="K562">
        <v>28262.5</v>
      </c>
      <c r="L562">
        <v>0</v>
      </c>
      <c r="M562">
        <v>8730.51</v>
      </c>
      <c r="N562">
        <v>2023</v>
      </c>
      <c r="O562">
        <v>8</v>
      </c>
    </row>
    <row r="563" spans="1:15" x14ac:dyDescent="0.3">
      <c r="A563">
        <v>37690</v>
      </c>
      <c r="B563">
        <v>3201209</v>
      </c>
      <c r="C563" t="s">
        <v>30</v>
      </c>
      <c r="D563">
        <v>3.1120000000000001</v>
      </c>
      <c r="E563">
        <v>12431951.5</v>
      </c>
      <c r="F563">
        <v>0</v>
      </c>
      <c r="G563">
        <v>12431951.5</v>
      </c>
      <c r="H563">
        <v>112016.37</v>
      </c>
      <c r="I563">
        <v>2165785.4900000002</v>
      </c>
      <c r="J563">
        <v>4.4820000000000002</v>
      </c>
      <c r="K563">
        <v>208914.25</v>
      </c>
      <c r="L563">
        <v>0</v>
      </c>
      <c r="M563">
        <v>64535.27</v>
      </c>
      <c r="N563">
        <v>2023</v>
      </c>
      <c r="O563">
        <v>8</v>
      </c>
    </row>
    <row r="564" spans="1:15" x14ac:dyDescent="0.3">
      <c r="A564">
        <v>37691</v>
      </c>
      <c r="B564">
        <v>3201308</v>
      </c>
      <c r="C564" t="s">
        <v>31</v>
      </c>
      <c r="D564">
        <v>7.2990000000000004</v>
      </c>
      <c r="E564">
        <v>29158359.25</v>
      </c>
      <c r="F564">
        <v>0</v>
      </c>
      <c r="G564">
        <v>29158359.25</v>
      </c>
      <c r="H564">
        <v>262727.33</v>
      </c>
      <c r="I564">
        <v>2799545.63</v>
      </c>
      <c r="J564">
        <v>6.6040000000000001</v>
      </c>
      <c r="K564">
        <v>489995.21</v>
      </c>
      <c r="L564">
        <v>0</v>
      </c>
      <c r="M564">
        <v>151363.41</v>
      </c>
      <c r="N564">
        <v>2023</v>
      </c>
      <c r="O564">
        <v>8</v>
      </c>
    </row>
    <row r="565" spans="1:15" x14ac:dyDescent="0.3">
      <c r="A565">
        <v>37692</v>
      </c>
      <c r="B565">
        <v>3201407</v>
      </c>
      <c r="C565" t="s">
        <v>32</v>
      </c>
      <c r="D565">
        <v>0.89900000000000002</v>
      </c>
      <c r="E565">
        <v>3591363.89</v>
      </c>
      <c r="F565">
        <v>0</v>
      </c>
      <c r="G565">
        <v>3591363.89</v>
      </c>
      <c r="H565">
        <v>32359.48</v>
      </c>
      <c r="I565">
        <v>524590.96</v>
      </c>
      <c r="J565">
        <v>1.155</v>
      </c>
      <c r="K565">
        <v>60351.51</v>
      </c>
      <c r="L565">
        <v>0</v>
      </c>
      <c r="M565">
        <v>18643.060000000001</v>
      </c>
      <c r="N565">
        <v>2023</v>
      </c>
      <c r="O565">
        <v>8</v>
      </c>
    </row>
    <row r="566" spans="1:15" x14ac:dyDescent="0.3">
      <c r="A566">
        <v>37693</v>
      </c>
      <c r="B566">
        <v>3201506</v>
      </c>
      <c r="C566" t="s">
        <v>33</v>
      </c>
      <c r="D566">
        <v>2.2320000000000002</v>
      </c>
      <c r="E566">
        <v>8916489.6300000008</v>
      </c>
      <c r="F566">
        <v>0</v>
      </c>
      <c r="G566">
        <v>8916489.6300000008</v>
      </c>
      <c r="H566">
        <v>80340.789999999994</v>
      </c>
      <c r="I566">
        <v>1420034.25</v>
      </c>
      <c r="J566">
        <v>2.8220000000000001</v>
      </c>
      <c r="K566">
        <v>149838.24</v>
      </c>
      <c r="L566">
        <v>0</v>
      </c>
      <c r="M566">
        <v>46286.22</v>
      </c>
      <c r="N566">
        <v>2023</v>
      </c>
      <c r="O566">
        <v>8</v>
      </c>
    </row>
    <row r="567" spans="1:15" x14ac:dyDescent="0.3">
      <c r="A567">
        <v>37694</v>
      </c>
      <c r="B567">
        <v>3201605</v>
      </c>
      <c r="C567" t="s">
        <v>34</v>
      </c>
      <c r="D567">
        <v>0.79400000000000004</v>
      </c>
      <c r="E567">
        <v>3171905.35</v>
      </c>
      <c r="F567">
        <v>0</v>
      </c>
      <c r="G567">
        <v>3171905.35</v>
      </c>
      <c r="H567">
        <v>28580.01</v>
      </c>
      <c r="I567">
        <v>225723.2</v>
      </c>
      <c r="J567">
        <v>0.999</v>
      </c>
      <c r="K567">
        <v>53302.67</v>
      </c>
      <c r="L567">
        <v>0</v>
      </c>
      <c r="M567">
        <v>16465.62</v>
      </c>
      <c r="N567">
        <v>2023</v>
      </c>
      <c r="O567">
        <v>8</v>
      </c>
    </row>
    <row r="568" spans="1:15" x14ac:dyDescent="0.3">
      <c r="A568">
        <v>37695</v>
      </c>
      <c r="B568">
        <v>3201704</v>
      </c>
      <c r="C568" t="s">
        <v>35</v>
      </c>
      <c r="D568">
        <v>0.46</v>
      </c>
      <c r="E568">
        <v>1837627.77</v>
      </c>
      <c r="F568">
        <v>0</v>
      </c>
      <c r="G568">
        <v>1837627.77</v>
      </c>
      <c r="H568">
        <v>16557.689999999999</v>
      </c>
      <c r="I568">
        <v>92977.14</v>
      </c>
      <c r="J568">
        <v>0.46500000000000002</v>
      </c>
      <c r="K568">
        <v>30880.65</v>
      </c>
      <c r="L568">
        <v>0</v>
      </c>
      <c r="M568">
        <v>9539.27</v>
      </c>
      <c r="N568">
        <v>2023</v>
      </c>
      <c r="O568">
        <v>8</v>
      </c>
    </row>
    <row r="569" spans="1:15" x14ac:dyDescent="0.3">
      <c r="A569">
        <v>37696</v>
      </c>
      <c r="B569">
        <v>3201803</v>
      </c>
      <c r="C569" t="s">
        <v>36</v>
      </c>
      <c r="D569">
        <v>0.182</v>
      </c>
      <c r="E569">
        <v>727061.45</v>
      </c>
      <c r="F569">
        <v>0</v>
      </c>
      <c r="G569">
        <v>727061.45</v>
      </c>
      <c r="H569">
        <v>6551.09</v>
      </c>
      <c r="I569">
        <v>23458.44</v>
      </c>
      <c r="J569">
        <v>0.28299999999999997</v>
      </c>
      <c r="K569">
        <v>12217.99</v>
      </c>
      <c r="L569">
        <v>0</v>
      </c>
      <c r="M569">
        <v>3774.23</v>
      </c>
      <c r="N569">
        <v>2023</v>
      </c>
      <c r="O569">
        <v>8</v>
      </c>
    </row>
    <row r="570" spans="1:15" x14ac:dyDescent="0.3">
      <c r="A570">
        <v>37697</v>
      </c>
      <c r="B570">
        <v>3201902</v>
      </c>
      <c r="C570" t="s">
        <v>37</v>
      </c>
      <c r="D570">
        <v>1.268</v>
      </c>
      <c r="E570">
        <v>5065460.95</v>
      </c>
      <c r="F570">
        <v>0</v>
      </c>
      <c r="G570">
        <v>5065460.95</v>
      </c>
      <c r="H570">
        <v>45641.63</v>
      </c>
      <c r="I570">
        <v>350097.52</v>
      </c>
      <c r="J570">
        <v>1.0309999999999999</v>
      </c>
      <c r="K570">
        <v>85123.16</v>
      </c>
      <c r="L570">
        <v>0</v>
      </c>
      <c r="M570">
        <v>26295.22</v>
      </c>
      <c r="N570">
        <v>2023</v>
      </c>
      <c r="O570">
        <v>8</v>
      </c>
    </row>
    <row r="571" spans="1:15" x14ac:dyDescent="0.3">
      <c r="A571">
        <v>37698</v>
      </c>
      <c r="B571">
        <v>3202009</v>
      </c>
      <c r="C571" t="s">
        <v>38</v>
      </c>
      <c r="D571">
        <v>0.27</v>
      </c>
      <c r="E571">
        <v>1078607.6200000001</v>
      </c>
      <c r="F571">
        <v>0</v>
      </c>
      <c r="G571">
        <v>1078607.6200000001</v>
      </c>
      <c r="H571">
        <v>9718.64</v>
      </c>
      <c r="I571">
        <v>80504.3</v>
      </c>
      <c r="J571">
        <v>0.314</v>
      </c>
      <c r="K571">
        <v>18125.599999999999</v>
      </c>
      <c r="L571">
        <v>0</v>
      </c>
      <c r="M571">
        <v>5599.14</v>
      </c>
      <c r="N571">
        <v>2023</v>
      </c>
      <c r="O571">
        <v>8</v>
      </c>
    </row>
    <row r="572" spans="1:15" x14ac:dyDescent="0.3">
      <c r="A572">
        <v>37699</v>
      </c>
      <c r="B572">
        <v>3202108</v>
      </c>
      <c r="C572" t="s">
        <v>39</v>
      </c>
      <c r="D572">
        <v>0.69399999999999995</v>
      </c>
      <c r="E572">
        <v>2772421.05</v>
      </c>
      <c r="F572">
        <v>0</v>
      </c>
      <c r="G572">
        <v>2772421.05</v>
      </c>
      <c r="H572">
        <v>24980.51</v>
      </c>
      <c r="I572">
        <v>154227.74</v>
      </c>
      <c r="J572">
        <v>0.81599999999999995</v>
      </c>
      <c r="K572">
        <v>46589.49</v>
      </c>
      <c r="L572">
        <v>0</v>
      </c>
      <c r="M572">
        <v>14391.86</v>
      </c>
      <c r="N572">
        <v>2023</v>
      </c>
      <c r="O572">
        <v>8</v>
      </c>
    </row>
    <row r="573" spans="1:15" x14ac:dyDescent="0.3">
      <c r="A573">
        <v>37700</v>
      </c>
      <c r="B573">
        <v>3202207</v>
      </c>
      <c r="C573" t="s">
        <v>40</v>
      </c>
      <c r="D573">
        <v>0.28599999999999998</v>
      </c>
      <c r="E573">
        <v>1142525.0900000001</v>
      </c>
      <c r="F573">
        <v>0</v>
      </c>
      <c r="G573">
        <v>1142525.0900000001</v>
      </c>
      <c r="H573">
        <v>10294.56</v>
      </c>
      <c r="I573">
        <v>146065.51999999999</v>
      </c>
      <c r="J573">
        <v>0.73399999999999999</v>
      </c>
      <c r="K573">
        <v>19199.7</v>
      </c>
      <c r="L573">
        <v>0</v>
      </c>
      <c r="M573">
        <v>5930.94</v>
      </c>
      <c r="N573">
        <v>2023</v>
      </c>
      <c r="O573">
        <v>8</v>
      </c>
    </row>
    <row r="574" spans="1:15" x14ac:dyDescent="0.3">
      <c r="A574">
        <v>37701</v>
      </c>
      <c r="B574">
        <v>3202256</v>
      </c>
      <c r="C574" t="s">
        <v>41</v>
      </c>
      <c r="D574">
        <v>0.438</v>
      </c>
      <c r="E574">
        <v>1749741.23</v>
      </c>
      <c r="F574">
        <v>0</v>
      </c>
      <c r="G574">
        <v>1749741.23</v>
      </c>
      <c r="H574">
        <v>15765.8</v>
      </c>
      <c r="I574">
        <v>109362.43</v>
      </c>
      <c r="J574">
        <v>0.46700000000000003</v>
      </c>
      <c r="K574">
        <v>29403.74</v>
      </c>
      <c r="L574">
        <v>0</v>
      </c>
      <c r="M574">
        <v>9083.0499999999993</v>
      </c>
      <c r="N574">
        <v>2023</v>
      </c>
      <c r="O574">
        <v>8</v>
      </c>
    </row>
    <row r="575" spans="1:15" x14ac:dyDescent="0.3">
      <c r="A575">
        <v>37702</v>
      </c>
      <c r="B575">
        <v>3202306</v>
      </c>
      <c r="C575" t="s">
        <v>42</v>
      </c>
      <c r="D575">
        <v>0.35899999999999999</v>
      </c>
      <c r="E575">
        <v>1434148.62</v>
      </c>
      <c r="F575">
        <v>0</v>
      </c>
      <c r="G575">
        <v>1434148.62</v>
      </c>
      <c r="H575">
        <v>12922.2</v>
      </c>
      <c r="I575">
        <v>269960.28000000003</v>
      </c>
      <c r="J575">
        <v>0.998</v>
      </c>
      <c r="K575">
        <v>24100.33</v>
      </c>
      <c r="L575">
        <v>0</v>
      </c>
      <c r="M575">
        <v>7444.78</v>
      </c>
      <c r="N575">
        <v>2023</v>
      </c>
      <c r="O575">
        <v>8</v>
      </c>
    </row>
    <row r="576" spans="1:15" x14ac:dyDescent="0.3">
      <c r="A576">
        <v>37703</v>
      </c>
      <c r="B576">
        <v>3202405</v>
      </c>
      <c r="C576" t="s">
        <v>43</v>
      </c>
      <c r="D576">
        <v>0.81200000000000006</v>
      </c>
      <c r="E576">
        <v>3243812.53</v>
      </c>
      <c r="F576">
        <v>0</v>
      </c>
      <c r="G576">
        <v>3243812.53</v>
      </c>
      <c r="H576">
        <v>29227.919999999998</v>
      </c>
      <c r="I576">
        <v>1883133.01</v>
      </c>
      <c r="J576">
        <v>2.8730000000000002</v>
      </c>
      <c r="K576">
        <v>54511.05</v>
      </c>
      <c r="L576">
        <v>0</v>
      </c>
      <c r="M576">
        <v>16838.89</v>
      </c>
      <c r="N576">
        <v>2023</v>
      </c>
      <c r="O576">
        <v>8</v>
      </c>
    </row>
    <row r="577" spans="1:15" x14ac:dyDescent="0.3">
      <c r="A577">
        <v>37704</v>
      </c>
      <c r="B577">
        <v>3202454</v>
      </c>
      <c r="C577" t="s">
        <v>44</v>
      </c>
      <c r="D577">
        <v>0.372</v>
      </c>
      <c r="E577">
        <v>1486081.62</v>
      </c>
      <c r="F577">
        <v>0</v>
      </c>
      <c r="G577">
        <v>1486081.62</v>
      </c>
      <c r="H577">
        <v>13390.13</v>
      </c>
      <c r="I577">
        <v>279197.15999999997</v>
      </c>
      <c r="J577">
        <v>0.86499999999999999</v>
      </c>
      <c r="K577">
        <v>24973.040000000001</v>
      </c>
      <c r="L577">
        <v>0</v>
      </c>
      <c r="M577">
        <v>7714.37</v>
      </c>
      <c r="N577">
        <v>2023</v>
      </c>
      <c r="O577">
        <v>8</v>
      </c>
    </row>
    <row r="578" spans="1:15" x14ac:dyDescent="0.3">
      <c r="A578">
        <v>37705</v>
      </c>
      <c r="B578">
        <v>3202504</v>
      </c>
      <c r="C578" t="s">
        <v>45</v>
      </c>
      <c r="D578">
        <v>0.23100000000000001</v>
      </c>
      <c r="E578">
        <v>922808.75</v>
      </c>
      <c r="F578">
        <v>0</v>
      </c>
      <c r="G578">
        <v>922808.75</v>
      </c>
      <c r="H578">
        <v>8314.84</v>
      </c>
      <c r="I578">
        <v>128999.8</v>
      </c>
      <c r="J578">
        <v>0.46300000000000002</v>
      </c>
      <c r="K578">
        <v>15507.45</v>
      </c>
      <c r="L578">
        <v>0</v>
      </c>
      <c r="M578">
        <v>4790.37</v>
      </c>
      <c r="N578">
        <v>2023</v>
      </c>
      <c r="O578">
        <v>8</v>
      </c>
    </row>
    <row r="579" spans="1:15" x14ac:dyDescent="0.3">
      <c r="A579">
        <v>37706</v>
      </c>
      <c r="B579">
        <v>3202553</v>
      </c>
      <c r="C579" t="s">
        <v>46</v>
      </c>
      <c r="D579">
        <v>0.24299999999999999</v>
      </c>
      <c r="E579">
        <v>970746.85</v>
      </c>
      <c r="F579">
        <v>0</v>
      </c>
      <c r="G579">
        <v>970746.85</v>
      </c>
      <c r="H579">
        <v>8746.7800000000007</v>
      </c>
      <c r="I579">
        <v>58907.09</v>
      </c>
      <c r="J579">
        <v>0.33800000000000002</v>
      </c>
      <c r="K579">
        <v>16313.03</v>
      </c>
      <c r="L579">
        <v>0</v>
      </c>
      <c r="M579">
        <v>5039.2299999999996</v>
      </c>
      <c r="N579">
        <v>2023</v>
      </c>
      <c r="O579">
        <v>8</v>
      </c>
    </row>
    <row r="580" spans="1:15" x14ac:dyDescent="0.3">
      <c r="A580">
        <v>37707</v>
      </c>
      <c r="B580">
        <v>3202603</v>
      </c>
      <c r="C580" t="s">
        <v>47</v>
      </c>
      <c r="D580">
        <v>0.315</v>
      </c>
      <c r="E580">
        <v>1258375.55</v>
      </c>
      <c r="F580">
        <v>0</v>
      </c>
      <c r="G580">
        <v>1258375.55</v>
      </c>
      <c r="H580">
        <v>11338.42</v>
      </c>
      <c r="I580">
        <v>183975.72</v>
      </c>
      <c r="J580">
        <v>0.55600000000000005</v>
      </c>
      <c r="K580">
        <v>21146.53</v>
      </c>
      <c r="L580">
        <v>0</v>
      </c>
      <c r="M580">
        <v>6532.33</v>
      </c>
      <c r="N580">
        <v>2023</v>
      </c>
      <c r="O580">
        <v>8</v>
      </c>
    </row>
    <row r="581" spans="1:15" x14ac:dyDescent="0.3">
      <c r="A581">
        <v>37708</v>
      </c>
      <c r="B581">
        <v>3202652</v>
      </c>
      <c r="C581" t="s">
        <v>48</v>
      </c>
      <c r="D581">
        <v>0.29899999999999999</v>
      </c>
      <c r="E581">
        <v>1194458.07</v>
      </c>
      <c r="F581">
        <v>0</v>
      </c>
      <c r="G581">
        <v>1194458.07</v>
      </c>
      <c r="H581">
        <v>10762.5</v>
      </c>
      <c r="I581">
        <v>128300.9</v>
      </c>
      <c r="J581">
        <v>0.55100000000000005</v>
      </c>
      <c r="K581">
        <v>20072.41</v>
      </c>
      <c r="L581">
        <v>0</v>
      </c>
      <c r="M581">
        <v>6200.53</v>
      </c>
      <c r="N581">
        <v>2023</v>
      </c>
      <c r="O581">
        <v>8</v>
      </c>
    </row>
    <row r="582" spans="1:15" x14ac:dyDescent="0.3">
      <c r="A582">
        <v>37709</v>
      </c>
      <c r="B582">
        <v>3202702</v>
      </c>
      <c r="C582" t="s">
        <v>49</v>
      </c>
      <c r="D582">
        <v>0.31900000000000001</v>
      </c>
      <c r="E582">
        <v>1274354.93</v>
      </c>
      <c r="F582">
        <v>0</v>
      </c>
      <c r="G582">
        <v>1274354.93</v>
      </c>
      <c r="H582">
        <v>11482.4</v>
      </c>
      <c r="I582">
        <v>100039.29</v>
      </c>
      <c r="J582">
        <v>0.55500000000000005</v>
      </c>
      <c r="K582">
        <v>21415.05</v>
      </c>
      <c r="L582">
        <v>0</v>
      </c>
      <c r="M582">
        <v>6615.28</v>
      </c>
      <c r="N582">
        <v>2023</v>
      </c>
      <c r="O582">
        <v>8</v>
      </c>
    </row>
    <row r="583" spans="1:15" x14ac:dyDescent="0.3">
      <c r="A583">
        <v>37710</v>
      </c>
      <c r="B583">
        <v>3202801</v>
      </c>
      <c r="C583" t="s">
        <v>50</v>
      </c>
      <c r="D583">
        <v>2.4550000000000001</v>
      </c>
      <c r="E583">
        <v>9807339.6400000006</v>
      </c>
      <c r="F583">
        <v>0</v>
      </c>
      <c r="G583">
        <v>9807339.6400000006</v>
      </c>
      <c r="H583">
        <v>88367.67</v>
      </c>
      <c r="I583">
        <v>286572.51</v>
      </c>
      <c r="J583">
        <v>1.0409999999999999</v>
      </c>
      <c r="K583">
        <v>164808.63</v>
      </c>
      <c r="L583">
        <v>0</v>
      </c>
      <c r="M583">
        <v>50910.69</v>
      </c>
      <c r="N583">
        <v>2023</v>
      </c>
      <c r="O583">
        <v>8</v>
      </c>
    </row>
    <row r="584" spans="1:15" x14ac:dyDescent="0.3">
      <c r="A584">
        <v>37711</v>
      </c>
      <c r="B584">
        <v>3202900</v>
      </c>
      <c r="C584" t="s">
        <v>51</v>
      </c>
      <c r="D584">
        <v>0.34799999999999998</v>
      </c>
      <c r="E584">
        <v>1390205.39</v>
      </c>
      <c r="F584">
        <v>0</v>
      </c>
      <c r="G584">
        <v>1390205.39</v>
      </c>
      <c r="H584">
        <v>12526.25</v>
      </c>
      <c r="I584">
        <v>131658.82999999999</v>
      </c>
      <c r="J584">
        <v>0.435</v>
      </c>
      <c r="K584">
        <v>23361.88</v>
      </c>
      <c r="L584">
        <v>0</v>
      </c>
      <c r="M584">
        <v>7216.67</v>
      </c>
      <c r="N584">
        <v>2023</v>
      </c>
      <c r="O584">
        <v>8</v>
      </c>
    </row>
    <row r="585" spans="1:15" x14ac:dyDescent="0.3">
      <c r="A585">
        <v>37712</v>
      </c>
      <c r="B585">
        <v>3203007</v>
      </c>
      <c r="C585" t="s">
        <v>52</v>
      </c>
      <c r="D585">
        <v>0.496</v>
      </c>
      <c r="E585">
        <v>1981442.15</v>
      </c>
      <c r="F585">
        <v>0</v>
      </c>
      <c r="G585">
        <v>1981442.15</v>
      </c>
      <c r="H585">
        <v>17853.509999999998</v>
      </c>
      <c r="I585">
        <v>271266.24</v>
      </c>
      <c r="J585">
        <v>0.89700000000000002</v>
      </c>
      <c r="K585">
        <v>33297.39</v>
      </c>
      <c r="L585">
        <v>0</v>
      </c>
      <c r="M585">
        <v>10285.83</v>
      </c>
      <c r="N585">
        <v>2023</v>
      </c>
      <c r="O585">
        <v>8</v>
      </c>
    </row>
    <row r="586" spans="1:15" x14ac:dyDescent="0.3">
      <c r="A586">
        <v>37713</v>
      </c>
      <c r="B586">
        <v>3203056</v>
      </c>
      <c r="C586" t="s">
        <v>53</v>
      </c>
      <c r="D586">
        <v>0.871</v>
      </c>
      <c r="E586">
        <v>3479508.3</v>
      </c>
      <c r="F586">
        <v>0</v>
      </c>
      <c r="G586">
        <v>3479508.3</v>
      </c>
      <c r="H586">
        <v>31351.62</v>
      </c>
      <c r="I586">
        <v>292389.03999999998</v>
      </c>
      <c r="J586">
        <v>1</v>
      </c>
      <c r="K586">
        <v>58471.82</v>
      </c>
      <c r="L586">
        <v>0</v>
      </c>
      <c r="M586">
        <v>18062.41</v>
      </c>
      <c r="N586">
        <v>2023</v>
      </c>
      <c r="O586">
        <v>8</v>
      </c>
    </row>
    <row r="587" spans="1:15" x14ac:dyDescent="0.3">
      <c r="A587">
        <v>37714</v>
      </c>
      <c r="B587">
        <v>3203106</v>
      </c>
      <c r="C587" t="s">
        <v>54</v>
      </c>
      <c r="D587">
        <v>0.21</v>
      </c>
      <c r="E587">
        <v>838917.02</v>
      </c>
      <c r="F587">
        <v>0</v>
      </c>
      <c r="G587">
        <v>838917.02</v>
      </c>
      <c r="H587">
        <v>7558.94</v>
      </c>
      <c r="I587">
        <v>69853.67</v>
      </c>
      <c r="J587">
        <v>0.45800000000000002</v>
      </c>
      <c r="K587">
        <v>14097.68</v>
      </c>
      <c r="L587">
        <v>0</v>
      </c>
      <c r="M587">
        <v>4354.8900000000003</v>
      </c>
      <c r="N587">
        <v>2023</v>
      </c>
      <c r="O587">
        <v>8</v>
      </c>
    </row>
    <row r="588" spans="1:15" x14ac:dyDescent="0.3">
      <c r="A588">
        <v>37715</v>
      </c>
      <c r="B588">
        <v>3203130</v>
      </c>
      <c r="C588" t="s">
        <v>55</v>
      </c>
      <c r="D588">
        <v>0.36199999999999999</v>
      </c>
      <c r="E588">
        <v>1446133.18</v>
      </c>
      <c r="F588">
        <v>0</v>
      </c>
      <c r="G588">
        <v>1446133.18</v>
      </c>
      <c r="H588">
        <v>13030.18</v>
      </c>
      <c r="I588">
        <v>147477.56</v>
      </c>
      <c r="J588">
        <v>0.66600000000000004</v>
      </c>
      <c r="K588">
        <v>24301.72</v>
      </c>
      <c r="L588">
        <v>0</v>
      </c>
      <c r="M588">
        <v>7506.99</v>
      </c>
      <c r="N588">
        <v>2023</v>
      </c>
      <c r="O588">
        <v>8</v>
      </c>
    </row>
    <row r="589" spans="1:15" x14ac:dyDescent="0.3">
      <c r="A589">
        <v>37716</v>
      </c>
      <c r="B589">
        <v>3203163</v>
      </c>
      <c r="C589" t="s">
        <v>56</v>
      </c>
      <c r="D589">
        <v>0.373</v>
      </c>
      <c r="E589">
        <v>1490076.45</v>
      </c>
      <c r="F589">
        <v>0</v>
      </c>
      <c r="G589">
        <v>1490076.45</v>
      </c>
      <c r="H589">
        <v>13426.13</v>
      </c>
      <c r="I589">
        <v>63312.04</v>
      </c>
      <c r="J589">
        <v>0.441</v>
      </c>
      <c r="K589">
        <v>25040.17</v>
      </c>
      <c r="L589">
        <v>0</v>
      </c>
      <c r="M589">
        <v>7735.11</v>
      </c>
      <c r="N589">
        <v>2023</v>
      </c>
      <c r="O589">
        <v>8</v>
      </c>
    </row>
    <row r="590" spans="1:15" x14ac:dyDescent="0.3">
      <c r="A590">
        <v>37717</v>
      </c>
      <c r="B590">
        <v>3203205</v>
      </c>
      <c r="C590" t="s">
        <v>57</v>
      </c>
      <c r="D590">
        <v>4.9790000000000001</v>
      </c>
      <c r="E590">
        <v>19890323.43</v>
      </c>
      <c r="F590">
        <v>0</v>
      </c>
      <c r="G590">
        <v>19890323.43</v>
      </c>
      <c r="H590">
        <v>179218.99</v>
      </c>
      <c r="I590">
        <v>1894179.74</v>
      </c>
      <c r="J590">
        <v>4.0880000000000001</v>
      </c>
      <c r="K590">
        <v>334249.37</v>
      </c>
      <c r="L590">
        <v>0</v>
      </c>
      <c r="M590">
        <v>103252.28</v>
      </c>
      <c r="N590">
        <v>2023</v>
      </c>
      <c r="O590">
        <v>8</v>
      </c>
    </row>
    <row r="591" spans="1:15" x14ac:dyDescent="0.3">
      <c r="A591">
        <v>37718</v>
      </c>
      <c r="B591">
        <v>3203304</v>
      </c>
      <c r="C591" t="s">
        <v>58</v>
      </c>
      <c r="D591">
        <v>0.27600000000000002</v>
      </c>
      <c r="E591">
        <v>1102576.68</v>
      </c>
      <c r="F591">
        <v>0</v>
      </c>
      <c r="G591">
        <v>1102576.68</v>
      </c>
      <c r="H591">
        <v>9934.61</v>
      </c>
      <c r="I591">
        <v>121984.89</v>
      </c>
      <c r="J591">
        <v>0.57599999999999996</v>
      </c>
      <c r="K591">
        <v>18528.38</v>
      </c>
      <c r="L591">
        <v>0</v>
      </c>
      <c r="M591">
        <v>5723.56</v>
      </c>
      <c r="N591">
        <v>2023</v>
      </c>
      <c r="O591">
        <v>8</v>
      </c>
    </row>
    <row r="592" spans="1:15" x14ac:dyDescent="0.3">
      <c r="A592">
        <v>37719</v>
      </c>
      <c r="B592">
        <v>3203320</v>
      </c>
      <c r="C592" t="s">
        <v>59</v>
      </c>
      <c r="D592">
        <v>0.65800000000000003</v>
      </c>
      <c r="E592">
        <v>2628606.7000000002</v>
      </c>
      <c r="F592">
        <v>0</v>
      </c>
      <c r="G592">
        <v>2628606.7000000002</v>
      </c>
      <c r="H592">
        <v>23684.69</v>
      </c>
      <c r="I592">
        <v>428635.68</v>
      </c>
      <c r="J592">
        <v>1.171</v>
      </c>
      <c r="K592">
        <v>44172.74</v>
      </c>
      <c r="L592">
        <v>0</v>
      </c>
      <c r="M592">
        <v>13645.31</v>
      </c>
      <c r="N592">
        <v>2023</v>
      </c>
      <c r="O592">
        <v>8</v>
      </c>
    </row>
    <row r="593" spans="1:15" x14ac:dyDescent="0.3">
      <c r="A593">
        <v>37720</v>
      </c>
      <c r="B593">
        <v>3203346</v>
      </c>
      <c r="C593" t="s">
        <v>60</v>
      </c>
      <c r="D593">
        <v>0.61099999999999999</v>
      </c>
      <c r="E593">
        <v>2440849.09</v>
      </c>
      <c r="F593">
        <v>0</v>
      </c>
      <c r="G593">
        <v>2440849.09</v>
      </c>
      <c r="H593">
        <v>21992.93</v>
      </c>
      <c r="I593">
        <v>185387.99</v>
      </c>
      <c r="J593">
        <v>0.67100000000000004</v>
      </c>
      <c r="K593">
        <v>41017.550000000003</v>
      </c>
      <c r="L593">
        <v>0</v>
      </c>
      <c r="M593">
        <v>12670.65</v>
      </c>
      <c r="N593">
        <v>2023</v>
      </c>
      <c r="O593">
        <v>8</v>
      </c>
    </row>
    <row r="594" spans="1:15" x14ac:dyDescent="0.3">
      <c r="A594">
        <v>37721</v>
      </c>
      <c r="B594">
        <v>3203353</v>
      </c>
      <c r="C594" t="s">
        <v>61</v>
      </c>
      <c r="D594">
        <v>0.436</v>
      </c>
      <c r="E594">
        <v>1741751.54</v>
      </c>
      <c r="F594">
        <v>0</v>
      </c>
      <c r="G594">
        <v>1741751.54</v>
      </c>
      <c r="H594">
        <v>15693.81</v>
      </c>
      <c r="I594">
        <v>103290.3</v>
      </c>
      <c r="J594">
        <v>0.46700000000000003</v>
      </c>
      <c r="K594">
        <v>29269.47</v>
      </c>
      <c r="L594">
        <v>0</v>
      </c>
      <c r="M594">
        <v>9041.57</v>
      </c>
      <c r="N594">
        <v>2023</v>
      </c>
      <c r="O594">
        <v>8</v>
      </c>
    </row>
    <row r="595" spans="1:15" x14ac:dyDescent="0.3">
      <c r="A595">
        <v>37722</v>
      </c>
      <c r="B595">
        <v>3203403</v>
      </c>
      <c r="C595" t="s">
        <v>62</v>
      </c>
      <c r="D595">
        <v>0.495</v>
      </c>
      <c r="E595">
        <v>1977447.33</v>
      </c>
      <c r="F595">
        <v>0</v>
      </c>
      <c r="G595">
        <v>1977447.33</v>
      </c>
      <c r="H595">
        <v>17817.509999999998</v>
      </c>
      <c r="I595">
        <v>171543.35</v>
      </c>
      <c r="J595">
        <v>0.85599999999999998</v>
      </c>
      <c r="K595">
        <v>33230.26</v>
      </c>
      <c r="L595">
        <v>0</v>
      </c>
      <c r="M595">
        <v>10265.09</v>
      </c>
      <c r="N595">
        <v>2023</v>
      </c>
      <c r="O595">
        <v>8</v>
      </c>
    </row>
    <row r="596" spans="1:15" x14ac:dyDescent="0.3">
      <c r="A596">
        <v>37723</v>
      </c>
      <c r="B596">
        <v>3203502</v>
      </c>
      <c r="C596" t="s">
        <v>63</v>
      </c>
      <c r="D596">
        <v>0.52100000000000002</v>
      </c>
      <c r="E596">
        <v>2081313.22</v>
      </c>
      <c r="F596">
        <v>0</v>
      </c>
      <c r="G596">
        <v>2081313.22</v>
      </c>
      <c r="H596">
        <v>18753.38</v>
      </c>
      <c r="I596">
        <v>149572.74</v>
      </c>
      <c r="J596">
        <v>0.69299999999999995</v>
      </c>
      <c r="K596">
        <v>34975.68</v>
      </c>
      <c r="L596">
        <v>0</v>
      </c>
      <c r="M596">
        <v>10804.27</v>
      </c>
      <c r="N596">
        <v>2023</v>
      </c>
      <c r="O596">
        <v>8</v>
      </c>
    </row>
    <row r="597" spans="1:15" x14ac:dyDescent="0.3">
      <c r="A597">
        <v>37724</v>
      </c>
      <c r="B597">
        <v>3203601</v>
      </c>
      <c r="C597" t="s">
        <v>64</v>
      </c>
      <c r="D597">
        <v>0.28299999999999997</v>
      </c>
      <c r="E597">
        <v>1130540.5900000001</v>
      </c>
      <c r="F597">
        <v>0</v>
      </c>
      <c r="G597">
        <v>1130540.5900000001</v>
      </c>
      <c r="H597">
        <v>10186.58</v>
      </c>
      <c r="I597">
        <v>48070.5</v>
      </c>
      <c r="J597">
        <v>0.29799999999999999</v>
      </c>
      <c r="K597">
        <v>18998.310000000001</v>
      </c>
      <c r="L597">
        <v>0</v>
      </c>
      <c r="M597">
        <v>5868.73</v>
      </c>
      <c r="N597">
        <v>2023</v>
      </c>
      <c r="O597">
        <v>8</v>
      </c>
    </row>
    <row r="598" spans="1:15" x14ac:dyDescent="0.3">
      <c r="A598">
        <v>37725</v>
      </c>
      <c r="B598">
        <v>3203700</v>
      </c>
      <c r="C598" t="s">
        <v>65</v>
      </c>
      <c r="D598">
        <v>0.54600000000000004</v>
      </c>
      <c r="E598">
        <v>2181184.31</v>
      </c>
      <c r="F598">
        <v>0</v>
      </c>
      <c r="G598">
        <v>2181184.31</v>
      </c>
      <c r="H598">
        <v>19653.259999999998</v>
      </c>
      <c r="I598">
        <v>106194.07</v>
      </c>
      <c r="J598">
        <v>0.67100000000000004</v>
      </c>
      <c r="K598">
        <v>36653.980000000003</v>
      </c>
      <c r="L598">
        <v>0</v>
      </c>
      <c r="M598">
        <v>11322.7</v>
      </c>
      <c r="N598">
        <v>2023</v>
      </c>
      <c r="O598">
        <v>8</v>
      </c>
    </row>
    <row r="599" spans="1:15" x14ac:dyDescent="0.3">
      <c r="A599">
        <v>37726</v>
      </c>
      <c r="B599">
        <v>3203809</v>
      </c>
      <c r="C599" t="s">
        <v>66</v>
      </c>
      <c r="D599">
        <v>0.28100000000000003</v>
      </c>
      <c r="E599">
        <v>1122550.8999999999</v>
      </c>
      <c r="F599">
        <v>0</v>
      </c>
      <c r="G599">
        <v>1122550.8999999999</v>
      </c>
      <c r="H599">
        <v>10114.59</v>
      </c>
      <c r="I599">
        <v>79213.7</v>
      </c>
      <c r="J599">
        <v>0.57499999999999996</v>
      </c>
      <c r="K599">
        <v>18864.05</v>
      </c>
      <c r="L599">
        <v>0</v>
      </c>
      <c r="M599">
        <v>5827.25</v>
      </c>
      <c r="N599">
        <v>2023</v>
      </c>
      <c r="O599">
        <v>8</v>
      </c>
    </row>
    <row r="600" spans="1:15" x14ac:dyDescent="0.3">
      <c r="A600">
        <v>37727</v>
      </c>
      <c r="B600">
        <v>3203908</v>
      </c>
      <c r="C600" t="s">
        <v>67</v>
      </c>
      <c r="D600">
        <v>1.3109999999999999</v>
      </c>
      <c r="E600">
        <v>5237239.21</v>
      </c>
      <c r="F600">
        <v>0</v>
      </c>
      <c r="G600">
        <v>5237239.21</v>
      </c>
      <c r="H600">
        <v>47189.41</v>
      </c>
      <c r="I600">
        <v>565716.77</v>
      </c>
      <c r="J600">
        <v>1.4650000000000001</v>
      </c>
      <c r="K600">
        <v>88009.82</v>
      </c>
      <c r="L600">
        <v>0</v>
      </c>
      <c r="M600">
        <v>27186.93</v>
      </c>
      <c r="N600">
        <v>2023</v>
      </c>
      <c r="O600">
        <v>8</v>
      </c>
    </row>
    <row r="601" spans="1:15" x14ac:dyDescent="0.3">
      <c r="A601">
        <v>37728</v>
      </c>
      <c r="B601">
        <v>3204005</v>
      </c>
      <c r="C601" t="s">
        <v>68</v>
      </c>
      <c r="D601">
        <v>0.436</v>
      </c>
      <c r="E601">
        <v>1741751.54</v>
      </c>
      <c r="F601">
        <v>0</v>
      </c>
      <c r="G601">
        <v>1741751.54</v>
      </c>
      <c r="H601">
        <v>15693.81</v>
      </c>
      <c r="I601">
        <v>116037.08</v>
      </c>
      <c r="J601">
        <v>0.747</v>
      </c>
      <c r="K601">
        <v>29269.47</v>
      </c>
      <c r="L601">
        <v>0</v>
      </c>
      <c r="M601">
        <v>9041.57</v>
      </c>
      <c r="N601">
        <v>2023</v>
      </c>
      <c r="O601">
        <v>8</v>
      </c>
    </row>
    <row r="602" spans="1:15" x14ac:dyDescent="0.3">
      <c r="A602">
        <v>37729</v>
      </c>
      <c r="B602">
        <v>3204054</v>
      </c>
      <c r="C602" t="s">
        <v>69</v>
      </c>
      <c r="D602">
        <v>0.307</v>
      </c>
      <c r="E602">
        <v>1226416.78</v>
      </c>
      <c r="F602">
        <v>0</v>
      </c>
      <c r="G602">
        <v>1226416.78</v>
      </c>
      <c r="H602">
        <v>11050.46</v>
      </c>
      <c r="I602">
        <v>218102.5</v>
      </c>
      <c r="J602">
        <v>0.86199999999999999</v>
      </c>
      <c r="K602">
        <v>20609.47</v>
      </c>
      <c r="L602">
        <v>0</v>
      </c>
      <c r="M602">
        <v>6366.43</v>
      </c>
      <c r="N602">
        <v>2023</v>
      </c>
      <c r="O602">
        <v>8</v>
      </c>
    </row>
    <row r="603" spans="1:15" x14ac:dyDescent="0.3">
      <c r="A603">
        <v>37730</v>
      </c>
      <c r="B603">
        <v>3204104</v>
      </c>
      <c r="C603" t="s">
        <v>70</v>
      </c>
      <c r="D603">
        <v>0.73199999999999998</v>
      </c>
      <c r="E603">
        <v>2924225.08</v>
      </c>
      <c r="F603">
        <v>0</v>
      </c>
      <c r="G603">
        <v>2924225.08</v>
      </c>
      <c r="H603">
        <v>26348.32</v>
      </c>
      <c r="I603">
        <v>174896.3</v>
      </c>
      <c r="J603">
        <v>0.875</v>
      </c>
      <c r="K603">
        <v>49140.49</v>
      </c>
      <c r="L603">
        <v>0</v>
      </c>
      <c r="M603">
        <v>15179.89</v>
      </c>
      <c r="N603">
        <v>2023</v>
      </c>
      <c r="O603">
        <v>8</v>
      </c>
    </row>
    <row r="604" spans="1:15" x14ac:dyDescent="0.3">
      <c r="A604">
        <v>37731</v>
      </c>
      <c r="B604">
        <v>3204203</v>
      </c>
      <c r="C604" t="s">
        <v>71</v>
      </c>
      <c r="D604">
        <v>0.14199999999999999</v>
      </c>
      <c r="E604">
        <v>567267.73</v>
      </c>
      <c r="F604">
        <v>0</v>
      </c>
      <c r="G604">
        <v>567267.73</v>
      </c>
      <c r="H604">
        <v>5111.29</v>
      </c>
      <c r="I604">
        <v>259846.98</v>
      </c>
      <c r="J604">
        <v>0.73399999999999999</v>
      </c>
      <c r="K604">
        <v>9532.7199999999993</v>
      </c>
      <c r="L604">
        <v>0</v>
      </c>
      <c r="M604">
        <v>2944.73</v>
      </c>
      <c r="N604">
        <v>2023</v>
      </c>
      <c r="O604">
        <v>8</v>
      </c>
    </row>
    <row r="605" spans="1:15" x14ac:dyDescent="0.3">
      <c r="A605">
        <v>37732</v>
      </c>
      <c r="B605">
        <v>3204252</v>
      </c>
      <c r="C605" t="s">
        <v>72</v>
      </c>
      <c r="D605">
        <v>0.20899999999999999</v>
      </c>
      <c r="E605">
        <v>834922.21</v>
      </c>
      <c r="F605">
        <v>0</v>
      </c>
      <c r="G605">
        <v>834922.21</v>
      </c>
      <c r="H605">
        <v>7522.95</v>
      </c>
      <c r="I605">
        <v>45070.87</v>
      </c>
      <c r="J605">
        <v>0.32900000000000001</v>
      </c>
      <c r="K605">
        <v>14030.55</v>
      </c>
      <c r="L605">
        <v>0</v>
      </c>
      <c r="M605">
        <v>4334.1499999999996</v>
      </c>
      <c r="N605">
        <v>2023</v>
      </c>
      <c r="O605">
        <v>8</v>
      </c>
    </row>
    <row r="606" spans="1:15" x14ac:dyDescent="0.3">
      <c r="A606">
        <v>37733</v>
      </c>
      <c r="B606">
        <v>1718402</v>
      </c>
      <c r="C606" t="s">
        <v>73</v>
      </c>
      <c r="D606">
        <v>0.32</v>
      </c>
      <c r="E606">
        <v>1278349.75</v>
      </c>
      <c r="F606">
        <v>0</v>
      </c>
      <c r="G606">
        <v>1278349.75</v>
      </c>
      <c r="H606">
        <v>11518.39</v>
      </c>
      <c r="I606">
        <v>184754.8</v>
      </c>
      <c r="J606">
        <v>0.45100000000000001</v>
      </c>
      <c r="K606">
        <v>21482.18</v>
      </c>
      <c r="L606">
        <v>0</v>
      </c>
      <c r="M606">
        <v>6636.02</v>
      </c>
      <c r="N606">
        <v>2023</v>
      </c>
      <c r="O606">
        <v>8</v>
      </c>
    </row>
    <row r="607" spans="1:15" x14ac:dyDescent="0.3">
      <c r="A607">
        <v>37734</v>
      </c>
      <c r="B607">
        <v>3204351</v>
      </c>
      <c r="C607" t="s">
        <v>74</v>
      </c>
      <c r="D607">
        <v>0.85399999999999998</v>
      </c>
      <c r="E607">
        <v>3411595.95</v>
      </c>
      <c r="F607">
        <v>0</v>
      </c>
      <c r="G607">
        <v>3411595.95</v>
      </c>
      <c r="H607">
        <v>30739.71</v>
      </c>
      <c r="I607">
        <v>198880.31</v>
      </c>
      <c r="J607">
        <v>0.69799999999999995</v>
      </c>
      <c r="K607">
        <v>57330.58</v>
      </c>
      <c r="L607">
        <v>0</v>
      </c>
      <c r="M607">
        <v>17709.87</v>
      </c>
      <c r="N607">
        <v>2023</v>
      </c>
      <c r="O607">
        <v>8</v>
      </c>
    </row>
    <row r="608" spans="1:15" x14ac:dyDescent="0.3">
      <c r="A608">
        <v>37735</v>
      </c>
      <c r="B608">
        <v>3204401</v>
      </c>
      <c r="C608" t="s">
        <v>75</v>
      </c>
      <c r="D608">
        <v>0.25</v>
      </c>
      <c r="E608">
        <v>998710.74</v>
      </c>
      <c r="F608">
        <v>0</v>
      </c>
      <c r="G608">
        <v>998710.74</v>
      </c>
      <c r="H608">
        <v>8998.74</v>
      </c>
      <c r="I608">
        <v>91476.73</v>
      </c>
      <c r="J608">
        <v>0.45</v>
      </c>
      <c r="K608">
        <v>16782.96</v>
      </c>
      <c r="L608">
        <v>0</v>
      </c>
      <c r="M608">
        <v>5184.3900000000003</v>
      </c>
      <c r="N608">
        <v>2023</v>
      </c>
      <c r="O608">
        <v>8</v>
      </c>
    </row>
    <row r="609" spans="1:15" x14ac:dyDescent="0.3">
      <c r="A609">
        <v>37736</v>
      </c>
      <c r="B609">
        <v>3204500</v>
      </c>
      <c r="C609" t="s">
        <v>76</v>
      </c>
      <c r="D609">
        <v>0.54500000000000004</v>
      </c>
      <c r="E609">
        <v>2177189.4500000002</v>
      </c>
      <c r="F609">
        <v>0</v>
      </c>
      <c r="G609">
        <v>2177189.4500000002</v>
      </c>
      <c r="H609">
        <v>19617.259999999998</v>
      </c>
      <c r="I609">
        <v>68680.350000000006</v>
      </c>
      <c r="J609">
        <v>0.45600000000000002</v>
      </c>
      <c r="K609">
        <v>36586.85</v>
      </c>
      <c r="L609">
        <v>0</v>
      </c>
      <c r="M609">
        <v>11301.97</v>
      </c>
      <c r="N609">
        <v>2023</v>
      </c>
      <c r="O609">
        <v>8</v>
      </c>
    </row>
    <row r="610" spans="1:15" x14ac:dyDescent="0.3">
      <c r="A610">
        <v>37737</v>
      </c>
      <c r="B610">
        <v>3204559</v>
      </c>
      <c r="C610" t="s">
        <v>77</v>
      </c>
      <c r="D610">
        <v>2.2349999999999999</v>
      </c>
      <c r="E610">
        <v>8928474.1799999997</v>
      </c>
      <c r="F610">
        <v>0</v>
      </c>
      <c r="G610">
        <v>8928474.1799999997</v>
      </c>
      <c r="H610">
        <v>80448.77</v>
      </c>
      <c r="I610">
        <v>505027.17</v>
      </c>
      <c r="J610">
        <v>1.1990000000000001</v>
      </c>
      <c r="K610">
        <v>150039.64000000001</v>
      </c>
      <c r="L610">
        <v>0</v>
      </c>
      <c r="M610">
        <v>46348.43</v>
      </c>
      <c r="N610">
        <v>2023</v>
      </c>
      <c r="O610">
        <v>8</v>
      </c>
    </row>
    <row r="611" spans="1:15" x14ac:dyDescent="0.3">
      <c r="A611">
        <v>37738</v>
      </c>
      <c r="B611">
        <v>3204609</v>
      </c>
      <c r="C611" t="s">
        <v>78</v>
      </c>
      <c r="D611">
        <v>0.65100000000000002</v>
      </c>
      <c r="E611">
        <v>2600642.8199999998</v>
      </c>
      <c r="F611">
        <v>0</v>
      </c>
      <c r="G611">
        <v>2600642.8199999998</v>
      </c>
      <c r="H611">
        <v>23432.73</v>
      </c>
      <c r="I611">
        <v>270705.36</v>
      </c>
      <c r="J611">
        <v>0.82899999999999996</v>
      </c>
      <c r="K611">
        <v>43702.82</v>
      </c>
      <c r="L611">
        <v>0</v>
      </c>
      <c r="M611">
        <v>13500.15</v>
      </c>
      <c r="N611">
        <v>2023</v>
      </c>
      <c r="O611">
        <v>8</v>
      </c>
    </row>
    <row r="612" spans="1:15" x14ac:dyDescent="0.3">
      <c r="A612">
        <v>37739</v>
      </c>
      <c r="B612">
        <v>3204658</v>
      </c>
      <c r="C612" t="s">
        <v>79</v>
      </c>
      <c r="D612">
        <v>0.42299999999999999</v>
      </c>
      <c r="E612">
        <v>1689818.6</v>
      </c>
      <c r="F612">
        <v>0</v>
      </c>
      <c r="G612">
        <v>1689818.6</v>
      </c>
      <c r="H612">
        <v>15225.87</v>
      </c>
      <c r="I612">
        <v>81600.800000000003</v>
      </c>
      <c r="J612">
        <v>0.33700000000000002</v>
      </c>
      <c r="K612">
        <v>28396.76</v>
      </c>
      <c r="L612">
        <v>0</v>
      </c>
      <c r="M612">
        <v>8771.99</v>
      </c>
      <c r="N612">
        <v>2023</v>
      </c>
      <c r="O612">
        <v>8</v>
      </c>
    </row>
    <row r="613" spans="1:15" x14ac:dyDescent="0.3">
      <c r="A613">
        <v>37740</v>
      </c>
      <c r="B613">
        <v>3204708</v>
      </c>
      <c r="C613" t="s">
        <v>80</v>
      </c>
      <c r="D613">
        <v>0.85199999999999998</v>
      </c>
      <c r="E613">
        <v>3403606.26</v>
      </c>
      <c r="F613">
        <v>0</v>
      </c>
      <c r="G613">
        <v>3403606.26</v>
      </c>
      <c r="H613">
        <v>30667.72</v>
      </c>
      <c r="I613">
        <v>290270.38</v>
      </c>
      <c r="J613">
        <v>1.169</v>
      </c>
      <c r="K613">
        <v>57196.32</v>
      </c>
      <c r="L613">
        <v>0</v>
      </c>
      <c r="M613">
        <v>17668.400000000001</v>
      </c>
      <c r="N613">
        <v>2023</v>
      </c>
      <c r="O613">
        <v>8</v>
      </c>
    </row>
    <row r="614" spans="1:15" x14ac:dyDescent="0.3">
      <c r="A614">
        <v>37741</v>
      </c>
      <c r="B614">
        <v>3204807</v>
      </c>
      <c r="C614" t="s">
        <v>81</v>
      </c>
      <c r="D614">
        <v>0.22600000000000001</v>
      </c>
      <c r="E614">
        <v>902834.53</v>
      </c>
      <c r="F614">
        <v>0</v>
      </c>
      <c r="G614">
        <v>902834.53</v>
      </c>
      <c r="H614">
        <v>8134.86</v>
      </c>
      <c r="I614">
        <v>84766.66</v>
      </c>
      <c r="J614">
        <v>0.436</v>
      </c>
      <c r="K614">
        <v>15171.79</v>
      </c>
      <c r="L614">
        <v>0</v>
      </c>
      <c r="M614">
        <v>4686.6899999999996</v>
      </c>
      <c r="N614">
        <v>2023</v>
      </c>
      <c r="O614">
        <v>8</v>
      </c>
    </row>
    <row r="615" spans="1:15" x14ac:dyDescent="0.3">
      <c r="A615">
        <v>37742</v>
      </c>
      <c r="B615">
        <v>3204906</v>
      </c>
      <c r="C615" t="s">
        <v>82</v>
      </c>
      <c r="D615">
        <v>1.901</v>
      </c>
      <c r="E615">
        <v>7594196.5899999999</v>
      </c>
      <c r="F615">
        <v>0</v>
      </c>
      <c r="G615">
        <v>7594196.5899999999</v>
      </c>
      <c r="H615">
        <v>68426.45</v>
      </c>
      <c r="I615">
        <v>1376468.66</v>
      </c>
      <c r="J615">
        <v>3.0249999999999999</v>
      </c>
      <c r="K615">
        <v>127617.60000000001</v>
      </c>
      <c r="L615">
        <v>0</v>
      </c>
      <c r="M615">
        <v>39422.089999999997</v>
      </c>
      <c r="N615">
        <v>2023</v>
      </c>
      <c r="O615">
        <v>8</v>
      </c>
    </row>
    <row r="616" spans="1:15" x14ac:dyDescent="0.3">
      <c r="A616">
        <v>37743</v>
      </c>
      <c r="B616">
        <v>3204955</v>
      </c>
      <c r="C616" t="s">
        <v>83</v>
      </c>
      <c r="D616">
        <v>0.312</v>
      </c>
      <c r="E616">
        <v>1246391</v>
      </c>
      <c r="F616">
        <v>0</v>
      </c>
      <c r="G616">
        <v>1246391</v>
      </c>
      <c r="H616">
        <v>11230.43</v>
      </c>
      <c r="I616">
        <v>74979.62</v>
      </c>
      <c r="J616">
        <v>0.46100000000000002</v>
      </c>
      <c r="K616">
        <v>20945.13</v>
      </c>
      <c r="L616">
        <v>0</v>
      </c>
      <c r="M616">
        <v>6470.12</v>
      </c>
      <c r="N616">
        <v>2023</v>
      </c>
      <c r="O616">
        <v>8</v>
      </c>
    </row>
    <row r="617" spans="1:15" x14ac:dyDescent="0.3">
      <c r="A617">
        <v>37744</v>
      </c>
      <c r="B617">
        <v>3205002</v>
      </c>
      <c r="C617" t="s">
        <v>84</v>
      </c>
      <c r="D617">
        <v>15.625</v>
      </c>
      <c r="E617">
        <v>62419422.240000002</v>
      </c>
      <c r="F617">
        <v>0</v>
      </c>
      <c r="G617">
        <v>62419422.240000002</v>
      </c>
      <c r="H617">
        <v>562421.5</v>
      </c>
      <c r="I617">
        <v>4880232.3600000003</v>
      </c>
      <c r="J617">
        <v>8.4320000000000004</v>
      </c>
      <c r="K617">
        <v>1048934.8</v>
      </c>
      <c r="L617">
        <v>0</v>
      </c>
      <c r="M617">
        <v>324024.28000000003</v>
      </c>
      <c r="N617">
        <v>2023</v>
      </c>
      <c r="O617">
        <v>8</v>
      </c>
    </row>
    <row r="618" spans="1:15" x14ac:dyDescent="0.3">
      <c r="A618">
        <v>37745</v>
      </c>
      <c r="B618">
        <v>3205010</v>
      </c>
      <c r="C618" t="s">
        <v>85</v>
      </c>
      <c r="D618">
        <v>0.72199999999999998</v>
      </c>
      <c r="E618">
        <v>2884276.66</v>
      </c>
      <c r="F618">
        <v>0</v>
      </c>
      <c r="G618">
        <v>2884276.66</v>
      </c>
      <c r="H618">
        <v>25988.37</v>
      </c>
      <c r="I618">
        <v>186401.82</v>
      </c>
      <c r="J618">
        <v>0.997</v>
      </c>
      <c r="K618">
        <v>48469.18</v>
      </c>
      <c r="L618">
        <v>0</v>
      </c>
      <c r="M618">
        <v>14972.51</v>
      </c>
      <c r="N618">
        <v>2023</v>
      </c>
      <c r="O618">
        <v>8</v>
      </c>
    </row>
    <row r="619" spans="1:15" x14ac:dyDescent="0.3">
      <c r="A619">
        <v>37746</v>
      </c>
      <c r="B619">
        <v>3205036</v>
      </c>
      <c r="C619" t="s">
        <v>86</v>
      </c>
      <c r="D619">
        <v>0.49099999999999999</v>
      </c>
      <c r="E619">
        <v>1961467.93</v>
      </c>
      <c r="F619">
        <v>0</v>
      </c>
      <c r="G619">
        <v>1961467.93</v>
      </c>
      <c r="H619">
        <v>17673.53</v>
      </c>
      <c r="I619">
        <v>175897.37</v>
      </c>
      <c r="J619">
        <v>0.72699999999999998</v>
      </c>
      <c r="K619">
        <v>32961.72</v>
      </c>
      <c r="L619">
        <v>0</v>
      </c>
      <c r="M619">
        <v>10182.14</v>
      </c>
      <c r="N619">
        <v>2023</v>
      </c>
      <c r="O619">
        <v>8</v>
      </c>
    </row>
    <row r="620" spans="1:15" x14ac:dyDescent="0.3">
      <c r="A620">
        <v>37747</v>
      </c>
      <c r="B620">
        <v>3205069</v>
      </c>
      <c r="C620" t="s">
        <v>87</v>
      </c>
      <c r="D620">
        <v>0.68700000000000006</v>
      </c>
      <c r="E620">
        <v>2744457.17</v>
      </c>
      <c r="F620">
        <v>0</v>
      </c>
      <c r="G620">
        <v>2744457.17</v>
      </c>
      <c r="H620">
        <v>24728.55</v>
      </c>
      <c r="I620">
        <v>323187.24</v>
      </c>
      <c r="J620">
        <v>0.85799999999999998</v>
      </c>
      <c r="K620">
        <v>46119.57</v>
      </c>
      <c r="L620">
        <v>0</v>
      </c>
      <c r="M620">
        <v>14246.7</v>
      </c>
      <c r="N620">
        <v>2023</v>
      </c>
      <c r="O620">
        <v>8</v>
      </c>
    </row>
    <row r="621" spans="1:15" x14ac:dyDescent="0.3">
      <c r="A621">
        <v>37748</v>
      </c>
      <c r="B621">
        <v>2112803</v>
      </c>
      <c r="C621" t="s">
        <v>88</v>
      </c>
      <c r="D621">
        <v>2.9870000000000001</v>
      </c>
      <c r="E621">
        <v>11932596.09</v>
      </c>
      <c r="F621">
        <v>0</v>
      </c>
      <c r="G621">
        <v>11932596.09</v>
      </c>
      <c r="H621">
        <v>107516.99</v>
      </c>
      <c r="I621">
        <v>505166.06</v>
      </c>
      <c r="J621">
        <v>1.984</v>
      </c>
      <c r="K621">
        <v>200522.77</v>
      </c>
      <c r="L621">
        <v>0</v>
      </c>
      <c r="M621">
        <v>61943.07</v>
      </c>
      <c r="N621">
        <v>2023</v>
      </c>
      <c r="O621">
        <v>8</v>
      </c>
    </row>
    <row r="622" spans="1:15" x14ac:dyDescent="0.3">
      <c r="A622">
        <v>37749</v>
      </c>
      <c r="B622">
        <v>3205150</v>
      </c>
      <c r="C622" t="s">
        <v>89</v>
      </c>
      <c r="D622">
        <v>0.31900000000000001</v>
      </c>
      <c r="E622">
        <v>1274354.93</v>
      </c>
      <c r="F622">
        <v>0</v>
      </c>
      <c r="G622">
        <v>1274354.93</v>
      </c>
      <c r="H622">
        <v>11482.4</v>
      </c>
      <c r="I622">
        <v>68317.38</v>
      </c>
      <c r="J622">
        <v>0.34399999999999997</v>
      </c>
      <c r="K622">
        <v>21415.05</v>
      </c>
      <c r="L622">
        <v>0</v>
      </c>
      <c r="M622">
        <v>6615.28</v>
      </c>
      <c r="N622">
        <v>2023</v>
      </c>
      <c r="O622">
        <v>8</v>
      </c>
    </row>
    <row r="623" spans="1:15" x14ac:dyDescent="0.3">
      <c r="A623">
        <v>37750</v>
      </c>
      <c r="B623">
        <v>3205176</v>
      </c>
      <c r="C623" t="s">
        <v>90</v>
      </c>
      <c r="D623">
        <v>0.65800000000000003</v>
      </c>
      <c r="E623">
        <v>2628606.7000000002</v>
      </c>
      <c r="F623">
        <v>0</v>
      </c>
      <c r="G623">
        <v>2628606.7000000002</v>
      </c>
      <c r="H623">
        <v>23684.69</v>
      </c>
      <c r="I623">
        <v>168886.93</v>
      </c>
      <c r="J623">
        <v>0.55600000000000005</v>
      </c>
      <c r="K623">
        <v>44172.74</v>
      </c>
      <c r="L623">
        <v>0</v>
      </c>
      <c r="M623">
        <v>13645.31</v>
      </c>
      <c r="N623">
        <v>2023</v>
      </c>
      <c r="O623">
        <v>8</v>
      </c>
    </row>
    <row r="624" spans="1:15" x14ac:dyDescent="0.3">
      <c r="A624">
        <v>37751</v>
      </c>
      <c r="B624">
        <v>3205200</v>
      </c>
      <c r="C624" t="s">
        <v>91</v>
      </c>
      <c r="D624">
        <v>5.056</v>
      </c>
      <c r="E624">
        <v>20197926.32</v>
      </c>
      <c r="F624">
        <v>0</v>
      </c>
      <c r="G624">
        <v>20197926.32</v>
      </c>
      <c r="H624">
        <v>181990.6</v>
      </c>
      <c r="I624">
        <v>5725382.9500000002</v>
      </c>
      <c r="J624">
        <v>8.09</v>
      </c>
      <c r="K624">
        <v>339418.52</v>
      </c>
      <c r="L624">
        <v>0</v>
      </c>
      <c r="M624">
        <v>104849.07</v>
      </c>
      <c r="N624">
        <v>2023</v>
      </c>
      <c r="O624">
        <v>8</v>
      </c>
    </row>
    <row r="625" spans="1:15" x14ac:dyDescent="0.3">
      <c r="A625">
        <v>37752</v>
      </c>
      <c r="B625">
        <v>3205309</v>
      </c>
      <c r="C625" t="s">
        <v>92</v>
      </c>
      <c r="D625">
        <v>14.782</v>
      </c>
      <c r="E625">
        <v>59051769.479999997</v>
      </c>
      <c r="F625">
        <v>0</v>
      </c>
      <c r="G625">
        <v>59051769.479999997</v>
      </c>
      <c r="H625">
        <v>532077.74</v>
      </c>
      <c r="I625">
        <v>5482999.5199999996</v>
      </c>
      <c r="J625">
        <v>9.4969999999999999</v>
      </c>
      <c r="K625">
        <v>992342.69</v>
      </c>
      <c r="L625">
        <v>0</v>
      </c>
      <c r="M625">
        <v>306542.52</v>
      </c>
      <c r="N625">
        <v>2023</v>
      </c>
      <c r="O625">
        <v>8</v>
      </c>
    </row>
    <row r="626" spans="1:15" x14ac:dyDescent="0.3">
      <c r="A626">
        <v>38845</v>
      </c>
      <c r="B626">
        <v>3200102</v>
      </c>
      <c r="C626" t="s">
        <v>15</v>
      </c>
      <c r="D626">
        <v>0.76100000000000001</v>
      </c>
      <c r="E626">
        <v>2795726.7</v>
      </c>
      <c r="F626">
        <v>0</v>
      </c>
      <c r="G626">
        <v>2795726.7</v>
      </c>
      <c r="H626">
        <v>39658.550000000003</v>
      </c>
      <c r="I626">
        <v>160348.28</v>
      </c>
      <c r="J626">
        <v>0.98499999999999999</v>
      </c>
      <c r="K626">
        <v>73589.56</v>
      </c>
      <c r="L626">
        <v>0</v>
      </c>
      <c r="M626">
        <v>16012.18</v>
      </c>
      <c r="N626">
        <v>2023</v>
      </c>
      <c r="O626">
        <v>10</v>
      </c>
    </row>
    <row r="627" spans="1:15" x14ac:dyDescent="0.3">
      <c r="A627">
        <v>38846</v>
      </c>
      <c r="B627">
        <v>3200169</v>
      </c>
      <c r="C627" t="s">
        <v>16</v>
      </c>
      <c r="D627">
        <v>0.28899999999999998</v>
      </c>
      <c r="E627">
        <v>1061714.8799999999</v>
      </c>
      <c r="F627">
        <v>0</v>
      </c>
      <c r="G627">
        <v>1061714.8799999999</v>
      </c>
      <c r="H627">
        <v>15060.87</v>
      </c>
      <c r="I627">
        <v>66841.37</v>
      </c>
      <c r="J627">
        <v>0.439</v>
      </c>
      <c r="K627">
        <v>27946.62</v>
      </c>
      <c r="L627">
        <v>0</v>
      </c>
      <c r="M627">
        <v>6080.84</v>
      </c>
      <c r="N627">
        <v>2023</v>
      </c>
      <c r="O627">
        <v>10</v>
      </c>
    </row>
    <row r="628" spans="1:15" x14ac:dyDescent="0.3">
      <c r="A628">
        <v>38847</v>
      </c>
      <c r="B628">
        <v>3200136</v>
      </c>
      <c r="C628" t="s">
        <v>17</v>
      </c>
      <c r="D628">
        <v>0.40400000000000003</v>
      </c>
      <c r="E628">
        <v>1484196.56</v>
      </c>
      <c r="F628">
        <v>0</v>
      </c>
      <c r="G628">
        <v>1484196.56</v>
      </c>
      <c r="H628">
        <v>21053.95</v>
      </c>
      <c r="I628">
        <v>63823.82</v>
      </c>
      <c r="J628">
        <v>0.34799999999999998</v>
      </c>
      <c r="K628">
        <v>39067.25</v>
      </c>
      <c r="L628">
        <v>0</v>
      </c>
      <c r="M628">
        <v>8500.5499999999993</v>
      </c>
      <c r="N628">
        <v>2023</v>
      </c>
      <c r="O628">
        <v>10</v>
      </c>
    </row>
    <row r="629" spans="1:15" x14ac:dyDescent="0.3">
      <c r="A629">
        <v>38848</v>
      </c>
      <c r="B629">
        <v>3200201</v>
      </c>
      <c r="C629" t="s">
        <v>18</v>
      </c>
      <c r="D629">
        <v>0.498</v>
      </c>
      <c r="E629">
        <v>1829529.45</v>
      </c>
      <c r="F629">
        <v>0</v>
      </c>
      <c r="G629">
        <v>1829529.45</v>
      </c>
      <c r="H629">
        <v>25952.639999999999</v>
      </c>
      <c r="I629">
        <v>158529.81</v>
      </c>
      <c r="J629">
        <v>0.98</v>
      </c>
      <c r="K629">
        <v>48157.16</v>
      </c>
      <c r="L629">
        <v>0</v>
      </c>
      <c r="M629">
        <v>10478.4</v>
      </c>
      <c r="N629">
        <v>2023</v>
      </c>
      <c r="O629">
        <v>10</v>
      </c>
    </row>
    <row r="630" spans="1:15" x14ac:dyDescent="0.3">
      <c r="A630">
        <v>38849</v>
      </c>
      <c r="B630">
        <v>3200300</v>
      </c>
      <c r="C630" t="s">
        <v>19</v>
      </c>
      <c r="D630">
        <v>0.46700000000000003</v>
      </c>
      <c r="E630">
        <v>1715643.09</v>
      </c>
      <c r="F630">
        <v>0</v>
      </c>
      <c r="G630">
        <v>1715643.09</v>
      </c>
      <c r="H630">
        <v>24337.11</v>
      </c>
      <c r="I630">
        <v>116205.48</v>
      </c>
      <c r="J630">
        <v>0.56399999999999995</v>
      </c>
      <c r="K630">
        <v>45159.43</v>
      </c>
      <c r="L630">
        <v>0</v>
      </c>
      <c r="M630">
        <v>9826.1299999999992</v>
      </c>
      <c r="N630">
        <v>2023</v>
      </c>
      <c r="O630">
        <v>10</v>
      </c>
    </row>
    <row r="631" spans="1:15" x14ac:dyDescent="0.3">
      <c r="A631">
        <v>38850</v>
      </c>
      <c r="B631">
        <v>3200359</v>
      </c>
      <c r="C631" t="s">
        <v>20</v>
      </c>
      <c r="D631">
        <v>0.22600000000000001</v>
      </c>
      <c r="E631">
        <v>830268.4</v>
      </c>
      <c r="F631">
        <v>0</v>
      </c>
      <c r="G631">
        <v>830268.4</v>
      </c>
      <c r="H631">
        <v>11777.7</v>
      </c>
      <c r="I631">
        <v>46704</v>
      </c>
      <c r="J631">
        <v>0.32700000000000001</v>
      </c>
      <c r="K631">
        <v>21854.46</v>
      </c>
      <c r="L631">
        <v>0</v>
      </c>
      <c r="M631">
        <v>4755.26</v>
      </c>
      <c r="N631">
        <v>2023</v>
      </c>
      <c r="O631">
        <v>10</v>
      </c>
    </row>
    <row r="632" spans="1:15" x14ac:dyDescent="0.3">
      <c r="A632">
        <v>38851</v>
      </c>
      <c r="B632">
        <v>3200409</v>
      </c>
      <c r="C632" t="s">
        <v>21</v>
      </c>
      <c r="D632">
        <v>3.1480000000000001</v>
      </c>
      <c r="E632">
        <v>11564977.220000001</v>
      </c>
      <c r="F632">
        <v>0</v>
      </c>
      <c r="G632">
        <v>11564977.220000001</v>
      </c>
      <c r="H632">
        <v>164054.04</v>
      </c>
      <c r="I632">
        <v>269002.69</v>
      </c>
      <c r="J632">
        <v>0.90800000000000003</v>
      </c>
      <c r="K632">
        <v>304415.15000000002</v>
      </c>
      <c r="L632">
        <v>0</v>
      </c>
      <c r="M632">
        <v>66236.97</v>
      </c>
      <c r="N632">
        <v>2023</v>
      </c>
      <c r="O632">
        <v>10</v>
      </c>
    </row>
    <row r="633" spans="1:15" x14ac:dyDescent="0.3">
      <c r="A633">
        <v>38852</v>
      </c>
      <c r="B633">
        <v>3200508</v>
      </c>
      <c r="C633" t="s">
        <v>22</v>
      </c>
      <c r="D633">
        <v>0.185</v>
      </c>
      <c r="E633">
        <v>679644.45</v>
      </c>
      <c r="F633">
        <v>0</v>
      </c>
      <c r="G633">
        <v>679644.45</v>
      </c>
      <c r="H633">
        <v>9641.0400000000009</v>
      </c>
      <c r="I633">
        <v>70279.399999999994</v>
      </c>
      <c r="J633">
        <v>0.32300000000000001</v>
      </c>
      <c r="K633">
        <v>17889.71</v>
      </c>
      <c r="L633">
        <v>0</v>
      </c>
      <c r="M633">
        <v>3892.58</v>
      </c>
      <c r="N633">
        <v>2023</v>
      </c>
      <c r="O633">
        <v>10</v>
      </c>
    </row>
    <row r="634" spans="1:15" x14ac:dyDescent="0.3">
      <c r="A634">
        <v>38853</v>
      </c>
      <c r="B634">
        <v>3200607</v>
      </c>
      <c r="C634" t="s">
        <v>23</v>
      </c>
      <c r="D634">
        <v>2.9220000000000002</v>
      </c>
      <c r="E634">
        <v>10734708.859999999</v>
      </c>
      <c r="F634">
        <v>0</v>
      </c>
      <c r="G634">
        <v>10734708.859999999</v>
      </c>
      <c r="H634">
        <v>152276.34</v>
      </c>
      <c r="I634">
        <v>922416.28</v>
      </c>
      <c r="J634">
        <v>2.5089999999999999</v>
      </c>
      <c r="K634">
        <v>282560.7</v>
      </c>
      <c r="L634">
        <v>0</v>
      </c>
      <c r="M634">
        <v>61481.71</v>
      </c>
      <c r="N634">
        <v>2023</v>
      </c>
      <c r="O634">
        <v>10</v>
      </c>
    </row>
    <row r="635" spans="1:15" x14ac:dyDescent="0.3">
      <c r="A635">
        <v>38854</v>
      </c>
      <c r="B635">
        <v>3200706</v>
      </c>
      <c r="C635" t="s">
        <v>24</v>
      </c>
      <c r="D635">
        <v>0.35399999999999998</v>
      </c>
      <c r="E635">
        <v>1300508.8700000001</v>
      </c>
      <c r="F635">
        <v>0</v>
      </c>
      <c r="G635">
        <v>1300508.8700000001</v>
      </c>
      <c r="H635">
        <v>18448.259999999998</v>
      </c>
      <c r="I635">
        <v>61346.81</v>
      </c>
      <c r="J635">
        <v>0.45700000000000002</v>
      </c>
      <c r="K635">
        <v>34232.199999999997</v>
      </c>
      <c r="L635">
        <v>0</v>
      </c>
      <c r="M635">
        <v>7448.5</v>
      </c>
      <c r="N635">
        <v>2023</v>
      </c>
      <c r="O635">
        <v>10</v>
      </c>
    </row>
    <row r="636" spans="1:15" x14ac:dyDescent="0.3">
      <c r="A636">
        <v>38855</v>
      </c>
      <c r="B636">
        <v>3200805</v>
      </c>
      <c r="C636" t="s">
        <v>25</v>
      </c>
      <c r="D636">
        <v>0.60699999999999998</v>
      </c>
      <c r="E636">
        <v>2229968.59</v>
      </c>
      <c r="F636">
        <v>0</v>
      </c>
      <c r="G636">
        <v>2229968.59</v>
      </c>
      <c r="H636">
        <v>31633.040000000001</v>
      </c>
      <c r="I636">
        <v>301506.87</v>
      </c>
      <c r="J636">
        <v>0.997</v>
      </c>
      <c r="K636">
        <v>58697.58</v>
      </c>
      <c r="L636">
        <v>0</v>
      </c>
      <c r="M636">
        <v>12771.87</v>
      </c>
      <c r="N636">
        <v>2023</v>
      </c>
      <c r="O636">
        <v>10</v>
      </c>
    </row>
    <row r="637" spans="1:15" x14ac:dyDescent="0.3">
      <c r="A637">
        <v>38856</v>
      </c>
      <c r="B637">
        <v>3200904</v>
      </c>
      <c r="C637" t="s">
        <v>26</v>
      </c>
      <c r="D637">
        <v>1.0289999999999999</v>
      </c>
      <c r="E637">
        <v>3780292.75</v>
      </c>
      <c r="F637">
        <v>0</v>
      </c>
      <c r="G637">
        <v>3780292.75</v>
      </c>
      <c r="H637">
        <v>53625.03</v>
      </c>
      <c r="I637">
        <v>334694.09000000003</v>
      </c>
      <c r="J637">
        <v>1.321</v>
      </c>
      <c r="K637">
        <v>99505.45</v>
      </c>
      <c r="L637">
        <v>0</v>
      </c>
      <c r="M637">
        <v>21651.16</v>
      </c>
      <c r="N637">
        <v>2023</v>
      </c>
      <c r="O637">
        <v>10</v>
      </c>
    </row>
    <row r="638" spans="1:15" x14ac:dyDescent="0.3">
      <c r="A638">
        <v>38857</v>
      </c>
      <c r="B638">
        <v>3107109</v>
      </c>
      <c r="C638" t="s">
        <v>27</v>
      </c>
      <c r="D638">
        <v>0.39500000000000002</v>
      </c>
      <c r="E638">
        <v>1451132.79</v>
      </c>
      <c r="F638">
        <v>0</v>
      </c>
      <c r="G638">
        <v>1451132.79</v>
      </c>
      <c r="H638">
        <v>20584.93</v>
      </c>
      <c r="I638">
        <v>74164.2</v>
      </c>
      <c r="J638">
        <v>0.56899999999999995</v>
      </c>
      <c r="K638">
        <v>38196.949999999997</v>
      </c>
      <c r="L638">
        <v>0</v>
      </c>
      <c r="M638">
        <v>8311.18</v>
      </c>
      <c r="N638">
        <v>2023</v>
      </c>
      <c r="O638">
        <v>10</v>
      </c>
    </row>
    <row r="639" spans="1:15" x14ac:dyDescent="0.3">
      <c r="A639">
        <v>38858</v>
      </c>
      <c r="B639">
        <v>3201100</v>
      </c>
      <c r="C639" t="s">
        <v>28</v>
      </c>
      <c r="D639">
        <v>0.17599999999999999</v>
      </c>
      <c r="E639">
        <v>646580.67000000004</v>
      </c>
      <c r="F639">
        <v>0</v>
      </c>
      <c r="G639">
        <v>646580.67000000004</v>
      </c>
      <c r="H639">
        <v>9172.02</v>
      </c>
      <c r="I639">
        <v>160453.62</v>
      </c>
      <c r="J639">
        <v>0.43</v>
      </c>
      <c r="K639">
        <v>17019.39</v>
      </c>
      <c r="L639">
        <v>0</v>
      </c>
      <c r="M639">
        <v>3703.21</v>
      </c>
      <c r="N639">
        <v>2023</v>
      </c>
      <c r="O639">
        <v>10</v>
      </c>
    </row>
    <row r="640" spans="1:15" x14ac:dyDescent="0.3">
      <c r="A640">
        <v>38859</v>
      </c>
      <c r="B640">
        <v>3201159</v>
      </c>
      <c r="C640" t="s">
        <v>29</v>
      </c>
      <c r="D640">
        <v>0.42099999999999999</v>
      </c>
      <c r="E640">
        <v>1546650.39</v>
      </c>
      <c r="F640">
        <v>0</v>
      </c>
      <c r="G640">
        <v>1546650.39</v>
      </c>
      <c r="H640">
        <v>21939.88</v>
      </c>
      <c r="I640">
        <v>83618.84</v>
      </c>
      <c r="J640">
        <v>0.46</v>
      </c>
      <c r="K640">
        <v>40711.17</v>
      </c>
      <c r="L640">
        <v>0</v>
      </c>
      <c r="M640">
        <v>8858.25</v>
      </c>
      <c r="N640">
        <v>2023</v>
      </c>
      <c r="O640">
        <v>10</v>
      </c>
    </row>
    <row r="641" spans="1:15" x14ac:dyDescent="0.3">
      <c r="A641">
        <v>38860</v>
      </c>
      <c r="B641">
        <v>3201209</v>
      </c>
      <c r="C641" t="s">
        <v>30</v>
      </c>
      <c r="D641">
        <v>3.1120000000000001</v>
      </c>
      <c r="E641">
        <v>11432722.109999999</v>
      </c>
      <c r="F641">
        <v>0</v>
      </c>
      <c r="G641">
        <v>11432722.109999999</v>
      </c>
      <c r="H641">
        <v>162177.95000000001</v>
      </c>
      <c r="I641">
        <v>1773371.49</v>
      </c>
      <c r="J641">
        <v>4.4820000000000002</v>
      </c>
      <c r="K641">
        <v>300933.90999999997</v>
      </c>
      <c r="L641">
        <v>0</v>
      </c>
      <c r="M641">
        <v>65479.5</v>
      </c>
      <c r="N641">
        <v>2023</v>
      </c>
      <c r="O641">
        <v>10</v>
      </c>
    </row>
    <row r="642" spans="1:15" x14ac:dyDescent="0.3">
      <c r="A642">
        <v>38861</v>
      </c>
      <c r="B642">
        <v>3201308</v>
      </c>
      <c r="C642" t="s">
        <v>31</v>
      </c>
      <c r="D642">
        <v>7.2990000000000004</v>
      </c>
      <c r="E642">
        <v>26814729.640000001</v>
      </c>
      <c r="F642">
        <v>0</v>
      </c>
      <c r="G642">
        <v>26814729.640000001</v>
      </c>
      <c r="H642">
        <v>380378.16</v>
      </c>
      <c r="I642">
        <v>2599940.8199999998</v>
      </c>
      <c r="J642">
        <v>6.6040000000000001</v>
      </c>
      <c r="K642">
        <v>705821.54</v>
      </c>
      <c r="L642">
        <v>0</v>
      </c>
      <c r="M642">
        <v>153578.03</v>
      </c>
      <c r="N642">
        <v>2023</v>
      </c>
      <c r="O642">
        <v>10</v>
      </c>
    </row>
    <row r="643" spans="1:15" x14ac:dyDescent="0.3">
      <c r="A643">
        <v>38862</v>
      </c>
      <c r="B643">
        <v>3201407</v>
      </c>
      <c r="C643" t="s">
        <v>32</v>
      </c>
      <c r="D643">
        <v>0.89900000000000002</v>
      </c>
      <c r="E643">
        <v>3302704.75</v>
      </c>
      <c r="F643">
        <v>0</v>
      </c>
      <c r="G643">
        <v>3302704.75</v>
      </c>
      <c r="H643">
        <v>46850.25</v>
      </c>
      <c r="I643">
        <v>431807.97</v>
      </c>
      <c r="J643">
        <v>1.155</v>
      </c>
      <c r="K643">
        <v>86934.31</v>
      </c>
      <c r="L643">
        <v>0</v>
      </c>
      <c r="M643">
        <v>18915.830000000002</v>
      </c>
      <c r="N643">
        <v>2023</v>
      </c>
      <c r="O643">
        <v>10</v>
      </c>
    </row>
    <row r="644" spans="1:15" x14ac:dyDescent="0.3">
      <c r="A644">
        <v>38863</v>
      </c>
      <c r="B644">
        <v>3201506</v>
      </c>
      <c r="C644" t="s">
        <v>33</v>
      </c>
      <c r="D644">
        <v>2.2320000000000002</v>
      </c>
      <c r="E644">
        <v>8199818.6699999999</v>
      </c>
      <c r="F644">
        <v>0</v>
      </c>
      <c r="G644">
        <v>8199818.6699999999</v>
      </c>
      <c r="H644">
        <v>116317.86</v>
      </c>
      <c r="I644">
        <v>1185740.94</v>
      </c>
      <c r="J644">
        <v>2.8220000000000001</v>
      </c>
      <c r="K644">
        <v>215836.92</v>
      </c>
      <c r="L644">
        <v>0</v>
      </c>
      <c r="M644">
        <v>46963.44</v>
      </c>
      <c r="N644">
        <v>2023</v>
      </c>
      <c r="O644">
        <v>10</v>
      </c>
    </row>
    <row r="645" spans="1:15" x14ac:dyDescent="0.3">
      <c r="A645">
        <v>38864</v>
      </c>
      <c r="B645">
        <v>3201605</v>
      </c>
      <c r="C645" t="s">
        <v>34</v>
      </c>
      <c r="D645">
        <v>0.79400000000000004</v>
      </c>
      <c r="E645">
        <v>2916960.59</v>
      </c>
      <c r="F645">
        <v>0</v>
      </c>
      <c r="G645">
        <v>2916960.59</v>
      </c>
      <c r="H645">
        <v>41378.31</v>
      </c>
      <c r="I645">
        <v>159957.16</v>
      </c>
      <c r="J645">
        <v>0.999</v>
      </c>
      <c r="K645">
        <v>76780.7</v>
      </c>
      <c r="L645">
        <v>0</v>
      </c>
      <c r="M645">
        <v>16706.53</v>
      </c>
      <c r="N645">
        <v>2023</v>
      </c>
      <c r="O645">
        <v>10</v>
      </c>
    </row>
    <row r="646" spans="1:15" x14ac:dyDescent="0.3">
      <c r="A646">
        <v>38865</v>
      </c>
      <c r="B646">
        <v>3201704</v>
      </c>
      <c r="C646" t="s">
        <v>35</v>
      </c>
      <c r="D646">
        <v>0.46</v>
      </c>
      <c r="E646">
        <v>1689926.79</v>
      </c>
      <c r="F646">
        <v>0</v>
      </c>
      <c r="G646">
        <v>1689926.79</v>
      </c>
      <c r="H646">
        <v>23972.32</v>
      </c>
      <c r="I646">
        <v>74763.839999999997</v>
      </c>
      <c r="J646">
        <v>0.46500000000000002</v>
      </c>
      <c r="K646">
        <v>44482.52</v>
      </c>
      <c r="L646">
        <v>0</v>
      </c>
      <c r="M646">
        <v>9678.85</v>
      </c>
      <c r="N646">
        <v>2023</v>
      </c>
      <c r="O646">
        <v>10</v>
      </c>
    </row>
    <row r="647" spans="1:15" x14ac:dyDescent="0.3">
      <c r="A647">
        <v>38866</v>
      </c>
      <c r="B647">
        <v>3201803</v>
      </c>
      <c r="C647" t="s">
        <v>36</v>
      </c>
      <c r="D647">
        <v>0.182</v>
      </c>
      <c r="E647">
        <v>668623.19999999995</v>
      </c>
      <c r="F647">
        <v>0</v>
      </c>
      <c r="G647">
        <v>668623.19999999995</v>
      </c>
      <c r="H647">
        <v>9484.7000000000007</v>
      </c>
      <c r="I647">
        <v>35654.720000000001</v>
      </c>
      <c r="J647">
        <v>0.28299999999999997</v>
      </c>
      <c r="K647">
        <v>17599.599999999999</v>
      </c>
      <c r="L647">
        <v>0</v>
      </c>
      <c r="M647">
        <v>3829.46</v>
      </c>
      <c r="N647">
        <v>2023</v>
      </c>
      <c r="O647">
        <v>10</v>
      </c>
    </row>
    <row r="648" spans="1:15" x14ac:dyDescent="0.3">
      <c r="A648">
        <v>38867</v>
      </c>
      <c r="B648">
        <v>3201902</v>
      </c>
      <c r="C648" t="s">
        <v>37</v>
      </c>
      <c r="D648">
        <v>1.268</v>
      </c>
      <c r="E648">
        <v>4658319.92</v>
      </c>
      <c r="F648">
        <v>0</v>
      </c>
      <c r="G648">
        <v>4658319.92</v>
      </c>
      <c r="H648">
        <v>66080.22</v>
      </c>
      <c r="I648">
        <v>279646.62</v>
      </c>
      <c r="J648">
        <v>1.0309999999999999</v>
      </c>
      <c r="K648">
        <v>122617.03</v>
      </c>
      <c r="L648">
        <v>0</v>
      </c>
      <c r="M648">
        <v>26679.95</v>
      </c>
      <c r="N648">
        <v>2023</v>
      </c>
      <c r="O648">
        <v>10</v>
      </c>
    </row>
    <row r="649" spans="1:15" x14ac:dyDescent="0.3">
      <c r="A649">
        <v>38868</v>
      </c>
      <c r="B649">
        <v>3202009</v>
      </c>
      <c r="C649" t="s">
        <v>38</v>
      </c>
      <c r="D649">
        <v>0.27</v>
      </c>
      <c r="E649">
        <v>991913.54</v>
      </c>
      <c r="F649">
        <v>0</v>
      </c>
      <c r="G649">
        <v>991913.54</v>
      </c>
      <c r="H649">
        <v>14070.71</v>
      </c>
      <c r="I649">
        <v>81952.09</v>
      </c>
      <c r="J649">
        <v>0.314</v>
      </c>
      <c r="K649">
        <v>26109.3</v>
      </c>
      <c r="L649">
        <v>0</v>
      </c>
      <c r="M649">
        <v>5681.06</v>
      </c>
      <c r="N649">
        <v>2023</v>
      </c>
      <c r="O649">
        <v>10</v>
      </c>
    </row>
    <row r="650" spans="1:15" x14ac:dyDescent="0.3">
      <c r="A650">
        <v>38869</v>
      </c>
      <c r="B650">
        <v>3202108</v>
      </c>
      <c r="C650" t="s">
        <v>39</v>
      </c>
      <c r="D650">
        <v>0.69399999999999995</v>
      </c>
      <c r="E650">
        <v>2549585.2000000002</v>
      </c>
      <c r="F650">
        <v>0</v>
      </c>
      <c r="G650">
        <v>2549585.2000000002</v>
      </c>
      <c r="H650">
        <v>36166.93</v>
      </c>
      <c r="I650">
        <v>134466.9</v>
      </c>
      <c r="J650">
        <v>0.81599999999999995</v>
      </c>
      <c r="K650">
        <v>67110.58</v>
      </c>
      <c r="L650">
        <v>0</v>
      </c>
      <c r="M650">
        <v>14602.43</v>
      </c>
      <c r="N650">
        <v>2023</v>
      </c>
      <c r="O650">
        <v>10</v>
      </c>
    </row>
    <row r="651" spans="1:15" x14ac:dyDescent="0.3">
      <c r="A651">
        <v>38870</v>
      </c>
      <c r="B651">
        <v>3202207</v>
      </c>
      <c r="C651" t="s">
        <v>40</v>
      </c>
      <c r="D651">
        <v>0.28599999999999998</v>
      </c>
      <c r="E651">
        <v>1050693.6200000001</v>
      </c>
      <c r="F651">
        <v>0</v>
      </c>
      <c r="G651">
        <v>1050693.6200000001</v>
      </c>
      <c r="H651">
        <v>14904.53</v>
      </c>
      <c r="I651">
        <v>121958.29</v>
      </c>
      <c r="J651">
        <v>0.73399999999999999</v>
      </c>
      <c r="K651">
        <v>27656.52</v>
      </c>
      <c r="L651">
        <v>0</v>
      </c>
      <c r="M651">
        <v>6017.72</v>
      </c>
      <c r="N651">
        <v>2023</v>
      </c>
      <c r="O651">
        <v>10</v>
      </c>
    </row>
    <row r="652" spans="1:15" x14ac:dyDescent="0.3">
      <c r="A652">
        <v>38871</v>
      </c>
      <c r="B652">
        <v>3202256</v>
      </c>
      <c r="C652" t="s">
        <v>41</v>
      </c>
      <c r="D652">
        <v>0.438</v>
      </c>
      <c r="E652">
        <v>1609104.2</v>
      </c>
      <c r="F652">
        <v>0</v>
      </c>
      <c r="G652">
        <v>1609104.2</v>
      </c>
      <c r="H652">
        <v>22825.82</v>
      </c>
      <c r="I652">
        <v>91936.7</v>
      </c>
      <c r="J652">
        <v>0.46700000000000003</v>
      </c>
      <c r="K652">
        <v>42355.1</v>
      </c>
      <c r="L652">
        <v>0</v>
      </c>
      <c r="M652">
        <v>9215.94</v>
      </c>
      <c r="N652">
        <v>2023</v>
      </c>
      <c r="O652">
        <v>10</v>
      </c>
    </row>
    <row r="653" spans="1:15" x14ac:dyDescent="0.3">
      <c r="A653">
        <v>38872</v>
      </c>
      <c r="B653">
        <v>3202306</v>
      </c>
      <c r="C653" t="s">
        <v>42</v>
      </c>
      <c r="D653">
        <v>0.35899999999999999</v>
      </c>
      <c r="E653">
        <v>1318877.6399999999</v>
      </c>
      <c r="F653">
        <v>0</v>
      </c>
      <c r="G653">
        <v>1318877.6399999999</v>
      </c>
      <c r="H653">
        <v>18708.830000000002</v>
      </c>
      <c r="I653">
        <v>222469.18</v>
      </c>
      <c r="J653">
        <v>0.998</v>
      </c>
      <c r="K653">
        <v>34715.699999999997</v>
      </c>
      <c r="L653">
        <v>0</v>
      </c>
      <c r="M653">
        <v>7553.71</v>
      </c>
      <c r="N653">
        <v>2023</v>
      </c>
      <c r="O653">
        <v>10</v>
      </c>
    </row>
    <row r="654" spans="1:15" x14ac:dyDescent="0.3">
      <c r="A654">
        <v>38873</v>
      </c>
      <c r="B654">
        <v>3202405</v>
      </c>
      <c r="C654" t="s">
        <v>43</v>
      </c>
      <c r="D654">
        <v>0.81200000000000006</v>
      </c>
      <c r="E654">
        <v>2983088.18</v>
      </c>
      <c r="F654">
        <v>0</v>
      </c>
      <c r="G654">
        <v>2983088.18</v>
      </c>
      <c r="H654">
        <v>42316.35</v>
      </c>
      <c r="I654">
        <v>1627531.35</v>
      </c>
      <c r="J654">
        <v>2.8730000000000002</v>
      </c>
      <c r="K654">
        <v>78521.320000000007</v>
      </c>
      <c r="L654">
        <v>0</v>
      </c>
      <c r="M654">
        <v>17085.27</v>
      </c>
      <c r="N654">
        <v>2023</v>
      </c>
      <c r="O654">
        <v>10</v>
      </c>
    </row>
    <row r="655" spans="1:15" x14ac:dyDescent="0.3">
      <c r="A655">
        <v>38874</v>
      </c>
      <c r="B655">
        <v>3202454</v>
      </c>
      <c r="C655" t="s">
        <v>44</v>
      </c>
      <c r="D655">
        <v>0.372</v>
      </c>
      <c r="E655">
        <v>1366636.44</v>
      </c>
      <c r="F655">
        <v>0</v>
      </c>
      <c r="G655">
        <v>1366636.44</v>
      </c>
      <c r="H655">
        <v>19386.310000000001</v>
      </c>
      <c r="I655">
        <v>172156.26</v>
      </c>
      <c r="J655">
        <v>0.86499999999999999</v>
      </c>
      <c r="K655">
        <v>35972.82</v>
      </c>
      <c r="L655">
        <v>0</v>
      </c>
      <c r="M655">
        <v>7827.24</v>
      </c>
      <c r="N655">
        <v>2023</v>
      </c>
      <c r="O655">
        <v>10</v>
      </c>
    </row>
    <row r="656" spans="1:15" x14ac:dyDescent="0.3">
      <c r="A656">
        <v>38875</v>
      </c>
      <c r="B656">
        <v>3202504</v>
      </c>
      <c r="C656" t="s">
        <v>45</v>
      </c>
      <c r="D656">
        <v>0.23100000000000001</v>
      </c>
      <c r="E656">
        <v>848637.15</v>
      </c>
      <c r="F656">
        <v>0</v>
      </c>
      <c r="G656">
        <v>848637.15</v>
      </c>
      <c r="H656">
        <v>12038.27</v>
      </c>
      <c r="I656">
        <v>95717.99</v>
      </c>
      <c r="J656">
        <v>0.46300000000000002</v>
      </c>
      <c r="K656">
        <v>22337.96</v>
      </c>
      <c r="L656">
        <v>0</v>
      </c>
      <c r="M656">
        <v>4860.46</v>
      </c>
      <c r="N656">
        <v>2023</v>
      </c>
      <c r="O656">
        <v>10</v>
      </c>
    </row>
    <row r="657" spans="1:15" x14ac:dyDescent="0.3">
      <c r="A657">
        <v>38876</v>
      </c>
      <c r="B657">
        <v>3202553</v>
      </c>
      <c r="C657" t="s">
        <v>46</v>
      </c>
      <c r="D657">
        <v>0.24299999999999999</v>
      </c>
      <c r="E657">
        <v>892722.21</v>
      </c>
      <c r="F657">
        <v>0</v>
      </c>
      <c r="G657">
        <v>892722.21</v>
      </c>
      <c r="H657">
        <v>12663.64</v>
      </c>
      <c r="I657">
        <v>46699.43</v>
      </c>
      <c r="J657">
        <v>0.33800000000000002</v>
      </c>
      <c r="K657">
        <v>23498.38</v>
      </c>
      <c r="L657">
        <v>0</v>
      </c>
      <c r="M657">
        <v>5112.96</v>
      </c>
      <c r="N657">
        <v>2023</v>
      </c>
      <c r="O657">
        <v>10</v>
      </c>
    </row>
    <row r="658" spans="1:15" x14ac:dyDescent="0.3">
      <c r="A658">
        <v>38877</v>
      </c>
      <c r="B658">
        <v>3202603</v>
      </c>
      <c r="C658" t="s">
        <v>47</v>
      </c>
      <c r="D658">
        <v>0.315</v>
      </c>
      <c r="E658">
        <v>1157232.49</v>
      </c>
      <c r="F658">
        <v>0</v>
      </c>
      <c r="G658">
        <v>1157232.49</v>
      </c>
      <c r="H658">
        <v>16415.830000000002</v>
      </c>
      <c r="I658">
        <v>147979.96</v>
      </c>
      <c r="J658">
        <v>0.55600000000000005</v>
      </c>
      <c r="K658">
        <v>30460.86</v>
      </c>
      <c r="L658">
        <v>0</v>
      </c>
      <c r="M658">
        <v>6627.91</v>
      </c>
      <c r="N658">
        <v>2023</v>
      </c>
      <c r="O658">
        <v>10</v>
      </c>
    </row>
    <row r="659" spans="1:15" x14ac:dyDescent="0.3">
      <c r="A659">
        <v>38878</v>
      </c>
      <c r="B659">
        <v>3202652</v>
      </c>
      <c r="C659" t="s">
        <v>48</v>
      </c>
      <c r="D659">
        <v>0.29899999999999999</v>
      </c>
      <c r="E659">
        <v>1098452.3899999999</v>
      </c>
      <c r="F659">
        <v>0</v>
      </c>
      <c r="G659">
        <v>1098452.3899999999</v>
      </c>
      <c r="H659">
        <v>15582.01</v>
      </c>
      <c r="I659">
        <v>98078.71</v>
      </c>
      <c r="J659">
        <v>0.55100000000000005</v>
      </c>
      <c r="K659">
        <v>28913.63</v>
      </c>
      <c r="L659">
        <v>0</v>
      </c>
      <c r="M659">
        <v>6291.25</v>
      </c>
      <c r="N659">
        <v>2023</v>
      </c>
      <c r="O659">
        <v>10</v>
      </c>
    </row>
    <row r="660" spans="1:15" x14ac:dyDescent="0.3">
      <c r="A660">
        <v>38879</v>
      </c>
      <c r="B660">
        <v>3202702</v>
      </c>
      <c r="C660" t="s">
        <v>49</v>
      </c>
      <c r="D660">
        <v>0.31900000000000001</v>
      </c>
      <c r="E660">
        <v>1171927.49</v>
      </c>
      <c r="F660">
        <v>0</v>
      </c>
      <c r="G660">
        <v>1171927.49</v>
      </c>
      <c r="H660">
        <v>16624.28</v>
      </c>
      <c r="I660">
        <v>72207.45</v>
      </c>
      <c r="J660">
        <v>0.55500000000000005</v>
      </c>
      <c r="K660">
        <v>30847.67</v>
      </c>
      <c r="L660">
        <v>0</v>
      </c>
      <c r="M660">
        <v>6712.07</v>
      </c>
      <c r="N660">
        <v>2023</v>
      </c>
      <c r="O660">
        <v>10</v>
      </c>
    </row>
    <row r="661" spans="1:15" x14ac:dyDescent="0.3">
      <c r="A661">
        <v>38880</v>
      </c>
      <c r="B661">
        <v>3202801</v>
      </c>
      <c r="C661" t="s">
        <v>50</v>
      </c>
      <c r="D661">
        <v>2.4550000000000001</v>
      </c>
      <c r="E661">
        <v>9019065.8100000005</v>
      </c>
      <c r="F661">
        <v>0</v>
      </c>
      <c r="G661">
        <v>9019065.8100000005</v>
      </c>
      <c r="H661">
        <v>127939.22</v>
      </c>
      <c r="I661">
        <v>282779.62</v>
      </c>
      <c r="J661">
        <v>1.0409999999999999</v>
      </c>
      <c r="K661">
        <v>237401.27</v>
      </c>
      <c r="L661">
        <v>0</v>
      </c>
      <c r="M661">
        <v>51655.58</v>
      </c>
      <c r="N661">
        <v>2023</v>
      </c>
      <c r="O661">
        <v>10</v>
      </c>
    </row>
    <row r="662" spans="1:15" x14ac:dyDescent="0.3">
      <c r="A662">
        <v>38881</v>
      </c>
      <c r="B662">
        <v>3202900</v>
      </c>
      <c r="C662" t="s">
        <v>51</v>
      </c>
      <c r="D662">
        <v>0.34799999999999998</v>
      </c>
      <c r="E662">
        <v>1278466.3400000001</v>
      </c>
      <c r="F662">
        <v>0</v>
      </c>
      <c r="G662">
        <v>1278466.3400000001</v>
      </c>
      <c r="H662">
        <v>18135.580000000002</v>
      </c>
      <c r="I662">
        <v>98833.82</v>
      </c>
      <c r="J662">
        <v>0.435</v>
      </c>
      <c r="K662">
        <v>33651.99</v>
      </c>
      <c r="L662">
        <v>0</v>
      </c>
      <c r="M662">
        <v>7322.26</v>
      </c>
      <c r="N662">
        <v>2023</v>
      </c>
      <c r="O662">
        <v>10</v>
      </c>
    </row>
    <row r="663" spans="1:15" x14ac:dyDescent="0.3">
      <c r="A663">
        <v>38882</v>
      </c>
      <c r="B663">
        <v>3203007</v>
      </c>
      <c r="C663" t="s">
        <v>52</v>
      </c>
      <c r="D663">
        <v>0.496</v>
      </c>
      <c r="E663">
        <v>1822181.93</v>
      </c>
      <c r="F663">
        <v>0</v>
      </c>
      <c r="G663">
        <v>1822181.93</v>
      </c>
      <c r="H663">
        <v>25848.41</v>
      </c>
      <c r="I663">
        <v>224470.76</v>
      </c>
      <c r="J663">
        <v>0.89700000000000002</v>
      </c>
      <c r="K663">
        <v>47963.75</v>
      </c>
      <c r="L663">
        <v>0</v>
      </c>
      <c r="M663">
        <v>10436.32</v>
      </c>
      <c r="N663">
        <v>2023</v>
      </c>
      <c r="O663">
        <v>10</v>
      </c>
    </row>
    <row r="664" spans="1:15" x14ac:dyDescent="0.3">
      <c r="A664">
        <v>38883</v>
      </c>
      <c r="B664">
        <v>3203056</v>
      </c>
      <c r="C664" t="s">
        <v>53</v>
      </c>
      <c r="D664">
        <v>0.871</v>
      </c>
      <c r="E664">
        <v>3199839.63</v>
      </c>
      <c r="F664">
        <v>0</v>
      </c>
      <c r="G664">
        <v>3199839.63</v>
      </c>
      <c r="H664">
        <v>45391.06</v>
      </c>
      <c r="I664">
        <v>202926.58</v>
      </c>
      <c r="J664">
        <v>1</v>
      </c>
      <c r="K664">
        <v>84226.68</v>
      </c>
      <c r="L664">
        <v>0</v>
      </c>
      <c r="M664">
        <v>18326.68</v>
      </c>
      <c r="N664">
        <v>2023</v>
      </c>
      <c r="O664">
        <v>10</v>
      </c>
    </row>
    <row r="665" spans="1:15" x14ac:dyDescent="0.3">
      <c r="A665">
        <v>38884</v>
      </c>
      <c r="B665">
        <v>3203106</v>
      </c>
      <c r="C665" t="s">
        <v>54</v>
      </c>
      <c r="D665">
        <v>0.21</v>
      </c>
      <c r="E665">
        <v>771488.32</v>
      </c>
      <c r="F665">
        <v>0</v>
      </c>
      <c r="G665">
        <v>771488.32</v>
      </c>
      <c r="H665">
        <v>10943.88</v>
      </c>
      <c r="I665">
        <v>62192.639999999999</v>
      </c>
      <c r="J665">
        <v>0.45800000000000002</v>
      </c>
      <c r="K665">
        <v>20307.240000000002</v>
      </c>
      <c r="L665">
        <v>0</v>
      </c>
      <c r="M665">
        <v>4418.6000000000004</v>
      </c>
      <c r="N665">
        <v>2023</v>
      </c>
      <c r="O665">
        <v>10</v>
      </c>
    </row>
    <row r="666" spans="1:15" x14ac:dyDescent="0.3">
      <c r="A666">
        <v>38885</v>
      </c>
      <c r="B666">
        <v>3203130</v>
      </c>
      <c r="C666" t="s">
        <v>55</v>
      </c>
      <c r="D666">
        <v>0.36199999999999999</v>
      </c>
      <c r="E666">
        <v>1329898.92</v>
      </c>
      <c r="F666">
        <v>0</v>
      </c>
      <c r="G666">
        <v>1329898.92</v>
      </c>
      <c r="H666">
        <v>18865.169999999998</v>
      </c>
      <c r="I666">
        <v>117717.55</v>
      </c>
      <c r="J666">
        <v>0.66600000000000004</v>
      </c>
      <c r="K666">
        <v>35005.81</v>
      </c>
      <c r="L666">
        <v>0</v>
      </c>
      <c r="M666">
        <v>7616.83</v>
      </c>
      <c r="N666">
        <v>2023</v>
      </c>
      <c r="O666">
        <v>10</v>
      </c>
    </row>
    <row r="667" spans="1:15" x14ac:dyDescent="0.3">
      <c r="A667">
        <v>38886</v>
      </c>
      <c r="B667">
        <v>3203163</v>
      </c>
      <c r="C667" t="s">
        <v>56</v>
      </c>
      <c r="D667">
        <v>0.373</v>
      </c>
      <c r="E667">
        <v>1370310.2</v>
      </c>
      <c r="F667">
        <v>0</v>
      </c>
      <c r="G667">
        <v>1370310.2</v>
      </c>
      <c r="H667">
        <v>19438.419999999998</v>
      </c>
      <c r="I667">
        <v>32628.17</v>
      </c>
      <c r="J667">
        <v>0.441</v>
      </c>
      <c r="K667">
        <v>36069.519999999997</v>
      </c>
      <c r="L667">
        <v>0</v>
      </c>
      <c r="M667">
        <v>7848.28</v>
      </c>
      <c r="N667">
        <v>2023</v>
      </c>
      <c r="O667">
        <v>10</v>
      </c>
    </row>
    <row r="668" spans="1:15" x14ac:dyDescent="0.3">
      <c r="A668">
        <v>38887</v>
      </c>
      <c r="B668">
        <v>3203205</v>
      </c>
      <c r="C668" t="s">
        <v>57</v>
      </c>
      <c r="D668">
        <v>4.9790000000000001</v>
      </c>
      <c r="E668">
        <v>18291620.609999999</v>
      </c>
      <c r="F668">
        <v>0</v>
      </c>
      <c r="G668">
        <v>18291620.609999999</v>
      </c>
      <c r="H668">
        <v>259474.29</v>
      </c>
      <c r="I668">
        <v>1722467.64</v>
      </c>
      <c r="J668">
        <v>4.0880000000000001</v>
      </c>
      <c r="K668">
        <v>481474.92</v>
      </c>
      <c r="L668">
        <v>0</v>
      </c>
      <c r="M668">
        <v>104762.99</v>
      </c>
      <c r="N668">
        <v>2023</v>
      </c>
      <c r="O668">
        <v>10</v>
      </c>
    </row>
    <row r="669" spans="1:15" x14ac:dyDescent="0.3">
      <c r="A669">
        <v>38888</v>
      </c>
      <c r="B669">
        <v>3203304</v>
      </c>
      <c r="C669" t="s">
        <v>58</v>
      </c>
      <c r="D669">
        <v>0.27600000000000002</v>
      </c>
      <c r="E669">
        <v>1013956.09</v>
      </c>
      <c r="F669">
        <v>0</v>
      </c>
      <c r="G669">
        <v>1013956.09</v>
      </c>
      <c r="H669">
        <v>14383.39</v>
      </c>
      <c r="I669">
        <v>108553.4</v>
      </c>
      <c r="J669">
        <v>0.57599999999999996</v>
      </c>
      <c r="K669">
        <v>26689.51</v>
      </c>
      <c r="L669">
        <v>0</v>
      </c>
      <c r="M669">
        <v>5807.31</v>
      </c>
      <c r="N669">
        <v>2023</v>
      </c>
      <c r="O669">
        <v>10</v>
      </c>
    </row>
    <row r="670" spans="1:15" x14ac:dyDescent="0.3">
      <c r="A670">
        <v>38889</v>
      </c>
      <c r="B670">
        <v>3203320</v>
      </c>
      <c r="C670" t="s">
        <v>59</v>
      </c>
      <c r="D670">
        <v>0.65800000000000003</v>
      </c>
      <c r="E670">
        <v>2417330.0499999998</v>
      </c>
      <c r="F670">
        <v>0</v>
      </c>
      <c r="G670">
        <v>2417330.0499999998</v>
      </c>
      <c r="H670">
        <v>34290.839999999997</v>
      </c>
      <c r="I670">
        <v>404536.54</v>
      </c>
      <c r="J670">
        <v>1.171</v>
      </c>
      <c r="K670">
        <v>63629.34</v>
      </c>
      <c r="L670">
        <v>0</v>
      </c>
      <c r="M670">
        <v>13844.96</v>
      </c>
      <c r="N670">
        <v>2023</v>
      </c>
      <c r="O670">
        <v>10</v>
      </c>
    </row>
    <row r="671" spans="1:15" x14ac:dyDescent="0.3">
      <c r="A671">
        <v>38890</v>
      </c>
      <c r="B671">
        <v>3203346</v>
      </c>
      <c r="C671" t="s">
        <v>60</v>
      </c>
      <c r="D671">
        <v>0.61099999999999999</v>
      </c>
      <c r="E671">
        <v>2244663.63</v>
      </c>
      <c r="F671">
        <v>0</v>
      </c>
      <c r="G671">
        <v>2244663.63</v>
      </c>
      <c r="H671">
        <v>31841.49</v>
      </c>
      <c r="I671">
        <v>131572.88</v>
      </c>
      <c r="J671">
        <v>0.67100000000000004</v>
      </c>
      <c r="K671">
        <v>59084.39</v>
      </c>
      <c r="L671">
        <v>0</v>
      </c>
      <c r="M671">
        <v>12856.03</v>
      </c>
      <c r="N671">
        <v>2023</v>
      </c>
      <c r="O671">
        <v>10</v>
      </c>
    </row>
    <row r="672" spans="1:15" x14ac:dyDescent="0.3">
      <c r="A672">
        <v>38891</v>
      </c>
      <c r="B672">
        <v>3203353</v>
      </c>
      <c r="C672" t="s">
        <v>61</v>
      </c>
      <c r="D672">
        <v>0.436</v>
      </c>
      <c r="E672">
        <v>1601756.71</v>
      </c>
      <c r="F672">
        <v>0</v>
      </c>
      <c r="G672">
        <v>1601756.71</v>
      </c>
      <c r="H672">
        <v>22721.59</v>
      </c>
      <c r="I672">
        <v>95363.35</v>
      </c>
      <c r="J672">
        <v>0.46700000000000003</v>
      </c>
      <c r="K672">
        <v>42161.7</v>
      </c>
      <c r="L672">
        <v>0</v>
      </c>
      <c r="M672">
        <v>9173.86</v>
      </c>
      <c r="N672">
        <v>2023</v>
      </c>
      <c r="O672">
        <v>10</v>
      </c>
    </row>
    <row r="673" spans="1:15" x14ac:dyDescent="0.3">
      <c r="A673">
        <v>38892</v>
      </c>
      <c r="B673">
        <v>3203403</v>
      </c>
      <c r="C673" t="s">
        <v>62</v>
      </c>
      <c r="D673">
        <v>0.495</v>
      </c>
      <c r="E673">
        <v>1818508.17</v>
      </c>
      <c r="F673">
        <v>0</v>
      </c>
      <c r="G673">
        <v>1818508.17</v>
      </c>
      <c r="H673">
        <v>25796.3</v>
      </c>
      <c r="I673">
        <v>147813.79</v>
      </c>
      <c r="J673">
        <v>0.85599999999999998</v>
      </c>
      <c r="K673">
        <v>47867.06</v>
      </c>
      <c r="L673">
        <v>0</v>
      </c>
      <c r="M673">
        <v>10415.280000000001</v>
      </c>
      <c r="N673">
        <v>2023</v>
      </c>
      <c r="O673">
        <v>10</v>
      </c>
    </row>
    <row r="674" spans="1:15" x14ac:dyDescent="0.3">
      <c r="A674">
        <v>38893</v>
      </c>
      <c r="B674">
        <v>3203502</v>
      </c>
      <c r="C674" t="s">
        <v>63</v>
      </c>
      <c r="D674">
        <v>0.52100000000000002</v>
      </c>
      <c r="E674">
        <v>1914025.77</v>
      </c>
      <c r="F674">
        <v>0</v>
      </c>
      <c r="G674">
        <v>1914025.77</v>
      </c>
      <c r="H674">
        <v>27151.26</v>
      </c>
      <c r="I674">
        <v>150409.67000000001</v>
      </c>
      <c r="J674">
        <v>0.69299999999999995</v>
      </c>
      <c r="K674">
        <v>50381.279999999999</v>
      </c>
      <c r="L674">
        <v>0</v>
      </c>
      <c r="M674">
        <v>10962.34</v>
      </c>
      <c r="N674">
        <v>2023</v>
      </c>
      <c r="O674">
        <v>10</v>
      </c>
    </row>
    <row r="675" spans="1:15" x14ac:dyDescent="0.3">
      <c r="A675">
        <v>38894</v>
      </c>
      <c r="B675">
        <v>3203601</v>
      </c>
      <c r="C675" t="s">
        <v>64</v>
      </c>
      <c r="D675">
        <v>0.28299999999999997</v>
      </c>
      <c r="E675">
        <v>1039672.34</v>
      </c>
      <c r="F675">
        <v>0</v>
      </c>
      <c r="G675">
        <v>1039672.34</v>
      </c>
      <c r="H675">
        <v>14748.19</v>
      </c>
      <c r="I675">
        <v>42395.5</v>
      </c>
      <c r="J675">
        <v>0.29799999999999999</v>
      </c>
      <c r="K675">
        <v>27366.42</v>
      </c>
      <c r="L675">
        <v>0</v>
      </c>
      <c r="M675">
        <v>5954.59</v>
      </c>
      <c r="N675">
        <v>2023</v>
      </c>
      <c r="O675">
        <v>10</v>
      </c>
    </row>
    <row r="676" spans="1:15" x14ac:dyDescent="0.3">
      <c r="A676">
        <v>38895</v>
      </c>
      <c r="B676">
        <v>3203700</v>
      </c>
      <c r="C676" t="s">
        <v>65</v>
      </c>
      <c r="D676">
        <v>0.54600000000000004</v>
      </c>
      <c r="E676">
        <v>2005869.61</v>
      </c>
      <c r="F676">
        <v>0</v>
      </c>
      <c r="G676">
        <v>2005869.61</v>
      </c>
      <c r="H676">
        <v>28454.1</v>
      </c>
      <c r="I676">
        <v>67300.88</v>
      </c>
      <c r="J676">
        <v>0.67100000000000004</v>
      </c>
      <c r="K676">
        <v>52798.81</v>
      </c>
      <c r="L676">
        <v>0</v>
      </c>
      <c r="M676">
        <v>11488.37</v>
      </c>
      <c r="N676">
        <v>2023</v>
      </c>
      <c r="O676">
        <v>10</v>
      </c>
    </row>
    <row r="677" spans="1:15" x14ac:dyDescent="0.3">
      <c r="A677">
        <v>38896</v>
      </c>
      <c r="B677">
        <v>3203809</v>
      </c>
      <c r="C677" t="s">
        <v>66</v>
      </c>
      <c r="D677">
        <v>0.28100000000000003</v>
      </c>
      <c r="E677">
        <v>1032324.85</v>
      </c>
      <c r="F677">
        <v>0</v>
      </c>
      <c r="G677">
        <v>1032324.85</v>
      </c>
      <c r="H677">
        <v>14643.96</v>
      </c>
      <c r="I677">
        <v>67037.34</v>
      </c>
      <c r="J677">
        <v>0.57499999999999996</v>
      </c>
      <c r="K677">
        <v>27173.02</v>
      </c>
      <c r="L677">
        <v>0</v>
      </c>
      <c r="M677">
        <v>5912.51</v>
      </c>
      <c r="N677">
        <v>2023</v>
      </c>
      <c r="O677">
        <v>10</v>
      </c>
    </row>
    <row r="678" spans="1:15" x14ac:dyDescent="0.3">
      <c r="A678">
        <v>38897</v>
      </c>
      <c r="B678">
        <v>3203908</v>
      </c>
      <c r="C678" t="s">
        <v>67</v>
      </c>
      <c r="D678">
        <v>1.3109999999999999</v>
      </c>
      <c r="E678">
        <v>4816291.3499999996</v>
      </c>
      <c r="F678">
        <v>0</v>
      </c>
      <c r="G678">
        <v>4816291.3499999996</v>
      </c>
      <c r="H678">
        <v>68321.11</v>
      </c>
      <c r="I678">
        <v>483308.02</v>
      </c>
      <c r="J678">
        <v>1.4650000000000001</v>
      </c>
      <c r="K678">
        <v>126775.19</v>
      </c>
      <c r="L678">
        <v>0</v>
      </c>
      <c r="M678">
        <v>27584.71</v>
      </c>
      <c r="N678">
        <v>2023</v>
      </c>
      <c r="O678">
        <v>10</v>
      </c>
    </row>
    <row r="679" spans="1:15" x14ac:dyDescent="0.3">
      <c r="A679">
        <v>38898</v>
      </c>
      <c r="B679">
        <v>3204005</v>
      </c>
      <c r="C679" t="s">
        <v>68</v>
      </c>
      <c r="D679">
        <v>0.436</v>
      </c>
      <c r="E679">
        <v>1601756.71</v>
      </c>
      <c r="F679">
        <v>0</v>
      </c>
      <c r="G679">
        <v>1601756.71</v>
      </c>
      <c r="H679">
        <v>22721.59</v>
      </c>
      <c r="I679">
        <v>103743.87</v>
      </c>
      <c r="J679">
        <v>0.747</v>
      </c>
      <c r="K679">
        <v>42161.7</v>
      </c>
      <c r="L679">
        <v>0</v>
      </c>
      <c r="M679">
        <v>9173.86</v>
      </c>
      <c r="N679">
        <v>2023</v>
      </c>
      <c r="O679">
        <v>10</v>
      </c>
    </row>
    <row r="680" spans="1:15" x14ac:dyDescent="0.3">
      <c r="A680">
        <v>38899</v>
      </c>
      <c r="B680">
        <v>3204054</v>
      </c>
      <c r="C680" t="s">
        <v>69</v>
      </c>
      <c r="D680">
        <v>0.307</v>
      </c>
      <c r="E680">
        <v>1127842.44</v>
      </c>
      <c r="F680">
        <v>0</v>
      </c>
      <c r="G680">
        <v>1127842.44</v>
      </c>
      <c r="H680">
        <v>15998.92</v>
      </c>
      <c r="I680">
        <v>191027.21</v>
      </c>
      <c r="J680">
        <v>0.86199999999999999</v>
      </c>
      <c r="K680">
        <v>29687.25</v>
      </c>
      <c r="L680">
        <v>0</v>
      </c>
      <c r="M680">
        <v>6459.58</v>
      </c>
      <c r="N680">
        <v>2023</v>
      </c>
      <c r="O680">
        <v>10</v>
      </c>
    </row>
    <row r="681" spans="1:15" x14ac:dyDescent="0.3">
      <c r="A681">
        <v>38900</v>
      </c>
      <c r="B681">
        <v>3204104</v>
      </c>
      <c r="C681" t="s">
        <v>70</v>
      </c>
      <c r="D681">
        <v>0.73199999999999998</v>
      </c>
      <c r="E681">
        <v>2689187.8399999999</v>
      </c>
      <c r="F681">
        <v>0</v>
      </c>
      <c r="G681">
        <v>2689187.8399999999</v>
      </c>
      <c r="H681">
        <v>38147.25</v>
      </c>
      <c r="I681">
        <v>173249.96</v>
      </c>
      <c r="J681">
        <v>0.875</v>
      </c>
      <c r="K681">
        <v>70785.22</v>
      </c>
      <c r="L681">
        <v>0</v>
      </c>
      <c r="M681">
        <v>15401.99</v>
      </c>
      <c r="N681">
        <v>2023</v>
      </c>
      <c r="O681">
        <v>10</v>
      </c>
    </row>
    <row r="682" spans="1:15" x14ac:dyDescent="0.3">
      <c r="A682">
        <v>38901</v>
      </c>
      <c r="B682">
        <v>3204203</v>
      </c>
      <c r="C682" t="s">
        <v>71</v>
      </c>
      <c r="D682">
        <v>0.14199999999999999</v>
      </c>
      <c r="E682">
        <v>521673.04</v>
      </c>
      <c r="F682">
        <v>0</v>
      </c>
      <c r="G682">
        <v>521673.04</v>
      </c>
      <c r="H682">
        <v>7400.15</v>
      </c>
      <c r="I682">
        <v>227359.95</v>
      </c>
      <c r="J682">
        <v>0.73399999999999999</v>
      </c>
      <c r="K682">
        <v>13731.56</v>
      </c>
      <c r="L682">
        <v>0</v>
      </c>
      <c r="M682">
        <v>2987.82</v>
      </c>
      <c r="N682">
        <v>2023</v>
      </c>
      <c r="O682">
        <v>10</v>
      </c>
    </row>
    <row r="683" spans="1:15" x14ac:dyDescent="0.3">
      <c r="A683">
        <v>38902</v>
      </c>
      <c r="B683">
        <v>3204252</v>
      </c>
      <c r="C683" t="s">
        <v>72</v>
      </c>
      <c r="D683">
        <v>0.20899999999999999</v>
      </c>
      <c r="E683">
        <v>767814.56</v>
      </c>
      <c r="F683">
        <v>0</v>
      </c>
      <c r="G683">
        <v>767814.56</v>
      </c>
      <c r="H683">
        <v>10891.77</v>
      </c>
      <c r="I683">
        <v>39550.870000000003</v>
      </c>
      <c r="J683">
        <v>0.32900000000000001</v>
      </c>
      <c r="K683">
        <v>20210.54</v>
      </c>
      <c r="L683">
        <v>0</v>
      </c>
      <c r="M683">
        <v>4397.5600000000004</v>
      </c>
      <c r="N683">
        <v>2023</v>
      </c>
      <c r="O683">
        <v>10</v>
      </c>
    </row>
    <row r="684" spans="1:15" x14ac:dyDescent="0.3">
      <c r="A684">
        <v>38903</v>
      </c>
      <c r="B684">
        <v>1718402</v>
      </c>
      <c r="C684" t="s">
        <v>73</v>
      </c>
      <c r="D684">
        <v>0.32</v>
      </c>
      <c r="E684">
        <v>1175601.26</v>
      </c>
      <c r="F684">
        <v>0</v>
      </c>
      <c r="G684">
        <v>1175601.26</v>
      </c>
      <c r="H684">
        <v>16676.400000000001</v>
      </c>
      <c r="I684">
        <v>151142.07999999999</v>
      </c>
      <c r="J684">
        <v>0.45100000000000001</v>
      </c>
      <c r="K684">
        <v>30944.36</v>
      </c>
      <c r="L684">
        <v>0</v>
      </c>
      <c r="M684">
        <v>6733.11</v>
      </c>
      <c r="N684">
        <v>2023</v>
      </c>
      <c r="O684">
        <v>10</v>
      </c>
    </row>
    <row r="685" spans="1:15" x14ac:dyDescent="0.3">
      <c r="A685">
        <v>38904</v>
      </c>
      <c r="B685">
        <v>3204351</v>
      </c>
      <c r="C685" t="s">
        <v>74</v>
      </c>
      <c r="D685">
        <v>0.85399999999999998</v>
      </c>
      <c r="E685">
        <v>3137385.82</v>
      </c>
      <c r="F685">
        <v>0</v>
      </c>
      <c r="G685">
        <v>3137385.82</v>
      </c>
      <c r="H685">
        <v>44505.13</v>
      </c>
      <c r="I685">
        <v>114827</v>
      </c>
      <c r="J685">
        <v>0.69799999999999995</v>
      </c>
      <c r="K685">
        <v>82582.77</v>
      </c>
      <c r="L685">
        <v>0</v>
      </c>
      <c r="M685">
        <v>17968.990000000002</v>
      </c>
      <c r="N685">
        <v>2023</v>
      </c>
      <c r="O685">
        <v>10</v>
      </c>
    </row>
    <row r="686" spans="1:15" x14ac:dyDescent="0.3">
      <c r="A686">
        <v>38905</v>
      </c>
      <c r="B686">
        <v>3204401</v>
      </c>
      <c r="C686" t="s">
        <v>75</v>
      </c>
      <c r="D686">
        <v>0.25</v>
      </c>
      <c r="E686">
        <v>918438.48</v>
      </c>
      <c r="F686">
        <v>0</v>
      </c>
      <c r="G686">
        <v>918438.48</v>
      </c>
      <c r="H686">
        <v>13028.43</v>
      </c>
      <c r="I686">
        <v>80725.09</v>
      </c>
      <c r="J686">
        <v>0.45</v>
      </c>
      <c r="K686">
        <v>24175.29</v>
      </c>
      <c r="L686">
        <v>0</v>
      </c>
      <c r="M686">
        <v>5260.24</v>
      </c>
      <c r="N686">
        <v>2023</v>
      </c>
      <c r="O686">
        <v>10</v>
      </c>
    </row>
    <row r="687" spans="1:15" x14ac:dyDescent="0.3">
      <c r="A687">
        <v>38906</v>
      </c>
      <c r="B687">
        <v>3204500</v>
      </c>
      <c r="C687" t="s">
        <v>76</v>
      </c>
      <c r="D687">
        <v>0.54500000000000004</v>
      </c>
      <c r="E687">
        <v>2002195.87</v>
      </c>
      <c r="F687">
        <v>0</v>
      </c>
      <c r="G687">
        <v>2002195.87</v>
      </c>
      <c r="H687">
        <v>28401.99</v>
      </c>
      <c r="I687">
        <v>45703.69</v>
      </c>
      <c r="J687">
        <v>0.45600000000000002</v>
      </c>
      <c r="K687">
        <v>52702.11</v>
      </c>
      <c r="L687">
        <v>0</v>
      </c>
      <c r="M687">
        <v>11467.33</v>
      </c>
      <c r="N687">
        <v>2023</v>
      </c>
      <c r="O687">
        <v>10</v>
      </c>
    </row>
    <row r="688" spans="1:15" x14ac:dyDescent="0.3">
      <c r="A688">
        <v>38907</v>
      </c>
      <c r="B688">
        <v>3204559</v>
      </c>
      <c r="C688" t="s">
        <v>77</v>
      </c>
      <c r="D688">
        <v>2.2349999999999999</v>
      </c>
      <c r="E688">
        <v>8210839.9199999999</v>
      </c>
      <c r="F688">
        <v>0</v>
      </c>
      <c r="G688">
        <v>8210839.9199999999</v>
      </c>
      <c r="H688">
        <v>116474.2</v>
      </c>
      <c r="I688">
        <v>387468.24</v>
      </c>
      <c r="J688">
        <v>1.1990000000000001</v>
      </c>
      <c r="K688">
        <v>216127.02</v>
      </c>
      <c r="L688">
        <v>0</v>
      </c>
      <c r="M688">
        <v>47026.57</v>
      </c>
      <c r="N688">
        <v>2023</v>
      </c>
      <c r="O688">
        <v>10</v>
      </c>
    </row>
    <row r="689" spans="1:15" x14ac:dyDescent="0.3">
      <c r="A689">
        <v>38908</v>
      </c>
      <c r="B689">
        <v>3204609</v>
      </c>
      <c r="C689" t="s">
        <v>78</v>
      </c>
      <c r="D689">
        <v>0.65100000000000002</v>
      </c>
      <c r="E689">
        <v>2391613.79</v>
      </c>
      <c r="F689">
        <v>0</v>
      </c>
      <c r="G689">
        <v>2391613.79</v>
      </c>
      <c r="H689">
        <v>33926.04</v>
      </c>
      <c r="I689">
        <v>205344.73</v>
      </c>
      <c r="J689">
        <v>0.82899999999999996</v>
      </c>
      <c r="K689">
        <v>62952.44</v>
      </c>
      <c r="L689">
        <v>0</v>
      </c>
      <c r="M689">
        <v>13697.67</v>
      </c>
      <c r="N689">
        <v>2023</v>
      </c>
      <c r="O689">
        <v>10</v>
      </c>
    </row>
    <row r="690" spans="1:15" x14ac:dyDescent="0.3">
      <c r="A690">
        <v>38909</v>
      </c>
      <c r="B690">
        <v>3204658</v>
      </c>
      <c r="C690" t="s">
        <v>79</v>
      </c>
      <c r="D690">
        <v>0.42299999999999999</v>
      </c>
      <c r="E690">
        <v>1553997.9</v>
      </c>
      <c r="F690">
        <v>0</v>
      </c>
      <c r="G690">
        <v>1553997.9</v>
      </c>
      <c r="H690">
        <v>22044.11</v>
      </c>
      <c r="I690">
        <v>62010.12</v>
      </c>
      <c r="J690">
        <v>0.33700000000000002</v>
      </c>
      <c r="K690">
        <v>40904.58</v>
      </c>
      <c r="L690">
        <v>0</v>
      </c>
      <c r="M690">
        <v>8900.33</v>
      </c>
      <c r="N690">
        <v>2023</v>
      </c>
      <c r="O690">
        <v>10</v>
      </c>
    </row>
    <row r="691" spans="1:15" x14ac:dyDescent="0.3">
      <c r="A691">
        <v>38910</v>
      </c>
      <c r="B691">
        <v>3204708</v>
      </c>
      <c r="C691" t="s">
        <v>80</v>
      </c>
      <c r="D691">
        <v>0.85199999999999998</v>
      </c>
      <c r="E691">
        <v>3130038.33</v>
      </c>
      <c r="F691">
        <v>0</v>
      </c>
      <c r="G691">
        <v>3130038.33</v>
      </c>
      <c r="H691">
        <v>44400.9</v>
      </c>
      <c r="I691">
        <v>315630.39</v>
      </c>
      <c r="J691">
        <v>1.169</v>
      </c>
      <c r="K691">
        <v>82389.36</v>
      </c>
      <c r="L691">
        <v>0</v>
      </c>
      <c r="M691">
        <v>17926.91</v>
      </c>
      <c r="N691">
        <v>2023</v>
      </c>
      <c r="O691">
        <v>10</v>
      </c>
    </row>
    <row r="692" spans="1:15" x14ac:dyDescent="0.3">
      <c r="A692">
        <v>38911</v>
      </c>
      <c r="B692">
        <v>3204807</v>
      </c>
      <c r="C692" t="s">
        <v>81</v>
      </c>
      <c r="D692">
        <v>0.22600000000000001</v>
      </c>
      <c r="E692">
        <v>830268.4</v>
      </c>
      <c r="F692">
        <v>0</v>
      </c>
      <c r="G692">
        <v>830268.4</v>
      </c>
      <c r="H692">
        <v>11777.7</v>
      </c>
      <c r="I692">
        <v>48821.3</v>
      </c>
      <c r="J692">
        <v>0.436</v>
      </c>
      <c r="K692">
        <v>21854.46</v>
      </c>
      <c r="L692">
        <v>0</v>
      </c>
      <c r="M692">
        <v>4755.26</v>
      </c>
      <c r="N692">
        <v>2023</v>
      </c>
      <c r="O692">
        <v>10</v>
      </c>
    </row>
    <row r="693" spans="1:15" x14ac:dyDescent="0.3">
      <c r="A693">
        <v>38912</v>
      </c>
      <c r="B693">
        <v>3204906</v>
      </c>
      <c r="C693" t="s">
        <v>82</v>
      </c>
      <c r="D693">
        <v>1.901</v>
      </c>
      <c r="E693">
        <v>6983806.1500000004</v>
      </c>
      <c r="F693">
        <v>0</v>
      </c>
      <c r="G693">
        <v>6983806.1500000004</v>
      </c>
      <c r="H693">
        <v>99068.21</v>
      </c>
      <c r="I693">
        <v>1147015.79</v>
      </c>
      <c r="J693">
        <v>3.0249999999999999</v>
      </c>
      <c r="K693">
        <v>183828.85</v>
      </c>
      <c r="L693">
        <v>0</v>
      </c>
      <c r="M693">
        <v>39998.879999999997</v>
      </c>
      <c r="N693">
        <v>2023</v>
      </c>
      <c r="O693">
        <v>10</v>
      </c>
    </row>
    <row r="694" spans="1:15" x14ac:dyDescent="0.3">
      <c r="A694">
        <v>38913</v>
      </c>
      <c r="B694">
        <v>3204955</v>
      </c>
      <c r="C694" t="s">
        <v>83</v>
      </c>
      <c r="D694">
        <v>0.312</v>
      </c>
      <c r="E694">
        <v>1146211.23</v>
      </c>
      <c r="F694">
        <v>0</v>
      </c>
      <c r="G694">
        <v>1146211.23</v>
      </c>
      <c r="H694">
        <v>16259.49</v>
      </c>
      <c r="I694">
        <v>64084.84</v>
      </c>
      <c r="J694">
        <v>0.46100000000000002</v>
      </c>
      <c r="K694">
        <v>30170.76</v>
      </c>
      <c r="L694">
        <v>0</v>
      </c>
      <c r="M694">
        <v>6564.78</v>
      </c>
      <c r="N694">
        <v>2023</v>
      </c>
      <c r="O694">
        <v>10</v>
      </c>
    </row>
    <row r="695" spans="1:15" x14ac:dyDescent="0.3">
      <c r="A695">
        <v>38914</v>
      </c>
      <c r="B695">
        <v>3205002</v>
      </c>
      <c r="C695" t="s">
        <v>84</v>
      </c>
      <c r="D695">
        <v>15.625</v>
      </c>
      <c r="E695">
        <v>57402404.479999997</v>
      </c>
      <c r="F695">
        <v>0</v>
      </c>
      <c r="G695">
        <v>57402404.479999997</v>
      </c>
      <c r="H695">
        <v>814277.13</v>
      </c>
      <c r="I695">
        <v>4521423.34</v>
      </c>
      <c r="J695">
        <v>8.4320000000000004</v>
      </c>
      <c r="K695">
        <v>1510955.14</v>
      </c>
      <c r="L695">
        <v>0</v>
      </c>
      <c r="M695">
        <v>328765.14</v>
      </c>
      <c r="N695">
        <v>2023</v>
      </c>
      <c r="O695">
        <v>10</v>
      </c>
    </row>
    <row r="696" spans="1:15" x14ac:dyDescent="0.3">
      <c r="A696">
        <v>38915</v>
      </c>
      <c r="B696">
        <v>3205010</v>
      </c>
      <c r="C696" t="s">
        <v>85</v>
      </c>
      <c r="D696">
        <v>0.72199999999999998</v>
      </c>
      <c r="E696">
        <v>2652450.2799999998</v>
      </c>
      <c r="F696">
        <v>0</v>
      </c>
      <c r="G696">
        <v>2652450.2799999998</v>
      </c>
      <c r="H696">
        <v>37626.120000000003</v>
      </c>
      <c r="I696">
        <v>176932.81</v>
      </c>
      <c r="J696">
        <v>0.997</v>
      </c>
      <c r="K696">
        <v>69818.22</v>
      </c>
      <c r="L696">
        <v>0</v>
      </c>
      <c r="M696">
        <v>15191.58</v>
      </c>
      <c r="N696">
        <v>2023</v>
      </c>
      <c r="O696">
        <v>10</v>
      </c>
    </row>
    <row r="697" spans="1:15" x14ac:dyDescent="0.3">
      <c r="A697">
        <v>38916</v>
      </c>
      <c r="B697">
        <v>3205036</v>
      </c>
      <c r="C697" t="s">
        <v>86</v>
      </c>
      <c r="D697">
        <v>0.49099999999999999</v>
      </c>
      <c r="E697">
        <v>1803813.14</v>
      </c>
      <c r="F697">
        <v>0</v>
      </c>
      <c r="G697">
        <v>1803813.14</v>
      </c>
      <c r="H697">
        <v>25587.84</v>
      </c>
      <c r="I697">
        <v>158240.29</v>
      </c>
      <c r="J697">
        <v>0.72699999999999998</v>
      </c>
      <c r="K697">
        <v>47480.25</v>
      </c>
      <c r="L697">
        <v>0</v>
      </c>
      <c r="M697">
        <v>10331.120000000001</v>
      </c>
      <c r="N697">
        <v>2023</v>
      </c>
      <c r="O697">
        <v>10</v>
      </c>
    </row>
    <row r="698" spans="1:15" x14ac:dyDescent="0.3">
      <c r="A698">
        <v>38917</v>
      </c>
      <c r="B698">
        <v>3205069</v>
      </c>
      <c r="C698" t="s">
        <v>87</v>
      </c>
      <c r="D698">
        <v>0.68700000000000006</v>
      </c>
      <c r="E698">
        <v>2523868.91</v>
      </c>
      <c r="F698">
        <v>0</v>
      </c>
      <c r="G698">
        <v>2523868.91</v>
      </c>
      <c r="H698">
        <v>35802.14</v>
      </c>
      <c r="I698">
        <v>227931.76</v>
      </c>
      <c r="J698">
        <v>0.85799999999999998</v>
      </c>
      <c r="K698">
        <v>66433.679999999993</v>
      </c>
      <c r="L698">
        <v>0</v>
      </c>
      <c r="M698">
        <v>14455.15</v>
      </c>
      <c r="N698">
        <v>2023</v>
      </c>
      <c r="O698">
        <v>10</v>
      </c>
    </row>
    <row r="699" spans="1:15" x14ac:dyDescent="0.3">
      <c r="A699">
        <v>38918</v>
      </c>
      <c r="B699">
        <v>2112803</v>
      </c>
      <c r="C699" t="s">
        <v>88</v>
      </c>
      <c r="D699">
        <v>2.9870000000000001</v>
      </c>
      <c r="E699">
        <v>10973502.869999999</v>
      </c>
      <c r="F699">
        <v>0</v>
      </c>
      <c r="G699">
        <v>10973502.869999999</v>
      </c>
      <c r="H699">
        <v>155663.73000000001</v>
      </c>
      <c r="I699">
        <v>672690.74</v>
      </c>
      <c r="J699">
        <v>1.984</v>
      </c>
      <c r="K699">
        <v>288846.27</v>
      </c>
      <c r="L699">
        <v>0</v>
      </c>
      <c r="M699">
        <v>62849.38</v>
      </c>
      <c r="N699">
        <v>2023</v>
      </c>
      <c r="O699">
        <v>10</v>
      </c>
    </row>
    <row r="700" spans="1:15" x14ac:dyDescent="0.3">
      <c r="A700">
        <v>38919</v>
      </c>
      <c r="B700">
        <v>3205150</v>
      </c>
      <c r="C700" t="s">
        <v>89</v>
      </c>
      <c r="D700">
        <v>0.31900000000000001</v>
      </c>
      <c r="E700">
        <v>1171927.49</v>
      </c>
      <c r="F700">
        <v>0</v>
      </c>
      <c r="G700">
        <v>1171927.49</v>
      </c>
      <c r="H700">
        <v>16624.28</v>
      </c>
      <c r="I700">
        <v>42346.48</v>
      </c>
      <c r="J700">
        <v>0.34399999999999997</v>
      </c>
      <c r="K700">
        <v>30847.67</v>
      </c>
      <c r="L700">
        <v>0</v>
      </c>
      <c r="M700">
        <v>6712.07</v>
      </c>
      <c r="N700">
        <v>2023</v>
      </c>
      <c r="O700">
        <v>10</v>
      </c>
    </row>
    <row r="701" spans="1:15" x14ac:dyDescent="0.3">
      <c r="A701">
        <v>38920</v>
      </c>
      <c r="B701">
        <v>3205176</v>
      </c>
      <c r="C701" t="s">
        <v>90</v>
      </c>
      <c r="D701">
        <v>0.65800000000000003</v>
      </c>
      <c r="E701">
        <v>2417330.0499999998</v>
      </c>
      <c r="F701">
        <v>0</v>
      </c>
      <c r="G701">
        <v>2417330.0499999998</v>
      </c>
      <c r="H701">
        <v>34290.839999999997</v>
      </c>
      <c r="I701">
        <v>108191.37</v>
      </c>
      <c r="J701">
        <v>0.55600000000000005</v>
      </c>
      <c r="K701">
        <v>63629.34</v>
      </c>
      <c r="L701">
        <v>0</v>
      </c>
      <c r="M701">
        <v>13844.96</v>
      </c>
      <c r="N701">
        <v>2023</v>
      </c>
      <c r="O701">
        <v>10</v>
      </c>
    </row>
    <row r="702" spans="1:15" x14ac:dyDescent="0.3">
      <c r="A702">
        <v>38921</v>
      </c>
      <c r="B702">
        <v>3205200</v>
      </c>
      <c r="C702" t="s">
        <v>91</v>
      </c>
      <c r="D702">
        <v>5.056</v>
      </c>
      <c r="E702">
        <v>18574499.649999999</v>
      </c>
      <c r="F702">
        <v>0</v>
      </c>
      <c r="G702">
        <v>18574499.649999999</v>
      </c>
      <c r="H702">
        <v>263487.05</v>
      </c>
      <c r="I702">
        <v>5198455.53</v>
      </c>
      <c r="J702">
        <v>8.09</v>
      </c>
      <c r="K702">
        <v>488920.9</v>
      </c>
      <c r="L702">
        <v>0</v>
      </c>
      <c r="M702">
        <v>106383.14</v>
      </c>
      <c r="N702">
        <v>2023</v>
      </c>
      <c r="O702">
        <v>10</v>
      </c>
    </row>
    <row r="703" spans="1:15" x14ac:dyDescent="0.3">
      <c r="A703">
        <v>38922</v>
      </c>
      <c r="B703">
        <v>3205309</v>
      </c>
      <c r="C703" t="s">
        <v>92</v>
      </c>
      <c r="D703">
        <v>14.782</v>
      </c>
      <c r="E703">
        <v>54305429.859999999</v>
      </c>
      <c r="F703">
        <v>0</v>
      </c>
      <c r="G703">
        <v>54305429.859999999</v>
      </c>
      <c r="H703">
        <v>770345.25</v>
      </c>
      <c r="I703">
        <v>4547789.6500000004</v>
      </c>
      <c r="J703">
        <v>9.4969999999999999</v>
      </c>
      <c r="K703">
        <v>1429436.13</v>
      </c>
      <c r="L703">
        <v>0</v>
      </c>
      <c r="M703">
        <v>311027.59999999998</v>
      </c>
      <c r="N703">
        <v>2023</v>
      </c>
      <c r="O703">
        <v>10</v>
      </c>
    </row>
    <row r="704" spans="1:15" x14ac:dyDescent="0.3">
      <c r="A704">
        <v>38923</v>
      </c>
      <c r="B704">
        <v>3200102</v>
      </c>
      <c r="C704" t="s">
        <v>15</v>
      </c>
      <c r="D704">
        <v>0.76100000000000001</v>
      </c>
      <c r="E704">
        <v>2950837.83</v>
      </c>
      <c r="F704">
        <v>0</v>
      </c>
      <c r="G704">
        <v>2950837.83</v>
      </c>
      <c r="H704">
        <v>35500.300000000003</v>
      </c>
      <c r="I704">
        <v>149903.07</v>
      </c>
      <c r="J704">
        <v>0.98499999999999999</v>
      </c>
      <c r="K704">
        <v>61084.85</v>
      </c>
      <c r="L704">
        <v>0</v>
      </c>
      <c r="M704">
        <v>15889.89</v>
      </c>
      <c r="N704">
        <v>2023</v>
      </c>
      <c r="O704">
        <v>9</v>
      </c>
    </row>
    <row r="705" spans="1:15" x14ac:dyDescent="0.3">
      <c r="A705">
        <v>38924</v>
      </c>
      <c r="B705">
        <v>3200169</v>
      </c>
      <c r="C705" t="s">
        <v>16</v>
      </c>
      <c r="D705">
        <v>0.28899999999999998</v>
      </c>
      <c r="E705">
        <v>1120620.4099999999</v>
      </c>
      <c r="F705">
        <v>0</v>
      </c>
      <c r="G705">
        <v>1120620.4099999999</v>
      </c>
      <c r="H705">
        <v>13481.72</v>
      </c>
      <c r="I705">
        <v>65950.259999999995</v>
      </c>
      <c r="J705">
        <v>0.439</v>
      </c>
      <c r="K705">
        <v>23197.79</v>
      </c>
      <c r="L705">
        <v>0</v>
      </c>
      <c r="M705">
        <v>6034.4</v>
      </c>
      <c r="N705">
        <v>2023</v>
      </c>
      <c r="O705">
        <v>9</v>
      </c>
    </row>
    <row r="706" spans="1:15" x14ac:dyDescent="0.3">
      <c r="A706">
        <v>38925</v>
      </c>
      <c r="B706">
        <v>3200136</v>
      </c>
      <c r="C706" t="s">
        <v>17</v>
      </c>
      <c r="D706">
        <v>0.40400000000000003</v>
      </c>
      <c r="E706">
        <v>1566542.03</v>
      </c>
      <c r="F706">
        <v>0</v>
      </c>
      <c r="G706">
        <v>1566542.03</v>
      </c>
      <c r="H706">
        <v>18846.41</v>
      </c>
      <c r="I706">
        <v>59067.24</v>
      </c>
      <c r="J706">
        <v>0.34799999999999998</v>
      </c>
      <c r="K706">
        <v>32428.75</v>
      </c>
      <c r="L706">
        <v>0</v>
      </c>
      <c r="M706">
        <v>8435.6299999999992</v>
      </c>
      <c r="N706">
        <v>2023</v>
      </c>
      <c r="O706">
        <v>9</v>
      </c>
    </row>
    <row r="707" spans="1:15" x14ac:dyDescent="0.3">
      <c r="A707">
        <v>38926</v>
      </c>
      <c r="B707">
        <v>3200201</v>
      </c>
      <c r="C707" t="s">
        <v>18</v>
      </c>
      <c r="D707">
        <v>0.498</v>
      </c>
      <c r="E707">
        <v>1931034.49</v>
      </c>
      <c r="F707">
        <v>0</v>
      </c>
      <c r="G707">
        <v>1931034.49</v>
      </c>
      <c r="H707">
        <v>23231.47</v>
      </c>
      <c r="I707">
        <v>154869.78</v>
      </c>
      <c r="J707">
        <v>0.98</v>
      </c>
      <c r="K707">
        <v>39974.050000000003</v>
      </c>
      <c r="L707">
        <v>0</v>
      </c>
      <c r="M707">
        <v>10398.379999999999</v>
      </c>
      <c r="N707">
        <v>2023</v>
      </c>
      <c r="O707">
        <v>9</v>
      </c>
    </row>
    <row r="708" spans="1:15" x14ac:dyDescent="0.3">
      <c r="A708">
        <v>38927</v>
      </c>
      <c r="B708">
        <v>3200300</v>
      </c>
      <c r="C708" t="s">
        <v>19</v>
      </c>
      <c r="D708">
        <v>0.46700000000000003</v>
      </c>
      <c r="E708">
        <v>1810829.53</v>
      </c>
      <c r="F708">
        <v>0</v>
      </c>
      <c r="G708">
        <v>1810829.53</v>
      </c>
      <c r="H708">
        <v>21785.34</v>
      </c>
      <c r="I708">
        <v>111541.36</v>
      </c>
      <c r="J708">
        <v>0.56399999999999995</v>
      </c>
      <c r="K708">
        <v>37485.71</v>
      </c>
      <c r="L708">
        <v>0</v>
      </c>
      <c r="M708">
        <v>9751.09</v>
      </c>
      <c r="N708">
        <v>2023</v>
      </c>
      <c r="O708">
        <v>9</v>
      </c>
    </row>
    <row r="709" spans="1:15" x14ac:dyDescent="0.3">
      <c r="A709">
        <v>38928</v>
      </c>
      <c r="B709">
        <v>3200359</v>
      </c>
      <c r="C709" t="s">
        <v>20</v>
      </c>
      <c r="D709">
        <v>0.22600000000000001</v>
      </c>
      <c r="E709">
        <v>876332.92</v>
      </c>
      <c r="F709">
        <v>0</v>
      </c>
      <c r="G709">
        <v>876332.92</v>
      </c>
      <c r="H709">
        <v>10542.8</v>
      </c>
      <c r="I709">
        <v>33095.47</v>
      </c>
      <c r="J709">
        <v>0.32700000000000001</v>
      </c>
      <c r="K709">
        <v>18140.830000000002</v>
      </c>
      <c r="L709">
        <v>0</v>
      </c>
      <c r="M709">
        <v>4718.9399999999996</v>
      </c>
      <c r="N709">
        <v>2023</v>
      </c>
      <c r="O709">
        <v>9</v>
      </c>
    </row>
    <row r="710" spans="1:15" x14ac:dyDescent="0.3">
      <c r="A710">
        <v>38929</v>
      </c>
      <c r="B710">
        <v>3200409</v>
      </c>
      <c r="C710" t="s">
        <v>21</v>
      </c>
      <c r="D710">
        <v>3.1480000000000001</v>
      </c>
      <c r="E710">
        <v>12206619.609999999</v>
      </c>
      <c r="F710">
        <v>0</v>
      </c>
      <c r="G710">
        <v>12206619.609999999</v>
      </c>
      <c r="H710">
        <v>146852.76</v>
      </c>
      <c r="I710">
        <v>243880.14</v>
      </c>
      <c r="J710">
        <v>0.90800000000000003</v>
      </c>
      <c r="K710">
        <v>252687.38</v>
      </c>
      <c r="L710">
        <v>0</v>
      </c>
      <c r="M710">
        <v>65731.11</v>
      </c>
      <c r="N710">
        <v>2023</v>
      </c>
      <c r="O710">
        <v>9</v>
      </c>
    </row>
    <row r="711" spans="1:15" x14ac:dyDescent="0.3">
      <c r="A711">
        <v>38930</v>
      </c>
      <c r="B711">
        <v>3200508</v>
      </c>
      <c r="C711" t="s">
        <v>22</v>
      </c>
      <c r="D711">
        <v>0.185</v>
      </c>
      <c r="E711">
        <v>717352.17</v>
      </c>
      <c r="F711">
        <v>0</v>
      </c>
      <c r="G711">
        <v>717352.17</v>
      </c>
      <c r="H711">
        <v>8630.17</v>
      </c>
      <c r="I711">
        <v>79993.22</v>
      </c>
      <c r="J711">
        <v>0.32300000000000001</v>
      </c>
      <c r="K711">
        <v>14849.8</v>
      </c>
      <c r="L711">
        <v>0</v>
      </c>
      <c r="M711">
        <v>3862.85</v>
      </c>
      <c r="N711">
        <v>2023</v>
      </c>
      <c r="O711">
        <v>9</v>
      </c>
    </row>
    <row r="712" spans="1:15" x14ac:dyDescent="0.3">
      <c r="A712">
        <v>38931</v>
      </c>
      <c r="B712">
        <v>3200607</v>
      </c>
      <c r="C712" t="s">
        <v>23</v>
      </c>
      <c r="D712">
        <v>2.9220000000000002</v>
      </c>
      <c r="E712">
        <v>11330286.66</v>
      </c>
      <c r="F712">
        <v>0</v>
      </c>
      <c r="G712">
        <v>11330286.66</v>
      </c>
      <c r="H712">
        <v>136309.96</v>
      </c>
      <c r="I712">
        <v>817412.57</v>
      </c>
      <c r="J712">
        <v>2.5089999999999999</v>
      </c>
      <c r="K712">
        <v>234546.55</v>
      </c>
      <c r="L712">
        <v>0</v>
      </c>
      <c r="M712">
        <v>61012.160000000003</v>
      </c>
      <c r="N712">
        <v>2023</v>
      </c>
      <c r="O712">
        <v>9</v>
      </c>
    </row>
    <row r="713" spans="1:15" x14ac:dyDescent="0.3">
      <c r="A713">
        <v>38932</v>
      </c>
      <c r="B713">
        <v>3200706</v>
      </c>
      <c r="C713" t="s">
        <v>24</v>
      </c>
      <c r="D713">
        <v>0.35399999999999998</v>
      </c>
      <c r="E713">
        <v>1372663.05</v>
      </c>
      <c r="F713">
        <v>0</v>
      </c>
      <c r="G713">
        <v>1372663.05</v>
      </c>
      <c r="H713">
        <v>16513.939999999999</v>
      </c>
      <c r="I713">
        <v>63456.18</v>
      </c>
      <c r="J713">
        <v>0.45700000000000002</v>
      </c>
      <c r="K713">
        <v>28415.29</v>
      </c>
      <c r="L713">
        <v>0</v>
      </c>
      <c r="M713">
        <v>7391.62</v>
      </c>
      <c r="N713">
        <v>2023</v>
      </c>
      <c r="O713">
        <v>9</v>
      </c>
    </row>
    <row r="714" spans="1:15" x14ac:dyDescent="0.3">
      <c r="A714">
        <v>38933</v>
      </c>
      <c r="B714">
        <v>3200805</v>
      </c>
      <c r="C714" t="s">
        <v>25</v>
      </c>
      <c r="D714">
        <v>0.60699999999999998</v>
      </c>
      <c r="E714">
        <v>2353690.6</v>
      </c>
      <c r="F714">
        <v>0</v>
      </c>
      <c r="G714">
        <v>2353690.6</v>
      </c>
      <c r="H714">
        <v>28316.27</v>
      </c>
      <c r="I714">
        <v>297583.34999999998</v>
      </c>
      <c r="J714">
        <v>0.997</v>
      </c>
      <c r="K714">
        <v>48723.39</v>
      </c>
      <c r="L714">
        <v>0</v>
      </c>
      <c r="M714">
        <v>12674.33</v>
      </c>
      <c r="N714">
        <v>2023</v>
      </c>
      <c r="O714">
        <v>9</v>
      </c>
    </row>
    <row r="715" spans="1:15" x14ac:dyDescent="0.3">
      <c r="A715">
        <v>38934</v>
      </c>
      <c r="B715">
        <v>3200904</v>
      </c>
      <c r="C715" t="s">
        <v>26</v>
      </c>
      <c r="D715">
        <v>1.0289999999999999</v>
      </c>
      <c r="E715">
        <v>3990029.1</v>
      </c>
      <c r="F715">
        <v>0</v>
      </c>
      <c r="G715">
        <v>3990029.1</v>
      </c>
      <c r="H715">
        <v>48002.38</v>
      </c>
      <c r="I715">
        <v>348150.44</v>
      </c>
      <c r="J715">
        <v>1.321</v>
      </c>
      <c r="K715">
        <v>82596.990000000005</v>
      </c>
      <c r="L715">
        <v>0</v>
      </c>
      <c r="M715">
        <v>21485.8</v>
      </c>
      <c r="N715">
        <v>2023</v>
      </c>
      <c r="O715">
        <v>9</v>
      </c>
    </row>
    <row r="716" spans="1:15" x14ac:dyDescent="0.3">
      <c r="A716">
        <v>38935</v>
      </c>
      <c r="B716">
        <v>3107109</v>
      </c>
      <c r="C716" t="s">
        <v>27</v>
      </c>
      <c r="D716">
        <v>0.39500000000000002</v>
      </c>
      <c r="E716">
        <v>1531643.83</v>
      </c>
      <c r="F716">
        <v>0</v>
      </c>
      <c r="G716">
        <v>1531643.83</v>
      </c>
      <c r="H716">
        <v>18426.57</v>
      </c>
      <c r="I716">
        <v>100314.7</v>
      </c>
      <c r="J716">
        <v>0.56899999999999995</v>
      </c>
      <c r="K716">
        <v>31706.33</v>
      </c>
      <c r="L716">
        <v>0</v>
      </c>
      <c r="M716">
        <v>8247.7099999999991</v>
      </c>
      <c r="N716">
        <v>2023</v>
      </c>
      <c r="O716">
        <v>9</v>
      </c>
    </row>
    <row r="717" spans="1:15" x14ac:dyDescent="0.3">
      <c r="A717">
        <v>38936</v>
      </c>
      <c r="B717">
        <v>3201100</v>
      </c>
      <c r="C717" t="s">
        <v>28</v>
      </c>
      <c r="D717">
        <v>0.17599999999999999</v>
      </c>
      <c r="E717">
        <v>682453.95</v>
      </c>
      <c r="F717">
        <v>0</v>
      </c>
      <c r="G717">
        <v>682453.95</v>
      </c>
      <c r="H717">
        <v>8210.32</v>
      </c>
      <c r="I717">
        <v>170978.14</v>
      </c>
      <c r="J717">
        <v>0.43</v>
      </c>
      <c r="K717">
        <v>14127.38</v>
      </c>
      <c r="L717">
        <v>0</v>
      </c>
      <c r="M717">
        <v>3674.93</v>
      </c>
      <c r="N717">
        <v>2023</v>
      </c>
      <c r="O717">
        <v>9</v>
      </c>
    </row>
    <row r="718" spans="1:15" x14ac:dyDescent="0.3">
      <c r="A718">
        <v>38937</v>
      </c>
      <c r="B718">
        <v>3201159</v>
      </c>
      <c r="C718" t="s">
        <v>29</v>
      </c>
      <c r="D718">
        <v>0.42099999999999999</v>
      </c>
      <c r="E718">
        <v>1632460.87</v>
      </c>
      <c r="F718">
        <v>0</v>
      </c>
      <c r="G718">
        <v>1632460.87</v>
      </c>
      <c r="H718">
        <v>19639.46</v>
      </c>
      <c r="I718">
        <v>57766.1</v>
      </c>
      <c r="J718">
        <v>0.46</v>
      </c>
      <c r="K718">
        <v>33793.33</v>
      </c>
      <c r="L718">
        <v>0</v>
      </c>
      <c r="M718">
        <v>8790.6</v>
      </c>
      <c r="N718">
        <v>2023</v>
      </c>
      <c r="O718">
        <v>9</v>
      </c>
    </row>
    <row r="719" spans="1:15" x14ac:dyDescent="0.3">
      <c r="A719">
        <v>38938</v>
      </c>
      <c r="B719">
        <v>3201209</v>
      </c>
      <c r="C719" t="s">
        <v>30</v>
      </c>
      <c r="D719">
        <v>3.1120000000000001</v>
      </c>
      <c r="E719">
        <v>12067026.710000001</v>
      </c>
      <c r="F719">
        <v>0</v>
      </c>
      <c r="G719">
        <v>12067026.710000001</v>
      </c>
      <c r="H719">
        <v>145173.37</v>
      </c>
      <c r="I719">
        <v>1769429.86</v>
      </c>
      <c r="J719">
        <v>4.4820000000000002</v>
      </c>
      <c r="K719">
        <v>249797.69</v>
      </c>
      <c r="L719">
        <v>0</v>
      </c>
      <c r="M719">
        <v>64979.42</v>
      </c>
      <c r="N719">
        <v>2023</v>
      </c>
      <c r="O719">
        <v>9</v>
      </c>
    </row>
    <row r="720" spans="1:15" x14ac:dyDescent="0.3">
      <c r="A720">
        <v>38939</v>
      </c>
      <c r="B720">
        <v>3201308</v>
      </c>
      <c r="C720" t="s">
        <v>31</v>
      </c>
      <c r="D720">
        <v>7.2990000000000004</v>
      </c>
      <c r="E720">
        <v>28302451.18</v>
      </c>
      <c r="F720">
        <v>0</v>
      </c>
      <c r="G720">
        <v>28302451.18</v>
      </c>
      <c r="H720">
        <v>340495.01</v>
      </c>
      <c r="I720">
        <v>2262358.0099999998</v>
      </c>
      <c r="J720">
        <v>6.6040000000000001</v>
      </c>
      <c r="K720">
        <v>585884.76</v>
      </c>
      <c r="L720">
        <v>0</v>
      </c>
      <c r="M720">
        <v>152405.13</v>
      </c>
      <c r="N720">
        <v>2023</v>
      </c>
      <c r="O720">
        <v>9</v>
      </c>
    </row>
    <row r="721" spans="1:15" x14ac:dyDescent="0.3">
      <c r="A721">
        <v>38940</v>
      </c>
      <c r="B721">
        <v>3201407</v>
      </c>
      <c r="C721" t="s">
        <v>32</v>
      </c>
      <c r="D721">
        <v>0.89900000000000002</v>
      </c>
      <c r="E721">
        <v>3485943.79</v>
      </c>
      <c r="F721">
        <v>0</v>
      </c>
      <c r="G721">
        <v>3485943.79</v>
      </c>
      <c r="H721">
        <v>41937.94</v>
      </c>
      <c r="I721">
        <v>386389.93</v>
      </c>
      <c r="J721">
        <v>1.155</v>
      </c>
      <c r="K721">
        <v>72161.990000000005</v>
      </c>
      <c r="L721">
        <v>0</v>
      </c>
      <c r="M721">
        <v>18771.37</v>
      </c>
      <c r="N721">
        <v>2023</v>
      </c>
      <c r="O721">
        <v>9</v>
      </c>
    </row>
    <row r="722" spans="1:15" x14ac:dyDescent="0.3">
      <c r="A722">
        <v>38941</v>
      </c>
      <c r="B722">
        <v>3201506</v>
      </c>
      <c r="C722" t="s">
        <v>33</v>
      </c>
      <c r="D722">
        <v>2.2320000000000002</v>
      </c>
      <c r="E722">
        <v>8654756.9600000009</v>
      </c>
      <c r="F722">
        <v>0</v>
      </c>
      <c r="G722">
        <v>8654756.9600000009</v>
      </c>
      <c r="H722">
        <v>104121.78</v>
      </c>
      <c r="I722">
        <v>1094648.1499999999</v>
      </c>
      <c r="J722">
        <v>2.8220000000000001</v>
      </c>
      <c r="K722">
        <v>179160.81</v>
      </c>
      <c r="L722">
        <v>0</v>
      </c>
      <c r="M722">
        <v>46604.77</v>
      </c>
      <c r="N722">
        <v>2023</v>
      </c>
      <c r="O722">
        <v>9</v>
      </c>
    </row>
    <row r="723" spans="1:15" x14ac:dyDescent="0.3">
      <c r="A723">
        <v>38942</v>
      </c>
      <c r="B723">
        <v>3201605</v>
      </c>
      <c r="C723" t="s">
        <v>34</v>
      </c>
      <c r="D723">
        <v>0.79400000000000004</v>
      </c>
      <c r="E723">
        <v>3078797.94</v>
      </c>
      <c r="F723">
        <v>0</v>
      </c>
      <c r="G723">
        <v>3078797.94</v>
      </c>
      <c r="H723">
        <v>37039.74</v>
      </c>
      <c r="I723">
        <v>164099.64000000001</v>
      </c>
      <c r="J723">
        <v>0.999</v>
      </c>
      <c r="K723">
        <v>63733.73</v>
      </c>
      <c r="L723">
        <v>0</v>
      </c>
      <c r="M723">
        <v>16578.939999999999</v>
      </c>
      <c r="N723">
        <v>2023</v>
      </c>
      <c r="O723">
        <v>9</v>
      </c>
    </row>
    <row r="724" spans="1:15" x14ac:dyDescent="0.3">
      <c r="A724">
        <v>38943</v>
      </c>
      <c r="B724">
        <v>3201704</v>
      </c>
      <c r="C724" t="s">
        <v>35</v>
      </c>
      <c r="D724">
        <v>0.46</v>
      </c>
      <c r="E724">
        <v>1783686.48</v>
      </c>
      <c r="F724">
        <v>0</v>
      </c>
      <c r="G724">
        <v>1783686.48</v>
      </c>
      <c r="H724">
        <v>21458.79</v>
      </c>
      <c r="I724">
        <v>58454.879999999997</v>
      </c>
      <c r="J724">
        <v>0.46500000000000002</v>
      </c>
      <c r="K724">
        <v>36923.82</v>
      </c>
      <c r="L724">
        <v>0</v>
      </c>
      <c r="M724">
        <v>9604.93</v>
      </c>
      <c r="N724">
        <v>2023</v>
      </c>
      <c r="O724">
        <v>9</v>
      </c>
    </row>
    <row r="725" spans="1:15" x14ac:dyDescent="0.3">
      <c r="A725">
        <v>38944</v>
      </c>
      <c r="B725">
        <v>3201803</v>
      </c>
      <c r="C725" t="s">
        <v>36</v>
      </c>
      <c r="D725">
        <v>0.182</v>
      </c>
      <c r="E725">
        <v>705719.42</v>
      </c>
      <c r="F725">
        <v>0</v>
      </c>
      <c r="G725">
        <v>705719.42</v>
      </c>
      <c r="H725">
        <v>8490.2199999999993</v>
      </c>
      <c r="I725">
        <v>25855.78</v>
      </c>
      <c r="J725">
        <v>0.28299999999999997</v>
      </c>
      <c r="K725">
        <v>14608.99</v>
      </c>
      <c r="L725">
        <v>0</v>
      </c>
      <c r="M725">
        <v>3800.21</v>
      </c>
      <c r="N725">
        <v>2023</v>
      </c>
      <c r="O725">
        <v>9</v>
      </c>
    </row>
    <row r="726" spans="1:15" x14ac:dyDescent="0.3">
      <c r="A726">
        <v>38945</v>
      </c>
      <c r="B726">
        <v>3201902</v>
      </c>
      <c r="C726" t="s">
        <v>37</v>
      </c>
      <c r="D726">
        <v>1.268</v>
      </c>
      <c r="E726">
        <v>4916770.53</v>
      </c>
      <c r="F726">
        <v>0</v>
      </c>
      <c r="G726">
        <v>4916770.53</v>
      </c>
      <c r="H726">
        <v>59151.62</v>
      </c>
      <c r="I726">
        <v>246934.22</v>
      </c>
      <c r="J726">
        <v>1.0309999999999999</v>
      </c>
      <c r="K726">
        <v>101781.32</v>
      </c>
      <c r="L726">
        <v>0</v>
      </c>
      <c r="M726">
        <v>26476.19</v>
      </c>
      <c r="N726">
        <v>2023</v>
      </c>
      <c r="O726">
        <v>9</v>
      </c>
    </row>
    <row r="727" spans="1:15" x14ac:dyDescent="0.3">
      <c r="A727">
        <v>38946</v>
      </c>
      <c r="B727">
        <v>3202009</v>
      </c>
      <c r="C727" t="s">
        <v>38</v>
      </c>
      <c r="D727">
        <v>0.27</v>
      </c>
      <c r="E727">
        <v>1046946.4</v>
      </c>
      <c r="F727">
        <v>0</v>
      </c>
      <c r="G727">
        <v>1046946.4</v>
      </c>
      <c r="H727">
        <v>12595.38</v>
      </c>
      <c r="I727">
        <v>72472.679999999993</v>
      </c>
      <c r="J727">
        <v>0.314</v>
      </c>
      <c r="K727">
        <v>21672.68</v>
      </c>
      <c r="L727">
        <v>0</v>
      </c>
      <c r="M727">
        <v>5637.67</v>
      </c>
      <c r="N727">
        <v>2023</v>
      </c>
      <c r="O727">
        <v>9</v>
      </c>
    </row>
    <row r="728" spans="1:15" x14ac:dyDescent="0.3">
      <c r="A728">
        <v>38947</v>
      </c>
      <c r="B728">
        <v>3202108</v>
      </c>
      <c r="C728" t="s">
        <v>39</v>
      </c>
      <c r="D728">
        <v>0.69399999999999995</v>
      </c>
      <c r="E728">
        <v>2691040.01</v>
      </c>
      <c r="F728">
        <v>0</v>
      </c>
      <c r="G728">
        <v>2691040.01</v>
      </c>
      <c r="H728">
        <v>32374.78</v>
      </c>
      <c r="I728">
        <v>149320.65</v>
      </c>
      <c r="J728">
        <v>0.81599999999999995</v>
      </c>
      <c r="K728">
        <v>55706.81</v>
      </c>
      <c r="L728">
        <v>0</v>
      </c>
      <c r="M728">
        <v>14490.91</v>
      </c>
      <c r="N728">
        <v>2023</v>
      </c>
      <c r="O728">
        <v>9</v>
      </c>
    </row>
    <row r="729" spans="1:15" x14ac:dyDescent="0.3">
      <c r="A729">
        <v>38948</v>
      </c>
      <c r="B729">
        <v>3202207</v>
      </c>
      <c r="C729" t="s">
        <v>40</v>
      </c>
      <c r="D729">
        <v>0.28599999999999998</v>
      </c>
      <c r="E729">
        <v>1108987.69</v>
      </c>
      <c r="F729">
        <v>0</v>
      </c>
      <c r="G729">
        <v>1108987.69</v>
      </c>
      <c r="H729">
        <v>13341.77</v>
      </c>
      <c r="I729">
        <v>114686.15</v>
      </c>
      <c r="J729">
        <v>0.73399999999999999</v>
      </c>
      <c r="K729">
        <v>22956.99</v>
      </c>
      <c r="L729">
        <v>0</v>
      </c>
      <c r="M729">
        <v>5971.76</v>
      </c>
      <c r="N729">
        <v>2023</v>
      </c>
      <c r="O729">
        <v>9</v>
      </c>
    </row>
    <row r="730" spans="1:15" x14ac:dyDescent="0.3">
      <c r="A730">
        <v>38949</v>
      </c>
      <c r="B730">
        <v>3202256</v>
      </c>
      <c r="C730" t="s">
        <v>41</v>
      </c>
      <c r="D730">
        <v>0.438</v>
      </c>
      <c r="E730">
        <v>1698379.72</v>
      </c>
      <c r="F730">
        <v>0</v>
      </c>
      <c r="G730">
        <v>1698379.72</v>
      </c>
      <c r="H730">
        <v>20432.5</v>
      </c>
      <c r="I730">
        <v>78154.05</v>
      </c>
      <c r="J730">
        <v>0.46700000000000003</v>
      </c>
      <c r="K730">
        <v>35157.9</v>
      </c>
      <c r="L730">
        <v>0</v>
      </c>
      <c r="M730">
        <v>9145.56</v>
      </c>
      <c r="N730">
        <v>2023</v>
      </c>
      <c r="O730">
        <v>9</v>
      </c>
    </row>
    <row r="731" spans="1:15" x14ac:dyDescent="0.3">
      <c r="A731">
        <v>38950</v>
      </c>
      <c r="B731">
        <v>3202306</v>
      </c>
      <c r="C731" t="s">
        <v>42</v>
      </c>
      <c r="D731">
        <v>0.35899999999999999</v>
      </c>
      <c r="E731">
        <v>1392050.96</v>
      </c>
      <c r="F731">
        <v>0</v>
      </c>
      <c r="G731">
        <v>1392050.96</v>
      </c>
      <c r="H731">
        <v>16747.189999999999</v>
      </c>
      <c r="I731">
        <v>248435.64</v>
      </c>
      <c r="J731">
        <v>0.998</v>
      </c>
      <c r="K731">
        <v>28816.639999999999</v>
      </c>
      <c r="L731">
        <v>0</v>
      </c>
      <c r="M731">
        <v>7496.02</v>
      </c>
      <c r="N731">
        <v>2023</v>
      </c>
      <c r="O731">
        <v>9</v>
      </c>
    </row>
    <row r="732" spans="1:15" x14ac:dyDescent="0.3">
      <c r="A732">
        <v>38951</v>
      </c>
      <c r="B732">
        <v>3202405</v>
      </c>
      <c r="C732" t="s">
        <v>43</v>
      </c>
      <c r="D732">
        <v>0.81200000000000006</v>
      </c>
      <c r="E732">
        <v>3148594.35</v>
      </c>
      <c r="F732">
        <v>0</v>
      </c>
      <c r="G732">
        <v>3148594.35</v>
      </c>
      <c r="H732">
        <v>37879.43</v>
      </c>
      <c r="I732">
        <v>1517773.88</v>
      </c>
      <c r="J732">
        <v>2.8730000000000002</v>
      </c>
      <c r="K732">
        <v>65178.58</v>
      </c>
      <c r="L732">
        <v>0</v>
      </c>
      <c r="M732">
        <v>16954.78</v>
      </c>
      <c r="N732">
        <v>2023</v>
      </c>
      <c r="O732">
        <v>9</v>
      </c>
    </row>
    <row r="733" spans="1:15" x14ac:dyDescent="0.3">
      <c r="A733">
        <v>38952</v>
      </c>
      <c r="B733">
        <v>3202454</v>
      </c>
      <c r="C733" t="s">
        <v>44</v>
      </c>
      <c r="D733">
        <v>0.372</v>
      </c>
      <c r="E733">
        <v>1442459.5</v>
      </c>
      <c r="F733">
        <v>0</v>
      </c>
      <c r="G733">
        <v>1442459.5</v>
      </c>
      <c r="H733">
        <v>17353.63</v>
      </c>
      <c r="I733">
        <v>173649.56</v>
      </c>
      <c r="J733">
        <v>0.86499999999999999</v>
      </c>
      <c r="K733">
        <v>29860.14</v>
      </c>
      <c r="L733">
        <v>0</v>
      </c>
      <c r="M733">
        <v>7767.46</v>
      </c>
      <c r="N733">
        <v>2023</v>
      </c>
      <c r="O733">
        <v>9</v>
      </c>
    </row>
    <row r="734" spans="1:15" x14ac:dyDescent="0.3">
      <c r="A734">
        <v>38953</v>
      </c>
      <c r="B734">
        <v>3202504</v>
      </c>
      <c r="C734" t="s">
        <v>45</v>
      </c>
      <c r="D734">
        <v>0.23100000000000001</v>
      </c>
      <c r="E734">
        <v>895720.79</v>
      </c>
      <c r="F734">
        <v>0</v>
      </c>
      <c r="G734">
        <v>895720.79</v>
      </c>
      <c r="H734">
        <v>10776.04</v>
      </c>
      <c r="I734">
        <v>96008.16</v>
      </c>
      <c r="J734">
        <v>0.46300000000000002</v>
      </c>
      <c r="K734">
        <v>18542.18</v>
      </c>
      <c r="L734">
        <v>0</v>
      </c>
      <c r="M734">
        <v>4823.34</v>
      </c>
      <c r="N734">
        <v>2023</v>
      </c>
      <c r="O734">
        <v>9</v>
      </c>
    </row>
    <row r="735" spans="1:15" x14ac:dyDescent="0.3">
      <c r="A735">
        <v>38954</v>
      </c>
      <c r="B735">
        <v>3202553</v>
      </c>
      <c r="C735" t="s">
        <v>46</v>
      </c>
      <c r="D735">
        <v>0.24299999999999999</v>
      </c>
      <c r="E735">
        <v>942251.77</v>
      </c>
      <c r="F735">
        <v>0</v>
      </c>
      <c r="G735">
        <v>942251.77</v>
      </c>
      <c r="H735">
        <v>11335.84</v>
      </c>
      <c r="I735">
        <v>40614.42</v>
      </c>
      <c r="J735">
        <v>0.33800000000000002</v>
      </c>
      <c r="K735">
        <v>19505.41</v>
      </c>
      <c r="L735">
        <v>0</v>
      </c>
      <c r="M735">
        <v>5073.91</v>
      </c>
      <c r="N735">
        <v>2023</v>
      </c>
      <c r="O735">
        <v>9</v>
      </c>
    </row>
    <row r="736" spans="1:15" x14ac:dyDescent="0.3">
      <c r="A736">
        <v>38955</v>
      </c>
      <c r="B736">
        <v>3202603</v>
      </c>
      <c r="C736" t="s">
        <v>47</v>
      </c>
      <c r="D736">
        <v>0.315</v>
      </c>
      <c r="E736">
        <v>1221437.47</v>
      </c>
      <c r="F736">
        <v>0</v>
      </c>
      <c r="G736">
        <v>1221437.47</v>
      </c>
      <c r="H736">
        <v>14694.61</v>
      </c>
      <c r="I736">
        <v>142595.54</v>
      </c>
      <c r="J736">
        <v>0.55600000000000005</v>
      </c>
      <c r="K736">
        <v>25284.79</v>
      </c>
      <c r="L736">
        <v>0</v>
      </c>
      <c r="M736">
        <v>6577.29</v>
      </c>
      <c r="N736">
        <v>2023</v>
      </c>
      <c r="O736">
        <v>9</v>
      </c>
    </row>
    <row r="737" spans="1:15" x14ac:dyDescent="0.3">
      <c r="A737">
        <v>38956</v>
      </c>
      <c r="B737">
        <v>3202652</v>
      </c>
      <c r="C737" t="s">
        <v>48</v>
      </c>
      <c r="D737">
        <v>0.29899999999999999</v>
      </c>
      <c r="E737">
        <v>1159396.21</v>
      </c>
      <c r="F737">
        <v>0</v>
      </c>
      <c r="G737">
        <v>1159396.21</v>
      </c>
      <c r="H737">
        <v>13948.21</v>
      </c>
      <c r="I737">
        <v>104559.52</v>
      </c>
      <c r="J737">
        <v>0.55100000000000005</v>
      </c>
      <c r="K737">
        <v>24000.49</v>
      </c>
      <c r="L737">
        <v>0</v>
      </c>
      <c r="M737">
        <v>6243.2</v>
      </c>
      <c r="N737">
        <v>2023</v>
      </c>
      <c r="O737">
        <v>9</v>
      </c>
    </row>
    <row r="738" spans="1:15" x14ac:dyDescent="0.3">
      <c r="A738">
        <v>38957</v>
      </c>
      <c r="B738">
        <v>3202702</v>
      </c>
      <c r="C738" t="s">
        <v>49</v>
      </c>
      <c r="D738">
        <v>0.31900000000000001</v>
      </c>
      <c r="E738">
        <v>1236947.78</v>
      </c>
      <c r="F738">
        <v>0</v>
      </c>
      <c r="G738">
        <v>1236947.78</v>
      </c>
      <c r="H738">
        <v>14881.2</v>
      </c>
      <c r="I738">
        <v>55712.47</v>
      </c>
      <c r="J738">
        <v>0.55500000000000005</v>
      </c>
      <c r="K738">
        <v>25605.87</v>
      </c>
      <c r="L738">
        <v>0</v>
      </c>
      <c r="M738">
        <v>6660.81</v>
      </c>
      <c r="N738">
        <v>2023</v>
      </c>
      <c r="O738">
        <v>9</v>
      </c>
    </row>
    <row r="739" spans="1:15" x14ac:dyDescent="0.3">
      <c r="A739">
        <v>38958</v>
      </c>
      <c r="B739">
        <v>3202801</v>
      </c>
      <c r="C739" t="s">
        <v>50</v>
      </c>
      <c r="D739">
        <v>2.4550000000000001</v>
      </c>
      <c r="E739">
        <v>9519457.1300000008</v>
      </c>
      <c r="F739">
        <v>0</v>
      </c>
      <c r="G739">
        <v>9519457.1300000008</v>
      </c>
      <c r="H739">
        <v>114524.63</v>
      </c>
      <c r="I739">
        <v>230729.06</v>
      </c>
      <c r="J739">
        <v>1.0409999999999999</v>
      </c>
      <c r="K739">
        <v>197060.84</v>
      </c>
      <c r="L739">
        <v>0</v>
      </c>
      <c r="M739">
        <v>51261.08</v>
      </c>
      <c r="N739">
        <v>2023</v>
      </c>
      <c r="O739">
        <v>9</v>
      </c>
    </row>
    <row r="740" spans="1:15" x14ac:dyDescent="0.3">
      <c r="A740">
        <v>38959</v>
      </c>
      <c r="B740">
        <v>3202900</v>
      </c>
      <c r="C740" t="s">
        <v>51</v>
      </c>
      <c r="D740">
        <v>0.34799999999999998</v>
      </c>
      <c r="E740">
        <v>1349397.58</v>
      </c>
      <c r="F740">
        <v>0</v>
      </c>
      <c r="G740">
        <v>1349397.58</v>
      </c>
      <c r="H740">
        <v>16234.04</v>
      </c>
      <c r="I740">
        <v>84881.77</v>
      </c>
      <c r="J740">
        <v>0.435</v>
      </c>
      <c r="K740">
        <v>27933.68</v>
      </c>
      <c r="L740">
        <v>0</v>
      </c>
      <c r="M740">
        <v>7266.34</v>
      </c>
      <c r="N740">
        <v>2023</v>
      </c>
      <c r="O740">
        <v>9</v>
      </c>
    </row>
    <row r="741" spans="1:15" x14ac:dyDescent="0.3">
      <c r="A741">
        <v>38960</v>
      </c>
      <c r="B741">
        <v>3203007</v>
      </c>
      <c r="C741" t="s">
        <v>52</v>
      </c>
      <c r="D741">
        <v>0.496</v>
      </c>
      <c r="E741">
        <v>1923279.32</v>
      </c>
      <c r="F741">
        <v>0</v>
      </c>
      <c r="G741">
        <v>1923279.32</v>
      </c>
      <c r="H741">
        <v>23138.17</v>
      </c>
      <c r="I741">
        <v>187334.9</v>
      </c>
      <c r="J741">
        <v>0.89700000000000002</v>
      </c>
      <c r="K741">
        <v>39813.51</v>
      </c>
      <c r="L741">
        <v>0</v>
      </c>
      <c r="M741">
        <v>10356.620000000001</v>
      </c>
      <c r="N741">
        <v>2023</v>
      </c>
      <c r="O741">
        <v>9</v>
      </c>
    </row>
    <row r="742" spans="1:15" x14ac:dyDescent="0.3">
      <c r="A742">
        <v>38961</v>
      </c>
      <c r="B742">
        <v>3203056</v>
      </c>
      <c r="C742" t="s">
        <v>53</v>
      </c>
      <c r="D742">
        <v>0.871</v>
      </c>
      <c r="E742">
        <v>3377371.57</v>
      </c>
      <c r="F742">
        <v>0</v>
      </c>
      <c r="G742">
        <v>3377371.57</v>
      </c>
      <c r="H742">
        <v>40631.75</v>
      </c>
      <c r="I742">
        <v>217154.65</v>
      </c>
      <c r="J742">
        <v>1</v>
      </c>
      <c r="K742">
        <v>69914.460000000006</v>
      </c>
      <c r="L742">
        <v>0</v>
      </c>
      <c r="M742">
        <v>18186.72</v>
      </c>
      <c r="N742">
        <v>2023</v>
      </c>
      <c r="O742">
        <v>9</v>
      </c>
    </row>
    <row r="743" spans="1:15" x14ac:dyDescent="0.3">
      <c r="A743">
        <v>38962</v>
      </c>
      <c r="B743">
        <v>3203106</v>
      </c>
      <c r="C743" t="s">
        <v>54</v>
      </c>
      <c r="D743">
        <v>0.21</v>
      </c>
      <c r="E743">
        <v>814291.66</v>
      </c>
      <c r="F743">
        <v>0</v>
      </c>
      <c r="G743">
        <v>814291.66</v>
      </c>
      <c r="H743">
        <v>9796.4</v>
      </c>
      <c r="I743">
        <v>45636.02</v>
      </c>
      <c r="J743">
        <v>0.45800000000000002</v>
      </c>
      <c r="K743">
        <v>16856.53</v>
      </c>
      <c r="L743">
        <v>0</v>
      </c>
      <c r="M743">
        <v>4384.8599999999997</v>
      </c>
      <c r="N743">
        <v>2023</v>
      </c>
      <c r="O743">
        <v>9</v>
      </c>
    </row>
    <row r="744" spans="1:15" x14ac:dyDescent="0.3">
      <c r="A744">
        <v>38963</v>
      </c>
      <c r="B744">
        <v>3203130</v>
      </c>
      <c r="C744" t="s">
        <v>55</v>
      </c>
      <c r="D744">
        <v>0.36199999999999999</v>
      </c>
      <c r="E744">
        <v>1403683.73</v>
      </c>
      <c r="F744">
        <v>0</v>
      </c>
      <c r="G744">
        <v>1403683.73</v>
      </c>
      <c r="H744">
        <v>16887.13</v>
      </c>
      <c r="I744">
        <v>119002.35</v>
      </c>
      <c r="J744">
        <v>0.66600000000000004</v>
      </c>
      <c r="K744">
        <v>29057.439999999999</v>
      </c>
      <c r="L744">
        <v>0</v>
      </c>
      <c r="M744">
        <v>7558.66</v>
      </c>
      <c r="N744">
        <v>2023</v>
      </c>
      <c r="O744">
        <v>9</v>
      </c>
    </row>
    <row r="745" spans="1:15" x14ac:dyDescent="0.3">
      <c r="A745">
        <v>38964</v>
      </c>
      <c r="B745">
        <v>3203163</v>
      </c>
      <c r="C745" t="s">
        <v>56</v>
      </c>
      <c r="D745">
        <v>0.373</v>
      </c>
      <c r="E745">
        <v>1446337.07</v>
      </c>
      <c r="F745">
        <v>0</v>
      </c>
      <c r="G745">
        <v>1446337.07</v>
      </c>
      <c r="H745">
        <v>17400.28</v>
      </c>
      <c r="I745">
        <v>35861.19</v>
      </c>
      <c r="J745">
        <v>0.441</v>
      </c>
      <c r="K745">
        <v>29940.400000000001</v>
      </c>
      <c r="L745">
        <v>0</v>
      </c>
      <c r="M745">
        <v>7788.34</v>
      </c>
      <c r="N745">
        <v>2023</v>
      </c>
      <c r="O745">
        <v>9</v>
      </c>
    </row>
    <row r="746" spans="1:15" x14ac:dyDescent="0.3">
      <c r="A746">
        <v>38965</v>
      </c>
      <c r="B746">
        <v>3203205</v>
      </c>
      <c r="C746" t="s">
        <v>57</v>
      </c>
      <c r="D746">
        <v>4.9790000000000001</v>
      </c>
      <c r="E746">
        <v>19306467.260000002</v>
      </c>
      <c r="F746">
        <v>0</v>
      </c>
      <c r="G746">
        <v>19306467.260000002</v>
      </c>
      <c r="H746">
        <v>232268.07</v>
      </c>
      <c r="I746">
        <v>1638958.57</v>
      </c>
      <c r="J746">
        <v>4.0880000000000001</v>
      </c>
      <c r="K746">
        <v>399660.25</v>
      </c>
      <c r="L746">
        <v>0</v>
      </c>
      <c r="M746">
        <v>103962.89</v>
      </c>
      <c r="N746">
        <v>2023</v>
      </c>
      <c r="O746">
        <v>9</v>
      </c>
    </row>
    <row r="747" spans="1:15" x14ac:dyDescent="0.3">
      <c r="A747">
        <v>38966</v>
      </c>
      <c r="B747">
        <v>3203304</v>
      </c>
      <c r="C747" t="s">
        <v>58</v>
      </c>
      <c r="D747">
        <v>0.27600000000000002</v>
      </c>
      <c r="E747">
        <v>1070211.8899999999</v>
      </c>
      <c r="F747">
        <v>0</v>
      </c>
      <c r="G747">
        <v>1070211.8899999999</v>
      </c>
      <c r="H747">
        <v>12875.27</v>
      </c>
      <c r="I747">
        <v>99012.34</v>
      </c>
      <c r="J747">
        <v>0.57599999999999996</v>
      </c>
      <c r="K747">
        <v>22154.29</v>
      </c>
      <c r="L747">
        <v>0</v>
      </c>
      <c r="M747">
        <v>5762.96</v>
      </c>
      <c r="N747">
        <v>2023</v>
      </c>
      <c r="O747">
        <v>9</v>
      </c>
    </row>
    <row r="748" spans="1:15" x14ac:dyDescent="0.3">
      <c r="A748">
        <v>38967</v>
      </c>
      <c r="B748">
        <v>3203320</v>
      </c>
      <c r="C748" t="s">
        <v>59</v>
      </c>
      <c r="D748">
        <v>0.65800000000000003</v>
      </c>
      <c r="E748">
        <v>2551447.15</v>
      </c>
      <c r="F748">
        <v>0</v>
      </c>
      <c r="G748">
        <v>2551447.15</v>
      </c>
      <c r="H748">
        <v>30695.4</v>
      </c>
      <c r="I748">
        <v>352961.75</v>
      </c>
      <c r="J748">
        <v>1.171</v>
      </c>
      <c r="K748">
        <v>52817.120000000003</v>
      </c>
      <c r="L748">
        <v>0</v>
      </c>
      <c r="M748">
        <v>13739.22</v>
      </c>
      <c r="N748">
        <v>2023</v>
      </c>
      <c r="O748">
        <v>9</v>
      </c>
    </row>
    <row r="749" spans="1:15" x14ac:dyDescent="0.3">
      <c r="A749">
        <v>38968</v>
      </c>
      <c r="B749">
        <v>3203346</v>
      </c>
      <c r="C749" t="s">
        <v>60</v>
      </c>
      <c r="D749">
        <v>0.61099999999999999</v>
      </c>
      <c r="E749">
        <v>2369200.9300000002</v>
      </c>
      <c r="F749">
        <v>0</v>
      </c>
      <c r="G749">
        <v>2369200.9300000002</v>
      </c>
      <c r="H749">
        <v>28502.87</v>
      </c>
      <c r="I749">
        <v>113574.83</v>
      </c>
      <c r="J749">
        <v>0.67100000000000004</v>
      </c>
      <c r="K749">
        <v>49044.47</v>
      </c>
      <c r="L749">
        <v>0</v>
      </c>
      <c r="M749">
        <v>12757.85</v>
      </c>
      <c r="N749">
        <v>2023</v>
      </c>
      <c r="O749">
        <v>9</v>
      </c>
    </row>
    <row r="750" spans="1:15" x14ac:dyDescent="0.3">
      <c r="A750">
        <v>38969</v>
      </c>
      <c r="B750">
        <v>3203353</v>
      </c>
      <c r="C750" t="s">
        <v>61</v>
      </c>
      <c r="D750">
        <v>0.436</v>
      </c>
      <c r="E750">
        <v>1690624.58</v>
      </c>
      <c r="F750">
        <v>0</v>
      </c>
      <c r="G750">
        <v>1690624.58</v>
      </c>
      <c r="H750">
        <v>20339.2</v>
      </c>
      <c r="I750">
        <v>76709.02</v>
      </c>
      <c r="J750">
        <v>0.46700000000000003</v>
      </c>
      <c r="K750">
        <v>34997.360000000001</v>
      </c>
      <c r="L750">
        <v>0</v>
      </c>
      <c r="M750">
        <v>9103.7999999999993</v>
      </c>
      <c r="N750">
        <v>2023</v>
      </c>
      <c r="O750">
        <v>9</v>
      </c>
    </row>
    <row r="751" spans="1:15" x14ac:dyDescent="0.3">
      <c r="A751">
        <v>38970</v>
      </c>
      <c r="B751">
        <v>3203403</v>
      </c>
      <c r="C751" t="s">
        <v>62</v>
      </c>
      <c r="D751">
        <v>0.495</v>
      </c>
      <c r="E751">
        <v>1919401.74</v>
      </c>
      <c r="F751">
        <v>0</v>
      </c>
      <c r="G751">
        <v>1919401.74</v>
      </c>
      <c r="H751">
        <v>23091.52</v>
      </c>
      <c r="I751">
        <v>134697.43</v>
      </c>
      <c r="J751">
        <v>0.85599999999999998</v>
      </c>
      <c r="K751">
        <v>39733.24</v>
      </c>
      <c r="L751">
        <v>0</v>
      </c>
      <c r="M751">
        <v>10335.74</v>
      </c>
      <c r="N751">
        <v>2023</v>
      </c>
      <c r="O751">
        <v>9</v>
      </c>
    </row>
    <row r="752" spans="1:15" x14ac:dyDescent="0.3">
      <c r="A752">
        <v>38971</v>
      </c>
      <c r="B752">
        <v>3203502</v>
      </c>
      <c r="C752" t="s">
        <v>63</v>
      </c>
      <c r="D752">
        <v>0.52100000000000002</v>
      </c>
      <c r="E752">
        <v>2020218.81</v>
      </c>
      <c r="F752">
        <v>0</v>
      </c>
      <c r="G752">
        <v>2020218.81</v>
      </c>
      <c r="H752">
        <v>24304.41</v>
      </c>
      <c r="I752">
        <v>138992.37</v>
      </c>
      <c r="J752">
        <v>0.69299999999999995</v>
      </c>
      <c r="K752">
        <v>41820.239999999998</v>
      </c>
      <c r="L752">
        <v>0</v>
      </c>
      <c r="M752">
        <v>10878.62</v>
      </c>
      <c r="N752">
        <v>2023</v>
      </c>
      <c r="O752">
        <v>9</v>
      </c>
    </row>
    <row r="753" spans="1:15" x14ac:dyDescent="0.3">
      <c r="A753">
        <v>38972</v>
      </c>
      <c r="B753">
        <v>3203601</v>
      </c>
      <c r="C753" t="s">
        <v>64</v>
      </c>
      <c r="D753">
        <v>0.28299999999999997</v>
      </c>
      <c r="E753">
        <v>1097354.92</v>
      </c>
      <c r="F753">
        <v>0</v>
      </c>
      <c r="G753">
        <v>1097354.92</v>
      </c>
      <c r="H753">
        <v>13201.82</v>
      </c>
      <c r="I753">
        <v>40258.370000000003</v>
      </c>
      <c r="J753">
        <v>0.29799999999999999</v>
      </c>
      <c r="K753">
        <v>22716.18</v>
      </c>
      <c r="L753">
        <v>0</v>
      </c>
      <c r="M753">
        <v>5909.12</v>
      </c>
      <c r="N753">
        <v>2023</v>
      </c>
      <c r="O753">
        <v>9</v>
      </c>
    </row>
    <row r="754" spans="1:15" x14ac:dyDescent="0.3">
      <c r="A754">
        <v>38973</v>
      </c>
      <c r="B754">
        <v>3203700</v>
      </c>
      <c r="C754" t="s">
        <v>65</v>
      </c>
      <c r="D754">
        <v>0.54600000000000004</v>
      </c>
      <c r="E754">
        <v>2117158.29</v>
      </c>
      <c r="F754">
        <v>0</v>
      </c>
      <c r="G754">
        <v>2117158.29</v>
      </c>
      <c r="H754">
        <v>25470.65</v>
      </c>
      <c r="I754">
        <v>93381.26</v>
      </c>
      <c r="J754">
        <v>0.67100000000000004</v>
      </c>
      <c r="K754">
        <v>43826.97</v>
      </c>
      <c r="L754">
        <v>0</v>
      </c>
      <c r="M754">
        <v>11400.63</v>
      </c>
      <c r="N754">
        <v>2023</v>
      </c>
      <c r="O754">
        <v>9</v>
      </c>
    </row>
    <row r="755" spans="1:15" x14ac:dyDescent="0.3">
      <c r="A755">
        <v>38974</v>
      </c>
      <c r="B755">
        <v>3203809</v>
      </c>
      <c r="C755" t="s">
        <v>66</v>
      </c>
      <c r="D755">
        <v>0.28100000000000003</v>
      </c>
      <c r="E755">
        <v>1089599.79</v>
      </c>
      <c r="F755">
        <v>0</v>
      </c>
      <c r="G755">
        <v>1089599.79</v>
      </c>
      <c r="H755">
        <v>13108.52</v>
      </c>
      <c r="I755">
        <v>71416.039999999994</v>
      </c>
      <c r="J755">
        <v>0.57499999999999996</v>
      </c>
      <c r="K755">
        <v>22555.64</v>
      </c>
      <c r="L755">
        <v>0</v>
      </c>
      <c r="M755">
        <v>5867.36</v>
      </c>
      <c r="N755">
        <v>2023</v>
      </c>
      <c r="O755">
        <v>9</v>
      </c>
    </row>
    <row r="756" spans="1:15" x14ac:dyDescent="0.3">
      <c r="A756">
        <v>38975</v>
      </c>
      <c r="B756">
        <v>3203908</v>
      </c>
      <c r="C756" t="s">
        <v>67</v>
      </c>
      <c r="D756">
        <v>1.3109999999999999</v>
      </c>
      <c r="E756">
        <v>5083506.42</v>
      </c>
      <c r="F756">
        <v>0</v>
      </c>
      <c r="G756">
        <v>5083506.42</v>
      </c>
      <c r="H756">
        <v>61157.55</v>
      </c>
      <c r="I756">
        <v>465415.17</v>
      </c>
      <c r="J756">
        <v>1.4650000000000001</v>
      </c>
      <c r="K756">
        <v>105232.9</v>
      </c>
      <c r="L756">
        <v>0</v>
      </c>
      <c r="M756">
        <v>27374.04</v>
      </c>
      <c r="N756">
        <v>2023</v>
      </c>
      <c r="O756">
        <v>9</v>
      </c>
    </row>
    <row r="757" spans="1:15" x14ac:dyDescent="0.3">
      <c r="A757">
        <v>38976</v>
      </c>
      <c r="B757">
        <v>3204005</v>
      </c>
      <c r="C757" t="s">
        <v>68</v>
      </c>
      <c r="D757">
        <v>0.436</v>
      </c>
      <c r="E757">
        <v>1690624.58</v>
      </c>
      <c r="F757">
        <v>0</v>
      </c>
      <c r="G757">
        <v>1690624.58</v>
      </c>
      <c r="H757">
        <v>20339.2</v>
      </c>
      <c r="I757">
        <v>95688.45</v>
      </c>
      <c r="J757">
        <v>0.747</v>
      </c>
      <c r="K757">
        <v>34997.360000000001</v>
      </c>
      <c r="L757">
        <v>0</v>
      </c>
      <c r="M757">
        <v>9103.7999999999993</v>
      </c>
      <c r="N757">
        <v>2023</v>
      </c>
      <c r="O757">
        <v>9</v>
      </c>
    </row>
    <row r="758" spans="1:15" x14ac:dyDescent="0.3">
      <c r="A758">
        <v>38977</v>
      </c>
      <c r="B758">
        <v>3204054</v>
      </c>
      <c r="C758" t="s">
        <v>69</v>
      </c>
      <c r="D758">
        <v>0.307</v>
      </c>
      <c r="E758">
        <v>1190416.8500000001</v>
      </c>
      <c r="F758">
        <v>0</v>
      </c>
      <c r="G758">
        <v>1190416.8500000001</v>
      </c>
      <c r="H758">
        <v>14321.41</v>
      </c>
      <c r="I758">
        <v>142153.18</v>
      </c>
      <c r="J758">
        <v>0.86199999999999999</v>
      </c>
      <c r="K758">
        <v>24642.639999999999</v>
      </c>
      <c r="L758">
        <v>0</v>
      </c>
      <c r="M758">
        <v>6410.24</v>
      </c>
      <c r="N758">
        <v>2023</v>
      </c>
      <c r="O758">
        <v>9</v>
      </c>
    </row>
    <row r="759" spans="1:15" x14ac:dyDescent="0.3">
      <c r="A759">
        <v>38978</v>
      </c>
      <c r="B759">
        <v>3204104</v>
      </c>
      <c r="C759" t="s">
        <v>70</v>
      </c>
      <c r="D759">
        <v>0.73199999999999998</v>
      </c>
      <c r="E759">
        <v>2838388.04</v>
      </c>
      <c r="F759">
        <v>0</v>
      </c>
      <c r="G759">
        <v>2838388.04</v>
      </c>
      <c r="H759">
        <v>34147.46</v>
      </c>
      <c r="I759">
        <v>161715.19</v>
      </c>
      <c r="J759">
        <v>0.875</v>
      </c>
      <c r="K759">
        <v>58757.04</v>
      </c>
      <c r="L759">
        <v>0</v>
      </c>
      <c r="M759">
        <v>15284.36</v>
      </c>
      <c r="N759">
        <v>2023</v>
      </c>
      <c r="O759">
        <v>9</v>
      </c>
    </row>
    <row r="760" spans="1:15" x14ac:dyDescent="0.3">
      <c r="A760">
        <v>38979</v>
      </c>
      <c r="B760">
        <v>3204203</v>
      </c>
      <c r="C760" t="s">
        <v>71</v>
      </c>
      <c r="D760">
        <v>0.14199999999999999</v>
      </c>
      <c r="E760">
        <v>550616.26</v>
      </c>
      <c r="F760">
        <v>0</v>
      </c>
      <c r="G760">
        <v>550616.26</v>
      </c>
      <c r="H760">
        <v>6624.23</v>
      </c>
      <c r="I760">
        <v>208377.12</v>
      </c>
      <c r="J760">
        <v>0.73399999999999999</v>
      </c>
      <c r="K760">
        <v>11398.22</v>
      </c>
      <c r="L760">
        <v>0</v>
      </c>
      <c r="M760">
        <v>2965</v>
      </c>
      <c r="N760">
        <v>2023</v>
      </c>
      <c r="O760">
        <v>9</v>
      </c>
    </row>
    <row r="761" spans="1:15" x14ac:dyDescent="0.3">
      <c r="A761">
        <v>38980</v>
      </c>
      <c r="B761">
        <v>3204252</v>
      </c>
      <c r="C761" t="s">
        <v>72</v>
      </c>
      <c r="D761">
        <v>0.20899999999999999</v>
      </c>
      <c r="E761">
        <v>810414.07</v>
      </c>
      <c r="F761">
        <v>0</v>
      </c>
      <c r="G761">
        <v>810414.07</v>
      </c>
      <c r="H761">
        <v>9749.75</v>
      </c>
      <c r="I761">
        <v>43739.85</v>
      </c>
      <c r="J761">
        <v>0.32900000000000001</v>
      </c>
      <c r="K761">
        <v>16776.259999999998</v>
      </c>
      <c r="L761">
        <v>0</v>
      </c>
      <c r="M761">
        <v>4363.9799999999996</v>
      </c>
      <c r="N761">
        <v>2023</v>
      </c>
      <c r="O761">
        <v>9</v>
      </c>
    </row>
    <row r="762" spans="1:15" x14ac:dyDescent="0.3">
      <c r="A762">
        <v>38981</v>
      </c>
      <c r="B762">
        <v>1718402</v>
      </c>
      <c r="C762" t="s">
        <v>73</v>
      </c>
      <c r="D762">
        <v>0.32</v>
      </c>
      <c r="E762">
        <v>1240825.3600000001</v>
      </c>
      <c r="F762">
        <v>0</v>
      </c>
      <c r="G762">
        <v>1240825.3600000001</v>
      </c>
      <c r="H762">
        <v>14927.85</v>
      </c>
      <c r="I762">
        <v>142369.04999999999</v>
      </c>
      <c r="J762">
        <v>0.45100000000000001</v>
      </c>
      <c r="K762">
        <v>25686.14</v>
      </c>
      <c r="L762">
        <v>0</v>
      </c>
      <c r="M762">
        <v>6681.69</v>
      </c>
      <c r="N762">
        <v>2023</v>
      </c>
      <c r="O762">
        <v>9</v>
      </c>
    </row>
    <row r="763" spans="1:15" x14ac:dyDescent="0.3">
      <c r="A763">
        <v>38982</v>
      </c>
      <c r="B763">
        <v>3204351</v>
      </c>
      <c r="C763" t="s">
        <v>74</v>
      </c>
      <c r="D763">
        <v>0.85399999999999998</v>
      </c>
      <c r="E763">
        <v>3311452.72</v>
      </c>
      <c r="F763">
        <v>0</v>
      </c>
      <c r="G763">
        <v>3311452.72</v>
      </c>
      <c r="H763">
        <v>39838.71</v>
      </c>
      <c r="I763">
        <v>111643.59</v>
      </c>
      <c r="J763">
        <v>0.69799999999999995</v>
      </c>
      <c r="K763">
        <v>68549.88</v>
      </c>
      <c r="L763">
        <v>0</v>
      </c>
      <c r="M763">
        <v>17831.759999999998</v>
      </c>
      <c r="N763">
        <v>2023</v>
      </c>
      <c r="O763">
        <v>9</v>
      </c>
    </row>
    <row r="764" spans="1:15" x14ac:dyDescent="0.3">
      <c r="A764">
        <v>38983</v>
      </c>
      <c r="B764">
        <v>3204401</v>
      </c>
      <c r="C764" t="s">
        <v>75</v>
      </c>
      <c r="D764">
        <v>0.25</v>
      </c>
      <c r="E764">
        <v>969394.84</v>
      </c>
      <c r="F764">
        <v>0</v>
      </c>
      <c r="G764">
        <v>969394.84</v>
      </c>
      <c r="H764">
        <v>11662.39</v>
      </c>
      <c r="I764">
        <v>79622.210000000006</v>
      </c>
      <c r="J764">
        <v>0.45</v>
      </c>
      <c r="K764">
        <v>20067.3</v>
      </c>
      <c r="L764">
        <v>0</v>
      </c>
      <c r="M764">
        <v>5220.07</v>
      </c>
      <c r="N764">
        <v>2023</v>
      </c>
      <c r="O764">
        <v>9</v>
      </c>
    </row>
    <row r="765" spans="1:15" x14ac:dyDescent="0.3">
      <c r="A765">
        <v>38984</v>
      </c>
      <c r="B765">
        <v>3204500</v>
      </c>
      <c r="C765" t="s">
        <v>76</v>
      </c>
      <c r="D765">
        <v>0.54500000000000004</v>
      </c>
      <c r="E765">
        <v>2113280.7000000002</v>
      </c>
      <c r="F765">
        <v>0</v>
      </c>
      <c r="G765">
        <v>2113280.7000000002</v>
      </c>
      <c r="H765">
        <v>25424</v>
      </c>
      <c r="I765">
        <v>46343.44</v>
      </c>
      <c r="J765">
        <v>0.45600000000000002</v>
      </c>
      <c r="K765">
        <v>43746.7</v>
      </c>
      <c r="L765">
        <v>0</v>
      </c>
      <c r="M765">
        <v>11379.75</v>
      </c>
      <c r="N765">
        <v>2023</v>
      </c>
      <c r="O765">
        <v>9</v>
      </c>
    </row>
    <row r="766" spans="1:15" x14ac:dyDescent="0.3">
      <c r="A766">
        <v>38985</v>
      </c>
      <c r="B766">
        <v>3204559</v>
      </c>
      <c r="C766" t="s">
        <v>77</v>
      </c>
      <c r="D766">
        <v>2.2349999999999999</v>
      </c>
      <c r="E766">
        <v>8666389.6899999995</v>
      </c>
      <c r="F766">
        <v>0</v>
      </c>
      <c r="G766">
        <v>8666389.6899999995</v>
      </c>
      <c r="H766">
        <v>104261.73</v>
      </c>
      <c r="I766">
        <v>358383.64</v>
      </c>
      <c r="J766">
        <v>1.1990000000000001</v>
      </c>
      <c r="K766">
        <v>179401.62</v>
      </c>
      <c r="L766">
        <v>0</v>
      </c>
      <c r="M766">
        <v>46667.42</v>
      </c>
      <c r="N766">
        <v>2023</v>
      </c>
      <c r="O766">
        <v>9</v>
      </c>
    </row>
    <row r="767" spans="1:15" x14ac:dyDescent="0.3">
      <c r="A767">
        <v>38986</v>
      </c>
      <c r="B767">
        <v>3204609</v>
      </c>
      <c r="C767" t="s">
        <v>78</v>
      </c>
      <c r="D767">
        <v>0.65100000000000002</v>
      </c>
      <c r="E767">
        <v>2524304.14</v>
      </c>
      <c r="F767">
        <v>0</v>
      </c>
      <c r="G767">
        <v>2524304.14</v>
      </c>
      <c r="H767">
        <v>30368.85</v>
      </c>
      <c r="I767">
        <v>192150.05</v>
      </c>
      <c r="J767">
        <v>0.82899999999999996</v>
      </c>
      <c r="K767">
        <v>52255.24</v>
      </c>
      <c r="L767">
        <v>0</v>
      </c>
      <c r="M767">
        <v>13593.06</v>
      </c>
      <c r="N767">
        <v>2023</v>
      </c>
      <c r="O767">
        <v>9</v>
      </c>
    </row>
    <row r="768" spans="1:15" x14ac:dyDescent="0.3">
      <c r="A768">
        <v>38987</v>
      </c>
      <c r="B768">
        <v>3204658</v>
      </c>
      <c r="C768" t="s">
        <v>79</v>
      </c>
      <c r="D768">
        <v>0.42299999999999999</v>
      </c>
      <c r="E768">
        <v>1640216.07</v>
      </c>
      <c r="F768">
        <v>0</v>
      </c>
      <c r="G768">
        <v>1640216.07</v>
      </c>
      <c r="H768">
        <v>19732.759999999998</v>
      </c>
      <c r="I768">
        <v>63239.71</v>
      </c>
      <c r="J768">
        <v>0.33700000000000002</v>
      </c>
      <c r="K768">
        <v>33953.86</v>
      </c>
      <c r="L768">
        <v>0</v>
      </c>
      <c r="M768">
        <v>8832.36</v>
      </c>
      <c r="N768">
        <v>2023</v>
      </c>
      <c r="O768">
        <v>9</v>
      </c>
    </row>
    <row r="769" spans="1:15" x14ac:dyDescent="0.3">
      <c r="A769">
        <v>38988</v>
      </c>
      <c r="B769">
        <v>3204708</v>
      </c>
      <c r="C769" t="s">
        <v>80</v>
      </c>
      <c r="D769">
        <v>0.85199999999999998</v>
      </c>
      <c r="E769">
        <v>3303697.55</v>
      </c>
      <c r="F769">
        <v>0</v>
      </c>
      <c r="G769">
        <v>3303697.55</v>
      </c>
      <c r="H769">
        <v>39745.410000000003</v>
      </c>
      <c r="I769">
        <v>277456.15000000002</v>
      </c>
      <c r="J769">
        <v>1.169</v>
      </c>
      <c r="K769">
        <v>68389.34</v>
      </c>
      <c r="L769">
        <v>0</v>
      </c>
      <c r="M769">
        <v>17789.990000000002</v>
      </c>
      <c r="N769">
        <v>2023</v>
      </c>
      <c r="O769">
        <v>9</v>
      </c>
    </row>
    <row r="770" spans="1:15" x14ac:dyDescent="0.3">
      <c r="A770">
        <v>38989</v>
      </c>
      <c r="B770">
        <v>3204807</v>
      </c>
      <c r="C770" t="s">
        <v>81</v>
      </c>
      <c r="D770">
        <v>0.22600000000000001</v>
      </c>
      <c r="E770">
        <v>876332.92</v>
      </c>
      <c r="F770">
        <v>0</v>
      </c>
      <c r="G770">
        <v>876332.92</v>
      </c>
      <c r="H770">
        <v>10542.8</v>
      </c>
      <c r="I770">
        <v>76347.360000000001</v>
      </c>
      <c r="J770">
        <v>0.436</v>
      </c>
      <c r="K770">
        <v>18140.830000000002</v>
      </c>
      <c r="L770">
        <v>0</v>
      </c>
      <c r="M770">
        <v>4718.9399999999996</v>
      </c>
      <c r="N770">
        <v>2023</v>
      </c>
      <c r="O770">
        <v>9</v>
      </c>
    </row>
    <row r="771" spans="1:15" x14ac:dyDescent="0.3">
      <c r="A771">
        <v>38990</v>
      </c>
      <c r="B771">
        <v>3204906</v>
      </c>
      <c r="C771" t="s">
        <v>82</v>
      </c>
      <c r="D771">
        <v>1.901</v>
      </c>
      <c r="E771">
        <v>7371278.21</v>
      </c>
      <c r="F771">
        <v>0</v>
      </c>
      <c r="G771">
        <v>7371278.21</v>
      </c>
      <c r="H771">
        <v>88680.78</v>
      </c>
      <c r="I771">
        <v>1002094.79</v>
      </c>
      <c r="J771">
        <v>3.0249999999999999</v>
      </c>
      <c r="K771">
        <v>152591.71</v>
      </c>
      <c r="L771">
        <v>0</v>
      </c>
      <c r="M771">
        <v>39693.4</v>
      </c>
      <c r="N771">
        <v>2023</v>
      </c>
      <c r="O771">
        <v>9</v>
      </c>
    </row>
    <row r="772" spans="1:15" x14ac:dyDescent="0.3">
      <c r="A772">
        <v>38991</v>
      </c>
      <c r="B772">
        <v>3204955</v>
      </c>
      <c r="C772" t="s">
        <v>83</v>
      </c>
      <c r="D772">
        <v>0.312</v>
      </c>
      <c r="E772">
        <v>1209804.73</v>
      </c>
      <c r="F772">
        <v>0</v>
      </c>
      <c r="G772">
        <v>1209804.73</v>
      </c>
      <c r="H772">
        <v>14554.66</v>
      </c>
      <c r="I772">
        <v>58264.85</v>
      </c>
      <c r="J772">
        <v>0.46100000000000002</v>
      </c>
      <c r="K772">
        <v>25043.98</v>
      </c>
      <c r="L772">
        <v>0</v>
      </c>
      <c r="M772">
        <v>6514.65</v>
      </c>
      <c r="N772">
        <v>2023</v>
      </c>
      <c r="O772">
        <v>9</v>
      </c>
    </row>
    <row r="773" spans="1:15" x14ac:dyDescent="0.3">
      <c r="A773">
        <v>38992</v>
      </c>
      <c r="B773">
        <v>3205002</v>
      </c>
      <c r="C773" t="s">
        <v>84</v>
      </c>
      <c r="D773">
        <v>15.625</v>
      </c>
      <c r="E773">
        <v>60587176.310000002</v>
      </c>
      <c r="F773">
        <v>0</v>
      </c>
      <c r="G773">
        <v>60587176.310000002</v>
      </c>
      <c r="H773">
        <v>728899.09</v>
      </c>
      <c r="I773">
        <v>4165329.62</v>
      </c>
      <c r="J773">
        <v>8.4320000000000004</v>
      </c>
      <c r="K773">
        <v>1254205.96</v>
      </c>
      <c r="L773">
        <v>0</v>
      </c>
      <c r="M773">
        <v>326254.3</v>
      </c>
      <c r="N773">
        <v>2023</v>
      </c>
      <c r="O773">
        <v>9</v>
      </c>
    </row>
    <row r="774" spans="1:15" x14ac:dyDescent="0.3">
      <c r="A774">
        <v>38993</v>
      </c>
      <c r="B774">
        <v>3205010</v>
      </c>
      <c r="C774" t="s">
        <v>85</v>
      </c>
      <c r="D774">
        <v>0.72199999999999998</v>
      </c>
      <c r="E774">
        <v>2799612.26</v>
      </c>
      <c r="F774">
        <v>0</v>
      </c>
      <c r="G774">
        <v>2799612.26</v>
      </c>
      <c r="H774">
        <v>33680.97</v>
      </c>
      <c r="I774">
        <v>148813.45000000001</v>
      </c>
      <c r="J774">
        <v>0.997</v>
      </c>
      <c r="K774">
        <v>57954.35</v>
      </c>
      <c r="L774">
        <v>0</v>
      </c>
      <c r="M774">
        <v>15075.56</v>
      </c>
      <c r="N774">
        <v>2023</v>
      </c>
      <c r="O774">
        <v>9</v>
      </c>
    </row>
    <row r="775" spans="1:15" x14ac:dyDescent="0.3">
      <c r="A775">
        <v>38994</v>
      </c>
      <c r="B775">
        <v>3205036</v>
      </c>
      <c r="C775" t="s">
        <v>86</v>
      </c>
      <c r="D775">
        <v>0.49099999999999999</v>
      </c>
      <c r="E775">
        <v>1903891.42</v>
      </c>
      <c r="F775">
        <v>0</v>
      </c>
      <c r="G775">
        <v>1903891.42</v>
      </c>
      <c r="H775">
        <v>22904.93</v>
      </c>
      <c r="I775">
        <v>126162.21</v>
      </c>
      <c r="J775">
        <v>0.72699999999999998</v>
      </c>
      <c r="K775">
        <v>39412.17</v>
      </c>
      <c r="L775">
        <v>0</v>
      </c>
      <c r="M775">
        <v>10252.219999999999</v>
      </c>
      <c r="N775">
        <v>2023</v>
      </c>
      <c r="O775">
        <v>9</v>
      </c>
    </row>
    <row r="776" spans="1:15" x14ac:dyDescent="0.3">
      <c r="A776">
        <v>38995</v>
      </c>
      <c r="B776">
        <v>3205069</v>
      </c>
      <c r="C776" t="s">
        <v>87</v>
      </c>
      <c r="D776">
        <v>0.68700000000000006</v>
      </c>
      <c r="E776">
        <v>2663896.9500000002</v>
      </c>
      <c r="F776">
        <v>0</v>
      </c>
      <c r="G776">
        <v>2663896.9500000002</v>
      </c>
      <c r="H776">
        <v>32048.240000000002</v>
      </c>
      <c r="I776">
        <v>214162.97</v>
      </c>
      <c r="J776">
        <v>0.85799999999999998</v>
      </c>
      <c r="K776">
        <v>55144.93</v>
      </c>
      <c r="L776">
        <v>0</v>
      </c>
      <c r="M776">
        <v>14344.75</v>
      </c>
      <c r="N776">
        <v>2023</v>
      </c>
      <c r="O776">
        <v>9</v>
      </c>
    </row>
    <row r="777" spans="1:15" x14ac:dyDescent="0.3">
      <c r="A777">
        <v>38996</v>
      </c>
      <c r="B777">
        <v>2112803</v>
      </c>
      <c r="C777" t="s">
        <v>88</v>
      </c>
      <c r="D777">
        <v>2.9870000000000001</v>
      </c>
      <c r="E777">
        <v>11582329.32</v>
      </c>
      <c r="F777">
        <v>0</v>
      </c>
      <c r="G777">
        <v>11582329.32</v>
      </c>
      <c r="H777">
        <v>139342.18</v>
      </c>
      <c r="I777">
        <v>431240.2</v>
      </c>
      <c r="J777">
        <v>1.984</v>
      </c>
      <c r="K777">
        <v>239764.04</v>
      </c>
      <c r="L777">
        <v>0</v>
      </c>
      <c r="M777">
        <v>62369.38</v>
      </c>
      <c r="N777">
        <v>2023</v>
      </c>
      <c r="O777">
        <v>9</v>
      </c>
    </row>
    <row r="778" spans="1:15" x14ac:dyDescent="0.3">
      <c r="A778">
        <v>38997</v>
      </c>
      <c r="B778">
        <v>3205150</v>
      </c>
      <c r="C778" t="s">
        <v>89</v>
      </c>
      <c r="D778">
        <v>0.31900000000000001</v>
      </c>
      <c r="E778">
        <v>1236947.78</v>
      </c>
      <c r="F778">
        <v>0</v>
      </c>
      <c r="G778">
        <v>1236947.78</v>
      </c>
      <c r="H778">
        <v>14881.2</v>
      </c>
      <c r="I778">
        <v>45259.11</v>
      </c>
      <c r="J778">
        <v>0.34399999999999997</v>
      </c>
      <c r="K778">
        <v>25605.87</v>
      </c>
      <c r="L778">
        <v>0</v>
      </c>
      <c r="M778">
        <v>6660.81</v>
      </c>
      <c r="N778">
        <v>2023</v>
      </c>
      <c r="O778">
        <v>9</v>
      </c>
    </row>
    <row r="779" spans="1:15" x14ac:dyDescent="0.3">
      <c r="A779">
        <v>38998</v>
      </c>
      <c r="B779">
        <v>3205176</v>
      </c>
      <c r="C779" t="s">
        <v>90</v>
      </c>
      <c r="D779">
        <v>0.65800000000000003</v>
      </c>
      <c r="E779">
        <v>2551447.15</v>
      </c>
      <c r="F779">
        <v>0</v>
      </c>
      <c r="G779">
        <v>2551447.15</v>
      </c>
      <c r="H779">
        <v>30695.4</v>
      </c>
      <c r="I779">
        <v>110728.33</v>
      </c>
      <c r="J779">
        <v>0.55600000000000005</v>
      </c>
      <c r="K779">
        <v>52817.120000000003</v>
      </c>
      <c r="L779">
        <v>0</v>
      </c>
      <c r="M779">
        <v>13739.22</v>
      </c>
      <c r="N779">
        <v>2023</v>
      </c>
      <c r="O779">
        <v>9</v>
      </c>
    </row>
    <row r="780" spans="1:15" x14ac:dyDescent="0.3">
      <c r="A780">
        <v>38999</v>
      </c>
      <c r="B780">
        <v>3205200</v>
      </c>
      <c r="C780" t="s">
        <v>91</v>
      </c>
      <c r="D780">
        <v>5.056</v>
      </c>
      <c r="E780">
        <v>19605040.850000001</v>
      </c>
      <c r="F780">
        <v>0</v>
      </c>
      <c r="G780">
        <v>19605040.850000001</v>
      </c>
      <c r="H780">
        <v>235860.08</v>
      </c>
      <c r="I780">
        <v>4535989.38</v>
      </c>
      <c r="J780">
        <v>8.09</v>
      </c>
      <c r="K780">
        <v>405840.98</v>
      </c>
      <c r="L780">
        <v>0</v>
      </c>
      <c r="M780">
        <v>105570.67</v>
      </c>
      <c r="N780">
        <v>2023</v>
      </c>
      <c r="O780">
        <v>9</v>
      </c>
    </row>
    <row r="781" spans="1:15" x14ac:dyDescent="0.3">
      <c r="A781">
        <v>39000</v>
      </c>
      <c r="B781">
        <v>3205309</v>
      </c>
      <c r="C781" t="s">
        <v>92</v>
      </c>
      <c r="D781">
        <v>14.782</v>
      </c>
      <c r="E781">
        <v>57318377.030000001</v>
      </c>
      <c r="F781">
        <v>0</v>
      </c>
      <c r="G781">
        <v>57318377.030000001</v>
      </c>
      <c r="H781">
        <v>689573.53</v>
      </c>
      <c r="I781">
        <v>4227540.13</v>
      </c>
      <c r="J781">
        <v>9.4969999999999999</v>
      </c>
      <c r="K781">
        <v>1186539.07</v>
      </c>
      <c r="L781">
        <v>0</v>
      </c>
      <c r="M781">
        <v>308652.18</v>
      </c>
      <c r="N781">
        <v>2023</v>
      </c>
      <c r="O781">
        <v>9</v>
      </c>
    </row>
    <row r="782" spans="1:15" x14ac:dyDescent="0.3">
      <c r="A782">
        <v>39001</v>
      </c>
      <c r="B782">
        <v>3200102</v>
      </c>
      <c r="C782" t="s">
        <v>15</v>
      </c>
      <c r="D782">
        <v>0.76100000000000001</v>
      </c>
      <c r="E782">
        <v>3012191.02</v>
      </c>
      <c r="F782">
        <v>0</v>
      </c>
      <c r="G782">
        <v>3012191.02</v>
      </c>
      <c r="H782">
        <v>39658.550000000003</v>
      </c>
      <c r="I782">
        <v>75418.3</v>
      </c>
      <c r="J782">
        <v>0.98499999999999999</v>
      </c>
      <c r="K782">
        <v>71902.91</v>
      </c>
      <c r="L782">
        <v>0</v>
      </c>
      <c r="M782">
        <v>16145.78</v>
      </c>
      <c r="N782">
        <v>2023</v>
      </c>
      <c r="O782">
        <v>11</v>
      </c>
    </row>
    <row r="783" spans="1:15" x14ac:dyDescent="0.3">
      <c r="A783">
        <v>39002</v>
      </c>
      <c r="B783">
        <v>3200169</v>
      </c>
      <c r="C783" t="s">
        <v>16</v>
      </c>
      <c r="D783">
        <v>0.28899999999999998</v>
      </c>
      <c r="E783">
        <v>1143920.1399999999</v>
      </c>
      <c r="F783">
        <v>0</v>
      </c>
      <c r="G783">
        <v>1143920.1399999999</v>
      </c>
      <c r="H783">
        <v>15060.87</v>
      </c>
      <c r="I783">
        <v>23242.46</v>
      </c>
      <c r="J783">
        <v>0.439</v>
      </c>
      <c r="K783">
        <v>27306.1</v>
      </c>
      <c r="L783">
        <v>0</v>
      </c>
      <c r="M783">
        <v>6131.58</v>
      </c>
      <c r="N783">
        <v>2023</v>
      </c>
      <c r="O783">
        <v>11</v>
      </c>
    </row>
    <row r="784" spans="1:15" x14ac:dyDescent="0.3">
      <c r="A784">
        <v>39003</v>
      </c>
      <c r="B784">
        <v>3200136</v>
      </c>
      <c r="C784" t="s">
        <v>17</v>
      </c>
      <c r="D784">
        <v>0.40400000000000003</v>
      </c>
      <c r="E784">
        <v>1599113.26</v>
      </c>
      <c r="F784">
        <v>0</v>
      </c>
      <c r="G784">
        <v>1599113.26</v>
      </c>
      <c r="H784">
        <v>21053.95</v>
      </c>
      <c r="I784">
        <v>28755.82</v>
      </c>
      <c r="J784">
        <v>0.34799999999999998</v>
      </c>
      <c r="K784">
        <v>38171.85</v>
      </c>
      <c r="L784">
        <v>0</v>
      </c>
      <c r="M784">
        <v>8571.48</v>
      </c>
      <c r="N784">
        <v>2023</v>
      </c>
      <c r="O784">
        <v>11</v>
      </c>
    </row>
    <row r="785" spans="1:15" x14ac:dyDescent="0.3">
      <c r="A785">
        <v>39004</v>
      </c>
      <c r="B785">
        <v>3200201</v>
      </c>
      <c r="C785" t="s">
        <v>18</v>
      </c>
      <c r="D785">
        <v>0.498</v>
      </c>
      <c r="E785">
        <v>1971184.15</v>
      </c>
      <c r="F785">
        <v>0</v>
      </c>
      <c r="G785">
        <v>1971184.15</v>
      </c>
      <c r="H785">
        <v>25952.639999999999</v>
      </c>
      <c r="I785">
        <v>79989.36</v>
      </c>
      <c r="J785">
        <v>0.98</v>
      </c>
      <c r="K785">
        <v>47053.42</v>
      </c>
      <c r="L785">
        <v>0</v>
      </c>
      <c r="M785">
        <v>10565.83</v>
      </c>
      <c r="N785">
        <v>2023</v>
      </c>
      <c r="O785">
        <v>11</v>
      </c>
    </row>
    <row r="786" spans="1:15" x14ac:dyDescent="0.3">
      <c r="A786">
        <v>39005</v>
      </c>
      <c r="B786">
        <v>3200300</v>
      </c>
      <c r="C786" t="s">
        <v>19</v>
      </c>
      <c r="D786">
        <v>0.46700000000000003</v>
      </c>
      <c r="E786">
        <v>1848479.93</v>
      </c>
      <c r="F786">
        <v>0</v>
      </c>
      <c r="G786">
        <v>1848479.93</v>
      </c>
      <c r="H786">
        <v>24337.11</v>
      </c>
      <c r="I786">
        <v>46440.85</v>
      </c>
      <c r="J786">
        <v>0.56399999999999995</v>
      </c>
      <c r="K786">
        <v>44124.39</v>
      </c>
      <c r="L786">
        <v>0</v>
      </c>
      <c r="M786">
        <v>9908.1200000000008</v>
      </c>
      <c r="N786">
        <v>2023</v>
      </c>
      <c r="O786">
        <v>11</v>
      </c>
    </row>
    <row r="787" spans="1:15" x14ac:dyDescent="0.3">
      <c r="A787">
        <v>39006</v>
      </c>
      <c r="B787">
        <v>3200359</v>
      </c>
      <c r="C787" t="s">
        <v>20</v>
      </c>
      <c r="D787">
        <v>0.22600000000000001</v>
      </c>
      <c r="E787">
        <v>894553.45</v>
      </c>
      <c r="F787">
        <v>0</v>
      </c>
      <c r="G787">
        <v>894553.45</v>
      </c>
      <c r="H787">
        <v>11777.7</v>
      </c>
      <c r="I787">
        <v>24363.57</v>
      </c>
      <c r="J787">
        <v>0.32700000000000001</v>
      </c>
      <c r="K787">
        <v>21353.56</v>
      </c>
      <c r="L787">
        <v>0</v>
      </c>
      <c r="M787">
        <v>4794.93</v>
      </c>
      <c r="N787">
        <v>2023</v>
      </c>
      <c r="O787">
        <v>11</v>
      </c>
    </row>
    <row r="788" spans="1:15" x14ac:dyDescent="0.3">
      <c r="A788">
        <v>39007</v>
      </c>
      <c r="B788">
        <v>3200409</v>
      </c>
      <c r="C788" t="s">
        <v>21</v>
      </c>
      <c r="D788">
        <v>3.1480000000000001</v>
      </c>
      <c r="E788">
        <v>12460417.08</v>
      </c>
      <c r="F788">
        <v>0</v>
      </c>
      <c r="G788">
        <v>12460417.08</v>
      </c>
      <c r="H788">
        <v>164054.04</v>
      </c>
      <c r="I788">
        <v>139927.99</v>
      </c>
      <c r="J788">
        <v>0.90800000000000003</v>
      </c>
      <c r="K788">
        <v>297438.08000000002</v>
      </c>
      <c r="L788">
        <v>0</v>
      </c>
      <c r="M788">
        <v>66789.62</v>
      </c>
      <c r="N788">
        <v>2023</v>
      </c>
      <c r="O788">
        <v>11</v>
      </c>
    </row>
    <row r="789" spans="1:15" x14ac:dyDescent="0.3">
      <c r="A789">
        <v>39008</v>
      </c>
      <c r="B789">
        <v>3200508</v>
      </c>
      <c r="C789" t="s">
        <v>22</v>
      </c>
      <c r="D789">
        <v>0.185</v>
      </c>
      <c r="E789">
        <v>732267.19</v>
      </c>
      <c r="F789">
        <v>0</v>
      </c>
      <c r="G789">
        <v>732267.19</v>
      </c>
      <c r="H789">
        <v>9641.0400000000009</v>
      </c>
      <c r="I789">
        <v>47918.37</v>
      </c>
      <c r="J789">
        <v>0.32300000000000001</v>
      </c>
      <c r="K789">
        <v>17479.689999999999</v>
      </c>
      <c r="L789">
        <v>0</v>
      </c>
      <c r="M789">
        <v>3925.06</v>
      </c>
      <c r="N789">
        <v>2023</v>
      </c>
      <c r="O789">
        <v>11</v>
      </c>
    </row>
    <row r="790" spans="1:15" x14ac:dyDescent="0.3">
      <c r="A790">
        <v>39009</v>
      </c>
      <c r="B790">
        <v>3200607</v>
      </c>
      <c r="C790" t="s">
        <v>23</v>
      </c>
      <c r="D790">
        <v>2.9220000000000002</v>
      </c>
      <c r="E790">
        <v>11565863.65</v>
      </c>
      <c r="F790">
        <v>0</v>
      </c>
      <c r="G790">
        <v>11565863.65</v>
      </c>
      <c r="H790">
        <v>152276.34</v>
      </c>
      <c r="I790">
        <v>402861.92</v>
      </c>
      <c r="J790">
        <v>2.5089999999999999</v>
      </c>
      <c r="K790">
        <v>276084.52</v>
      </c>
      <c r="L790">
        <v>0</v>
      </c>
      <c r="M790">
        <v>61994.69</v>
      </c>
      <c r="N790">
        <v>2023</v>
      </c>
      <c r="O790">
        <v>11</v>
      </c>
    </row>
    <row r="791" spans="1:15" x14ac:dyDescent="0.3">
      <c r="A791">
        <v>39010</v>
      </c>
      <c r="B791">
        <v>3200706</v>
      </c>
      <c r="C791" t="s">
        <v>24</v>
      </c>
      <c r="D791">
        <v>0.35399999999999998</v>
      </c>
      <c r="E791">
        <v>1401203.19</v>
      </c>
      <c r="F791">
        <v>0</v>
      </c>
      <c r="G791">
        <v>1401203.19</v>
      </c>
      <c r="H791">
        <v>18448.259999999998</v>
      </c>
      <c r="I791">
        <v>29628.25</v>
      </c>
      <c r="J791">
        <v>0.45700000000000002</v>
      </c>
      <c r="K791">
        <v>33447.61</v>
      </c>
      <c r="L791">
        <v>0</v>
      </c>
      <c r="M791">
        <v>7510.65</v>
      </c>
      <c r="N791">
        <v>2023</v>
      </c>
      <c r="O791">
        <v>11</v>
      </c>
    </row>
    <row r="792" spans="1:15" x14ac:dyDescent="0.3">
      <c r="A792">
        <v>39011</v>
      </c>
      <c r="B792">
        <v>3200805</v>
      </c>
      <c r="C792" t="s">
        <v>25</v>
      </c>
      <c r="D792">
        <v>0.60699999999999998</v>
      </c>
      <c r="E792">
        <v>2402628.06</v>
      </c>
      <c r="F792">
        <v>0</v>
      </c>
      <c r="G792">
        <v>2402628.06</v>
      </c>
      <c r="H792">
        <v>31633.040000000001</v>
      </c>
      <c r="I792">
        <v>139634.04999999999</v>
      </c>
      <c r="J792">
        <v>0.997</v>
      </c>
      <c r="K792">
        <v>57352.26</v>
      </c>
      <c r="L792">
        <v>0</v>
      </c>
      <c r="M792">
        <v>12878.43</v>
      </c>
      <c r="N792">
        <v>2023</v>
      </c>
      <c r="O792">
        <v>11</v>
      </c>
    </row>
    <row r="793" spans="1:15" x14ac:dyDescent="0.3">
      <c r="A793">
        <v>39012</v>
      </c>
      <c r="B793">
        <v>3200904</v>
      </c>
      <c r="C793" t="s">
        <v>26</v>
      </c>
      <c r="D793">
        <v>1.0289999999999999</v>
      </c>
      <c r="E793">
        <v>4072988.94</v>
      </c>
      <c r="F793">
        <v>0</v>
      </c>
      <c r="G793">
        <v>4072988.94</v>
      </c>
      <c r="H793">
        <v>53625.03</v>
      </c>
      <c r="I793">
        <v>165260.76999999999</v>
      </c>
      <c r="J793">
        <v>1.321</v>
      </c>
      <c r="K793">
        <v>97224.84</v>
      </c>
      <c r="L793">
        <v>0</v>
      </c>
      <c r="M793">
        <v>21831.81</v>
      </c>
      <c r="N793">
        <v>2023</v>
      </c>
      <c r="O793">
        <v>11</v>
      </c>
    </row>
    <row r="794" spans="1:15" x14ac:dyDescent="0.3">
      <c r="A794">
        <v>39013</v>
      </c>
      <c r="B794">
        <v>3107109</v>
      </c>
      <c r="C794" t="s">
        <v>27</v>
      </c>
      <c r="D794">
        <v>0.39500000000000002</v>
      </c>
      <c r="E794">
        <v>1563489.44</v>
      </c>
      <c r="F794">
        <v>0</v>
      </c>
      <c r="G794">
        <v>1563489.44</v>
      </c>
      <c r="H794">
        <v>20584.93</v>
      </c>
      <c r="I794">
        <v>43082.720000000001</v>
      </c>
      <c r="J794">
        <v>0.56899999999999995</v>
      </c>
      <c r="K794">
        <v>37321.49</v>
      </c>
      <c r="L794">
        <v>0</v>
      </c>
      <c r="M794">
        <v>8380.5300000000007</v>
      </c>
      <c r="N794">
        <v>2023</v>
      </c>
      <c r="O794">
        <v>11</v>
      </c>
    </row>
    <row r="795" spans="1:15" x14ac:dyDescent="0.3">
      <c r="A795">
        <v>39014</v>
      </c>
      <c r="B795">
        <v>3201100</v>
      </c>
      <c r="C795" t="s">
        <v>28</v>
      </c>
      <c r="D795">
        <v>0.17599999999999999</v>
      </c>
      <c r="E795">
        <v>696643.4</v>
      </c>
      <c r="F795">
        <v>0</v>
      </c>
      <c r="G795">
        <v>696643.4</v>
      </c>
      <c r="H795">
        <v>9172.02</v>
      </c>
      <c r="I795">
        <v>92308.43</v>
      </c>
      <c r="J795">
        <v>0.43</v>
      </c>
      <c r="K795">
        <v>16629.32</v>
      </c>
      <c r="L795">
        <v>0</v>
      </c>
      <c r="M795">
        <v>3734.11</v>
      </c>
      <c r="N795">
        <v>2023</v>
      </c>
      <c r="O795">
        <v>11</v>
      </c>
    </row>
    <row r="796" spans="1:15" x14ac:dyDescent="0.3">
      <c r="A796">
        <v>39015</v>
      </c>
      <c r="B796">
        <v>3201159</v>
      </c>
      <c r="C796" t="s">
        <v>29</v>
      </c>
      <c r="D796">
        <v>0.42099999999999999</v>
      </c>
      <c r="E796">
        <v>1666402.67</v>
      </c>
      <c r="F796">
        <v>0</v>
      </c>
      <c r="G796">
        <v>1666402.67</v>
      </c>
      <c r="H796">
        <v>21939.88</v>
      </c>
      <c r="I796">
        <v>40423.199999999997</v>
      </c>
      <c r="J796">
        <v>0.46</v>
      </c>
      <c r="K796">
        <v>39778.089999999997</v>
      </c>
      <c r="L796">
        <v>0</v>
      </c>
      <c r="M796">
        <v>8932.16</v>
      </c>
      <c r="N796">
        <v>2023</v>
      </c>
      <c r="O796">
        <v>11</v>
      </c>
    </row>
    <row r="797" spans="1:15" x14ac:dyDescent="0.3">
      <c r="A797">
        <v>39016</v>
      </c>
      <c r="B797">
        <v>3201209</v>
      </c>
      <c r="C797" t="s">
        <v>30</v>
      </c>
      <c r="D797">
        <v>3.1120000000000001</v>
      </c>
      <c r="E797">
        <v>12317921.810000001</v>
      </c>
      <c r="F797">
        <v>0</v>
      </c>
      <c r="G797">
        <v>12317921.810000001</v>
      </c>
      <c r="H797">
        <v>162177.95000000001</v>
      </c>
      <c r="I797">
        <v>894635.17</v>
      </c>
      <c r="J797">
        <v>4.4820000000000002</v>
      </c>
      <c r="K797">
        <v>294036.63</v>
      </c>
      <c r="L797">
        <v>0</v>
      </c>
      <c r="M797">
        <v>66025.83</v>
      </c>
      <c r="N797">
        <v>2023</v>
      </c>
      <c r="O797">
        <v>11</v>
      </c>
    </row>
    <row r="798" spans="1:15" x14ac:dyDescent="0.3">
      <c r="A798">
        <v>39017</v>
      </c>
      <c r="B798">
        <v>3201308</v>
      </c>
      <c r="C798" t="s">
        <v>31</v>
      </c>
      <c r="D798">
        <v>7.2990000000000004</v>
      </c>
      <c r="E798">
        <v>28890909.859999999</v>
      </c>
      <c r="F798">
        <v>0</v>
      </c>
      <c r="G798">
        <v>28890909.859999999</v>
      </c>
      <c r="H798">
        <v>380378.16</v>
      </c>
      <c r="I798">
        <v>1219634.25</v>
      </c>
      <c r="J798">
        <v>6.6040000000000001</v>
      </c>
      <c r="K798">
        <v>689644.4</v>
      </c>
      <c r="L798">
        <v>0</v>
      </c>
      <c r="M798">
        <v>154859.42000000001</v>
      </c>
      <c r="N798">
        <v>2023</v>
      </c>
      <c r="O798">
        <v>11</v>
      </c>
    </row>
    <row r="799" spans="1:15" x14ac:dyDescent="0.3">
      <c r="A799">
        <v>39018</v>
      </c>
      <c r="B799">
        <v>3201407</v>
      </c>
      <c r="C799" t="s">
        <v>32</v>
      </c>
      <c r="D799">
        <v>0.89900000000000002</v>
      </c>
      <c r="E799">
        <v>3558422.81</v>
      </c>
      <c r="F799">
        <v>0</v>
      </c>
      <c r="G799">
        <v>3558422.81</v>
      </c>
      <c r="H799">
        <v>46850.25</v>
      </c>
      <c r="I799">
        <v>298878.11</v>
      </c>
      <c r="J799">
        <v>1.155</v>
      </c>
      <c r="K799">
        <v>84941.81</v>
      </c>
      <c r="L799">
        <v>0</v>
      </c>
      <c r="M799">
        <v>19073.66</v>
      </c>
      <c r="N799">
        <v>2023</v>
      </c>
      <c r="O799">
        <v>11</v>
      </c>
    </row>
    <row r="800" spans="1:15" x14ac:dyDescent="0.3">
      <c r="A800">
        <v>39019</v>
      </c>
      <c r="B800">
        <v>3201506</v>
      </c>
      <c r="C800" t="s">
        <v>33</v>
      </c>
      <c r="D800">
        <v>2.2320000000000002</v>
      </c>
      <c r="E800">
        <v>8834704.8599999994</v>
      </c>
      <c r="F800">
        <v>0</v>
      </c>
      <c r="G800">
        <v>8834704.8599999994</v>
      </c>
      <c r="H800">
        <v>116317.86</v>
      </c>
      <c r="I800">
        <v>511982.09</v>
      </c>
      <c r="J800">
        <v>2.8220000000000001</v>
      </c>
      <c r="K800">
        <v>210890.03</v>
      </c>
      <c r="L800">
        <v>0</v>
      </c>
      <c r="M800">
        <v>47355.29</v>
      </c>
      <c r="N800">
        <v>2023</v>
      </c>
      <c r="O800">
        <v>11</v>
      </c>
    </row>
    <row r="801" spans="1:15" x14ac:dyDescent="0.3">
      <c r="A801">
        <v>39020</v>
      </c>
      <c r="B801">
        <v>3201605</v>
      </c>
      <c r="C801" t="s">
        <v>34</v>
      </c>
      <c r="D801">
        <v>0.79400000000000004</v>
      </c>
      <c r="E801">
        <v>3142811.7</v>
      </c>
      <c r="F801">
        <v>0</v>
      </c>
      <c r="G801">
        <v>3142811.7</v>
      </c>
      <c r="H801">
        <v>41378.31</v>
      </c>
      <c r="I801">
        <v>82535.17</v>
      </c>
      <c r="J801">
        <v>0.999</v>
      </c>
      <c r="K801">
        <v>75020.91</v>
      </c>
      <c r="L801">
        <v>0</v>
      </c>
      <c r="M801">
        <v>16845.919999999998</v>
      </c>
      <c r="N801">
        <v>2023</v>
      </c>
      <c r="O801">
        <v>11</v>
      </c>
    </row>
    <row r="802" spans="1:15" x14ac:dyDescent="0.3">
      <c r="A802">
        <v>39021</v>
      </c>
      <c r="B802">
        <v>3201704</v>
      </c>
      <c r="C802" t="s">
        <v>35</v>
      </c>
      <c r="D802">
        <v>0.46</v>
      </c>
      <c r="E802">
        <v>1820772.5</v>
      </c>
      <c r="F802">
        <v>0</v>
      </c>
      <c r="G802">
        <v>1820772.5</v>
      </c>
      <c r="H802">
        <v>23972.32</v>
      </c>
      <c r="I802">
        <v>36127.879999999997</v>
      </c>
      <c r="J802">
        <v>0.46500000000000002</v>
      </c>
      <c r="K802">
        <v>43463</v>
      </c>
      <c r="L802">
        <v>0</v>
      </c>
      <c r="M802">
        <v>9759.6</v>
      </c>
      <c r="N802">
        <v>2023</v>
      </c>
      <c r="O802">
        <v>11</v>
      </c>
    </row>
    <row r="803" spans="1:15" x14ac:dyDescent="0.3">
      <c r="A803">
        <v>39022</v>
      </c>
      <c r="B803">
        <v>3201803</v>
      </c>
      <c r="C803" t="s">
        <v>36</v>
      </c>
      <c r="D803">
        <v>0.182</v>
      </c>
      <c r="E803">
        <v>720392.61</v>
      </c>
      <c r="F803">
        <v>0</v>
      </c>
      <c r="G803">
        <v>720392.61</v>
      </c>
      <c r="H803">
        <v>9484.7000000000007</v>
      </c>
      <c r="I803">
        <v>10209.69</v>
      </c>
      <c r="J803">
        <v>0.28299999999999997</v>
      </c>
      <c r="K803">
        <v>17196.23</v>
      </c>
      <c r="L803">
        <v>0</v>
      </c>
      <c r="M803">
        <v>3861.41</v>
      </c>
      <c r="N803">
        <v>2023</v>
      </c>
      <c r="O803">
        <v>11</v>
      </c>
    </row>
    <row r="804" spans="1:15" x14ac:dyDescent="0.3">
      <c r="A804">
        <v>39023</v>
      </c>
      <c r="B804">
        <v>3201902</v>
      </c>
      <c r="C804" t="s">
        <v>37</v>
      </c>
      <c r="D804">
        <v>1.268</v>
      </c>
      <c r="E804">
        <v>5018999</v>
      </c>
      <c r="F804">
        <v>0</v>
      </c>
      <c r="G804">
        <v>5018999</v>
      </c>
      <c r="H804">
        <v>66080.22</v>
      </c>
      <c r="I804">
        <v>118821.19</v>
      </c>
      <c r="J804">
        <v>1.0309999999999999</v>
      </c>
      <c r="K804">
        <v>119806.7</v>
      </c>
      <c r="L804">
        <v>0</v>
      </c>
      <c r="M804">
        <v>26902.55</v>
      </c>
      <c r="N804">
        <v>2023</v>
      </c>
      <c r="O804">
        <v>11</v>
      </c>
    </row>
    <row r="805" spans="1:15" x14ac:dyDescent="0.3">
      <c r="A805">
        <v>39024</v>
      </c>
      <c r="B805">
        <v>3202009</v>
      </c>
      <c r="C805" t="s">
        <v>38</v>
      </c>
      <c r="D805">
        <v>0.27</v>
      </c>
      <c r="E805">
        <v>1068714.3</v>
      </c>
      <c r="F805">
        <v>0</v>
      </c>
      <c r="G805">
        <v>1068714.3</v>
      </c>
      <c r="H805">
        <v>14070.71</v>
      </c>
      <c r="I805">
        <v>32713.25</v>
      </c>
      <c r="J805">
        <v>0.314</v>
      </c>
      <c r="K805">
        <v>25510.89</v>
      </c>
      <c r="L805">
        <v>0</v>
      </c>
      <c r="M805">
        <v>5728.46</v>
      </c>
      <c r="N805">
        <v>2023</v>
      </c>
      <c r="O805">
        <v>11</v>
      </c>
    </row>
    <row r="806" spans="1:15" x14ac:dyDescent="0.3">
      <c r="A806">
        <v>39025</v>
      </c>
      <c r="B806">
        <v>3202108</v>
      </c>
      <c r="C806" t="s">
        <v>39</v>
      </c>
      <c r="D806">
        <v>0.69399999999999995</v>
      </c>
      <c r="E806">
        <v>2746991.59</v>
      </c>
      <c r="F806">
        <v>0</v>
      </c>
      <c r="G806">
        <v>2746991.59</v>
      </c>
      <c r="H806">
        <v>36166.93</v>
      </c>
      <c r="I806">
        <v>52640.01</v>
      </c>
      <c r="J806">
        <v>0.81599999999999995</v>
      </c>
      <c r="K806">
        <v>65572.429999999993</v>
      </c>
      <c r="L806">
        <v>0</v>
      </c>
      <c r="M806">
        <v>14724.27</v>
      </c>
      <c r="N806">
        <v>2023</v>
      </c>
      <c r="O806">
        <v>11</v>
      </c>
    </row>
    <row r="807" spans="1:15" x14ac:dyDescent="0.3">
      <c r="A807">
        <v>39026</v>
      </c>
      <c r="B807">
        <v>3202207</v>
      </c>
      <c r="C807" t="s">
        <v>40</v>
      </c>
      <c r="D807">
        <v>0.28599999999999998</v>
      </c>
      <c r="E807">
        <v>1132045.5</v>
      </c>
      <c r="F807">
        <v>0</v>
      </c>
      <c r="G807">
        <v>1132045.5</v>
      </c>
      <c r="H807">
        <v>14904.53</v>
      </c>
      <c r="I807">
        <v>55326.41</v>
      </c>
      <c r="J807">
        <v>0.73399999999999999</v>
      </c>
      <c r="K807">
        <v>27022.639999999999</v>
      </c>
      <c r="L807">
        <v>0</v>
      </c>
      <c r="M807">
        <v>6067.93</v>
      </c>
      <c r="N807">
        <v>2023</v>
      </c>
      <c r="O807">
        <v>11</v>
      </c>
    </row>
    <row r="808" spans="1:15" x14ac:dyDescent="0.3">
      <c r="A808">
        <v>39027</v>
      </c>
      <c r="B808">
        <v>3202256</v>
      </c>
      <c r="C808" t="s">
        <v>41</v>
      </c>
      <c r="D808">
        <v>0.438</v>
      </c>
      <c r="E808">
        <v>1733692.07</v>
      </c>
      <c r="F808">
        <v>0</v>
      </c>
      <c r="G808">
        <v>1733692.07</v>
      </c>
      <c r="H808">
        <v>22825.82</v>
      </c>
      <c r="I808">
        <v>39265.83</v>
      </c>
      <c r="J808">
        <v>0.46700000000000003</v>
      </c>
      <c r="K808">
        <v>41384.339999999997</v>
      </c>
      <c r="L808">
        <v>0</v>
      </c>
      <c r="M808">
        <v>9292.84</v>
      </c>
      <c r="N808">
        <v>2023</v>
      </c>
      <c r="O808">
        <v>11</v>
      </c>
    </row>
    <row r="809" spans="1:15" x14ac:dyDescent="0.3">
      <c r="A809">
        <v>39028</v>
      </c>
      <c r="B809">
        <v>3202306</v>
      </c>
      <c r="C809" t="s">
        <v>42</v>
      </c>
      <c r="D809">
        <v>0.35899999999999999</v>
      </c>
      <c r="E809">
        <v>1420994.18</v>
      </c>
      <c r="F809">
        <v>0</v>
      </c>
      <c r="G809">
        <v>1420994.18</v>
      </c>
      <c r="H809">
        <v>18708.830000000002</v>
      </c>
      <c r="I809">
        <v>120192.03</v>
      </c>
      <c r="J809">
        <v>0.998</v>
      </c>
      <c r="K809">
        <v>33920.03</v>
      </c>
      <c r="L809">
        <v>0</v>
      </c>
      <c r="M809">
        <v>7616.73</v>
      </c>
      <c r="N809">
        <v>2023</v>
      </c>
      <c r="O809">
        <v>11</v>
      </c>
    </row>
    <row r="810" spans="1:15" x14ac:dyDescent="0.3">
      <c r="A810">
        <v>39029</v>
      </c>
      <c r="B810">
        <v>3202405</v>
      </c>
      <c r="C810" t="s">
        <v>43</v>
      </c>
      <c r="D810">
        <v>0.81200000000000006</v>
      </c>
      <c r="E810">
        <v>3214059.3</v>
      </c>
      <c r="F810">
        <v>0</v>
      </c>
      <c r="G810">
        <v>3214059.3</v>
      </c>
      <c r="H810">
        <v>42316.35</v>
      </c>
      <c r="I810">
        <v>831002.73</v>
      </c>
      <c r="J810">
        <v>2.8730000000000002</v>
      </c>
      <c r="K810">
        <v>76721.64</v>
      </c>
      <c r="L810">
        <v>0</v>
      </c>
      <c r="M810">
        <v>17227.82</v>
      </c>
      <c r="N810">
        <v>2023</v>
      </c>
      <c r="O810">
        <v>11</v>
      </c>
    </row>
    <row r="811" spans="1:15" x14ac:dyDescent="0.3">
      <c r="A811">
        <v>39030</v>
      </c>
      <c r="B811">
        <v>3202454</v>
      </c>
      <c r="C811" t="s">
        <v>44</v>
      </c>
      <c r="D811">
        <v>0.372</v>
      </c>
      <c r="E811">
        <v>1472450.82</v>
      </c>
      <c r="F811">
        <v>0</v>
      </c>
      <c r="G811">
        <v>1472450.82</v>
      </c>
      <c r="H811">
        <v>19386.310000000001</v>
      </c>
      <c r="I811">
        <v>97184.31</v>
      </c>
      <c r="J811">
        <v>0.86499999999999999</v>
      </c>
      <c r="K811">
        <v>35148.339999999997</v>
      </c>
      <c r="L811">
        <v>0</v>
      </c>
      <c r="M811">
        <v>7892.55</v>
      </c>
      <c r="N811">
        <v>2023</v>
      </c>
      <c r="O811">
        <v>11</v>
      </c>
    </row>
    <row r="812" spans="1:15" x14ac:dyDescent="0.3">
      <c r="A812">
        <v>39031</v>
      </c>
      <c r="B812">
        <v>3202504</v>
      </c>
      <c r="C812" t="s">
        <v>45</v>
      </c>
      <c r="D812">
        <v>0.23100000000000001</v>
      </c>
      <c r="E812">
        <v>914344.46</v>
      </c>
      <c r="F812">
        <v>0</v>
      </c>
      <c r="G812">
        <v>914344.46</v>
      </c>
      <c r="H812">
        <v>12038.27</v>
      </c>
      <c r="I812">
        <v>34964.22</v>
      </c>
      <c r="J812">
        <v>0.46300000000000002</v>
      </c>
      <c r="K812">
        <v>21825.99</v>
      </c>
      <c r="L812">
        <v>0</v>
      </c>
      <c r="M812">
        <v>4901.0200000000004</v>
      </c>
      <c r="N812">
        <v>2023</v>
      </c>
      <c r="O812">
        <v>11</v>
      </c>
    </row>
    <row r="813" spans="1:15" x14ac:dyDescent="0.3">
      <c r="A813">
        <v>39032</v>
      </c>
      <c r="B813">
        <v>3202553</v>
      </c>
      <c r="C813" t="s">
        <v>46</v>
      </c>
      <c r="D813">
        <v>0.24299999999999999</v>
      </c>
      <c r="E813">
        <v>961842.86</v>
      </c>
      <c r="F813">
        <v>0</v>
      </c>
      <c r="G813">
        <v>961842.86</v>
      </c>
      <c r="H813">
        <v>12663.64</v>
      </c>
      <c r="I813">
        <v>29785</v>
      </c>
      <c r="J813">
        <v>0.33800000000000002</v>
      </c>
      <c r="K813">
        <v>22959.8</v>
      </c>
      <c r="L813">
        <v>0</v>
      </c>
      <c r="M813">
        <v>5155.62</v>
      </c>
      <c r="N813">
        <v>2023</v>
      </c>
      <c r="O813">
        <v>11</v>
      </c>
    </row>
    <row r="814" spans="1:15" x14ac:dyDescent="0.3">
      <c r="A814">
        <v>39033</v>
      </c>
      <c r="B814">
        <v>3202603</v>
      </c>
      <c r="C814" t="s">
        <v>47</v>
      </c>
      <c r="D814">
        <v>0.315</v>
      </c>
      <c r="E814">
        <v>1246833.33</v>
      </c>
      <c r="F814">
        <v>0</v>
      </c>
      <c r="G814">
        <v>1246833.33</v>
      </c>
      <c r="H814">
        <v>16415.830000000002</v>
      </c>
      <c r="I814">
        <v>67066.259999999995</v>
      </c>
      <c r="J814">
        <v>0.55600000000000005</v>
      </c>
      <c r="K814">
        <v>29762.7</v>
      </c>
      <c r="L814">
        <v>0</v>
      </c>
      <c r="M814">
        <v>6683.21</v>
      </c>
      <c r="N814">
        <v>2023</v>
      </c>
      <c r="O814">
        <v>11</v>
      </c>
    </row>
    <row r="815" spans="1:15" x14ac:dyDescent="0.3">
      <c r="A815">
        <v>39034</v>
      </c>
      <c r="B815">
        <v>3202652</v>
      </c>
      <c r="C815" t="s">
        <v>48</v>
      </c>
      <c r="D815">
        <v>0.29899999999999999</v>
      </c>
      <c r="E815">
        <v>1183502.1399999999</v>
      </c>
      <c r="F815">
        <v>0</v>
      </c>
      <c r="G815">
        <v>1183502.1399999999</v>
      </c>
      <c r="H815">
        <v>15582.01</v>
      </c>
      <c r="I815">
        <v>58679.59</v>
      </c>
      <c r="J815">
        <v>0.55100000000000005</v>
      </c>
      <c r="K815">
        <v>28250.95</v>
      </c>
      <c r="L815">
        <v>0</v>
      </c>
      <c r="M815">
        <v>6343.74</v>
      </c>
      <c r="N815">
        <v>2023</v>
      </c>
      <c r="O815">
        <v>11</v>
      </c>
    </row>
    <row r="816" spans="1:15" x14ac:dyDescent="0.3">
      <c r="A816">
        <v>39035</v>
      </c>
      <c r="B816">
        <v>3202702</v>
      </c>
      <c r="C816" t="s">
        <v>49</v>
      </c>
      <c r="D816">
        <v>0.31900000000000001</v>
      </c>
      <c r="E816">
        <v>1262666.1499999999</v>
      </c>
      <c r="F816">
        <v>0</v>
      </c>
      <c r="G816">
        <v>1262666.1499999999</v>
      </c>
      <c r="H816">
        <v>16624.28</v>
      </c>
      <c r="I816">
        <v>49414.79</v>
      </c>
      <c r="J816">
        <v>0.55500000000000005</v>
      </c>
      <c r="K816">
        <v>30140.65</v>
      </c>
      <c r="L816">
        <v>0</v>
      </c>
      <c r="M816">
        <v>6768.07</v>
      </c>
      <c r="N816">
        <v>2023</v>
      </c>
      <c r="O816">
        <v>11</v>
      </c>
    </row>
    <row r="817" spans="1:15" x14ac:dyDescent="0.3">
      <c r="A817">
        <v>39036</v>
      </c>
      <c r="B817">
        <v>3202801</v>
      </c>
      <c r="C817" t="s">
        <v>50</v>
      </c>
      <c r="D817">
        <v>2.4550000000000001</v>
      </c>
      <c r="E817">
        <v>9717383.7100000009</v>
      </c>
      <c r="F817">
        <v>0</v>
      </c>
      <c r="G817">
        <v>9717383.7100000009</v>
      </c>
      <c r="H817">
        <v>127939.22</v>
      </c>
      <c r="I817">
        <v>139494.93</v>
      </c>
      <c r="J817">
        <v>1.0409999999999999</v>
      </c>
      <c r="K817">
        <v>231960.13</v>
      </c>
      <c r="L817">
        <v>0</v>
      </c>
      <c r="M817">
        <v>52086.57</v>
      </c>
      <c r="N817">
        <v>2023</v>
      </c>
      <c r="O817">
        <v>11</v>
      </c>
    </row>
    <row r="818" spans="1:15" x14ac:dyDescent="0.3">
      <c r="A818">
        <v>39037</v>
      </c>
      <c r="B818">
        <v>3202900</v>
      </c>
      <c r="C818" t="s">
        <v>51</v>
      </c>
      <c r="D818">
        <v>0.34799999999999998</v>
      </c>
      <c r="E818">
        <v>1377453.99</v>
      </c>
      <c r="F818">
        <v>0</v>
      </c>
      <c r="G818">
        <v>1377453.99</v>
      </c>
      <c r="H818">
        <v>18135.580000000002</v>
      </c>
      <c r="I818">
        <v>35121.050000000003</v>
      </c>
      <c r="J818">
        <v>0.435</v>
      </c>
      <c r="K818">
        <v>32880.71</v>
      </c>
      <c r="L818">
        <v>0</v>
      </c>
      <c r="M818">
        <v>7383.35</v>
      </c>
      <c r="N818">
        <v>2023</v>
      </c>
      <c r="O818">
        <v>11</v>
      </c>
    </row>
    <row r="819" spans="1:15" x14ac:dyDescent="0.3">
      <c r="A819">
        <v>39038</v>
      </c>
      <c r="B819">
        <v>3203007</v>
      </c>
      <c r="C819" t="s">
        <v>52</v>
      </c>
      <c r="D819">
        <v>0.496</v>
      </c>
      <c r="E819">
        <v>1963267.76</v>
      </c>
      <c r="F819">
        <v>0</v>
      </c>
      <c r="G819">
        <v>1963267.76</v>
      </c>
      <c r="H819">
        <v>25848.41</v>
      </c>
      <c r="I819">
        <v>92115.199999999997</v>
      </c>
      <c r="J819">
        <v>0.89700000000000002</v>
      </c>
      <c r="K819">
        <v>46864.45</v>
      </c>
      <c r="L819">
        <v>0</v>
      </c>
      <c r="M819">
        <v>10523.4</v>
      </c>
      <c r="N819">
        <v>2023</v>
      </c>
      <c r="O819">
        <v>11</v>
      </c>
    </row>
    <row r="820" spans="1:15" x14ac:dyDescent="0.3">
      <c r="A820">
        <v>39039</v>
      </c>
      <c r="B820">
        <v>3203056</v>
      </c>
      <c r="C820" t="s">
        <v>53</v>
      </c>
      <c r="D820">
        <v>0.871</v>
      </c>
      <c r="E820">
        <v>3447593.15</v>
      </c>
      <c r="F820">
        <v>0</v>
      </c>
      <c r="G820">
        <v>3447593.15</v>
      </c>
      <c r="H820">
        <v>45391.06</v>
      </c>
      <c r="I820">
        <v>100598.07</v>
      </c>
      <c r="J820">
        <v>1</v>
      </c>
      <c r="K820">
        <v>82296.25</v>
      </c>
      <c r="L820">
        <v>0</v>
      </c>
      <c r="M820">
        <v>18479.59</v>
      </c>
      <c r="N820">
        <v>2023</v>
      </c>
      <c r="O820">
        <v>11</v>
      </c>
    </row>
    <row r="821" spans="1:15" x14ac:dyDescent="0.3">
      <c r="A821">
        <v>39040</v>
      </c>
      <c r="B821">
        <v>3203106</v>
      </c>
      <c r="C821" t="s">
        <v>54</v>
      </c>
      <c r="D821">
        <v>0.21</v>
      </c>
      <c r="E821">
        <v>831222.22</v>
      </c>
      <c r="F821">
        <v>0</v>
      </c>
      <c r="G821">
        <v>831222.22</v>
      </c>
      <c r="H821">
        <v>10943.88</v>
      </c>
      <c r="I821">
        <v>23176.560000000001</v>
      </c>
      <c r="J821">
        <v>0.45800000000000002</v>
      </c>
      <c r="K821">
        <v>19841.810000000001</v>
      </c>
      <c r="L821">
        <v>0</v>
      </c>
      <c r="M821">
        <v>4455.47</v>
      </c>
      <c r="N821">
        <v>2023</v>
      </c>
      <c r="O821">
        <v>11</v>
      </c>
    </row>
    <row r="822" spans="1:15" x14ac:dyDescent="0.3">
      <c r="A822">
        <v>39041</v>
      </c>
      <c r="B822">
        <v>3203130</v>
      </c>
      <c r="C822" t="s">
        <v>55</v>
      </c>
      <c r="D822">
        <v>0.36199999999999999</v>
      </c>
      <c r="E822">
        <v>1432868.81</v>
      </c>
      <c r="F822">
        <v>0</v>
      </c>
      <c r="G822">
        <v>1432868.81</v>
      </c>
      <c r="H822">
        <v>18865.169999999998</v>
      </c>
      <c r="I822">
        <v>44159.37</v>
      </c>
      <c r="J822">
        <v>0.66600000000000004</v>
      </c>
      <c r="K822">
        <v>34203.49</v>
      </c>
      <c r="L822">
        <v>0</v>
      </c>
      <c r="M822">
        <v>7680.38</v>
      </c>
      <c r="N822">
        <v>2023</v>
      </c>
      <c r="O822">
        <v>11</v>
      </c>
    </row>
    <row r="823" spans="1:15" x14ac:dyDescent="0.3">
      <c r="A823">
        <v>39042</v>
      </c>
      <c r="B823">
        <v>3203163</v>
      </c>
      <c r="C823" t="s">
        <v>56</v>
      </c>
      <c r="D823">
        <v>0.373</v>
      </c>
      <c r="E823">
        <v>1476409.02</v>
      </c>
      <c r="F823">
        <v>0</v>
      </c>
      <c r="G823">
        <v>1476409.02</v>
      </c>
      <c r="H823">
        <v>19438.419999999998</v>
      </c>
      <c r="I823">
        <v>23247.62</v>
      </c>
      <c r="J823">
        <v>0.441</v>
      </c>
      <c r="K823">
        <v>35242.83</v>
      </c>
      <c r="L823">
        <v>0</v>
      </c>
      <c r="M823">
        <v>7913.76</v>
      </c>
      <c r="N823">
        <v>2023</v>
      </c>
      <c r="O823">
        <v>11</v>
      </c>
    </row>
    <row r="824" spans="1:15" x14ac:dyDescent="0.3">
      <c r="A824">
        <v>39043</v>
      </c>
      <c r="B824">
        <v>3203205</v>
      </c>
      <c r="C824" t="s">
        <v>57</v>
      </c>
      <c r="D824">
        <v>4.9790000000000001</v>
      </c>
      <c r="E824">
        <v>19707883.289999999</v>
      </c>
      <c r="F824">
        <v>0</v>
      </c>
      <c r="G824">
        <v>19707883.289999999</v>
      </c>
      <c r="H824">
        <v>259474.29</v>
      </c>
      <c r="I824">
        <v>840000.14</v>
      </c>
      <c r="J824">
        <v>4.0880000000000001</v>
      </c>
      <c r="K824">
        <v>470439.71</v>
      </c>
      <c r="L824">
        <v>0</v>
      </c>
      <c r="M824">
        <v>105637.08</v>
      </c>
      <c r="N824">
        <v>2023</v>
      </c>
      <c r="O824">
        <v>11</v>
      </c>
    </row>
    <row r="825" spans="1:15" x14ac:dyDescent="0.3">
      <c r="A825">
        <v>39044</v>
      </c>
      <c r="B825">
        <v>3203304</v>
      </c>
      <c r="C825" t="s">
        <v>58</v>
      </c>
      <c r="D825">
        <v>0.27600000000000002</v>
      </c>
      <c r="E825">
        <v>1092463.51</v>
      </c>
      <c r="F825">
        <v>0</v>
      </c>
      <c r="G825">
        <v>1092463.51</v>
      </c>
      <c r="H825">
        <v>14383.39</v>
      </c>
      <c r="I825">
        <v>34233.4</v>
      </c>
      <c r="J825">
        <v>0.57599999999999996</v>
      </c>
      <c r="K825">
        <v>26077.8</v>
      </c>
      <c r="L825">
        <v>0</v>
      </c>
      <c r="M825">
        <v>5855.76</v>
      </c>
      <c r="N825">
        <v>2023</v>
      </c>
      <c r="O825">
        <v>11</v>
      </c>
    </row>
    <row r="826" spans="1:15" x14ac:dyDescent="0.3">
      <c r="A826">
        <v>39045</v>
      </c>
      <c r="B826">
        <v>3203320</v>
      </c>
      <c r="C826" t="s">
        <v>59</v>
      </c>
      <c r="D826">
        <v>0.65800000000000003</v>
      </c>
      <c r="E826">
        <v>2604496.3199999998</v>
      </c>
      <c r="F826">
        <v>0</v>
      </c>
      <c r="G826">
        <v>2604496.3199999998</v>
      </c>
      <c r="H826">
        <v>34290.839999999997</v>
      </c>
      <c r="I826">
        <v>210797.22</v>
      </c>
      <c r="J826">
        <v>1.171</v>
      </c>
      <c r="K826">
        <v>62170.98</v>
      </c>
      <c r="L826">
        <v>0</v>
      </c>
      <c r="M826">
        <v>13960.47</v>
      </c>
      <c r="N826">
        <v>2023</v>
      </c>
      <c r="O826">
        <v>11</v>
      </c>
    </row>
    <row r="827" spans="1:15" x14ac:dyDescent="0.3">
      <c r="A827">
        <v>39046</v>
      </c>
      <c r="B827">
        <v>3203346</v>
      </c>
      <c r="C827" t="s">
        <v>60</v>
      </c>
      <c r="D827">
        <v>0.61099999999999999</v>
      </c>
      <c r="E827">
        <v>2418460.88</v>
      </c>
      <c r="F827">
        <v>0</v>
      </c>
      <c r="G827">
        <v>2418460.88</v>
      </c>
      <c r="H827">
        <v>31841.49</v>
      </c>
      <c r="I827">
        <v>69210.83</v>
      </c>
      <c r="J827">
        <v>0.67100000000000004</v>
      </c>
      <c r="K827">
        <v>57730.2</v>
      </c>
      <c r="L827">
        <v>0</v>
      </c>
      <c r="M827">
        <v>12963.3</v>
      </c>
      <c r="N827">
        <v>2023</v>
      </c>
      <c r="O827">
        <v>11</v>
      </c>
    </row>
    <row r="828" spans="1:15" x14ac:dyDescent="0.3">
      <c r="A828">
        <v>39047</v>
      </c>
      <c r="B828">
        <v>3203353</v>
      </c>
      <c r="C828" t="s">
        <v>61</v>
      </c>
      <c r="D828">
        <v>0.436</v>
      </c>
      <c r="E828">
        <v>1725775.67</v>
      </c>
      <c r="F828">
        <v>0</v>
      </c>
      <c r="G828">
        <v>1725775.67</v>
      </c>
      <c r="H828">
        <v>22721.59</v>
      </c>
      <c r="I828">
        <v>36474.03</v>
      </c>
      <c r="J828">
        <v>0.46700000000000003</v>
      </c>
      <c r="K828">
        <v>41195.370000000003</v>
      </c>
      <c r="L828">
        <v>0</v>
      </c>
      <c r="M828">
        <v>9250.41</v>
      </c>
      <c r="N828">
        <v>2023</v>
      </c>
      <c r="O828">
        <v>11</v>
      </c>
    </row>
    <row r="829" spans="1:15" x14ac:dyDescent="0.3">
      <c r="A829">
        <v>39048</v>
      </c>
      <c r="B829">
        <v>3203403</v>
      </c>
      <c r="C829" t="s">
        <v>62</v>
      </c>
      <c r="D829">
        <v>0.495</v>
      </c>
      <c r="E829">
        <v>1959309.53</v>
      </c>
      <c r="F829">
        <v>0</v>
      </c>
      <c r="G829">
        <v>1959309.53</v>
      </c>
      <c r="H829">
        <v>25796.3</v>
      </c>
      <c r="I829">
        <v>90190.77</v>
      </c>
      <c r="J829">
        <v>0.85599999999999998</v>
      </c>
      <c r="K829">
        <v>46769.96</v>
      </c>
      <c r="L829">
        <v>0</v>
      </c>
      <c r="M829">
        <v>10502.18</v>
      </c>
      <c r="N829">
        <v>2023</v>
      </c>
      <c r="O829">
        <v>11</v>
      </c>
    </row>
    <row r="830" spans="1:15" x14ac:dyDescent="0.3">
      <c r="A830">
        <v>39049</v>
      </c>
      <c r="B830">
        <v>3203502</v>
      </c>
      <c r="C830" t="s">
        <v>63</v>
      </c>
      <c r="D830">
        <v>0.52100000000000002</v>
      </c>
      <c r="E830">
        <v>2062222.79</v>
      </c>
      <c r="F830">
        <v>0</v>
      </c>
      <c r="G830">
        <v>2062222.79</v>
      </c>
      <c r="H830">
        <v>27151.26</v>
      </c>
      <c r="I830">
        <v>60989.16</v>
      </c>
      <c r="J830">
        <v>0.69299999999999995</v>
      </c>
      <c r="K830">
        <v>49226.57</v>
      </c>
      <c r="L830">
        <v>0</v>
      </c>
      <c r="M830">
        <v>11053.81</v>
      </c>
      <c r="N830">
        <v>2023</v>
      </c>
      <c r="O830">
        <v>11</v>
      </c>
    </row>
    <row r="831" spans="1:15" x14ac:dyDescent="0.3">
      <c r="A831">
        <v>39050</v>
      </c>
      <c r="B831">
        <v>3203601</v>
      </c>
      <c r="C831" t="s">
        <v>64</v>
      </c>
      <c r="D831">
        <v>0.28299999999999997</v>
      </c>
      <c r="E831">
        <v>1120170.9099999999</v>
      </c>
      <c r="F831">
        <v>0</v>
      </c>
      <c r="G831">
        <v>1120170.9099999999</v>
      </c>
      <c r="H831">
        <v>14748.19</v>
      </c>
      <c r="I831">
        <v>12607.56</v>
      </c>
      <c r="J831">
        <v>0.29799999999999999</v>
      </c>
      <c r="K831">
        <v>26739.200000000001</v>
      </c>
      <c r="L831">
        <v>0</v>
      </c>
      <c r="M831">
        <v>6004.28</v>
      </c>
      <c r="N831">
        <v>2023</v>
      </c>
      <c r="O831">
        <v>11</v>
      </c>
    </row>
    <row r="832" spans="1:15" x14ac:dyDescent="0.3">
      <c r="A832">
        <v>39051</v>
      </c>
      <c r="B832">
        <v>3203700</v>
      </c>
      <c r="C832" t="s">
        <v>65</v>
      </c>
      <c r="D832">
        <v>0.54600000000000004</v>
      </c>
      <c r="E832">
        <v>2161177.81</v>
      </c>
      <c r="F832">
        <v>0</v>
      </c>
      <c r="G832">
        <v>2161177.81</v>
      </c>
      <c r="H832">
        <v>28454.1</v>
      </c>
      <c r="I832">
        <v>48231.3</v>
      </c>
      <c r="J832">
        <v>0.67100000000000004</v>
      </c>
      <c r="K832">
        <v>51588.69</v>
      </c>
      <c r="L832">
        <v>0</v>
      </c>
      <c r="M832">
        <v>11584.22</v>
      </c>
      <c r="N832">
        <v>2023</v>
      </c>
      <c r="O832">
        <v>11</v>
      </c>
    </row>
    <row r="833" spans="1:15" x14ac:dyDescent="0.3">
      <c r="A833">
        <v>39052</v>
      </c>
      <c r="B833">
        <v>3203809</v>
      </c>
      <c r="C833" t="s">
        <v>66</v>
      </c>
      <c r="D833">
        <v>0.28100000000000003</v>
      </c>
      <c r="E833">
        <v>1112254.52</v>
      </c>
      <c r="F833">
        <v>0</v>
      </c>
      <c r="G833">
        <v>1112254.52</v>
      </c>
      <c r="H833">
        <v>14643.96</v>
      </c>
      <c r="I833">
        <v>46097.86</v>
      </c>
      <c r="J833">
        <v>0.57499999999999996</v>
      </c>
      <c r="K833">
        <v>26550.23</v>
      </c>
      <c r="L833">
        <v>0</v>
      </c>
      <c r="M833">
        <v>5961.84</v>
      </c>
      <c r="N833">
        <v>2023</v>
      </c>
      <c r="O833">
        <v>11</v>
      </c>
    </row>
    <row r="834" spans="1:15" x14ac:dyDescent="0.3">
      <c r="A834">
        <v>39053</v>
      </c>
      <c r="B834">
        <v>3203908</v>
      </c>
      <c r="C834" t="s">
        <v>67</v>
      </c>
      <c r="D834">
        <v>1.3109999999999999</v>
      </c>
      <c r="E834">
        <v>5189201.6500000004</v>
      </c>
      <c r="F834">
        <v>0</v>
      </c>
      <c r="G834">
        <v>5189201.6500000004</v>
      </c>
      <c r="H834">
        <v>68321.11</v>
      </c>
      <c r="I834">
        <v>206846.97</v>
      </c>
      <c r="J834">
        <v>1.4650000000000001</v>
      </c>
      <c r="K834">
        <v>123869.54</v>
      </c>
      <c r="L834">
        <v>0</v>
      </c>
      <c r="M834">
        <v>27814.87</v>
      </c>
      <c r="N834">
        <v>2023</v>
      </c>
      <c r="O834">
        <v>11</v>
      </c>
    </row>
    <row r="835" spans="1:15" x14ac:dyDescent="0.3">
      <c r="A835">
        <v>39054</v>
      </c>
      <c r="B835">
        <v>3204005</v>
      </c>
      <c r="C835" t="s">
        <v>68</v>
      </c>
      <c r="D835">
        <v>0.436</v>
      </c>
      <c r="E835">
        <v>1725775.67</v>
      </c>
      <c r="F835">
        <v>0</v>
      </c>
      <c r="G835">
        <v>1725775.67</v>
      </c>
      <c r="H835">
        <v>22721.59</v>
      </c>
      <c r="I835">
        <v>39063.550000000003</v>
      </c>
      <c r="J835">
        <v>0.747</v>
      </c>
      <c r="K835">
        <v>41195.370000000003</v>
      </c>
      <c r="L835">
        <v>0</v>
      </c>
      <c r="M835">
        <v>9250.41</v>
      </c>
      <c r="N835">
        <v>2023</v>
      </c>
      <c r="O835">
        <v>11</v>
      </c>
    </row>
    <row r="836" spans="1:15" x14ac:dyDescent="0.3">
      <c r="A836">
        <v>39055</v>
      </c>
      <c r="B836">
        <v>3204054</v>
      </c>
      <c r="C836" t="s">
        <v>69</v>
      </c>
      <c r="D836">
        <v>0.307</v>
      </c>
      <c r="E836">
        <v>1215167.74</v>
      </c>
      <c r="F836">
        <v>0</v>
      </c>
      <c r="G836">
        <v>1215167.74</v>
      </c>
      <c r="H836">
        <v>15998.92</v>
      </c>
      <c r="I836">
        <v>79050.720000000001</v>
      </c>
      <c r="J836">
        <v>0.86199999999999999</v>
      </c>
      <c r="K836">
        <v>29006.82</v>
      </c>
      <c r="L836">
        <v>0</v>
      </c>
      <c r="M836">
        <v>6513.47</v>
      </c>
      <c r="N836">
        <v>2023</v>
      </c>
      <c r="O836">
        <v>11</v>
      </c>
    </row>
    <row r="837" spans="1:15" x14ac:dyDescent="0.3">
      <c r="A837">
        <v>39056</v>
      </c>
      <c r="B837">
        <v>3204104</v>
      </c>
      <c r="C837" t="s">
        <v>70</v>
      </c>
      <c r="D837">
        <v>0.73199999999999998</v>
      </c>
      <c r="E837">
        <v>2897403.22</v>
      </c>
      <c r="F837">
        <v>0</v>
      </c>
      <c r="G837">
        <v>2897403.22</v>
      </c>
      <c r="H837">
        <v>38147.25</v>
      </c>
      <c r="I837">
        <v>79971.06</v>
      </c>
      <c r="J837">
        <v>0.875</v>
      </c>
      <c r="K837">
        <v>69162.86</v>
      </c>
      <c r="L837">
        <v>0</v>
      </c>
      <c r="M837">
        <v>15530.5</v>
      </c>
      <c r="N837">
        <v>2023</v>
      </c>
      <c r="O837">
        <v>11</v>
      </c>
    </row>
    <row r="838" spans="1:15" x14ac:dyDescent="0.3">
      <c r="A838">
        <v>39057</v>
      </c>
      <c r="B838">
        <v>3204203</v>
      </c>
      <c r="C838" t="s">
        <v>71</v>
      </c>
      <c r="D838">
        <v>0.14199999999999999</v>
      </c>
      <c r="E838">
        <v>562064.53</v>
      </c>
      <c r="F838">
        <v>0</v>
      </c>
      <c r="G838">
        <v>562064.53</v>
      </c>
      <c r="H838">
        <v>7400.15</v>
      </c>
      <c r="I838">
        <v>110687.03999999999</v>
      </c>
      <c r="J838">
        <v>0.73399999999999999</v>
      </c>
      <c r="K838">
        <v>13416.84</v>
      </c>
      <c r="L838">
        <v>0</v>
      </c>
      <c r="M838">
        <v>3012.75</v>
      </c>
      <c r="N838">
        <v>2023</v>
      </c>
      <c r="O838">
        <v>11</v>
      </c>
    </row>
    <row r="839" spans="1:15" x14ac:dyDescent="0.3">
      <c r="A839">
        <v>39058</v>
      </c>
      <c r="B839">
        <v>3204252</v>
      </c>
      <c r="C839" t="s">
        <v>72</v>
      </c>
      <c r="D839">
        <v>0.20899999999999999</v>
      </c>
      <c r="E839">
        <v>827264.03</v>
      </c>
      <c r="F839">
        <v>0</v>
      </c>
      <c r="G839">
        <v>827264.03</v>
      </c>
      <c r="H839">
        <v>10891.77</v>
      </c>
      <c r="I839">
        <v>21988.68</v>
      </c>
      <c r="J839">
        <v>0.32900000000000001</v>
      </c>
      <c r="K839">
        <v>19747.32</v>
      </c>
      <c r="L839">
        <v>0</v>
      </c>
      <c r="M839">
        <v>4434.25</v>
      </c>
      <c r="N839">
        <v>2023</v>
      </c>
      <c r="O839">
        <v>11</v>
      </c>
    </row>
    <row r="840" spans="1:15" x14ac:dyDescent="0.3">
      <c r="A840">
        <v>39059</v>
      </c>
      <c r="B840">
        <v>1718402</v>
      </c>
      <c r="C840" t="s">
        <v>73</v>
      </c>
      <c r="D840">
        <v>0.32</v>
      </c>
      <c r="E840">
        <v>1266624.33</v>
      </c>
      <c r="F840">
        <v>0</v>
      </c>
      <c r="G840">
        <v>1266624.33</v>
      </c>
      <c r="H840">
        <v>16676.400000000001</v>
      </c>
      <c r="I840">
        <v>102868.08</v>
      </c>
      <c r="J840">
        <v>0.45100000000000001</v>
      </c>
      <c r="K840">
        <v>30235.13</v>
      </c>
      <c r="L840">
        <v>0</v>
      </c>
      <c r="M840">
        <v>6789.29</v>
      </c>
      <c r="N840">
        <v>2023</v>
      </c>
      <c r="O840">
        <v>11</v>
      </c>
    </row>
    <row r="841" spans="1:15" x14ac:dyDescent="0.3">
      <c r="A841">
        <v>39060</v>
      </c>
      <c r="B841">
        <v>3204351</v>
      </c>
      <c r="C841" t="s">
        <v>74</v>
      </c>
      <c r="D841">
        <v>0.85399999999999998</v>
      </c>
      <c r="E841">
        <v>3380303.75</v>
      </c>
      <c r="F841">
        <v>0</v>
      </c>
      <c r="G841">
        <v>3380303.75</v>
      </c>
      <c r="H841">
        <v>44505.13</v>
      </c>
      <c r="I841">
        <v>69019.27</v>
      </c>
      <c r="J841">
        <v>0.69799999999999995</v>
      </c>
      <c r="K841">
        <v>80690</v>
      </c>
      <c r="L841">
        <v>0</v>
      </c>
      <c r="M841">
        <v>18118.91</v>
      </c>
      <c r="N841">
        <v>2023</v>
      </c>
      <c r="O841">
        <v>11</v>
      </c>
    </row>
    <row r="842" spans="1:15" x14ac:dyDescent="0.3">
      <c r="A842">
        <v>39061</v>
      </c>
      <c r="B842">
        <v>3204401</v>
      </c>
      <c r="C842" t="s">
        <v>75</v>
      </c>
      <c r="D842">
        <v>0.25</v>
      </c>
      <c r="E842">
        <v>989550.26</v>
      </c>
      <c r="F842">
        <v>0</v>
      </c>
      <c r="G842">
        <v>989550.26</v>
      </c>
      <c r="H842">
        <v>13028.43</v>
      </c>
      <c r="I842">
        <v>42632.88</v>
      </c>
      <c r="J842">
        <v>0.45</v>
      </c>
      <c r="K842">
        <v>23621.19</v>
      </c>
      <c r="L842">
        <v>0</v>
      </c>
      <c r="M842">
        <v>5304.13</v>
      </c>
      <c r="N842">
        <v>2023</v>
      </c>
      <c r="O842">
        <v>11</v>
      </c>
    </row>
    <row r="843" spans="1:15" x14ac:dyDescent="0.3">
      <c r="A843">
        <v>39062</v>
      </c>
      <c r="B843">
        <v>3204500</v>
      </c>
      <c r="C843" t="s">
        <v>76</v>
      </c>
      <c r="D843">
        <v>0.54500000000000004</v>
      </c>
      <c r="E843">
        <v>2157219.61</v>
      </c>
      <c r="F843">
        <v>0</v>
      </c>
      <c r="G843">
        <v>2157219.61</v>
      </c>
      <c r="H843">
        <v>28401.99</v>
      </c>
      <c r="I843">
        <v>40815.4</v>
      </c>
      <c r="J843">
        <v>0.45600000000000002</v>
      </c>
      <c r="K843">
        <v>51494.2</v>
      </c>
      <c r="L843">
        <v>0</v>
      </c>
      <c r="M843">
        <v>11563.01</v>
      </c>
      <c r="N843">
        <v>2023</v>
      </c>
      <c r="O843">
        <v>11</v>
      </c>
    </row>
    <row r="844" spans="1:15" x14ac:dyDescent="0.3">
      <c r="A844">
        <v>39063</v>
      </c>
      <c r="B844">
        <v>3204559</v>
      </c>
      <c r="C844" t="s">
        <v>77</v>
      </c>
      <c r="D844">
        <v>2.2349999999999999</v>
      </c>
      <c r="E844">
        <v>8846579.4499999993</v>
      </c>
      <c r="F844">
        <v>0</v>
      </c>
      <c r="G844">
        <v>8846579.4499999993</v>
      </c>
      <c r="H844">
        <v>116474.2</v>
      </c>
      <c r="I844">
        <v>232237.11</v>
      </c>
      <c r="J844">
        <v>1.1990000000000001</v>
      </c>
      <c r="K844">
        <v>211173.48</v>
      </c>
      <c r="L844">
        <v>0</v>
      </c>
      <c r="M844">
        <v>47418.94</v>
      </c>
      <c r="N844">
        <v>2023</v>
      </c>
      <c r="O844">
        <v>11</v>
      </c>
    </row>
    <row r="845" spans="1:15" x14ac:dyDescent="0.3">
      <c r="A845">
        <v>39064</v>
      </c>
      <c r="B845">
        <v>3204609</v>
      </c>
      <c r="C845" t="s">
        <v>78</v>
      </c>
      <c r="D845">
        <v>0.65100000000000002</v>
      </c>
      <c r="E845">
        <v>2576788.92</v>
      </c>
      <c r="F845">
        <v>0</v>
      </c>
      <c r="G845">
        <v>2576788.92</v>
      </c>
      <c r="H845">
        <v>33926.04</v>
      </c>
      <c r="I845">
        <v>97287.25</v>
      </c>
      <c r="J845">
        <v>0.82899999999999996</v>
      </c>
      <c r="K845">
        <v>61509.59</v>
      </c>
      <c r="L845">
        <v>0</v>
      </c>
      <c r="M845">
        <v>13811.96</v>
      </c>
      <c r="N845">
        <v>2023</v>
      </c>
      <c r="O845">
        <v>11</v>
      </c>
    </row>
    <row r="846" spans="1:15" x14ac:dyDescent="0.3">
      <c r="A846">
        <v>39065</v>
      </c>
      <c r="B846">
        <v>3204658</v>
      </c>
      <c r="C846" t="s">
        <v>79</v>
      </c>
      <c r="D846">
        <v>0.42299999999999999</v>
      </c>
      <c r="E846">
        <v>1674319.07</v>
      </c>
      <c r="F846">
        <v>0</v>
      </c>
      <c r="G846">
        <v>1674319.07</v>
      </c>
      <c r="H846">
        <v>22044.11</v>
      </c>
      <c r="I846">
        <v>35742.19</v>
      </c>
      <c r="J846">
        <v>0.33700000000000002</v>
      </c>
      <c r="K846">
        <v>39967.06</v>
      </c>
      <c r="L846">
        <v>0</v>
      </c>
      <c r="M846">
        <v>8974.59</v>
      </c>
      <c r="N846">
        <v>2023</v>
      </c>
      <c r="O846">
        <v>11</v>
      </c>
    </row>
    <row r="847" spans="1:15" x14ac:dyDescent="0.3">
      <c r="A847">
        <v>39066</v>
      </c>
      <c r="B847">
        <v>3204708</v>
      </c>
      <c r="C847" t="s">
        <v>80</v>
      </c>
      <c r="D847">
        <v>0.85199999999999998</v>
      </c>
      <c r="E847">
        <v>3372387.34</v>
      </c>
      <c r="F847">
        <v>0</v>
      </c>
      <c r="G847">
        <v>3372387.34</v>
      </c>
      <c r="H847">
        <v>44400.9</v>
      </c>
      <c r="I847">
        <v>104910.05</v>
      </c>
      <c r="J847">
        <v>1.169</v>
      </c>
      <c r="K847">
        <v>80501.03</v>
      </c>
      <c r="L847">
        <v>0</v>
      </c>
      <c r="M847">
        <v>18076.48</v>
      </c>
      <c r="N847">
        <v>2023</v>
      </c>
      <c r="O847">
        <v>11</v>
      </c>
    </row>
    <row r="848" spans="1:15" x14ac:dyDescent="0.3">
      <c r="A848">
        <v>39067</v>
      </c>
      <c r="B848">
        <v>3204807</v>
      </c>
      <c r="C848" t="s">
        <v>81</v>
      </c>
      <c r="D848">
        <v>0.22600000000000001</v>
      </c>
      <c r="E848">
        <v>894553.45</v>
      </c>
      <c r="F848">
        <v>0</v>
      </c>
      <c r="G848">
        <v>894553.45</v>
      </c>
      <c r="H848">
        <v>11777.7</v>
      </c>
      <c r="I848">
        <v>36521.919999999998</v>
      </c>
      <c r="J848">
        <v>0.436</v>
      </c>
      <c r="K848">
        <v>21353.56</v>
      </c>
      <c r="L848">
        <v>0</v>
      </c>
      <c r="M848">
        <v>4794.93</v>
      </c>
      <c r="N848">
        <v>2023</v>
      </c>
      <c r="O848">
        <v>11</v>
      </c>
    </row>
    <row r="849" spans="1:15" x14ac:dyDescent="0.3">
      <c r="A849">
        <v>39068</v>
      </c>
      <c r="B849">
        <v>3204906</v>
      </c>
      <c r="C849" t="s">
        <v>82</v>
      </c>
      <c r="D849">
        <v>1.901</v>
      </c>
      <c r="E849">
        <v>7524540.29</v>
      </c>
      <c r="F849">
        <v>0</v>
      </c>
      <c r="G849">
        <v>7524540.29</v>
      </c>
      <c r="H849">
        <v>99068.21</v>
      </c>
      <c r="I849">
        <v>554581.52</v>
      </c>
      <c r="J849">
        <v>3.0249999999999999</v>
      </c>
      <c r="K849">
        <v>179615.56</v>
      </c>
      <c r="L849">
        <v>0</v>
      </c>
      <c r="M849">
        <v>40332.620000000003</v>
      </c>
      <c r="N849">
        <v>2023</v>
      </c>
      <c r="O849">
        <v>11</v>
      </c>
    </row>
    <row r="850" spans="1:15" x14ac:dyDescent="0.3">
      <c r="A850">
        <v>39069</v>
      </c>
      <c r="B850">
        <v>3204955</v>
      </c>
      <c r="C850" t="s">
        <v>83</v>
      </c>
      <c r="D850">
        <v>0.312</v>
      </c>
      <c r="E850">
        <v>1234958.72</v>
      </c>
      <c r="F850">
        <v>0</v>
      </c>
      <c r="G850">
        <v>1234958.72</v>
      </c>
      <c r="H850">
        <v>16259.49</v>
      </c>
      <c r="I850">
        <v>37554.839999999997</v>
      </c>
      <c r="J850">
        <v>0.46100000000000002</v>
      </c>
      <c r="K850">
        <v>29479.25</v>
      </c>
      <c r="L850">
        <v>0</v>
      </c>
      <c r="M850">
        <v>6619.56</v>
      </c>
      <c r="N850">
        <v>2023</v>
      </c>
      <c r="O850">
        <v>11</v>
      </c>
    </row>
    <row r="851" spans="1:15" x14ac:dyDescent="0.3">
      <c r="A851">
        <v>39070</v>
      </c>
      <c r="B851">
        <v>3205002</v>
      </c>
      <c r="C851" t="s">
        <v>84</v>
      </c>
      <c r="D851">
        <v>15.625</v>
      </c>
      <c r="E851">
        <v>61846892.240000002</v>
      </c>
      <c r="F851">
        <v>0</v>
      </c>
      <c r="G851">
        <v>61846892.240000002</v>
      </c>
      <c r="H851">
        <v>814277.13</v>
      </c>
      <c r="I851">
        <v>2097689.9700000002</v>
      </c>
      <c r="J851">
        <v>8.4320000000000004</v>
      </c>
      <c r="K851">
        <v>1476324.67</v>
      </c>
      <c r="L851">
        <v>0</v>
      </c>
      <c r="M851">
        <v>331508.21999999997</v>
      </c>
      <c r="N851">
        <v>2023</v>
      </c>
      <c r="O851">
        <v>11</v>
      </c>
    </row>
    <row r="852" spans="1:15" x14ac:dyDescent="0.3">
      <c r="A852">
        <v>39071</v>
      </c>
      <c r="B852">
        <v>3205010</v>
      </c>
      <c r="C852" t="s">
        <v>85</v>
      </c>
      <c r="D852">
        <v>0.72199999999999998</v>
      </c>
      <c r="E852">
        <v>2857821.19</v>
      </c>
      <c r="F852">
        <v>0</v>
      </c>
      <c r="G852">
        <v>2857821.19</v>
      </c>
      <c r="H852">
        <v>37626.120000000003</v>
      </c>
      <c r="I852">
        <v>82283.13</v>
      </c>
      <c r="J852">
        <v>0.997</v>
      </c>
      <c r="K852">
        <v>68218.009999999995</v>
      </c>
      <c r="L852">
        <v>0</v>
      </c>
      <c r="M852">
        <v>15318.33</v>
      </c>
      <c r="N852">
        <v>2023</v>
      </c>
      <c r="O852">
        <v>11</v>
      </c>
    </row>
    <row r="853" spans="1:15" x14ac:dyDescent="0.3">
      <c r="A853">
        <v>39072</v>
      </c>
      <c r="B853">
        <v>3205036</v>
      </c>
      <c r="C853" t="s">
        <v>86</v>
      </c>
      <c r="D853">
        <v>0.49099999999999999</v>
      </c>
      <c r="E853">
        <v>1943476.74</v>
      </c>
      <c r="F853">
        <v>0</v>
      </c>
      <c r="G853">
        <v>1943476.74</v>
      </c>
      <c r="H853">
        <v>25587.84</v>
      </c>
      <c r="I853">
        <v>79641.52</v>
      </c>
      <c r="J853">
        <v>0.72699999999999998</v>
      </c>
      <c r="K853">
        <v>46392.02</v>
      </c>
      <c r="L853">
        <v>0</v>
      </c>
      <c r="M853">
        <v>10417.31</v>
      </c>
      <c r="N853">
        <v>2023</v>
      </c>
      <c r="O853">
        <v>11</v>
      </c>
    </row>
    <row r="854" spans="1:15" x14ac:dyDescent="0.3">
      <c r="A854">
        <v>39073</v>
      </c>
      <c r="B854">
        <v>3205069</v>
      </c>
      <c r="C854" t="s">
        <v>87</v>
      </c>
      <c r="D854">
        <v>0.68700000000000006</v>
      </c>
      <c r="E854">
        <v>2719284.17</v>
      </c>
      <c r="F854">
        <v>0</v>
      </c>
      <c r="G854">
        <v>2719284.17</v>
      </c>
      <c r="H854">
        <v>35802.14</v>
      </c>
      <c r="I854">
        <v>81993.850000000006</v>
      </c>
      <c r="J854">
        <v>0.85799999999999998</v>
      </c>
      <c r="K854">
        <v>64911.05</v>
      </c>
      <c r="L854">
        <v>0</v>
      </c>
      <c r="M854">
        <v>14575.75</v>
      </c>
      <c r="N854">
        <v>2023</v>
      </c>
      <c r="O854">
        <v>11</v>
      </c>
    </row>
    <row r="855" spans="1:15" x14ac:dyDescent="0.3">
      <c r="A855">
        <v>39074</v>
      </c>
      <c r="B855">
        <v>2112803</v>
      </c>
      <c r="C855" t="s">
        <v>88</v>
      </c>
      <c r="D855">
        <v>2.9870000000000001</v>
      </c>
      <c r="E855">
        <v>11823146.68</v>
      </c>
      <c r="F855">
        <v>0</v>
      </c>
      <c r="G855">
        <v>11823146.68</v>
      </c>
      <c r="H855">
        <v>155663.73000000001</v>
      </c>
      <c r="I855">
        <v>192090.04</v>
      </c>
      <c r="J855">
        <v>1.984</v>
      </c>
      <c r="K855">
        <v>282226.03000000003</v>
      </c>
      <c r="L855">
        <v>0</v>
      </c>
      <c r="M855">
        <v>63373.760000000002</v>
      </c>
      <c r="N855">
        <v>2023</v>
      </c>
      <c r="O855">
        <v>11</v>
      </c>
    </row>
    <row r="856" spans="1:15" x14ac:dyDescent="0.3">
      <c r="A856">
        <v>39075</v>
      </c>
      <c r="B856">
        <v>3205150</v>
      </c>
      <c r="C856" t="s">
        <v>89</v>
      </c>
      <c r="D856">
        <v>0.31900000000000001</v>
      </c>
      <c r="E856">
        <v>1262666.1499999999</v>
      </c>
      <c r="F856">
        <v>0</v>
      </c>
      <c r="G856">
        <v>1262666.1499999999</v>
      </c>
      <c r="H856">
        <v>16624.28</v>
      </c>
      <c r="I856">
        <v>22556.12</v>
      </c>
      <c r="J856">
        <v>0.34399999999999997</v>
      </c>
      <c r="K856">
        <v>30140.65</v>
      </c>
      <c r="L856">
        <v>0</v>
      </c>
      <c r="M856">
        <v>6768.07</v>
      </c>
      <c r="N856">
        <v>2023</v>
      </c>
      <c r="O856">
        <v>11</v>
      </c>
    </row>
    <row r="857" spans="1:15" x14ac:dyDescent="0.3">
      <c r="A857">
        <v>39076</v>
      </c>
      <c r="B857">
        <v>3205176</v>
      </c>
      <c r="C857" t="s">
        <v>90</v>
      </c>
      <c r="D857">
        <v>0.65800000000000003</v>
      </c>
      <c r="E857">
        <v>2604496.3199999998</v>
      </c>
      <c r="F857">
        <v>0</v>
      </c>
      <c r="G857">
        <v>2604496.3199999998</v>
      </c>
      <c r="H857">
        <v>34290.839999999997</v>
      </c>
      <c r="I857">
        <v>75634.259999999995</v>
      </c>
      <c r="J857">
        <v>0.55600000000000005</v>
      </c>
      <c r="K857">
        <v>62170.98</v>
      </c>
      <c r="L857">
        <v>0</v>
      </c>
      <c r="M857">
        <v>13960.47</v>
      </c>
      <c r="N857">
        <v>2023</v>
      </c>
      <c r="O857">
        <v>11</v>
      </c>
    </row>
    <row r="858" spans="1:15" x14ac:dyDescent="0.3">
      <c r="A858">
        <v>39077</v>
      </c>
      <c r="B858">
        <v>3205200</v>
      </c>
      <c r="C858" t="s">
        <v>91</v>
      </c>
      <c r="D858">
        <v>5.056</v>
      </c>
      <c r="E858">
        <v>20012664.760000002</v>
      </c>
      <c r="F858">
        <v>0</v>
      </c>
      <c r="G858">
        <v>20012664.760000002</v>
      </c>
      <c r="H858">
        <v>263487.05</v>
      </c>
      <c r="I858">
        <v>2189802.85</v>
      </c>
      <c r="J858">
        <v>8.09</v>
      </c>
      <c r="K858">
        <v>477715.04</v>
      </c>
      <c r="L858">
        <v>0</v>
      </c>
      <c r="M858">
        <v>107270.75</v>
      </c>
      <c r="N858">
        <v>2023</v>
      </c>
      <c r="O858">
        <v>11</v>
      </c>
    </row>
    <row r="859" spans="1:15" x14ac:dyDescent="0.3">
      <c r="A859">
        <v>39078</v>
      </c>
      <c r="B859">
        <v>3205309</v>
      </c>
      <c r="C859" t="s">
        <v>92</v>
      </c>
      <c r="D859">
        <v>14.782</v>
      </c>
      <c r="E859">
        <v>58510128.590000004</v>
      </c>
      <c r="F859">
        <v>0</v>
      </c>
      <c r="G859">
        <v>58510128.590000004</v>
      </c>
      <c r="H859">
        <v>770345.25</v>
      </c>
      <c r="I859">
        <v>2195762.75</v>
      </c>
      <c r="J859">
        <v>9.4969999999999999</v>
      </c>
      <c r="K859">
        <v>1396674.01</v>
      </c>
      <c r="L859">
        <v>0</v>
      </c>
      <c r="M859">
        <v>313622.65999999997</v>
      </c>
      <c r="N859">
        <v>2023</v>
      </c>
      <c r="O859">
        <v>11</v>
      </c>
    </row>
    <row r="860" spans="1:15" x14ac:dyDescent="0.3">
      <c r="A860">
        <v>39079</v>
      </c>
      <c r="B860">
        <v>3200102</v>
      </c>
      <c r="C860" t="s">
        <v>15</v>
      </c>
      <c r="D860">
        <v>0.76100000000000001</v>
      </c>
      <c r="E860">
        <v>3143588.13</v>
      </c>
      <c r="F860">
        <v>0</v>
      </c>
      <c r="G860">
        <v>3143588.13</v>
      </c>
      <c r="H860">
        <v>35377.26</v>
      </c>
      <c r="I860">
        <v>56780.37</v>
      </c>
      <c r="J860">
        <v>0.98499999999999999</v>
      </c>
      <c r="K860">
        <v>66469.47</v>
      </c>
      <c r="L860">
        <v>0</v>
      </c>
      <c r="M860">
        <v>773472.34</v>
      </c>
      <c r="N860">
        <v>2023</v>
      </c>
      <c r="O860">
        <v>12</v>
      </c>
    </row>
    <row r="861" spans="1:15" x14ac:dyDescent="0.3">
      <c r="A861">
        <v>39080</v>
      </c>
      <c r="B861">
        <v>3200169</v>
      </c>
      <c r="C861" t="s">
        <v>16</v>
      </c>
      <c r="D861">
        <v>0.28899999999999998</v>
      </c>
      <c r="E861">
        <v>1193819.95</v>
      </c>
      <c r="F861">
        <v>0</v>
      </c>
      <c r="G861">
        <v>1193819.95</v>
      </c>
      <c r="H861">
        <v>13434.99</v>
      </c>
      <c r="I861">
        <v>26142.47</v>
      </c>
      <c r="J861">
        <v>0.439</v>
      </c>
      <c r="K861">
        <v>25242.68</v>
      </c>
      <c r="L861">
        <v>0</v>
      </c>
      <c r="M861">
        <v>293736.53999999998</v>
      </c>
      <c r="N861">
        <v>2023</v>
      </c>
      <c r="O861">
        <v>12</v>
      </c>
    </row>
    <row r="862" spans="1:15" x14ac:dyDescent="0.3">
      <c r="A862">
        <v>39081</v>
      </c>
      <c r="B862">
        <v>3200136</v>
      </c>
      <c r="C862" t="s">
        <v>17</v>
      </c>
      <c r="D862">
        <v>0.40400000000000003</v>
      </c>
      <c r="E862">
        <v>1668869.39</v>
      </c>
      <c r="F862">
        <v>0</v>
      </c>
      <c r="G862">
        <v>1668869.39</v>
      </c>
      <c r="H862">
        <v>18781.099999999999</v>
      </c>
      <c r="I862">
        <v>22323.439999999999</v>
      </c>
      <c r="J862">
        <v>0.34799999999999998</v>
      </c>
      <c r="K862">
        <v>35287.33</v>
      </c>
      <c r="L862">
        <v>0</v>
      </c>
      <c r="M862">
        <v>410621.32</v>
      </c>
      <c r="N862">
        <v>2023</v>
      </c>
      <c r="O862">
        <v>12</v>
      </c>
    </row>
    <row r="863" spans="1:15" x14ac:dyDescent="0.3">
      <c r="A863">
        <v>39082</v>
      </c>
      <c r="B863">
        <v>3200201</v>
      </c>
      <c r="C863" t="s">
        <v>18</v>
      </c>
      <c r="D863">
        <v>0.498</v>
      </c>
      <c r="E863">
        <v>2057170.69</v>
      </c>
      <c r="F863">
        <v>0</v>
      </c>
      <c r="G863">
        <v>2057170.69</v>
      </c>
      <c r="H863">
        <v>23150.959999999999</v>
      </c>
      <c r="I863">
        <v>72063.009999999995</v>
      </c>
      <c r="J863">
        <v>0.98</v>
      </c>
      <c r="K863">
        <v>43497.760000000002</v>
      </c>
      <c r="L863">
        <v>0</v>
      </c>
      <c r="M863">
        <v>506161.93</v>
      </c>
      <c r="N863">
        <v>2023</v>
      </c>
      <c r="O863">
        <v>12</v>
      </c>
    </row>
    <row r="864" spans="1:15" x14ac:dyDescent="0.3">
      <c r="A864">
        <v>39083</v>
      </c>
      <c r="B864">
        <v>3200300</v>
      </c>
      <c r="C864" t="s">
        <v>19</v>
      </c>
      <c r="D864">
        <v>0.46700000000000003</v>
      </c>
      <c r="E864">
        <v>1929113.85</v>
      </c>
      <c r="F864">
        <v>0</v>
      </c>
      <c r="G864">
        <v>1929113.85</v>
      </c>
      <c r="H864">
        <v>21709.83</v>
      </c>
      <c r="I864">
        <v>38222.35</v>
      </c>
      <c r="J864">
        <v>0.56399999999999995</v>
      </c>
      <c r="K864">
        <v>40790.07</v>
      </c>
      <c r="L864">
        <v>0</v>
      </c>
      <c r="M864">
        <v>474653.86</v>
      </c>
      <c r="N864">
        <v>2023</v>
      </c>
      <c r="O864">
        <v>12</v>
      </c>
    </row>
    <row r="865" spans="1:15" x14ac:dyDescent="0.3">
      <c r="A865">
        <v>39084</v>
      </c>
      <c r="B865">
        <v>3200359</v>
      </c>
      <c r="C865" t="s">
        <v>20</v>
      </c>
      <c r="D865">
        <v>0.22600000000000001</v>
      </c>
      <c r="E865">
        <v>933575.44</v>
      </c>
      <c r="F865">
        <v>0</v>
      </c>
      <c r="G865">
        <v>933575.44</v>
      </c>
      <c r="H865">
        <v>10506.26</v>
      </c>
      <c r="I865">
        <v>16848.66</v>
      </c>
      <c r="J865">
        <v>0.32700000000000001</v>
      </c>
      <c r="K865">
        <v>19739.939999999999</v>
      </c>
      <c r="L865">
        <v>0</v>
      </c>
      <c r="M865">
        <v>229704.01</v>
      </c>
      <c r="N865">
        <v>2023</v>
      </c>
      <c r="O865">
        <v>12</v>
      </c>
    </row>
    <row r="866" spans="1:15" x14ac:dyDescent="0.3">
      <c r="A866">
        <v>39085</v>
      </c>
      <c r="B866">
        <v>3200409</v>
      </c>
      <c r="C866" t="s">
        <v>21</v>
      </c>
      <c r="D866">
        <v>3.1480000000000001</v>
      </c>
      <c r="E866">
        <v>13003962.470000001</v>
      </c>
      <c r="F866">
        <v>0</v>
      </c>
      <c r="G866">
        <v>13003962.470000001</v>
      </c>
      <c r="H866">
        <v>146343.79</v>
      </c>
      <c r="I866">
        <v>148594.82</v>
      </c>
      <c r="J866">
        <v>0.90800000000000003</v>
      </c>
      <c r="K866">
        <v>274961.71999999997</v>
      </c>
      <c r="L866">
        <v>0</v>
      </c>
      <c r="M866">
        <v>3199593.89</v>
      </c>
      <c r="N866">
        <v>2023</v>
      </c>
      <c r="O866">
        <v>12</v>
      </c>
    </row>
    <row r="867" spans="1:15" x14ac:dyDescent="0.3">
      <c r="A867">
        <v>39086</v>
      </c>
      <c r="B867">
        <v>3200508</v>
      </c>
      <c r="C867" t="s">
        <v>22</v>
      </c>
      <c r="D867">
        <v>0.185</v>
      </c>
      <c r="E867">
        <v>764209.98</v>
      </c>
      <c r="F867">
        <v>0</v>
      </c>
      <c r="G867">
        <v>764209.98</v>
      </c>
      <c r="H867">
        <v>8600.25</v>
      </c>
      <c r="I867">
        <v>48388.23</v>
      </c>
      <c r="J867">
        <v>0.32300000000000001</v>
      </c>
      <c r="K867">
        <v>16158.8</v>
      </c>
      <c r="L867">
        <v>0</v>
      </c>
      <c r="M867">
        <v>188032.04</v>
      </c>
      <c r="N867">
        <v>2023</v>
      </c>
      <c r="O867">
        <v>12</v>
      </c>
    </row>
    <row r="868" spans="1:15" x14ac:dyDescent="0.3">
      <c r="A868">
        <v>39087</v>
      </c>
      <c r="B868">
        <v>3200607</v>
      </c>
      <c r="C868" t="s">
        <v>23</v>
      </c>
      <c r="D868">
        <v>2.9220000000000002</v>
      </c>
      <c r="E868">
        <v>12070387.02</v>
      </c>
      <c r="F868">
        <v>0</v>
      </c>
      <c r="G868">
        <v>12070387.02</v>
      </c>
      <c r="H868">
        <v>135837.53</v>
      </c>
      <c r="I868">
        <v>347108.29</v>
      </c>
      <c r="J868">
        <v>2.5089999999999999</v>
      </c>
      <c r="K868">
        <v>255221.77</v>
      </c>
      <c r="L868">
        <v>0</v>
      </c>
      <c r="M868">
        <v>2969889.88</v>
      </c>
      <c r="N868">
        <v>2023</v>
      </c>
      <c r="O868">
        <v>12</v>
      </c>
    </row>
    <row r="869" spans="1:15" x14ac:dyDescent="0.3">
      <c r="A869">
        <v>39088</v>
      </c>
      <c r="B869">
        <v>3200706</v>
      </c>
      <c r="C869" t="s">
        <v>24</v>
      </c>
      <c r="D869">
        <v>0.35399999999999998</v>
      </c>
      <c r="E869">
        <v>1462326.14</v>
      </c>
      <c r="F869">
        <v>0</v>
      </c>
      <c r="G869">
        <v>1462326.14</v>
      </c>
      <c r="H869">
        <v>16456.7</v>
      </c>
      <c r="I869">
        <v>32856.21</v>
      </c>
      <c r="J869">
        <v>0.45700000000000002</v>
      </c>
      <c r="K869">
        <v>30920.09</v>
      </c>
      <c r="L869">
        <v>0</v>
      </c>
      <c r="M869">
        <v>359801.86</v>
      </c>
      <c r="N869">
        <v>2023</v>
      </c>
      <c r="O869">
        <v>12</v>
      </c>
    </row>
    <row r="870" spans="1:15" x14ac:dyDescent="0.3">
      <c r="A870">
        <v>39089</v>
      </c>
      <c r="B870">
        <v>3200805</v>
      </c>
      <c r="C870" t="s">
        <v>25</v>
      </c>
      <c r="D870">
        <v>0.60699999999999998</v>
      </c>
      <c r="E870">
        <v>2507434.94</v>
      </c>
      <c r="F870">
        <v>0</v>
      </c>
      <c r="G870">
        <v>2507434.94</v>
      </c>
      <c r="H870">
        <v>28218.13</v>
      </c>
      <c r="I870">
        <v>104296.85</v>
      </c>
      <c r="J870">
        <v>0.997</v>
      </c>
      <c r="K870">
        <v>53018.35</v>
      </c>
      <c r="L870">
        <v>0</v>
      </c>
      <c r="M870">
        <v>616948.38</v>
      </c>
      <c r="N870">
        <v>2023</v>
      </c>
      <c r="O870">
        <v>12</v>
      </c>
    </row>
    <row r="871" spans="1:15" x14ac:dyDescent="0.3">
      <c r="A871">
        <v>39090</v>
      </c>
      <c r="B871">
        <v>3200904</v>
      </c>
      <c r="C871" t="s">
        <v>26</v>
      </c>
      <c r="D871">
        <v>1.0289999999999999</v>
      </c>
      <c r="E871">
        <v>4250659.91</v>
      </c>
      <c r="F871">
        <v>0</v>
      </c>
      <c r="G871">
        <v>4250659.91</v>
      </c>
      <c r="H871">
        <v>47836.01</v>
      </c>
      <c r="I871">
        <v>128118.55</v>
      </c>
      <c r="J871">
        <v>1.321</v>
      </c>
      <c r="K871">
        <v>89877.9</v>
      </c>
      <c r="L871">
        <v>0</v>
      </c>
      <c r="M871">
        <v>1045864.71</v>
      </c>
      <c r="N871">
        <v>2023</v>
      </c>
      <c r="O871">
        <v>12</v>
      </c>
    </row>
    <row r="872" spans="1:15" x14ac:dyDescent="0.3">
      <c r="A872">
        <v>39091</v>
      </c>
      <c r="B872">
        <v>3107109</v>
      </c>
      <c r="C872" t="s">
        <v>27</v>
      </c>
      <c r="D872">
        <v>0.39500000000000002</v>
      </c>
      <c r="E872">
        <v>1631691.61</v>
      </c>
      <c r="F872">
        <v>0</v>
      </c>
      <c r="G872">
        <v>1631691.61</v>
      </c>
      <c r="H872">
        <v>18362.71</v>
      </c>
      <c r="I872">
        <v>46215.23</v>
      </c>
      <c r="J872">
        <v>0.56899999999999995</v>
      </c>
      <c r="K872">
        <v>34501.230000000003</v>
      </c>
      <c r="L872">
        <v>0</v>
      </c>
      <c r="M872">
        <v>401473.82</v>
      </c>
      <c r="N872">
        <v>2023</v>
      </c>
      <c r="O872">
        <v>12</v>
      </c>
    </row>
    <row r="873" spans="1:15" x14ac:dyDescent="0.3">
      <c r="A873">
        <v>39092</v>
      </c>
      <c r="B873">
        <v>3201100</v>
      </c>
      <c r="C873" t="s">
        <v>28</v>
      </c>
      <c r="D873">
        <v>0.17599999999999999</v>
      </c>
      <c r="E873">
        <v>727032.21</v>
      </c>
      <c r="F873">
        <v>0</v>
      </c>
      <c r="G873">
        <v>727032.21</v>
      </c>
      <c r="H873">
        <v>8181.86</v>
      </c>
      <c r="I873">
        <v>99456.42</v>
      </c>
      <c r="J873">
        <v>0.43</v>
      </c>
      <c r="K873">
        <v>15372.71</v>
      </c>
      <c r="L873">
        <v>0</v>
      </c>
      <c r="M873">
        <v>178884.53</v>
      </c>
      <c r="N873">
        <v>2023</v>
      </c>
      <c r="O873">
        <v>12</v>
      </c>
    </row>
    <row r="874" spans="1:15" x14ac:dyDescent="0.3">
      <c r="A874">
        <v>39093</v>
      </c>
      <c r="B874">
        <v>3201159</v>
      </c>
      <c r="C874" t="s">
        <v>29</v>
      </c>
      <c r="D874">
        <v>0.42099999999999999</v>
      </c>
      <c r="E874">
        <v>1739094.12</v>
      </c>
      <c r="F874">
        <v>0</v>
      </c>
      <c r="G874">
        <v>1739094.12</v>
      </c>
      <c r="H874">
        <v>19571.39</v>
      </c>
      <c r="I874">
        <v>28430.05</v>
      </c>
      <c r="J874">
        <v>0.46</v>
      </c>
      <c r="K874">
        <v>36772.199999999997</v>
      </c>
      <c r="L874">
        <v>0</v>
      </c>
      <c r="M874">
        <v>427899.94</v>
      </c>
      <c r="N874">
        <v>2023</v>
      </c>
      <c r="O874">
        <v>12</v>
      </c>
    </row>
    <row r="875" spans="1:15" x14ac:dyDescent="0.3">
      <c r="A875">
        <v>39094</v>
      </c>
      <c r="B875">
        <v>3201209</v>
      </c>
      <c r="C875" t="s">
        <v>30</v>
      </c>
      <c r="D875">
        <v>3.1120000000000001</v>
      </c>
      <c r="E875">
        <v>12855251.369999999</v>
      </c>
      <c r="F875">
        <v>0</v>
      </c>
      <c r="G875">
        <v>12855251.369999999</v>
      </c>
      <c r="H875">
        <v>144670.23000000001</v>
      </c>
      <c r="I875">
        <v>979754.72</v>
      </c>
      <c r="J875">
        <v>4.4820000000000002</v>
      </c>
      <c r="K875">
        <v>271817.3</v>
      </c>
      <c r="L875">
        <v>0</v>
      </c>
      <c r="M875">
        <v>3163003.87</v>
      </c>
      <c r="N875">
        <v>2023</v>
      </c>
      <c r="O875">
        <v>12</v>
      </c>
    </row>
    <row r="876" spans="1:15" x14ac:dyDescent="0.3">
      <c r="A876">
        <v>39095</v>
      </c>
      <c r="B876">
        <v>3201308</v>
      </c>
      <c r="C876" t="s">
        <v>31</v>
      </c>
      <c r="D876">
        <v>7.2990000000000004</v>
      </c>
      <c r="E876">
        <v>30151182.379999999</v>
      </c>
      <c r="F876">
        <v>0</v>
      </c>
      <c r="G876">
        <v>30151182.379999999</v>
      </c>
      <c r="H876">
        <v>339314.91</v>
      </c>
      <c r="I876">
        <v>1007646.36</v>
      </c>
      <c r="J876">
        <v>6.6040000000000001</v>
      </c>
      <c r="K876">
        <v>637530.36</v>
      </c>
      <c r="L876">
        <v>0</v>
      </c>
      <c r="M876">
        <v>7418626.3700000001</v>
      </c>
      <c r="N876">
        <v>2023</v>
      </c>
      <c r="O876">
        <v>12</v>
      </c>
    </row>
    <row r="877" spans="1:15" x14ac:dyDescent="0.3">
      <c r="A877">
        <v>39096</v>
      </c>
      <c r="B877">
        <v>3201407</v>
      </c>
      <c r="C877" t="s">
        <v>32</v>
      </c>
      <c r="D877">
        <v>0.89900000000000002</v>
      </c>
      <c r="E877">
        <v>3713647.47</v>
      </c>
      <c r="F877">
        <v>0</v>
      </c>
      <c r="G877">
        <v>3713647.47</v>
      </c>
      <c r="H877">
        <v>41792.589999999997</v>
      </c>
      <c r="I877">
        <v>263046.96999999997</v>
      </c>
      <c r="J877">
        <v>1.155</v>
      </c>
      <c r="K877">
        <v>78523.06</v>
      </c>
      <c r="L877">
        <v>0</v>
      </c>
      <c r="M877">
        <v>913734.08</v>
      </c>
      <c r="N877">
        <v>2023</v>
      </c>
      <c r="O877">
        <v>12</v>
      </c>
    </row>
    <row r="878" spans="1:15" x14ac:dyDescent="0.3">
      <c r="A878">
        <v>39097</v>
      </c>
      <c r="B878">
        <v>3201506</v>
      </c>
      <c r="C878" t="s">
        <v>33</v>
      </c>
      <c r="D878">
        <v>2.2320000000000002</v>
      </c>
      <c r="E878">
        <v>9220090.2799999993</v>
      </c>
      <c r="F878">
        <v>0</v>
      </c>
      <c r="G878">
        <v>9220090.2799999993</v>
      </c>
      <c r="H878">
        <v>103760.91</v>
      </c>
      <c r="I878">
        <v>496936.16</v>
      </c>
      <c r="J878">
        <v>2.8220000000000001</v>
      </c>
      <c r="K878">
        <v>194953.79</v>
      </c>
      <c r="L878">
        <v>0</v>
      </c>
      <c r="M878">
        <v>2268581.1800000002</v>
      </c>
      <c r="N878">
        <v>2023</v>
      </c>
      <c r="O878">
        <v>12</v>
      </c>
    </row>
    <row r="879" spans="1:15" x14ac:dyDescent="0.3">
      <c r="A879">
        <v>39098</v>
      </c>
      <c r="B879">
        <v>3201605</v>
      </c>
      <c r="C879" t="s">
        <v>34</v>
      </c>
      <c r="D879">
        <v>0.79400000000000004</v>
      </c>
      <c r="E879">
        <v>3279906.67</v>
      </c>
      <c r="F879">
        <v>0</v>
      </c>
      <c r="G879">
        <v>3279906.67</v>
      </c>
      <c r="H879">
        <v>36911.360000000001</v>
      </c>
      <c r="I879">
        <v>60081.64</v>
      </c>
      <c r="J879">
        <v>0.999</v>
      </c>
      <c r="K879">
        <v>69351.839999999997</v>
      </c>
      <c r="L879">
        <v>0</v>
      </c>
      <c r="M879">
        <v>807013.19</v>
      </c>
      <c r="N879">
        <v>2023</v>
      </c>
      <c r="O879">
        <v>12</v>
      </c>
    </row>
    <row r="880" spans="1:15" x14ac:dyDescent="0.3">
      <c r="A880">
        <v>39099</v>
      </c>
      <c r="B880">
        <v>3201704</v>
      </c>
      <c r="C880" t="s">
        <v>35</v>
      </c>
      <c r="D880">
        <v>0.46</v>
      </c>
      <c r="E880">
        <v>1900197.8</v>
      </c>
      <c r="F880">
        <v>0</v>
      </c>
      <c r="G880">
        <v>1900197.8</v>
      </c>
      <c r="H880">
        <v>21384.42</v>
      </c>
      <c r="I880">
        <v>30555.64</v>
      </c>
      <c r="J880">
        <v>0.46500000000000002</v>
      </c>
      <c r="K880">
        <v>40178.65</v>
      </c>
      <c r="L880">
        <v>0</v>
      </c>
      <c r="M880">
        <v>467539.13</v>
      </c>
      <c r="N880">
        <v>2023</v>
      </c>
      <c r="O880">
        <v>12</v>
      </c>
    </row>
    <row r="881" spans="1:15" x14ac:dyDescent="0.3">
      <c r="A881">
        <v>39100</v>
      </c>
      <c r="B881">
        <v>3201803</v>
      </c>
      <c r="C881" t="s">
        <v>36</v>
      </c>
      <c r="D881">
        <v>0.182</v>
      </c>
      <c r="E881">
        <v>751817.39</v>
      </c>
      <c r="F881">
        <v>0</v>
      </c>
      <c r="G881">
        <v>751817.39</v>
      </c>
      <c r="H881">
        <v>8460.7900000000009</v>
      </c>
      <c r="I881">
        <v>7422.99</v>
      </c>
      <c r="J881">
        <v>0.28299999999999997</v>
      </c>
      <c r="K881">
        <v>15896.77</v>
      </c>
      <c r="L881">
        <v>0</v>
      </c>
      <c r="M881">
        <v>184982.87</v>
      </c>
      <c r="N881">
        <v>2023</v>
      </c>
      <c r="O881">
        <v>12</v>
      </c>
    </row>
    <row r="882" spans="1:15" x14ac:dyDescent="0.3">
      <c r="A882">
        <v>39101</v>
      </c>
      <c r="B882">
        <v>3201902</v>
      </c>
      <c r="C882" t="s">
        <v>37</v>
      </c>
      <c r="D882">
        <v>1.268</v>
      </c>
      <c r="E882">
        <v>5237936.5999999996</v>
      </c>
      <c r="F882">
        <v>0</v>
      </c>
      <c r="G882">
        <v>5237936.5999999996</v>
      </c>
      <c r="H882">
        <v>58946.61</v>
      </c>
      <c r="I882">
        <v>79226.240000000005</v>
      </c>
      <c r="J882">
        <v>1.0309999999999999</v>
      </c>
      <c r="K882">
        <v>110753.33</v>
      </c>
      <c r="L882">
        <v>0</v>
      </c>
      <c r="M882">
        <v>1288781.78</v>
      </c>
      <c r="N882">
        <v>2023</v>
      </c>
      <c r="O882">
        <v>12</v>
      </c>
    </row>
    <row r="883" spans="1:15" x14ac:dyDescent="0.3">
      <c r="A883">
        <v>39102</v>
      </c>
      <c r="B883">
        <v>3202009</v>
      </c>
      <c r="C883" t="s">
        <v>38</v>
      </c>
      <c r="D883">
        <v>0.27</v>
      </c>
      <c r="E883">
        <v>1115333.49</v>
      </c>
      <c r="F883">
        <v>0</v>
      </c>
      <c r="G883">
        <v>1115333.49</v>
      </c>
      <c r="H883">
        <v>12551.72</v>
      </c>
      <c r="I883">
        <v>29459.08</v>
      </c>
      <c r="J883">
        <v>0.314</v>
      </c>
      <c r="K883">
        <v>23583.119999999999</v>
      </c>
      <c r="L883">
        <v>0</v>
      </c>
      <c r="M883">
        <v>274425.14</v>
      </c>
      <c r="N883">
        <v>2023</v>
      </c>
      <c r="O883">
        <v>12</v>
      </c>
    </row>
    <row r="884" spans="1:15" x14ac:dyDescent="0.3">
      <c r="A884">
        <v>39103</v>
      </c>
      <c r="B884">
        <v>3202108</v>
      </c>
      <c r="C884" t="s">
        <v>39</v>
      </c>
      <c r="D884">
        <v>0.69399999999999995</v>
      </c>
      <c r="E884">
        <v>2866820.18</v>
      </c>
      <c r="F884">
        <v>0</v>
      </c>
      <c r="G884">
        <v>2866820.18</v>
      </c>
      <c r="H884">
        <v>32262.58</v>
      </c>
      <c r="I884">
        <v>53343.86</v>
      </c>
      <c r="J884">
        <v>0.81599999999999995</v>
      </c>
      <c r="K884">
        <v>60617.36</v>
      </c>
      <c r="L884">
        <v>0</v>
      </c>
      <c r="M884">
        <v>705374.26</v>
      </c>
      <c r="N884">
        <v>2023</v>
      </c>
      <c r="O884">
        <v>12</v>
      </c>
    </row>
    <row r="885" spans="1:15" x14ac:dyDescent="0.3">
      <c r="A885">
        <v>39104</v>
      </c>
      <c r="B885">
        <v>3202207</v>
      </c>
      <c r="C885" t="s">
        <v>40</v>
      </c>
      <c r="D885">
        <v>0.28599999999999998</v>
      </c>
      <c r="E885">
        <v>1181427.3600000001</v>
      </c>
      <c r="F885">
        <v>0</v>
      </c>
      <c r="G885">
        <v>1181427.3600000001</v>
      </c>
      <c r="H885">
        <v>13295.53</v>
      </c>
      <c r="I885">
        <v>60202.26</v>
      </c>
      <c r="J885">
        <v>0.73399999999999999</v>
      </c>
      <c r="K885">
        <v>24980.639999999999</v>
      </c>
      <c r="L885">
        <v>0</v>
      </c>
      <c r="M885">
        <v>290687.38</v>
      </c>
      <c r="N885">
        <v>2023</v>
      </c>
      <c r="O885">
        <v>12</v>
      </c>
    </row>
    <row r="886" spans="1:15" x14ac:dyDescent="0.3">
      <c r="A886">
        <v>39105</v>
      </c>
      <c r="B886">
        <v>3202256</v>
      </c>
      <c r="C886" t="s">
        <v>41</v>
      </c>
      <c r="D886">
        <v>0.438</v>
      </c>
      <c r="E886">
        <v>1809318.78</v>
      </c>
      <c r="F886">
        <v>0</v>
      </c>
      <c r="G886">
        <v>1809318.78</v>
      </c>
      <c r="H886">
        <v>20361.68</v>
      </c>
      <c r="I886">
        <v>33348.07</v>
      </c>
      <c r="J886">
        <v>0.46700000000000003</v>
      </c>
      <c r="K886">
        <v>38257.07</v>
      </c>
      <c r="L886">
        <v>0</v>
      </c>
      <c r="M886">
        <v>445178.57</v>
      </c>
      <c r="N886">
        <v>2023</v>
      </c>
      <c r="O886">
        <v>12</v>
      </c>
    </row>
    <row r="887" spans="1:15" x14ac:dyDescent="0.3">
      <c r="A887">
        <v>39106</v>
      </c>
      <c r="B887">
        <v>3202306</v>
      </c>
      <c r="C887" t="s">
        <v>42</v>
      </c>
      <c r="D887">
        <v>0.35899999999999999</v>
      </c>
      <c r="E887">
        <v>1482980.47</v>
      </c>
      <c r="F887">
        <v>0</v>
      </c>
      <c r="G887">
        <v>1482980.47</v>
      </c>
      <c r="H887">
        <v>16689.14</v>
      </c>
      <c r="I887">
        <v>96373.79</v>
      </c>
      <c r="J887">
        <v>0.998</v>
      </c>
      <c r="K887">
        <v>31356.82</v>
      </c>
      <c r="L887">
        <v>0</v>
      </c>
      <c r="M887">
        <v>364883.8</v>
      </c>
      <c r="N887">
        <v>2023</v>
      </c>
      <c r="O887">
        <v>12</v>
      </c>
    </row>
    <row r="888" spans="1:15" x14ac:dyDescent="0.3">
      <c r="A888">
        <v>39107</v>
      </c>
      <c r="B888">
        <v>3202405</v>
      </c>
      <c r="C888" t="s">
        <v>43</v>
      </c>
      <c r="D888">
        <v>0.81200000000000006</v>
      </c>
      <c r="E888">
        <v>3354262.22</v>
      </c>
      <c r="F888">
        <v>0</v>
      </c>
      <c r="G888">
        <v>3354262.22</v>
      </c>
      <c r="H888">
        <v>37748.14</v>
      </c>
      <c r="I888">
        <v>711156.93</v>
      </c>
      <c r="J888">
        <v>2.8730000000000002</v>
      </c>
      <c r="K888">
        <v>70924.05</v>
      </c>
      <c r="L888">
        <v>0</v>
      </c>
      <c r="M888">
        <v>825308.21</v>
      </c>
      <c r="N888">
        <v>2023</v>
      </c>
      <c r="O888">
        <v>12</v>
      </c>
    </row>
    <row r="889" spans="1:15" x14ac:dyDescent="0.3">
      <c r="A889">
        <v>39108</v>
      </c>
      <c r="B889">
        <v>3202454</v>
      </c>
      <c r="C889" t="s">
        <v>44</v>
      </c>
      <c r="D889">
        <v>0.372</v>
      </c>
      <c r="E889">
        <v>1536681.71</v>
      </c>
      <c r="F889">
        <v>0</v>
      </c>
      <c r="G889">
        <v>1536681.71</v>
      </c>
      <c r="H889">
        <v>17293.48</v>
      </c>
      <c r="I889">
        <v>79603.56</v>
      </c>
      <c r="J889">
        <v>0.86499999999999999</v>
      </c>
      <c r="K889">
        <v>32492.3</v>
      </c>
      <c r="L889">
        <v>0</v>
      </c>
      <c r="M889">
        <v>378096.87</v>
      </c>
      <c r="N889">
        <v>2023</v>
      </c>
      <c r="O889">
        <v>12</v>
      </c>
    </row>
    <row r="890" spans="1:15" x14ac:dyDescent="0.3">
      <c r="A890">
        <v>39109</v>
      </c>
      <c r="B890">
        <v>3202504</v>
      </c>
      <c r="C890" t="s">
        <v>45</v>
      </c>
      <c r="D890">
        <v>0.23100000000000001</v>
      </c>
      <c r="E890">
        <v>954229.79</v>
      </c>
      <c r="F890">
        <v>0</v>
      </c>
      <c r="G890">
        <v>954229.79</v>
      </c>
      <c r="H890">
        <v>10738.7</v>
      </c>
      <c r="I890">
        <v>39684.47</v>
      </c>
      <c r="J890">
        <v>0.46300000000000002</v>
      </c>
      <c r="K890">
        <v>20176.669999999998</v>
      </c>
      <c r="L890">
        <v>0</v>
      </c>
      <c r="M890">
        <v>234785.95</v>
      </c>
      <c r="N890">
        <v>2023</v>
      </c>
      <c r="O890">
        <v>12</v>
      </c>
    </row>
    <row r="891" spans="1:15" x14ac:dyDescent="0.3">
      <c r="A891">
        <v>39110</v>
      </c>
      <c r="B891">
        <v>3202553</v>
      </c>
      <c r="C891" t="s">
        <v>46</v>
      </c>
      <c r="D891">
        <v>0.24299999999999999</v>
      </c>
      <c r="E891">
        <v>1003800.14</v>
      </c>
      <c r="F891">
        <v>0</v>
      </c>
      <c r="G891">
        <v>1003800.14</v>
      </c>
      <c r="H891">
        <v>11296.55</v>
      </c>
      <c r="I891">
        <v>13567.05</v>
      </c>
      <c r="J891">
        <v>0.33800000000000002</v>
      </c>
      <c r="K891">
        <v>21224.81</v>
      </c>
      <c r="L891">
        <v>0</v>
      </c>
      <c r="M891">
        <v>246982.63</v>
      </c>
      <c r="N891">
        <v>2023</v>
      </c>
      <c r="O891">
        <v>12</v>
      </c>
    </row>
    <row r="892" spans="1:15" x14ac:dyDescent="0.3">
      <c r="A892">
        <v>39111</v>
      </c>
      <c r="B892">
        <v>3202603</v>
      </c>
      <c r="C892" t="s">
        <v>47</v>
      </c>
      <c r="D892">
        <v>0.315</v>
      </c>
      <c r="E892">
        <v>1301222.43</v>
      </c>
      <c r="F892">
        <v>0</v>
      </c>
      <c r="G892">
        <v>1301222.43</v>
      </c>
      <c r="H892">
        <v>14643.68</v>
      </c>
      <c r="I892">
        <v>43659.03</v>
      </c>
      <c r="J892">
        <v>0.55600000000000005</v>
      </c>
      <c r="K892">
        <v>27513.64</v>
      </c>
      <c r="L892">
        <v>0</v>
      </c>
      <c r="M892">
        <v>320162.67</v>
      </c>
      <c r="N892">
        <v>2023</v>
      </c>
      <c r="O892">
        <v>12</v>
      </c>
    </row>
    <row r="893" spans="1:15" x14ac:dyDescent="0.3">
      <c r="A893">
        <v>39112</v>
      </c>
      <c r="B893">
        <v>3202652</v>
      </c>
      <c r="C893" t="s">
        <v>48</v>
      </c>
      <c r="D893">
        <v>0.29899999999999999</v>
      </c>
      <c r="E893">
        <v>1235128.55</v>
      </c>
      <c r="F893">
        <v>0</v>
      </c>
      <c r="G893">
        <v>1235128.55</v>
      </c>
      <c r="H893">
        <v>13899.87</v>
      </c>
      <c r="I893">
        <v>31547.22</v>
      </c>
      <c r="J893">
        <v>0.55100000000000005</v>
      </c>
      <c r="K893">
        <v>26116.12</v>
      </c>
      <c r="L893">
        <v>0</v>
      </c>
      <c r="M893">
        <v>303900.43</v>
      </c>
      <c r="N893">
        <v>2023</v>
      </c>
      <c r="O893">
        <v>12</v>
      </c>
    </row>
    <row r="894" spans="1:15" x14ac:dyDescent="0.3">
      <c r="A894">
        <v>39113</v>
      </c>
      <c r="B894">
        <v>3202702</v>
      </c>
      <c r="C894" t="s">
        <v>49</v>
      </c>
      <c r="D894">
        <v>0.31900000000000001</v>
      </c>
      <c r="E894">
        <v>1317745.8899999999</v>
      </c>
      <c r="F894">
        <v>0</v>
      </c>
      <c r="G894">
        <v>1317745.8899999999</v>
      </c>
      <c r="H894">
        <v>14829.63</v>
      </c>
      <c r="I894">
        <v>25584.240000000002</v>
      </c>
      <c r="J894">
        <v>0.55500000000000005</v>
      </c>
      <c r="K894">
        <v>27863.02</v>
      </c>
      <c r="L894">
        <v>0</v>
      </c>
      <c r="M894">
        <v>324228.23</v>
      </c>
      <c r="N894">
        <v>2023</v>
      </c>
      <c r="O894">
        <v>12</v>
      </c>
    </row>
    <row r="895" spans="1:15" x14ac:dyDescent="0.3">
      <c r="A895">
        <v>39114</v>
      </c>
      <c r="B895">
        <v>3202801</v>
      </c>
      <c r="C895" t="s">
        <v>50</v>
      </c>
      <c r="D895">
        <v>2.4550000000000001</v>
      </c>
      <c r="E895">
        <v>10141273.140000001</v>
      </c>
      <c r="F895">
        <v>0</v>
      </c>
      <c r="G895">
        <v>10141273.140000001</v>
      </c>
      <c r="H895">
        <v>114127.7</v>
      </c>
      <c r="I895">
        <v>140984.66</v>
      </c>
      <c r="J895">
        <v>1.0409999999999999</v>
      </c>
      <c r="K895">
        <v>214431.71</v>
      </c>
      <c r="L895">
        <v>0</v>
      </c>
      <c r="M895">
        <v>2495236.0299999998</v>
      </c>
      <c r="N895">
        <v>2023</v>
      </c>
      <c r="O895">
        <v>12</v>
      </c>
    </row>
    <row r="896" spans="1:15" x14ac:dyDescent="0.3">
      <c r="A896">
        <v>39115</v>
      </c>
      <c r="B896">
        <v>3202900</v>
      </c>
      <c r="C896" t="s">
        <v>51</v>
      </c>
      <c r="D896">
        <v>0.34799999999999998</v>
      </c>
      <c r="E896">
        <v>1437540.95</v>
      </c>
      <c r="F896">
        <v>0</v>
      </c>
      <c r="G896">
        <v>1437540.95</v>
      </c>
      <c r="H896">
        <v>16177.78</v>
      </c>
      <c r="I896">
        <v>26477.89</v>
      </c>
      <c r="J896">
        <v>0.435</v>
      </c>
      <c r="K896">
        <v>30396.02</v>
      </c>
      <c r="L896">
        <v>0</v>
      </c>
      <c r="M896">
        <v>353703.52</v>
      </c>
      <c r="N896">
        <v>2023</v>
      </c>
      <c r="O896">
        <v>12</v>
      </c>
    </row>
    <row r="897" spans="1:15" x14ac:dyDescent="0.3">
      <c r="A897">
        <v>39116</v>
      </c>
      <c r="B897">
        <v>3203007</v>
      </c>
      <c r="C897" t="s">
        <v>52</v>
      </c>
      <c r="D897">
        <v>0.496</v>
      </c>
      <c r="E897">
        <v>2048908.94</v>
      </c>
      <c r="F897">
        <v>0</v>
      </c>
      <c r="G897">
        <v>2048908.94</v>
      </c>
      <c r="H897">
        <v>23057.98</v>
      </c>
      <c r="I897">
        <v>75462.429999999993</v>
      </c>
      <c r="J897">
        <v>0.89700000000000002</v>
      </c>
      <c r="K897">
        <v>43323.07</v>
      </c>
      <c r="L897">
        <v>0</v>
      </c>
      <c r="M897">
        <v>504129.15</v>
      </c>
      <c r="N897">
        <v>2023</v>
      </c>
      <c r="O897">
        <v>12</v>
      </c>
    </row>
    <row r="898" spans="1:15" x14ac:dyDescent="0.3">
      <c r="A898">
        <v>39117</v>
      </c>
      <c r="B898">
        <v>3203056</v>
      </c>
      <c r="C898" t="s">
        <v>53</v>
      </c>
      <c r="D898">
        <v>0.871</v>
      </c>
      <c r="E898">
        <v>3597983.28</v>
      </c>
      <c r="F898">
        <v>0</v>
      </c>
      <c r="G898">
        <v>3597983.28</v>
      </c>
      <c r="H898">
        <v>40490.93</v>
      </c>
      <c r="I898">
        <v>100669.62</v>
      </c>
      <c r="J898">
        <v>1</v>
      </c>
      <c r="K898">
        <v>76077.399999999994</v>
      </c>
      <c r="L898">
        <v>0</v>
      </c>
      <c r="M898">
        <v>885275.19</v>
      </c>
      <c r="N898">
        <v>2023</v>
      </c>
      <c r="O898">
        <v>12</v>
      </c>
    </row>
    <row r="899" spans="1:15" x14ac:dyDescent="0.3">
      <c r="A899">
        <v>39118</v>
      </c>
      <c r="B899">
        <v>3203106</v>
      </c>
      <c r="C899" t="s">
        <v>54</v>
      </c>
      <c r="D899">
        <v>0.21</v>
      </c>
      <c r="E899">
        <v>867481.61</v>
      </c>
      <c r="F899">
        <v>0</v>
      </c>
      <c r="G899">
        <v>867481.61</v>
      </c>
      <c r="H899">
        <v>9762.4500000000007</v>
      </c>
      <c r="I899">
        <v>23927.37</v>
      </c>
      <c r="J899">
        <v>0.45800000000000002</v>
      </c>
      <c r="K899">
        <v>18342.43</v>
      </c>
      <c r="L899">
        <v>0</v>
      </c>
      <c r="M899">
        <v>213441.78</v>
      </c>
      <c r="N899">
        <v>2023</v>
      </c>
      <c r="O899">
        <v>12</v>
      </c>
    </row>
    <row r="900" spans="1:15" x14ac:dyDescent="0.3">
      <c r="A900">
        <v>39119</v>
      </c>
      <c r="B900">
        <v>3203130</v>
      </c>
      <c r="C900" t="s">
        <v>55</v>
      </c>
      <c r="D900">
        <v>0.36199999999999999</v>
      </c>
      <c r="E900">
        <v>1495373.05</v>
      </c>
      <c r="F900">
        <v>0</v>
      </c>
      <c r="G900">
        <v>1495373.05</v>
      </c>
      <c r="H900">
        <v>16828.61</v>
      </c>
      <c r="I900">
        <v>52393.29</v>
      </c>
      <c r="J900">
        <v>0.66600000000000004</v>
      </c>
      <c r="K900">
        <v>31618.85</v>
      </c>
      <c r="L900">
        <v>0</v>
      </c>
      <c r="M900">
        <v>367932.97</v>
      </c>
      <c r="N900">
        <v>2023</v>
      </c>
      <c r="O900">
        <v>12</v>
      </c>
    </row>
    <row r="901" spans="1:15" x14ac:dyDescent="0.3">
      <c r="A901">
        <v>39120</v>
      </c>
      <c r="B901">
        <v>3203163</v>
      </c>
      <c r="C901" t="s">
        <v>56</v>
      </c>
      <c r="D901">
        <v>0.373</v>
      </c>
      <c r="E901">
        <v>1540812.55</v>
      </c>
      <c r="F901">
        <v>0</v>
      </c>
      <c r="G901">
        <v>1540812.55</v>
      </c>
      <c r="H901">
        <v>17339.97</v>
      </c>
      <c r="I901">
        <v>26643.08</v>
      </c>
      <c r="J901">
        <v>0.441</v>
      </c>
      <c r="K901">
        <v>32579.65</v>
      </c>
      <c r="L901">
        <v>0</v>
      </c>
      <c r="M901">
        <v>379113.25</v>
      </c>
      <c r="N901">
        <v>2023</v>
      </c>
      <c r="O901">
        <v>12</v>
      </c>
    </row>
    <row r="902" spans="1:15" x14ac:dyDescent="0.3">
      <c r="A902">
        <v>39121</v>
      </c>
      <c r="B902">
        <v>3203205</v>
      </c>
      <c r="C902" t="s">
        <v>57</v>
      </c>
      <c r="D902">
        <v>4.9790000000000001</v>
      </c>
      <c r="E902">
        <v>20567575.989999998</v>
      </c>
      <c r="F902">
        <v>0</v>
      </c>
      <c r="G902">
        <v>20567575.989999998</v>
      </c>
      <c r="H902">
        <v>231463.07</v>
      </c>
      <c r="I902">
        <v>667256.07999999996</v>
      </c>
      <c r="J902">
        <v>4.0880000000000001</v>
      </c>
      <c r="K902">
        <v>434890.22</v>
      </c>
      <c r="L902">
        <v>0</v>
      </c>
      <c r="M902">
        <v>5060602.92</v>
      </c>
      <c r="N902">
        <v>2023</v>
      </c>
      <c r="O902">
        <v>12</v>
      </c>
    </row>
    <row r="903" spans="1:15" x14ac:dyDescent="0.3">
      <c r="A903">
        <v>39122</v>
      </c>
      <c r="B903">
        <v>3203304</v>
      </c>
      <c r="C903" t="s">
        <v>58</v>
      </c>
      <c r="D903">
        <v>0.27600000000000002</v>
      </c>
      <c r="E903">
        <v>1140118.68</v>
      </c>
      <c r="F903">
        <v>0</v>
      </c>
      <c r="G903">
        <v>1140118.68</v>
      </c>
      <c r="H903">
        <v>12830.65</v>
      </c>
      <c r="I903">
        <v>31723.46</v>
      </c>
      <c r="J903">
        <v>0.57599999999999996</v>
      </c>
      <c r="K903">
        <v>24107.19</v>
      </c>
      <c r="L903">
        <v>0</v>
      </c>
      <c r="M903">
        <v>280523.48</v>
      </c>
      <c r="N903">
        <v>2023</v>
      </c>
      <c r="O903">
        <v>12</v>
      </c>
    </row>
    <row r="904" spans="1:15" x14ac:dyDescent="0.3">
      <c r="A904">
        <v>39123</v>
      </c>
      <c r="B904">
        <v>3203320</v>
      </c>
      <c r="C904" t="s">
        <v>59</v>
      </c>
      <c r="D904">
        <v>0.65800000000000003</v>
      </c>
      <c r="E904">
        <v>2718109.05</v>
      </c>
      <c r="F904">
        <v>0</v>
      </c>
      <c r="G904">
        <v>2718109.05</v>
      </c>
      <c r="H904">
        <v>30589.01</v>
      </c>
      <c r="I904">
        <v>214174.09</v>
      </c>
      <c r="J904">
        <v>1.171</v>
      </c>
      <c r="K904">
        <v>57472.94</v>
      </c>
      <c r="L904">
        <v>0</v>
      </c>
      <c r="M904">
        <v>668784.23</v>
      </c>
      <c r="N904">
        <v>2023</v>
      </c>
      <c r="O904">
        <v>12</v>
      </c>
    </row>
    <row r="905" spans="1:15" x14ac:dyDescent="0.3">
      <c r="A905">
        <v>39124</v>
      </c>
      <c r="B905">
        <v>3203346</v>
      </c>
      <c r="C905" t="s">
        <v>60</v>
      </c>
      <c r="D905">
        <v>0.61099999999999999</v>
      </c>
      <c r="E905">
        <v>2523958.41</v>
      </c>
      <c r="F905">
        <v>0</v>
      </c>
      <c r="G905">
        <v>2523958.41</v>
      </c>
      <c r="H905">
        <v>28404.080000000002</v>
      </c>
      <c r="I905">
        <v>55511.38</v>
      </c>
      <c r="J905">
        <v>0.67100000000000004</v>
      </c>
      <c r="K905">
        <v>53367.73</v>
      </c>
      <c r="L905">
        <v>0</v>
      </c>
      <c r="M905">
        <v>621013.93999999994</v>
      </c>
      <c r="N905">
        <v>2023</v>
      </c>
      <c r="O905">
        <v>12</v>
      </c>
    </row>
    <row r="906" spans="1:15" x14ac:dyDescent="0.3">
      <c r="A906">
        <v>39125</v>
      </c>
      <c r="B906">
        <v>3203353</v>
      </c>
      <c r="C906" t="s">
        <v>61</v>
      </c>
      <c r="D906">
        <v>0.436</v>
      </c>
      <c r="E906">
        <v>1801057.07</v>
      </c>
      <c r="F906">
        <v>0</v>
      </c>
      <c r="G906">
        <v>1801057.07</v>
      </c>
      <c r="H906">
        <v>20268.71</v>
      </c>
      <c r="I906">
        <v>34462.769999999997</v>
      </c>
      <c r="J906">
        <v>0.46700000000000003</v>
      </c>
      <c r="K906">
        <v>38082.370000000003</v>
      </c>
      <c r="L906">
        <v>0</v>
      </c>
      <c r="M906">
        <v>443145.79</v>
      </c>
      <c r="N906">
        <v>2023</v>
      </c>
      <c r="O906">
        <v>12</v>
      </c>
    </row>
    <row r="907" spans="1:15" x14ac:dyDescent="0.3">
      <c r="A907">
        <v>39126</v>
      </c>
      <c r="B907">
        <v>3203403</v>
      </c>
      <c r="C907" t="s">
        <v>62</v>
      </c>
      <c r="D907">
        <v>0.495</v>
      </c>
      <c r="E907">
        <v>2044778.09</v>
      </c>
      <c r="F907">
        <v>0</v>
      </c>
      <c r="G907">
        <v>2044778.09</v>
      </c>
      <c r="H907">
        <v>23011.49</v>
      </c>
      <c r="I907">
        <v>76984.59</v>
      </c>
      <c r="J907">
        <v>0.85599999999999998</v>
      </c>
      <c r="K907">
        <v>43235.72</v>
      </c>
      <c r="L907">
        <v>0</v>
      </c>
      <c r="M907">
        <v>503112.76</v>
      </c>
      <c r="N907">
        <v>2023</v>
      </c>
      <c r="O907">
        <v>12</v>
      </c>
    </row>
    <row r="908" spans="1:15" x14ac:dyDescent="0.3">
      <c r="A908">
        <v>39127</v>
      </c>
      <c r="B908">
        <v>3203502</v>
      </c>
      <c r="C908" t="s">
        <v>63</v>
      </c>
      <c r="D908">
        <v>0.52100000000000002</v>
      </c>
      <c r="E908">
        <v>2152180.59</v>
      </c>
      <c r="F908">
        <v>0</v>
      </c>
      <c r="G908">
        <v>2152180.59</v>
      </c>
      <c r="H908">
        <v>24220.18</v>
      </c>
      <c r="I908">
        <v>62696.45</v>
      </c>
      <c r="J908">
        <v>0.69299999999999995</v>
      </c>
      <c r="K908">
        <v>45506.69</v>
      </c>
      <c r="L908">
        <v>0</v>
      </c>
      <c r="M908">
        <v>529538.89</v>
      </c>
      <c r="N908">
        <v>2023</v>
      </c>
      <c r="O908">
        <v>12</v>
      </c>
    </row>
    <row r="909" spans="1:15" x14ac:dyDescent="0.3">
      <c r="A909">
        <v>39128</v>
      </c>
      <c r="B909">
        <v>3203601</v>
      </c>
      <c r="C909" t="s">
        <v>64</v>
      </c>
      <c r="D909">
        <v>0.28299999999999997</v>
      </c>
      <c r="E909">
        <v>1169034.77</v>
      </c>
      <c r="F909">
        <v>0</v>
      </c>
      <c r="G909">
        <v>1169034.77</v>
      </c>
      <c r="H909">
        <v>13156.07</v>
      </c>
      <c r="I909">
        <v>14736.95</v>
      </c>
      <c r="J909">
        <v>0.29799999999999999</v>
      </c>
      <c r="K909">
        <v>24718.61</v>
      </c>
      <c r="L909">
        <v>0</v>
      </c>
      <c r="M909">
        <v>287638.2</v>
      </c>
      <c r="N909">
        <v>2023</v>
      </c>
      <c r="O909">
        <v>12</v>
      </c>
    </row>
    <row r="910" spans="1:15" x14ac:dyDescent="0.3">
      <c r="A910">
        <v>39129</v>
      </c>
      <c r="B910">
        <v>3203700</v>
      </c>
      <c r="C910" t="s">
        <v>65</v>
      </c>
      <c r="D910">
        <v>0.54600000000000004</v>
      </c>
      <c r="E910">
        <v>2255452.1800000002</v>
      </c>
      <c r="F910">
        <v>0</v>
      </c>
      <c r="G910">
        <v>2255452.1800000002</v>
      </c>
      <c r="H910">
        <v>25382.37</v>
      </c>
      <c r="I910">
        <v>38505.339999999997</v>
      </c>
      <c r="J910">
        <v>0.67100000000000004</v>
      </c>
      <c r="K910">
        <v>47690.31</v>
      </c>
      <c r="L910">
        <v>0</v>
      </c>
      <c r="M910">
        <v>554948.62</v>
      </c>
      <c r="N910">
        <v>2023</v>
      </c>
      <c r="O910">
        <v>12</v>
      </c>
    </row>
    <row r="911" spans="1:15" x14ac:dyDescent="0.3">
      <c r="A911">
        <v>39130</v>
      </c>
      <c r="B911">
        <v>3203809</v>
      </c>
      <c r="C911" t="s">
        <v>66</v>
      </c>
      <c r="D911">
        <v>0.28100000000000003</v>
      </c>
      <c r="E911">
        <v>1160773.03</v>
      </c>
      <c r="F911">
        <v>0</v>
      </c>
      <c r="G911">
        <v>1160773.03</v>
      </c>
      <c r="H911">
        <v>13063.09</v>
      </c>
      <c r="I911">
        <v>36351.519999999997</v>
      </c>
      <c r="J911">
        <v>0.57499999999999996</v>
      </c>
      <c r="K911">
        <v>24543.91</v>
      </c>
      <c r="L911">
        <v>0</v>
      </c>
      <c r="M911">
        <v>285605.42</v>
      </c>
      <c r="N911">
        <v>2023</v>
      </c>
      <c r="O911">
        <v>12</v>
      </c>
    </row>
    <row r="912" spans="1:15" x14ac:dyDescent="0.3">
      <c r="A912">
        <v>39131</v>
      </c>
      <c r="B912">
        <v>3203908</v>
      </c>
      <c r="C912" t="s">
        <v>67</v>
      </c>
      <c r="D912">
        <v>1.3109999999999999</v>
      </c>
      <c r="E912">
        <v>5415563.8099999996</v>
      </c>
      <c r="F912">
        <v>0</v>
      </c>
      <c r="G912">
        <v>5415563.8099999996</v>
      </c>
      <c r="H912">
        <v>60945.59</v>
      </c>
      <c r="I912">
        <v>180532.62</v>
      </c>
      <c r="J912">
        <v>1.4650000000000001</v>
      </c>
      <c r="K912">
        <v>114509.16</v>
      </c>
      <c r="L912">
        <v>0</v>
      </c>
      <c r="M912">
        <v>1332486.52</v>
      </c>
      <c r="N912">
        <v>2023</v>
      </c>
      <c r="O912">
        <v>12</v>
      </c>
    </row>
    <row r="913" spans="1:15" x14ac:dyDescent="0.3">
      <c r="A913">
        <v>39132</v>
      </c>
      <c r="B913">
        <v>3204005</v>
      </c>
      <c r="C913" t="s">
        <v>68</v>
      </c>
      <c r="D913">
        <v>0.436</v>
      </c>
      <c r="E913">
        <v>1801057.07</v>
      </c>
      <c r="F913">
        <v>0</v>
      </c>
      <c r="G913">
        <v>1801057.07</v>
      </c>
      <c r="H913">
        <v>20268.71</v>
      </c>
      <c r="I913">
        <v>34501.47</v>
      </c>
      <c r="J913">
        <v>0.747</v>
      </c>
      <c r="K913">
        <v>38082.370000000003</v>
      </c>
      <c r="L913">
        <v>0</v>
      </c>
      <c r="M913">
        <v>443145.79</v>
      </c>
      <c r="N913">
        <v>2023</v>
      </c>
      <c r="O913">
        <v>12</v>
      </c>
    </row>
    <row r="914" spans="1:15" x14ac:dyDescent="0.3">
      <c r="A914">
        <v>39133</v>
      </c>
      <c r="B914">
        <v>3204054</v>
      </c>
      <c r="C914" t="s">
        <v>69</v>
      </c>
      <c r="D914">
        <v>0.307</v>
      </c>
      <c r="E914">
        <v>1268175.49</v>
      </c>
      <c r="F914">
        <v>0</v>
      </c>
      <c r="G914">
        <v>1268175.49</v>
      </c>
      <c r="H914">
        <v>14271.77</v>
      </c>
      <c r="I914">
        <v>87825.81</v>
      </c>
      <c r="J914">
        <v>0.86199999999999999</v>
      </c>
      <c r="K914">
        <v>26814.89</v>
      </c>
      <c r="L914">
        <v>0</v>
      </c>
      <c r="M914">
        <v>312031.55</v>
      </c>
      <c r="N914">
        <v>2023</v>
      </c>
      <c r="O914">
        <v>12</v>
      </c>
    </row>
    <row r="915" spans="1:15" x14ac:dyDescent="0.3">
      <c r="A915">
        <v>39134</v>
      </c>
      <c r="B915">
        <v>3204104</v>
      </c>
      <c r="C915" t="s">
        <v>70</v>
      </c>
      <c r="D915">
        <v>0.73199999999999998</v>
      </c>
      <c r="E915">
        <v>3023793.06</v>
      </c>
      <c r="F915">
        <v>0</v>
      </c>
      <c r="G915">
        <v>3023793.06</v>
      </c>
      <c r="H915">
        <v>34029.120000000003</v>
      </c>
      <c r="I915">
        <v>51394.13</v>
      </c>
      <c r="J915">
        <v>0.875</v>
      </c>
      <c r="K915">
        <v>63936.46</v>
      </c>
      <c r="L915">
        <v>0</v>
      </c>
      <c r="M915">
        <v>743997.05</v>
      </c>
      <c r="N915">
        <v>2023</v>
      </c>
      <c r="O915">
        <v>12</v>
      </c>
    </row>
    <row r="916" spans="1:15" x14ac:dyDescent="0.3">
      <c r="A916">
        <v>39135</v>
      </c>
      <c r="B916">
        <v>3204203</v>
      </c>
      <c r="C916" t="s">
        <v>71</v>
      </c>
      <c r="D916">
        <v>0.14199999999999999</v>
      </c>
      <c r="E916">
        <v>586582.81000000006</v>
      </c>
      <c r="F916">
        <v>0</v>
      </c>
      <c r="G916">
        <v>586582.81000000006</v>
      </c>
      <c r="H916">
        <v>6601.28</v>
      </c>
      <c r="I916">
        <v>105197.43</v>
      </c>
      <c r="J916">
        <v>0.73399999999999999</v>
      </c>
      <c r="K916">
        <v>12402.97</v>
      </c>
      <c r="L916">
        <v>0</v>
      </c>
      <c r="M916">
        <v>144327.29999999999</v>
      </c>
      <c r="N916">
        <v>2023</v>
      </c>
      <c r="O916">
        <v>12</v>
      </c>
    </row>
    <row r="917" spans="1:15" x14ac:dyDescent="0.3">
      <c r="A917">
        <v>39136</v>
      </c>
      <c r="B917">
        <v>3204252</v>
      </c>
      <c r="C917" t="s">
        <v>72</v>
      </c>
      <c r="D917">
        <v>0.20899999999999999</v>
      </c>
      <c r="E917">
        <v>863350.78</v>
      </c>
      <c r="F917">
        <v>0</v>
      </c>
      <c r="G917">
        <v>863350.78</v>
      </c>
      <c r="H917">
        <v>9715.9599999999991</v>
      </c>
      <c r="I917">
        <v>19559.62</v>
      </c>
      <c r="J917">
        <v>0.32900000000000001</v>
      </c>
      <c r="K917">
        <v>18255.080000000002</v>
      </c>
      <c r="L917">
        <v>0</v>
      </c>
      <c r="M917">
        <v>212425.38</v>
      </c>
      <c r="N917">
        <v>2023</v>
      </c>
      <c r="O917">
        <v>12</v>
      </c>
    </row>
    <row r="918" spans="1:15" x14ac:dyDescent="0.3">
      <c r="A918">
        <v>39137</v>
      </c>
      <c r="B918">
        <v>1718402</v>
      </c>
      <c r="C918" t="s">
        <v>73</v>
      </c>
      <c r="D918">
        <v>0.32</v>
      </c>
      <c r="E918">
        <v>1321876.74</v>
      </c>
      <c r="F918">
        <v>0</v>
      </c>
      <c r="G918">
        <v>1321876.74</v>
      </c>
      <c r="H918">
        <v>14876.12</v>
      </c>
      <c r="I918">
        <v>97881.54</v>
      </c>
      <c r="J918">
        <v>0.45100000000000001</v>
      </c>
      <c r="K918">
        <v>27950.36</v>
      </c>
      <c r="L918">
        <v>0</v>
      </c>
      <c r="M918">
        <v>325244.61</v>
      </c>
      <c r="N918">
        <v>2023</v>
      </c>
      <c r="O918">
        <v>12</v>
      </c>
    </row>
    <row r="919" spans="1:15" x14ac:dyDescent="0.3">
      <c r="A919">
        <v>39138</v>
      </c>
      <c r="B919">
        <v>3204351</v>
      </c>
      <c r="C919" t="s">
        <v>74</v>
      </c>
      <c r="D919">
        <v>0.85399999999999998</v>
      </c>
      <c r="E919">
        <v>3527758.57</v>
      </c>
      <c r="F919">
        <v>0</v>
      </c>
      <c r="G919">
        <v>3527758.57</v>
      </c>
      <c r="H919">
        <v>39700.629999999997</v>
      </c>
      <c r="I919">
        <v>59981.120000000003</v>
      </c>
      <c r="J919">
        <v>0.69799999999999995</v>
      </c>
      <c r="K919">
        <v>74592.539999999994</v>
      </c>
      <c r="L919">
        <v>0</v>
      </c>
      <c r="M919">
        <v>867996.56</v>
      </c>
      <c r="N919">
        <v>2023</v>
      </c>
      <c r="O919">
        <v>12</v>
      </c>
    </row>
    <row r="920" spans="1:15" x14ac:dyDescent="0.3">
      <c r="A920">
        <v>39139</v>
      </c>
      <c r="B920">
        <v>3204401</v>
      </c>
      <c r="C920" t="s">
        <v>75</v>
      </c>
      <c r="D920">
        <v>0.25</v>
      </c>
      <c r="E920">
        <v>1032716.18</v>
      </c>
      <c r="F920">
        <v>0</v>
      </c>
      <c r="G920">
        <v>1032716.18</v>
      </c>
      <c r="H920">
        <v>11621.97</v>
      </c>
      <c r="I920">
        <v>35529.760000000002</v>
      </c>
      <c r="J920">
        <v>0.45</v>
      </c>
      <c r="K920">
        <v>21836.22</v>
      </c>
      <c r="L920">
        <v>0</v>
      </c>
      <c r="M920">
        <v>254097.35</v>
      </c>
      <c r="N920">
        <v>2023</v>
      </c>
      <c r="O920">
        <v>12</v>
      </c>
    </row>
    <row r="921" spans="1:15" x14ac:dyDescent="0.3">
      <c r="A921">
        <v>39140</v>
      </c>
      <c r="B921">
        <v>3204500</v>
      </c>
      <c r="C921" t="s">
        <v>76</v>
      </c>
      <c r="D921">
        <v>0.54500000000000004</v>
      </c>
      <c r="E921">
        <v>2251321.34</v>
      </c>
      <c r="F921">
        <v>0</v>
      </c>
      <c r="G921">
        <v>2251321.34</v>
      </c>
      <c r="H921">
        <v>25335.89</v>
      </c>
      <c r="I921">
        <v>31975.35</v>
      </c>
      <c r="J921">
        <v>0.45600000000000002</v>
      </c>
      <c r="K921">
        <v>47602.97</v>
      </c>
      <c r="L921">
        <v>0</v>
      </c>
      <c r="M921">
        <v>553932.24</v>
      </c>
      <c r="N921">
        <v>2023</v>
      </c>
      <c r="O921">
        <v>12</v>
      </c>
    </row>
    <row r="922" spans="1:15" x14ac:dyDescent="0.3">
      <c r="A922">
        <v>39141</v>
      </c>
      <c r="B922">
        <v>3204559</v>
      </c>
      <c r="C922" t="s">
        <v>77</v>
      </c>
      <c r="D922">
        <v>2.2349999999999999</v>
      </c>
      <c r="E922">
        <v>9232482.8800000008</v>
      </c>
      <c r="F922">
        <v>0</v>
      </c>
      <c r="G922">
        <v>9232482.8800000008</v>
      </c>
      <c r="H922">
        <v>103900.37</v>
      </c>
      <c r="I922">
        <v>207262.55</v>
      </c>
      <c r="J922">
        <v>1.1990000000000001</v>
      </c>
      <c r="K922">
        <v>195215.83</v>
      </c>
      <c r="L922">
        <v>0</v>
      </c>
      <c r="M922">
        <v>2271630.35</v>
      </c>
      <c r="N922">
        <v>2023</v>
      </c>
      <c r="O922">
        <v>12</v>
      </c>
    </row>
    <row r="923" spans="1:15" x14ac:dyDescent="0.3">
      <c r="A923">
        <v>39142</v>
      </c>
      <c r="B923">
        <v>3204609</v>
      </c>
      <c r="C923" t="s">
        <v>78</v>
      </c>
      <c r="D923">
        <v>0.65100000000000002</v>
      </c>
      <c r="E923">
        <v>2689193</v>
      </c>
      <c r="F923">
        <v>0</v>
      </c>
      <c r="G923">
        <v>2689193</v>
      </c>
      <c r="H923">
        <v>30263.599999999999</v>
      </c>
      <c r="I923">
        <v>90659.29</v>
      </c>
      <c r="J923">
        <v>0.82899999999999996</v>
      </c>
      <c r="K923">
        <v>56861.52</v>
      </c>
      <c r="L923">
        <v>0</v>
      </c>
      <c r="M923">
        <v>661669.51</v>
      </c>
      <c r="N923">
        <v>2023</v>
      </c>
      <c r="O923">
        <v>12</v>
      </c>
    </row>
    <row r="924" spans="1:15" x14ac:dyDescent="0.3">
      <c r="A924">
        <v>39143</v>
      </c>
      <c r="B924">
        <v>3204658</v>
      </c>
      <c r="C924" t="s">
        <v>79</v>
      </c>
      <c r="D924">
        <v>0.42299999999999999</v>
      </c>
      <c r="E924">
        <v>1747355.78</v>
      </c>
      <c r="F924">
        <v>0</v>
      </c>
      <c r="G924">
        <v>1747355.78</v>
      </c>
      <c r="H924">
        <v>19664.37</v>
      </c>
      <c r="I924">
        <v>15312.52</v>
      </c>
      <c r="J924">
        <v>0.33700000000000002</v>
      </c>
      <c r="K924">
        <v>36946.89</v>
      </c>
      <c r="L924">
        <v>0</v>
      </c>
      <c r="M924">
        <v>429932.72</v>
      </c>
      <c r="N924">
        <v>2023</v>
      </c>
      <c r="O924">
        <v>12</v>
      </c>
    </row>
    <row r="925" spans="1:15" x14ac:dyDescent="0.3">
      <c r="A925">
        <v>39144</v>
      </c>
      <c r="B925">
        <v>3204708</v>
      </c>
      <c r="C925" t="s">
        <v>80</v>
      </c>
      <c r="D925">
        <v>0.85199999999999998</v>
      </c>
      <c r="E925">
        <v>3519496.84</v>
      </c>
      <c r="F925">
        <v>0</v>
      </c>
      <c r="G925">
        <v>3519496.84</v>
      </c>
      <c r="H925">
        <v>39607.660000000003</v>
      </c>
      <c r="I925">
        <v>103128.78</v>
      </c>
      <c r="J925">
        <v>1.169</v>
      </c>
      <c r="K925">
        <v>74417.84</v>
      </c>
      <c r="L925">
        <v>0</v>
      </c>
      <c r="M925">
        <v>865963.79</v>
      </c>
      <c r="N925">
        <v>2023</v>
      </c>
      <c r="O925">
        <v>12</v>
      </c>
    </row>
    <row r="926" spans="1:15" x14ac:dyDescent="0.3">
      <c r="A926">
        <v>39145</v>
      </c>
      <c r="B926">
        <v>3204807</v>
      </c>
      <c r="C926" t="s">
        <v>81</v>
      </c>
      <c r="D926">
        <v>0.22600000000000001</v>
      </c>
      <c r="E926">
        <v>933575.44</v>
      </c>
      <c r="F926">
        <v>0</v>
      </c>
      <c r="G926">
        <v>933575.44</v>
      </c>
      <c r="H926">
        <v>10506.26</v>
      </c>
      <c r="I926">
        <v>34152.99</v>
      </c>
      <c r="J926">
        <v>0.436</v>
      </c>
      <c r="K926">
        <v>19739.939999999999</v>
      </c>
      <c r="L926">
        <v>0</v>
      </c>
      <c r="M926">
        <v>229704.01</v>
      </c>
      <c r="N926">
        <v>2023</v>
      </c>
      <c r="O926">
        <v>12</v>
      </c>
    </row>
    <row r="927" spans="1:15" x14ac:dyDescent="0.3">
      <c r="A927">
        <v>39146</v>
      </c>
      <c r="B927">
        <v>3204906</v>
      </c>
      <c r="C927" t="s">
        <v>82</v>
      </c>
      <c r="D927">
        <v>1.901</v>
      </c>
      <c r="E927">
        <v>7852774.04</v>
      </c>
      <c r="F927">
        <v>0</v>
      </c>
      <c r="G927">
        <v>7852774.04</v>
      </c>
      <c r="H927">
        <v>88373.43</v>
      </c>
      <c r="I927">
        <v>493140.96</v>
      </c>
      <c r="J927">
        <v>3.0249999999999999</v>
      </c>
      <c r="K927">
        <v>166042.64000000001</v>
      </c>
      <c r="L927">
        <v>0</v>
      </c>
      <c r="M927">
        <v>1932156.29</v>
      </c>
      <c r="N927">
        <v>2023</v>
      </c>
      <c r="O927">
        <v>12</v>
      </c>
    </row>
    <row r="928" spans="1:15" x14ac:dyDescent="0.3">
      <c r="A928">
        <v>39147</v>
      </c>
      <c r="B928">
        <v>3204955</v>
      </c>
      <c r="C928" t="s">
        <v>83</v>
      </c>
      <c r="D928">
        <v>0.312</v>
      </c>
      <c r="E928">
        <v>1288829.81</v>
      </c>
      <c r="F928">
        <v>0</v>
      </c>
      <c r="G928">
        <v>1288829.81</v>
      </c>
      <c r="H928">
        <v>14504.21</v>
      </c>
      <c r="I928">
        <v>24743.9</v>
      </c>
      <c r="J928">
        <v>0.46100000000000002</v>
      </c>
      <c r="K928">
        <v>27251.61</v>
      </c>
      <c r="L928">
        <v>0</v>
      </c>
      <c r="M928">
        <v>317113.49</v>
      </c>
      <c r="N928">
        <v>2023</v>
      </c>
      <c r="O928">
        <v>12</v>
      </c>
    </row>
    <row r="929" spans="1:15" x14ac:dyDescent="0.3">
      <c r="A929">
        <v>39148</v>
      </c>
      <c r="B929">
        <v>3205002</v>
      </c>
      <c r="C929" t="s">
        <v>84</v>
      </c>
      <c r="D929">
        <v>15.625</v>
      </c>
      <c r="E929">
        <v>64544762.960000001</v>
      </c>
      <c r="F929">
        <v>0</v>
      </c>
      <c r="G929">
        <v>64544762.960000001</v>
      </c>
      <c r="H929">
        <v>726372.85</v>
      </c>
      <c r="I929">
        <v>1864116.37</v>
      </c>
      <c r="J929">
        <v>8.4320000000000004</v>
      </c>
      <c r="K929">
        <v>1364763.94</v>
      </c>
      <c r="L929">
        <v>0</v>
      </c>
      <c r="M929">
        <v>15881084.67</v>
      </c>
      <c r="N929">
        <v>2023</v>
      </c>
      <c r="O929">
        <v>12</v>
      </c>
    </row>
    <row r="930" spans="1:15" x14ac:dyDescent="0.3">
      <c r="A930">
        <v>39149</v>
      </c>
      <c r="B930">
        <v>3205010</v>
      </c>
      <c r="C930" t="s">
        <v>85</v>
      </c>
      <c r="D930">
        <v>0.72199999999999998</v>
      </c>
      <c r="E930">
        <v>2982484.42</v>
      </c>
      <c r="F930">
        <v>0</v>
      </c>
      <c r="G930">
        <v>2982484.42</v>
      </c>
      <c r="H930">
        <v>33564.239999999998</v>
      </c>
      <c r="I930">
        <v>61563.32</v>
      </c>
      <c r="J930">
        <v>0.997</v>
      </c>
      <c r="K930">
        <v>63063.01</v>
      </c>
      <c r="L930">
        <v>0</v>
      </c>
      <c r="M930">
        <v>733833.16</v>
      </c>
      <c r="N930">
        <v>2023</v>
      </c>
      <c r="O930">
        <v>12</v>
      </c>
    </row>
    <row r="931" spans="1:15" x14ac:dyDescent="0.3">
      <c r="A931">
        <v>39150</v>
      </c>
      <c r="B931">
        <v>3205036</v>
      </c>
      <c r="C931" t="s">
        <v>86</v>
      </c>
      <c r="D931">
        <v>0.49099999999999999</v>
      </c>
      <c r="E931">
        <v>2028254.64</v>
      </c>
      <c r="F931">
        <v>0</v>
      </c>
      <c r="G931">
        <v>2028254.64</v>
      </c>
      <c r="H931">
        <v>22825.54</v>
      </c>
      <c r="I931">
        <v>77260</v>
      </c>
      <c r="J931">
        <v>0.72699999999999998</v>
      </c>
      <c r="K931">
        <v>42886.34</v>
      </c>
      <c r="L931">
        <v>0</v>
      </c>
      <c r="M931">
        <v>499047.2</v>
      </c>
      <c r="N931">
        <v>2023</v>
      </c>
      <c r="O931">
        <v>12</v>
      </c>
    </row>
    <row r="932" spans="1:15" x14ac:dyDescent="0.3">
      <c r="A932">
        <v>39151</v>
      </c>
      <c r="B932">
        <v>3205069</v>
      </c>
      <c r="C932" t="s">
        <v>87</v>
      </c>
      <c r="D932">
        <v>0.68700000000000006</v>
      </c>
      <c r="E932">
        <v>2837904.11</v>
      </c>
      <c r="F932">
        <v>0</v>
      </c>
      <c r="G932">
        <v>2837904.11</v>
      </c>
      <c r="H932">
        <v>31937.16</v>
      </c>
      <c r="I932">
        <v>97055.39</v>
      </c>
      <c r="J932">
        <v>0.85799999999999998</v>
      </c>
      <c r="K932">
        <v>60005.94</v>
      </c>
      <c r="L932">
        <v>0</v>
      </c>
      <c r="M932">
        <v>698259.53</v>
      </c>
      <c r="N932">
        <v>2023</v>
      </c>
      <c r="O932">
        <v>12</v>
      </c>
    </row>
    <row r="933" spans="1:15" x14ac:dyDescent="0.3">
      <c r="A933">
        <v>39152</v>
      </c>
      <c r="B933">
        <v>2112803</v>
      </c>
      <c r="C933" t="s">
        <v>88</v>
      </c>
      <c r="D933">
        <v>2.9870000000000001</v>
      </c>
      <c r="E933">
        <v>12338893.25</v>
      </c>
      <c r="F933">
        <v>0</v>
      </c>
      <c r="G933">
        <v>12338893.25</v>
      </c>
      <c r="H933">
        <v>138859.25</v>
      </c>
      <c r="I933">
        <v>185231.01</v>
      </c>
      <c r="J933">
        <v>1.984</v>
      </c>
      <c r="K933">
        <v>260899.19</v>
      </c>
      <c r="L933">
        <v>0</v>
      </c>
      <c r="M933">
        <v>3035955.2000000002</v>
      </c>
      <c r="N933">
        <v>2023</v>
      </c>
      <c r="O933">
        <v>12</v>
      </c>
    </row>
    <row r="934" spans="1:15" x14ac:dyDescent="0.3">
      <c r="A934">
        <v>39153</v>
      </c>
      <c r="B934">
        <v>3205150</v>
      </c>
      <c r="C934" t="s">
        <v>89</v>
      </c>
      <c r="D934">
        <v>0.31900000000000001</v>
      </c>
      <c r="E934">
        <v>1317745.8899999999</v>
      </c>
      <c r="F934">
        <v>0</v>
      </c>
      <c r="G934">
        <v>1317745.8899999999</v>
      </c>
      <c r="H934">
        <v>14829.63</v>
      </c>
      <c r="I934">
        <v>16249.61</v>
      </c>
      <c r="J934">
        <v>0.34399999999999997</v>
      </c>
      <c r="K934">
        <v>27863.02</v>
      </c>
      <c r="L934">
        <v>0</v>
      </c>
      <c r="M934">
        <v>324228.23</v>
      </c>
      <c r="N934">
        <v>2023</v>
      </c>
      <c r="O934">
        <v>12</v>
      </c>
    </row>
    <row r="935" spans="1:15" x14ac:dyDescent="0.3">
      <c r="A935">
        <v>39154</v>
      </c>
      <c r="B935">
        <v>3205176</v>
      </c>
      <c r="C935" t="s">
        <v>90</v>
      </c>
      <c r="D935">
        <v>0.65800000000000003</v>
      </c>
      <c r="E935">
        <v>2718109.05</v>
      </c>
      <c r="F935">
        <v>0</v>
      </c>
      <c r="G935">
        <v>2718109.05</v>
      </c>
      <c r="H935">
        <v>30589.01</v>
      </c>
      <c r="I935">
        <v>44930.47</v>
      </c>
      <c r="J935">
        <v>0.55600000000000005</v>
      </c>
      <c r="K935">
        <v>57472.94</v>
      </c>
      <c r="L935">
        <v>0</v>
      </c>
      <c r="M935">
        <v>668784.23</v>
      </c>
      <c r="N935">
        <v>2023</v>
      </c>
      <c r="O935">
        <v>12</v>
      </c>
    </row>
    <row r="936" spans="1:15" x14ac:dyDescent="0.3">
      <c r="A936">
        <v>39155</v>
      </c>
      <c r="B936">
        <v>3205200</v>
      </c>
      <c r="C936" t="s">
        <v>91</v>
      </c>
      <c r="D936">
        <v>5.056</v>
      </c>
      <c r="E936">
        <v>20885652.57</v>
      </c>
      <c r="F936">
        <v>0</v>
      </c>
      <c r="G936">
        <v>20885652.57</v>
      </c>
      <c r="H936">
        <v>235042.63</v>
      </c>
      <c r="I936">
        <v>1983192.66</v>
      </c>
      <c r="J936">
        <v>8.09</v>
      </c>
      <c r="K936">
        <v>441615.78</v>
      </c>
      <c r="L936">
        <v>0</v>
      </c>
      <c r="M936">
        <v>5138864.9000000004</v>
      </c>
      <c r="N936">
        <v>2023</v>
      </c>
      <c r="O936">
        <v>12</v>
      </c>
    </row>
    <row r="937" spans="1:15" x14ac:dyDescent="0.3">
      <c r="A937">
        <v>39156</v>
      </c>
      <c r="B937">
        <v>3205309</v>
      </c>
      <c r="C937" t="s">
        <v>92</v>
      </c>
      <c r="D937">
        <v>14.782</v>
      </c>
      <c r="E937">
        <v>61062444.090000004</v>
      </c>
      <c r="F937">
        <v>0</v>
      </c>
      <c r="G937">
        <v>61062444.090000004</v>
      </c>
      <c r="H937">
        <v>687183.58</v>
      </c>
      <c r="I937">
        <v>1798079.66</v>
      </c>
      <c r="J937">
        <v>9.4969999999999999</v>
      </c>
      <c r="K937">
        <v>1291132.1599999999</v>
      </c>
      <c r="L937">
        <v>0</v>
      </c>
      <c r="M937">
        <v>15024268.4</v>
      </c>
      <c r="N937">
        <v>2023</v>
      </c>
      <c r="O937">
        <v>12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C82"/>
  <sheetViews>
    <sheetView topLeftCell="A3" workbookViewId="0">
      <selection activeCell="C3" sqref="C3"/>
    </sheetView>
  </sheetViews>
  <sheetFormatPr defaultRowHeight="14.4" x14ac:dyDescent="0.3"/>
  <cols>
    <col min="1" max="1" width="25.5546875" bestFit="1" customWidth="1"/>
    <col min="2" max="2" width="12.21875" bestFit="1" customWidth="1"/>
    <col min="3" max="3" width="16.6640625" bestFit="1" customWidth="1"/>
  </cols>
  <sheetData>
    <row r="3" spans="1:3" x14ac:dyDescent="0.3">
      <c r="A3" s="2" t="s">
        <v>96</v>
      </c>
      <c r="B3" t="s">
        <v>93</v>
      </c>
      <c r="C3" t="s">
        <v>95</v>
      </c>
    </row>
    <row r="4" spans="1:3" x14ac:dyDescent="0.3">
      <c r="A4" s="3" t="s">
        <v>15</v>
      </c>
      <c r="B4" s="1">
        <v>37801042.190000005</v>
      </c>
      <c r="C4" s="1">
        <v>37801042.190000005</v>
      </c>
    </row>
    <row r="5" spans="1:3" x14ac:dyDescent="0.3">
      <c r="A5" s="3" t="s">
        <v>16</v>
      </c>
      <c r="B5" s="1">
        <v>17398603.190000005</v>
      </c>
      <c r="C5" s="1">
        <v>17398603.190000005</v>
      </c>
    </row>
    <row r="6" spans="1:3" x14ac:dyDescent="0.3">
      <c r="A6" s="3" t="s">
        <v>17</v>
      </c>
      <c r="B6" s="1">
        <v>29220659.120000005</v>
      </c>
      <c r="C6" s="1">
        <v>29220659.120000005</v>
      </c>
    </row>
    <row r="7" spans="1:3" x14ac:dyDescent="0.3">
      <c r="A7" s="3" t="s">
        <v>18</v>
      </c>
      <c r="B7" s="1">
        <v>23550157.260000002</v>
      </c>
      <c r="C7" s="1">
        <v>23550157.260000002</v>
      </c>
    </row>
    <row r="8" spans="1:3" x14ac:dyDescent="0.3">
      <c r="A8" s="3" t="s">
        <v>19</v>
      </c>
      <c r="B8" s="1">
        <v>24896275.68</v>
      </c>
      <c r="C8" s="1">
        <v>24896275.68</v>
      </c>
    </row>
    <row r="9" spans="1:3" x14ac:dyDescent="0.3">
      <c r="A9" s="3" t="s">
        <v>20</v>
      </c>
      <c r="B9" s="1">
        <v>14526094.670000002</v>
      </c>
      <c r="C9" s="1">
        <v>14526094.670000002</v>
      </c>
    </row>
    <row r="10" spans="1:3" x14ac:dyDescent="0.3">
      <c r="A10" s="3" t="s">
        <v>21</v>
      </c>
      <c r="B10" s="1">
        <v>196009998.61000001</v>
      </c>
      <c r="C10" s="1">
        <v>196009998.61000001</v>
      </c>
    </row>
    <row r="11" spans="1:3" x14ac:dyDescent="0.3">
      <c r="A11" s="3" t="s">
        <v>22</v>
      </c>
      <c r="B11" s="1">
        <v>13396078.99</v>
      </c>
      <c r="C11" s="1">
        <v>13396078.99</v>
      </c>
    </row>
    <row r="12" spans="1:3" x14ac:dyDescent="0.3">
      <c r="A12" s="3" t="s">
        <v>23</v>
      </c>
      <c r="B12" s="1">
        <v>252202165.84999999</v>
      </c>
      <c r="C12" s="1">
        <v>252202165.84999999</v>
      </c>
    </row>
    <row r="13" spans="1:3" x14ac:dyDescent="0.3">
      <c r="A13" s="3" t="s">
        <v>24</v>
      </c>
      <c r="B13" s="1">
        <v>22234952.289999999</v>
      </c>
      <c r="C13" s="1">
        <v>22234952.289999999</v>
      </c>
    </row>
    <row r="14" spans="1:3" x14ac:dyDescent="0.3">
      <c r="A14" s="3" t="s">
        <v>25</v>
      </c>
      <c r="B14" s="1">
        <v>30421747.770000003</v>
      </c>
      <c r="C14" s="1">
        <v>30421747.770000003</v>
      </c>
    </row>
    <row r="15" spans="1:3" x14ac:dyDescent="0.3">
      <c r="A15" s="3" t="s">
        <v>26</v>
      </c>
      <c r="B15" s="1">
        <v>45800189.900000006</v>
      </c>
      <c r="C15" s="1">
        <v>45800189.900000006</v>
      </c>
    </row>
    <row r="16" spans="1:3" x14ac:dyDescent="0.3">
      <c r="A16" s="3" t="s">
        <v>27</v>
      </c>
      <c r="B16" s="1">
        <v>27416928.470000006</v>
      </c>
      <c r="C16" s="1">
        <v>27416928.470000006</v>
      </c>
    </row>
    <row r="17" spans="1:3" x14ac:dyDescent="0.3">
      <c r="A17" s="3" t="s">
        <v>28</v>
      </c>
      <c r="B17" s="1">
        <v>13898045.769999998</v>
      </c>
      <c r="C17" s="1">
        <v>13898045.769999998</v>
      </c>
    </row>
    <row r="18" spans="1:3" x14ac:dyDescent="0.3">
      <c r="A18" s="3" t="s">
        <v>29</v>
      </c>
      <c r="B18" s="1">
        <v>22923911.469999999</v>
      </c>
      <c r="C18" s="1">
        <v>22923911.469999999</v>
      </c>
    </row>
    <row r="19" spans="1:3" x14ac:dyDescent="0.3">
      <c r="A19" s="3" t="s">
        <v>30</v>
      </c>
      <c r="B19" s="1">
        <v>146009735.40000001</v>
      </c>
      <c r="C19" s="1">
        <v>146009735.40000001</v>
      </c>
    </row>
    <row r="20" spans="1:3" x14ac:dyDescent="0.3">
      <c r="A20" s="3" t="s">
        <v>31</v>
      </c>
      <c r="B20" s="1">
        <v>468614665.50999999</v>
      </c>
      <c r="C20" s="1">
        <v>468614665.50999999</v>
      </c>
    </row>
    <row r="21" spans="1:3" x14ac:dyDescent="0.3">
      <c r="A21" s="3" t="s">
        <v>32</v>
      </c>
      <c r="B21" s="1">
        <v>45454235.060000002</v>
      </c>
      <c r="C21" s="1">
        <v>45454235.060000002</v>
      </c>
    </row>
    <row r="22" spans="1:3" x14ac:dyDescent="0.3">
      <c r="A22" s="3" t="s">
        <v>33</v>
      </c>
      <c r="B22" s="1">
        <v>113450267.91</v>
      </c>
      <c r="C22" s="1">
        <v>113450267.91</v>
      </c>
    </row>
    <row r="23" spans="1:3" x14ac:dyDescent="0.3">
      <c r="A23" s="3" t="s">
        <v>35</v>
      </c>
      <c r="B23" s="1">
        <v>20900472</v>
      </c>
      <c r="C23" s="1">
        <v>20900472</v>
      </c>
    </row>
    <row r="24" spans="1:3" x14ac:dyDescent="0.3">
      <c r="A24" s="3" t="s">
        <v>34</v>
      </c>
      <c r="B24" s="1">
        <v>33874836.120000005</v>
      </c>
      <c r="C24" s="1">
        <v>33874836.120000005</v>
      </c>
    </row>
    <row r="25" spans="1:3" x14ac:dyDescent="0.3">
      <c r="A25" s="3" t="s">
        <v>36</v>
      </c>
      <c r="B25" s="1">
        <v>10530782.660000002</v>
      </c>
      <c r="C25" s="1">
        <v>10530782.660000002</v>
      </c>
    </row>
    <row r="26" spans="1:3" x14ac:dyDescent="0.3">
      <c r="A26" s="3" t="s">
        <v>37</v>
      </c>
      <c r="B26" s="1">
        <v>59836119.670000002</v>
      </c>
      <c r="C26" s="1">
        <v>59836119.670000002</v>
      </c>
    </row>
    <row r="27" spans="1:3" x14ac:dyDescent="0.3">
      <c r="A27" s="3" t="s">
        <v>38</v>
      </c>
      <c r="B27" s="1">
        <v>19640931.870000001</v>
      </c>
      <c r="C27" s="1">
        <v>19640931.870000001</v>
      </c>
    </row>
    <row r="28" spans="1:3" x14ac:dyDescent="0.3">
      <c r="A28" s="3" t="s">
        <v>39</v>
      </c>
      <c r="B28" s="1">
        <v>32180140.329999998</v>
      </c>
      <c r="C28" s="1">
        <v>32180140.329999998</v>
      </c>
    </row>
    <row r="29" spans="1:3" x14ac:dyDescent="0.3">
      <c r="A29" s="3" t="s">
        <v>40</v>
      </c>
      <c r="B29" s="1">
        <v>20709545.830000002</v>
      </c>
      <c r="C29" s="1">
        <v>20709545.830000002</v>
      </c>
    </row>
    <row r="30" spans="1:3" x14ac:dyDescent="0.3">
      <c r="A30" s="3" t="s">
        <v>41</v>
      </c>
      <c r="B30" s="1">
        <v>29899291.469999999</v>
      </c>
      <c r="C30" s="1">
        <v>29899291.469999999</v>
      </c>
    </row>
    <row r="31" spans="1:3" x14ac:dyDescent="0.3">
      <c r="A31" s="3" t="s">
        <v>42</v>
      </c>
      <c r="B31" s="1">
        <v>20664699.41</v>
      </c>
      <c r="C31" s="1">
        <v>20664699.41</v>
      </c>
    </row>
    <row r="32" spans="1:3" x14ac:dyDescent="0.3">
      <c r="A32" s="3" t="s">
        <v>43</v>
      </c>
      <c r="B32" s="1">
        <v>44482526.309999995</v>
      </c>
      <c r="C32" s="1">
        <v>44482526.309999995</v>
      </c>
    </row>
    <row r="33" spans="1:3" x14ac:dyDescent="0.3">
      <c r="A33" s="3" t="s">
        <v>44</v>
      </c>
      <c r="B33" s="1">
        <v>19091659.920000002</v>
      </c>
      <c r="C33" s="1">
        <v>19091659.920000002</v>
      </c>
    </row>
    <row r="34" spans="1:3" x14ac:dyDescent="0.3">
      <c r="A34" s="3" t="s">
        <v>45</v>
      </c>
      <c r="B34" s="1">
        <v>17277274.68</v>
      </c>
      <c r="C34" s="1">
        <v>17277274.68</v>
      </c>
    </row>
    <row r="35" spans="1:3" x14ac:dyDescent="0.3">
      <c r="A35" s="3" t="s">
        <v>46</v>
      </c>
      <c r="B35" s="1">
        <v>15986821.130000001</v>
      </c>
      <c r="C35" s="1">
        <v>15986821.130000001</v>
      </c>
    </row>
    <row r="36" spans="1:3" x14ac:dyDescent="0.3">
      <c r="A36" s="3" t="s">
        <v>47</v>
      </c>
      <c r="B36" s="1">
        <v>17680205.66</v>
      </c>
      <c r="C36" s="1">
        <v>17680205.66</v>
      </c>
    </row>
    <row r="37" spans="1:3" x14ac:dyDescent="0.3">
      <c r="A37" s="3" t="s">
        <v>48</v>
      </c>
      <c r="B37" s="1">
        <v>17792682.68</v>
      </c>
      <c r="C37" s="1">
        <v>17792682.68</v>
      </c>
    </row>
    <row r="38" spans="1:3" x14ac:dyDescent="0.3">
      <c r="A38" s="3" t="s">
        <v>49</v>
      </c>
      <c r="B38" s="1">
        <v>22742656.289999999</v>
      </c>
      <c r="C38" s="1">
        <v>22742656.289999999</v>
      </c>
    </row>
    <row r="39" spans="1:3" x14ac:dyDescent="0.3">
      <c r="A39" s="3" t="s">
        <v>50</v>
      </c>
      <c r="B39" s="1">
        <v>191892963.79999998</v>
      </c>
      <c r="C39" s="1">
        <v>191892963.79999998</v>
      </c>
    </row>
    <row r="40" spans="1:3" x14ac:dyDescent="0.3">
      <c r="A40" s="3" t="s">
        <v>51</v>
      </c>
      <c r="B40" s="1">
        <v>22071236.25</v>
      </c>
      <c r="C40" s="1">
        <v>22071236.25</v>
      </c>
    </row>
    <row r="41" spans="1:3" x14ac:dyDescent="0.3">
      <c r="A41" s="3" t="s">
        <v>52</v>
      </c>
      <c r="B41" s="1">
        <v>28155159.580000002</v>
      </c>
      <c r="C41" s="1">
        <v>28155159.580000002</v>
      </c>
    </row>
    <row r="42" spans="1:3" x14ac:dyDescent="0.3">
      <c r="A42" s="3" t="s">
        <v>53</v>
      </c>
      <c r="B42" s="1">
        <v>62453677.460000001</v>
      </c>
      <c r="C42" s="1">
        <v>62453677.460000001</v>
      </c>
    </row>
    <row r="43" spans="1:3" x14ac:dyDescent="0.3">
      <c r="A43" s="3" t="s">
        <v>54</v>
      </c>
      <c r="B43" s="1">
        <v>12162765.360000001</v>
      </c>
      <c r="C43" s="1">
        <v>12162765.360000001</v>
      </c>
    </row>
    <row r="44" spans="1:3" x14ac:dyDescent="0.3">
      <c r="A44" s="3" t="s">
        <v>55</v>
      </c>
      <c r="B44" s="1">
        <v>21177648.629999999</v>
      </c>
      <c r="C44" s="1">
        <v>21177648.629999999</v>
      </c>
    </row>
    <row r="45" spans="1:3" x14ac:dyDescent="0.3">
      <c r="A45" s="3" t="s">
        <v>56</v>
      </c>
      <c r="B45" s="1">
        <v>24096806.520000003</v>
      </c>
      <c r="C45" s="1">
        <v>24096806.520000003</v>
      </c>
    </row>
    <row r="46" spans="1:3" x14ac:dyDescent="0.3">
      <c r="A46" s="3" t="s">
        <v>57</v>
      </c>
      <c r="B46" s="1">
        <v>249591953.11000001</v>
      </c>
      <c r="C46" s="1">
        <v>249591953.11000001</v>
      </c>
    </row>
    <row r="47" spans="1:3" x14ac:dyDescent="0.3">
      <c r="A47" s="3" t="s">
        <v>58</v>
      </c>
      <c r="B47" s="1">
        <v>17674140.780000001</v>
      </c>
      <c r="C47" s="1">
        <v>17674140.780000001</v>
      </c>
    </row>
    <row r="48" spans="1:3" x14ac:dyDescent="0.3">
      <c r="A48" s="3" t="s">
        <v>59</v>
      </c>
      <c r="B48" s="1">
        <v>32952563.32</v>
      </c>
      <c r="C48" s="1">
        <v>32952563.32</v>
      </c>
    </row>
    <row r="49" spans="1:3" x14ac:dyDescent="0.3">
      <c r="A49" s="3" t="s">
        <v>60</v>
      </c>
      <c r="B49" s="1">
        <v>31259834.400000006</v>
      </c>
      <c r="C49" s="1">
        <v>31259834.400000006</v>
      </c>
    </row>
    <row r="50" spans="1:3" x14ac:dyDescent="0.3">
      <c r="A50" s="3" t="s">
        <v>61</v>
      </c>
      <c r="B50" s="1">
        <v>28434467.169999998</v>
      </c>
      <c r="C50" s="1">
        <v>28434467.169999998</v>
      </c>
    </row>
    <row r="51" spans="1:3" x14ac:dyDescent="0.3">
      <c r="A51" s="3" t="s">
        <v>62</v>
      </c>
      <c r="B51" s="1">
        <v>26415289.52</v>
      </c>
      <c r="C51" s="1">
        <v>26415289.52</v>
      </c>
    </row>
    <row r="52" spans="1:3" x14ac:dyDescent="0.3">
      <c r="A52" s="3" t="s">
        <v>63</v>
      </c>
      <c r="B52" s="1">
        <v>29007179.109999999</v>
      </c>
      <c r="C52" s="1">
        <v>29007179.109999999</v>
      </c>
    </row>
    <row r="53" spans="1:3" x14ac:dyDescent="0.3">
      <c r="A53" s="3" t="s">
        <v>64</v>
      </c>
      <c r="B53" s="1">
        <v>17231936.579999998</v>
      </c>
      <c r="C53" s="1">
        <v>17231936.579999998</v>
      </c>
    </row>
    <row r="54" spans="1:3" x14ac:dyDescent="0.3">
      <c r="A54" s="3" t="s">
        <v>65</v>
      </c>
      <c r="B54" s="1">
        <v>28443974.260000002</v>
      </c>
      <c r="C54" s="1">
        <v>28443974.260000002</v>
      </c>
    </row>
    <row r="55" spans="1:3" x14ac:dyDescent="0.3">
      <c r="A55" s="3" t="s">
        <v>66</v>
      </c>
      <c r="B55" s="1">
        <v>18013866.719999999</v>
      </c>
      <c r="C55" s="1">
        <v>18013866.719999999</v>
      </c>
    </row>
    <row r="56" spans="1:3" x14ac:dyDescent="0.3">
      <c r="A56" s="3" t="s">
        <v>67</v>
      </c>
      <c r="B56" s="1">
        <v>69006359.329999998</v>
      </c>
      <c r="C56" s="1">
        <v>69006359.329999998</v>
      </c>
    </row>
    <row r="57" spans="1:3" x14ac:dyDescent="0.3">
      <c r="A57" s="3" t="s">
        <v>68</v>
      </c>
      <c r="B57" s="1">
        <v>24502523.98</v>
      </c>
      <c r="C57" s="1">
        <v>24502523.98</v>
      </c>
    </row>
    <row r="58" spans="1:3" x14ac:dyDescent="0.3">
      <c r="A58" s="3" t="s">
        <v>69</v>
      </c>
      <c r="B58" s="1">
        <v>18808090.550000001</v>
      </c>
      <c r="C58" s="1">
        <v>18808090.550000001</v>
      </c>
    </row>
    <row r="59" spans="1:3" x14ac:dyDescent="0.3">
      <c r="A59" s="3" t="s">
        <v>70</v>
      </c>
      <c r="B59" s="1">
        <v>42523111.369999997</v>
      </c>
      <c r="C59" s="1">
        <v>42523111.369999997</v>
      </c>
    </row>
    <row r="60" spans="1:3" x14ac:dyDescent="0.3">
      <c r="A60" s="3" t="s">
        <v>71</v>
      </c>
      <c r="B60" s="1">
        <v>20539764.800000001</v>
      </c>
      <c r="C60" s="1">
        <v>20539764.800000001</v>
      </c>
    </row>
    <row r="61" spans="1:3" x14ac:dyDescent="0.3">
      <c r="A61" s="3" t="s">
        <v>72</v>
      </c>
      <c r="B61" s="1">
        <v>15197350.870000001</v>
      </c>
      <c r="C61" s="1">
        <v>15197350.870000001</v>
      </c>
    </row>
    <row r="62" spans="1:3" x14ac:dyDescent="0.3">
      <c r="A62" s="3" t="s">
        <v>73</v>
      </c>
      <c r="B62" s="1">
        <v>22021308.48</v>
      </c>
      <c r="C62" s="1">
        <v>22021308.48</v>
      </c>
    </row>
    <row r="63" spans="1:3" x14ac:dyDescent="0.3">
      <c r="A63" s="3" t="s">
        <v>74</v>
      </c>
      <c r="B63" s="1">
        <v>49678107.270000003</v>
      </c>
      <c r="C63" s="1">
        <v>49678107.270000003</v>
      </c>
    </row>
    <row r="64" spans="1:3" x14ac:dyDescent="0.3">
      <c r="A64" s="3" t="s">
        <v>75</v>
      </c>
      <c r="B64" s="1">
        <v>17563302.920000002</v>
      </c>
      <c r="C64" s="1">
        <v>17563302.920000002</v>
      </c>
    </row>
    <row r="65" spans="1:3" x14ac:dyDescent="0.3">
      <c r="A65" s="3" t="s">
        <v>76</v>
      </c>
      <c r="B65" s="1">
        <v>29175157.030000001</v>
      </c>
      <c r="C65" s="1">
        <v>29175157.030000001</v>
      </c>
    </row>
    <row r="66" spans="1:3" x14ac:dyDescent="0.3">
      <c r="A66" s="3" t="s">
        <v>77</v>
      </c>
      <c r="B66" s="1">
        <v>123422599.38</v>
      </c>
      <c r="C66" s="1">
        <v>123422599.38</v>
      </c>
    </row>
    <row r="67" spans="1:3" x14ac:dyDescent="0.3">
      <c r="A67" s="3" t="s">
        <v>78</v>
      </c>
      <c r="B67" s="1">
        <v>37166436.700000003</v>
      </c>
      <c r="C67" s="1">
        <v>37166436.700000003</v>
      </c>
    </row>
    <row r="68" spans="1:3" x14ac:dyDescent="0.3">
      <c r="A68" s="3" t="s">
        <v>79</v>
      </c>
      <c r="B68" s="1">
        <v>23708136.400000002</v>
      </c>
      <c r="C68" s="1">
        <v>23708136.400000002</v>
      </c>
    </row>
    <row r="69" spans="1:3" x14ac:dyDescent="0.3">
      <c r="A69" s="3" t="s">
        <v>80</v>
      </c>
      <c r="B69" s="1">
        <v>40732657.789999992</v>
      </c>
      <c r="C69" s="1">
        <v>40732657.789999992</v>
      </c>
    </row>
    <row r="70" spans="1:3" x14ac:dyDescent="0.3">
      <c r="A70" s="3" t="s">
        <v>81</v>
      </c>
      <c r="B70" s="1">
        <v>16099134.26</v>
      </c>
      <c r="C70" s="1">
        <v>16099134.26</v>
      </c>
    </row>
    <row r="71" spans="1:3" x14ac:dyDescent="0.3">
      <c r="A71" s="3" t="s">
        <v>82</v>
      </c>
      <c r="B71" s="1">
        <v>112520782.84999999</v>
      </c>
      <c r="C71" s="1">
        <v>112520782.84999999</v>
      </c>
    </row>
    <row r="72" spans="1:3" x14ac:dyDescent="0.3">
      <c r="A72" s="3" t="s">
        <v>83</v>
      </c>
      <c r="B72" s="1">
        <v>16895652.920000002</v>
      </c>
      <c r="C72" s="1">
        <v>16895652.920000002</v>
      </c>
    </row>
    <row r="73" spans="1:3" x14ac:dyDescent="0.3">
      <c r="A73" s="3" t="s">
        <v>84</v>
      </c>
      <c r="B73" s="1">
        <v>819541953.51000011</v>
      </c>
      <c r="C73" s="1">
        <v>819541953.51000011</v>
      </c>
    </row>
    <row r="74" spans="1:3" x14ac:dyDescent="0.3">
      <c r="A74" s="3" t="s">
        <v>85</v>
      </c>
      <c r="B74" s="1">
        <v>44033765.469999999</v>
      </c>
      <c r="C74" s="1">
        <v>44033765.469999999</v>
      </c>
    </row>
    <row r="75" spans="1:3" x14ac:dyDescent="0.3">
      <c r="A75" s="3" t="s">
        <v>86</v>
      </c>
      <c r="B75" s="1">
        <v>25743213.750000004</v>
      </c>
      <c r="C75" s="1">
        <v>25743213.750000004</v>
      </c>
    </row>
    <row r="76" spans="1:3" x14ac:dyDescent="0.3">
      <c r="A76" s="3" t="s">
        <v>87</v>
      </c>
      <c r="B76" s="1">
        <v>37726363.25</v>
      </c>
      <c r="C76" s="1">
        <v>37726363.25</v>
      </c>
    </row>
    <row r="77" spans="1:3" x14ac:dyDescent="0.3">
      <c r="A77" s="3" t="s">
        <v>88</v>
      </c>
      <c r="B77" s="1">
        <v>189934988.69999999</v>
      </c>
      <c r="C77" s="1">
        <v>189934988.69999999</v>
      </c>
    </row>
    <row r="78" spans="1:3" x14ac:dyDescent="0.3">
      <c r="A78" s="3" t="s">
        <v>89</v>
      </c>
      <c r="B78" s="1">
        <v>20716922.030000001</v>
      </c>
      <c r="C78" s="1">
        <v>20716922.030000001</v>
      </c>
    </row>
    <row r="79" spans="1:3" x14ac:dyDescent="0.3">
      <c r="A79" s="3" t="s">
        <v>90</v>
      </c>
      <c r="B79" s="1">
        <v>39414994.229999997</v>
      </c>
      <c r="C79" s="1">
        <v>39414994.229999997</v>
      </c>
    </row>
    <row r="80" spans="1:3" x14ac:dyDescent="0.3">
      <c r="A80" s="3" t="s">
        <v>91</v>
      </c>
      <c r="B80" s="1">
        <v>372683443.25999999</v>
      </c>
      <c r="C80" s="1">
        <v>372683443.25999999</v>
      </c>
    </row>
    <row r="81" spans="1:3" x14ac:dyDescent="0.3">
      <c r="A81" s="3" t="s">
        <v>92</v>
      </c>
      <c r="B81" s="1">
        <v>613140212.2299999</v>
      </c>
      <c r="C81" s="1">
        <v>613140212.2299999</v>
      </c>
    </row>
    <row r="82" spans="1:3" x14ac:dyDescent="0.3">
      <c r="A82" s="3" t="s">
        <v>97</v>
      </c>
      <c r="B82" s="1">
        <v>5632048197.0400009</v>
      </c>
      <c r="C82" s="1">
        <v>5632048197.0400009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37"/>
  <sheetViews>
    <sheetView workbookViewId="0">
      <selection activeCell="E3" sqref="E3:E861"/>
    </sheetView>
  </sheetViews>
  <sheetFormatPr defaultRowHeight="14.4" x14ac:dyDescent="0.3"/>
  <cols>
    <col min="2" max="2" width="12.33203125" bestFit="1" customWidth="1"/>
    <col min="3" max="3" width="25.5546875" bestFit="1" customWidth="1"/>
    <col min="4" max="4" width="12.77734375" bestFit="1" customWidth="1"/>
    <col min="5" max="5" width="11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40405</v>
      </c>
      <c r="B2">
        <v>3200102</v>
      </c>
      <c r="C2" t="s">
        <v>15</v>
      </c>
      <c r="D2">
        <v>0.67100000000000004</v>
      </c>
      <c r="E2">
        <v>3055161.86</v>
      </c>
      <c r="F2">
        <v>0</v>
      </c>
      <c r="G2">
        <v>3055161.86</v>
      </c>
      <c r="H2">
        <v>32040.78</v>
      </c>
      <c r="I2">
        <v>132414.57</v>
      </c>
      <c r="J2">
        <v>1.0169999999999999</v>
      </c>
      <c r="K2">
        <v>34719.93</v>
      </c>
      <c r="L2">
        <v>12020.76</v>
      </c>
      <c r="M2">
        <v>0</v>
      </c>
      <c r="N2">
        <v>2025</v>
      </c>
      <c r="O2">
        <v>1</v>
      </c>
    </row>
    <row r="3" spans="1:15" x14ac:dyDescent="0.3">
      <c r="A3">
        <v>40406</v>
      </c>
      <c r="B3">
        <v>3200169</v>
      </c>
      <c r="C3" t="s">
        <v>16</v>
      </c>
      <c r="D3">
        <v>0.309</v>
      </c>
      <c r="E3">
        <v>1397892.26</v>
      </c>
      <c r="F3">
        <v>0</v>
      </c>
      <c r="G3">
        <v>1397892.26</v>
      </c>
      <c r="H3">
        <v>14755</v>
      </c>
      <c r="I3">
        <v>42301.97</v>
      </c>
      <c r="J3">
        <v>0.46500000000000002</v>
      </c>
      <c r="K3">
        <v>15988.76</v>
      </c>
      <c r="L3">
        <v>5501.45</v>
      </c>
      <c r="M3">
        <v>0</v>
      </c>
      <c r="N3">
        <v>2025</v>
      </c>
      <c r="O3">
        <v>1</v>
      </c>
    </row>
    <row r="4" spans="1:15" x14ac:dyDescent="0.3">
      <c r="A4">
        <v>40407</v>
      </c>
      <c r="B4">
        <v>3200136</v>
      </c>
      <c r="C4" t="s">
        <v>17</v>
      </c>
      <c r="D4">
        <v>0.51900000000000002</v>
      </c>
      <c r="E4">
        <v>2345678.63</v>
      </c>
      <c r="F4">
        <v>0</v>
      </c>
      <c r="G4">
        <v>2345678.63</v>
      </c>
      <c r="H4">
        <v>24782.66</v>
      </c>
      <c r="I4">
        <v>39007.910000000003</v>
      </c>
      <c r="J4">
        <v>0.35799999999999998</v>
      </c>
      <c r="K4">
        <v>26854.91</v>
      </c>
      <c r="L4">
        <v>4230.88</v>
      </c>
      <c r="M4">
        <v>0</v>
      </c>
      <c r="N4">
        <v>2025</v>
      </c>
      <c r="O4">
        <v>1</v>
      </c>
    </row>
    <row r="5" spans="1:15" x14ac:dyDescent="0.3">
      <c r="A5">
        <v>40408</v>
      </c>
      <c r="B5">
        <v>3200201</v>
      </c>
      <c r="C5" t="s">
        <v>18</v>
      </c>
      <c r="D5">
        <v>0.41799999999999998</v>
      </c>
      <c r="E5">
        <v>1905182.56</v>
      </c>
      <c r="F5">
        <v>0</v>
      </c>
      <c r="G5">
        <v>1905182.56</v>
      </c>
      <c r="H5">
        <v>19959.830000000002</v>
      </c>
      <c r="I5">
        <v>158721.48000000001</v>
      </c>
      <c r="J5">
        <v>0.98699999999999999</v>
      </c>
      <c r="K5">
        <v>21628.81</v>
      </c>
      <c r="L5">
        <v>11667.73</v>
      </c>
      <c r="M5">
        <v>0</v>
      </c>
      <c r="N5">
        <v>2025</v>
      </c>
      <c r="O5">
        <v>1</v>
      </c>
    </row>
    <row r="6" spans="1:15" x14ac:dyDescent="0.3">
      <c r="A6">
        <v>40409</v>
      </c>
      <c r="B6">
        <v>3200300</v>
      </c>
      <c r="C6" t="s">
        <v>19</v>
      </c>
      <c r="D6">
        <v>0.442</v>
      </c>
      <c r="E6">
        <v>2008527.33</v>
      </c>
      <c r="F6">
        <v>0</v>
      </c>
      <c r="G6">
        <v>2008527.33</v>
      </c>
      <c r="H6">
        <v>21105.85</v>
      </c>
      <c r="I6">
        <v>121432.45</v>
      </c>
      <c r="J6">
        <v>0.56599999999999995</v>
      </c>
      <c r="K6">
        <v>22870.65</v>
      </c>
      <c r="L6">
        <v>6689.2</v>
      </c>
      <c r="M6">
        <v>0</v>
      </c>
      <c r="N6">
        <v>2025</v>
      </c>
      <c r="O6">
        <v>1</v>
      </c>
    </row>
    <row r="7" spans="1:15" x14ac:dyDescent="0.3">
      <c r="A7">
        <v>40410</v>
      </c>
      <c r="B7">
        <v>3200359</v>
      </c>
      <c r="C7" t="s">
        <v>20</v>
      </c>
      <c r="D7">
        <v>0.25800000000000001</v>
      </c>
      <c r="E7">
        <v>1166277.8</v>
      </c>
      <c r="F7">
        <v>0</v>
      </c>
      <c r="G7">
        <v>1166277.8</v>
      </c>
      <c r="H7">
        <v>12319.7</v>
      </c>
      <c r="I7">
        <v>27052.09</v>
      </c>
      <c r="J7">
        <v>0.32800000000000001</v>
      </c>
      <c r="K7">
        <v>13349.84</v>
      </c>
      <c r="L7">
        <v>3879.72</v>
      </c>
      <c r="M7">
        <v>0</v>
      </c>
      <c r="N7">
        <v>2025</v>
      </c>
      <c r="O7">
        <v>1</v>
      </c>
    </row>
    <row r="8" spans="1:15" x14ac:dyDescent="0.3">
      <c r="A8">
        <v>40411</v>
      </c>
      <c r="B8">
        <v>3200409</v>
      </c>
      <c r="C8" t="s">
        <v>21</v>
      </c>
      <c r="D8">
        <v>3.4780000000000002</v>
      </c>
      <c r="E8">
        <v>15911381.609999999</v>
      </c>
      <c r="F8">
        <v>0</v>
      </c>
      <c r="G8">
        <v>15911381.609999999</v>
      </c>
      <c r="H8">
        <v>166077.26</v>
      </c>
      <c r="I8">
        <v>209851.54</v>
      </c>
      <c r="J8">
        <v>0.93</v>
      </c>
      <c r="K8">
        <v>179964.1</v>
      </c>
      <c r="L8">
        <v>11001.72</v>
      </c>
      <c r="M8">
        <v>0</v>
      </c>
      <c r="N8">
        <v>2025</v>
      </c>
      <c r="O8">
        <v>1</v>
      </c>
    </row>
    <row r="9" spans="1:15" x14ac:dyDescent="0.3">
      <c r="A9">
        <v>40412</v>
      </c>
      <c r="B9">
        <v>3200508</v>
      </c>
      <c r="C9" t="s">
        <v>22</v>
      </c>
      <c r="D9">
        <v>0.23799999999999999</v>
      </c>
      <c r="E9">
        <v>1071906.77</v>
      </c>
      <c r="F9">
        <v>0</v>
      </c>
      <c r="G9">
        <v>1071906.77</v>
      </c>
      <c r="H9">
        <v>11364.69</v>
      </c>
      <c r="I9">
        <v>104181.54</v>
      </c>
      <c r="J9">
        <v>0.32500000000000001</v>
      </c>
      <c r="K9">
        <v>12314.97</v>
      </c>
      <c r="L9">
        <v>3847.18</v>
      </c>
      <c r="M9">
        <v>0</v>
      </c>
      <c r="N9">
        <v>2025</v>
      </c>
      <c r="O9">
        <v>1</v>
      </c>
    </row>
    <row r="10" spans="1:15" x14ac:dyDescent="0.3">
      <c r="A10">
        <v>40413</v>
      </c>
      <c r="B10">
        <v>3200607</v>
      </c>
      <c r="C10" t="s">
        <v>23</v>
      </c>
      <c r="D10">
        <v>4.4800000000000004</v>
      </c>
      <c r="E10">
        <v>20217748.309999999</v>
      </c>
      <c r="F10">
        <v>0</v>
      </c>
      <c r="G10">
        <v>20217748.309999999</v>
      </c>
      <c r="H10">
        <v>213923.56</v>
      </c>
      <c r="I10">
        <v>537045.29</v>
      </c>
      <c r="J10">
        <v>2.456</v>
      </c>
      <c r="K10">
        <v>231811.14</v>
      </c>
      <c r="L10">
        <v>29041.58</v>
      </c>
      <c r="M10">
        <v>0</v>
      </c>
      <c r="N10">
        <v>2025</v>
      </c>
      <c r="O10">
        <v>1</v>
      </c>
    </row>
    <row r="11" spans="1:15" x14ac:dyDescent="0.3">
      <c r="A11">
        <v>40414</v>
      </c>
      <c r="B11">
        <v>3200706</v>
      </c>
      <c r="C11" t="s">
        <v>24</v>
      </c>
      <c r="D11">
        <v>0.39500000000000002</v>
      </c>
      <c r="E11">
        <v>1780969.11</v>
      </c>
      <c r="F11">
        <v>0</v>
      </c>
      <c r="G11">
        <v>1780969.11</v>
      </c>
      <c r="H11">
        <v>18861.560000000001</v>
      </c>
      <c r="I11">
        <v>62199.08</v>
      </c>
      <c r="J11">
        <v>0.44600000000000001</v>
      </c>
      <c r="K11">
        <v>20438.7</v>
      </c>
      <c r="L11">
        <v>5269.8</v>
      </c>
      <c r="M11">
        <v>0</v>
      </c>
      <c r="N11">
        <v>2025</v>
      </c>
      <c r="O11">
        <v>1</v>
      </c>
    </row>
    <row r="12" spans="1:15" x14ac:dyDescent="0.3">
      <c r="A12">
        <v>40415</v>
      </c>
      <c r="B12">
        <v>3200805</v>
      </c>
      <c r="C12" t="s">
        <v>25</v>
      </c>
      <c r="D12">
        <v>0.54</v>
      </c>
      <c r="E12">
        <v>2459340.31</v>
      </c>
      <c r="F12">
        <v>0</v>
      </c>
      <c r="G12">
        <v>2459340.31</v>
      </c>
      <c r="H12">
        <v>25785.43</v>
      </c>
      <c r="I12">
        <v>327812.32</v>
      </c>
      <c r="J12">
        <v>1.016</v>
      </c>
      <c r="K12">
        <v>27941.52</v>
      </c>
      <c r="L12">
        <v>12019.21</v>
      </c>
      <c r="M12">
        <v>0</v>
      </c>
      <c r="N12">
        <v>2025</v>
      </c>
      <c r="O12">
        <v>1</v>
      </c>
    </row>
    <row r="13" spans="1:15" x14ac:dyDescent="0.3">
      <c r="A13">
        <v>40416</v>
      </c>
      <c r="B13">
        <v>3200904</v>
      </c>
      <c r="C13" t="s">
        <v>26</v>
      </c>
      <c r="D13">
        <v>0.81299999999999994</v>
      </c>
      <c r="E13">
        <v>3701231.94</v>
      </c>
      <c r="F13">
        <v>0</v>
      </c>
      <c r="G13">
        <v>3701231.94</v>
      </c>
      <c r="H13">
        <v>38821.4</v>
      </c>
      <c r="I13">
        <v>350127.7</v>
      </c>
      <c r="J13">
        <v>1.3140000000000001</v>
      </c>
      <c r="K13">
        <v>42067.51</v>
      </c>
      <c r="L13">
        <v>15536.81</v>
      </c>
      <c r="M13">
        <v>0</v>
      </c>
      <c r="N13">
        <v>2025</v>
      </c>
      <c r="O13">
        <v>1</v>
      </c>
    </row>
    <row r="14" spans="1:15" x14ac:dyDescent="0.3">
      <c r="A14">
        <v>40417</v>
      </c>
      <c r="B14">
        <v>3107109</v>
      </c>
      <c r="C14" t="s">
        <v>27</v>
      </c>
      <c r="D14">
        <v>0.48699999999999999</v>
      </c>
      <c r="E14">
        <v>2198979.52</v>
      </c>
      <c r="F14">
        <v>0</v>
      </c>
      <c r="G14">
        <v>2198979.52</v>
      </c>
      <c r="H14">
        <v>23254.639999999999</v>
      </c>
      <c r="I14">
        <v>77196.88</v>
      </c>
      <c r="J14">
        <v>0.56299999999999994</v>
      </c>
      <c r="K14">
        <v>25199.119999999999</v>
      </c>
      <c r="L14">
        <v>6654.03</v>
      </c>
      <c r="M14">
        <v>0</v>
      </c>
      <c r="N14">
        <v>2025</v>
      </c>
      <c r="O14">
        <v>1</v>
      </c>
    </row>
    <row r="15" spans="1:15" x14ac:dyDescent="0.3">
      <c r="A15">
        <v>40418</v>
      </c>
      <c r="B15">
        <v>3201100</v>
      </c>
      <c r="C15" t="s">
        <v>28</v>
      </c>
      <c r="D15">
        <v>0.247</v>
      </c>
      <c r="E15">
        <v>1107833.5</v>
      </c>
      <c r="F15">
        <v>0</v>
      </c>
      <c r="G15">
        <v>1107833.5</v>
      </c>
      <c r="H15">
        <v>11794.45</v>
      </c>
      <c r="I15">
        <v>425197.64</v>
      </c>
      <c r="J15">
        <v>0.442</v>
      </c>
      <c r="K15">
        <v>12780.66</v>
      </c>
      <c r="L15">
        <v>5225.7</v>
      </c>
      <c r="M15">
        <v>0</v>
      </c>
      <c r="N15">
        <v>2025</v>
      </c>
      <c r="O15">
        <v>1</v>
      </c>
    </row>
    <row r="16" spans="1:15" x14ac:dyDescent="0.3">
      <c r="A16">
        <v>40419</v>
      </c>
      <c r="B16">
        <v>3201159</v>
      </c>
      <c r="C16" t="s">
        <v>29</v>
      </c>
      <c r="D16">
        <v>0.40699999999999997</v>
      </c>
      <c r="E16">
        <v>1848541.33</v>
      </c>
      <c r="F16">
        <v>0</v>
      </c>
      <c r="G16">
        <v>1848541.33</v>
      </c>
      <c r="H16">
        <v>19434.57</v>
      </c>
      <c r="I16">
        <v>81036.789999999994</v>
      </c>
      <c r="J16">
        <v>0.47799999999999998</v>
      </c>
      <c r="K16">
        <v>21059.63</v>
      </c>
      <c r="L16">
        <v>5646.87</v>
      </c>
      <c r="M16">
        <v>0</v>
      </c>
      <c r="N16">
        <v>2025</v>
      </c>
      <c r="O16">
        <v>1</v>
      </c>
    </row>
    <row r="17" spans="1:15" x14ac:dyDescent="0.3">
      <c r="A17">
        <v>40420</v>
      </c>
      <c r="B17">
        <v>3201209</v>
      </c>
      <c r="C17" t="s">
        <v>30</v>
      </c>
      <c r="D17">
        <v>2.5920000000000001</v>
      </c>
      <c r="E17">
        <v>11790179.460000001</v>
      </c>
      <c r="F17">
        <v>0</v>
      </c>
      <c r="G17">
        <v>11790179.460000001</v>
      </c>
      <c r="H17">
        <v>123770.06</v>
      </c>
      <c r="I17">
        <v>1620445.21</v>
      </c>
      <c r="J17">
        <v>4.3239999999999998</v>
      </c>
      <c r="K17">
        <v>134119.29999999999</v>
      </c>
      <c r="L17">
        <v>51130.76</v>
      </c>
      <c r="M17">
        <v>0</v>
      </c>
      <c r="N17">
        <v>2025</v>
      </c>
      <c r="O17">
        <v>1</v>
      </c>
    </row>
    <row r="18" spans="1:15" x14ac:dyDescent="0.3">
      <c r="A18">
        <v>40421</v>
      </c>
      <c r="B18">
        <v>3201308</v>
      </c>
      <c r="C18" t="s">
        <v>31</v>
      </c>
      <c r="D18">
        <v>8.3239999999999998</v>
      </c>
      <c r="E18">
        <v>37579332.630000003</v>
      </c>
      <c r="F18">
        <v>0</v>
      </c>
      <c r="G18">
        <v>37579332.630000003</v>
      </c>
      <c r="H18">
        <v>397477.61</v>
      </c>
      <c r="I18">
        <v>2594121.79</v>
      </c>
      <c r="J18">
        <v>6.5110000000000001</v>
      </c>
      <c r="K18">
        <v>430713.38</v>
      </c>
      <c r="L18">
        <v>76994.539999999994</v>
      </c>
      <c r="M18">
        <v>0</v>
      </c>
      <c r="N18">
        <v>2025</v>
      </c>
      <c r="O18">
        <v>1</v>
      </c>
    </row>
    <row r="19" spans="1:15" x14ac:dyDescent="0.3">
      <c r="A19">
        <v>40422</v>
      </c>
      <c r="B19">
        <v>3201407</v>
      </c>
      <c r="C19" t="s">
        <v>32</v>
      </c>
      <c r="D19">
        <v>0.80700000000000005</v>
      </c>
      <c r="E19">
        <v>3665970.58</v>
      </c>
      <c r="F19">
        <v>0</v>
      </c>
      <c r="G19">
        <v>3665970.58</v>
      </c>
      <c r="H19">
        <v>38534.89</v>
      </c>
      <c r="I19">
        <v>490407.12</v>
      </c>
      <c r="J19">
        <v>1.165</v>
      </c>
      <c r="K19">
        <v>41757.050000000003</v>
      </c>
      <c r="L19">
        <v>13770.76</v>
      </c>
      <c r="M19">
        <v>0</v>
      </c>
      <c r="N19">
        <v>2025</v>
      </c>
      <c r="O19">
        <v>1</v>
      </c>
    </row>
    <row r="20" spans="1:15" x14ac:dyDescent="0.3">
      <c r="A20">
        <v>40423</v>
      </c>
      <c r="B20">
        <v>3201506</v>
      </c>
      <c r="C20" t="s">
        <v>33</v>
      </c>
      <c r="D20">
        <v>2.0139999999999998</v>
      </c>
      <c r="E20">
        <v>9160844.5299999993</v>
      </c>
      <c r="F20">
        <v>0</v>
      </c>
      <c r="G20">
        <v>9160844.5299999993</v>
      </c>
      <c r="H20">
        <v>96170.1</v>
      </c>
      <c r="I20">
        <v>864790.33</v>
      </c>
      <c r="J20">
        <v>2.875</v>
      </c>
      <c r="K20">
        <v>104211.52</v>
      </c>
      <c r="L20">
        <v>34000.03</v>
      </c>
      <c r="M20">
        <v>0</v>
      </c>
      <c r="N20">
        <v>2025</v>
      </c>
      <c r="O20">
        <v>1</v>
      </c>
    </row>
    <row r="21" spans="1:15" x14ac:dyDescent="0.3">
      <c r="A21">
        <v>40424</v>
      </c>
      <c r="B21">
        <v>3201605</v>
      </c>
      <c r="C21" t="s">
        <v>34</v>
      </c>
      <c r="D21">
        <v>0.60099999999999998</v>
      </c>
      <c r="E21">
        <v>2753712.26</v>
      </c>
      <c r="F21">
        <v>0</v>
      </c>
      <c r="G21">
        <v>2753712.26</v>
      </c>
      <c r="H21">
        <v>28698.23</v>
      </c>
      <c r="I21">
        <v>139055.82</v>
      </c>
      <c r="J21">
        <v>0.96399999999999997</v>
      </c>
      <c r="K21">
        <v>31097.88</v>
      </c>
      <c r="L21">
        <v>11402.63</v>
      </c>
      <c r="M21">
        <v>0</v>
      </c>
      <c r="N21">
        <v>2025</v>
      </c>
      <c r="O21">
        <v>1</v>
      </c>
    </row>
    <row r="22" spans="1:15" x14ac:dyDescent="0.3">
      <c r="A22">
        <v>40425</v>
      </c>
      <c r="B22">
        <v>3201704</v>
      </c>
      <c r="C22" t="s">
        <v>35</v>
      </c>
      <c r="D22">
        <v>0.371</v>
      </c>
      <c r="E22">
        <v>1689262.36</v>
      </c>
      <c r="F22">
        <v>0</v>
      </c>
      <c r="G22">
        <v>1689262.36</v>
      </c>
      <c r="H22">
        <v>17715.54</v>
      </c>
      <c r="I22">
        <v>78371.87</v>
      </c>
      <c r="J22">
        <v>0.46400000000000002</v>
      </c>
      <c r="K22">
        <v>19196.86</v>
      </c>
      <c r="L22">
        <v>5485.25</v>
      </c>
      <c r="M22">
        <v>0</v>
      </c>
      <c r="N22">
        <v>2025</v>
      </c>
      <c r="O22">
        <v>1</v>
      </c>
    </row>
    <row r="23" spans="1:15" x14ac:dyDescent="0.3">
      <c r="A23">
        <v>40426</v>
      </c>
      <c r="B23">
        <v>3201803</v>
      </c>
      <c r="C23" t="s">
        <v>36</v>
      </c>
      <c r="D23">
        <v>0.187</v>
      </c>
      <c r="E23">
        <v>847504.56</v>
      </c>
      <c r="F23">
        <v>0</v>
      </c>
      <c r="G23">
        <v>847504.56</v>
      </c>
      <c r="H23">
        <v>8929.4</v>
      </c>
      <c r="I23">
        <v>27134.06</v>
      </c>
      <c r="J23">
        <v>0.29699999999999999</v>
      </c>
      <c r="K23">
        <v>9676.0400000000009</v>
      </c>
      <c r="L23">
        <v>3517.14</v>
      </c>
      <c r="M23">
        <v>0</v>
      </c>
      <c r="N23">
        <v>2025</v>
      </c>
      <c r="O23">
        <v>1</v>
      </c>
    </row>
    <row r="24" spans="1:15" x14ac:dyDescent="0.3">
      <c r="A24">
        <v>40427</v>
      </c>
      <c r="B24">
        <v>3201902</v>
      </c>
      <c r="C24" t="s">
        <v>37</v>
      </c>
      <c r="D24">
        <v>1.0620000000000001</v>
      </c>
      <c r="E24">
        <v>4843384.9000000004</v>
      </c>
      <c r="F24">
        <v>0</v>
      </c>
      <c r="G24">
        <v>4843384.9000000004</v>
      </c>
      <c r="H24">
        <v>50711.34</v>
      </c>
      <c r="I24">
        <v>246962.16</v>
      </c>
      <c r="J24">
        <v>1.0780000000000001</v>
      </c>
      <c r="K24">
        <v>54951.66</v>
      </c>
      <c r="L24">
        <v>12750.53</v>
      </c>
      <c r="M24">
        <v>0</v>
      </c>
      <c r="N24">
        <v>2025</v>
      </c>
      <c r="O24">
        <v>1</v>
      </c>
    </row>
    <row r="25" spans="1:15" x14ac:dyDescent="0.3">
      <c r="A25">
        <v>40428</v>
      </c>
      <c r="B25">
        <v>3202009</v>
      </c>
      <c r="C25" t="s">
        <v>38</v>
      </c>
      <c r="D25">
        <v>0.34899999999999998</v>
      </c>
      <c r="E25">
        <v>1568931.51</v>
      </c>
      <c r="F25">
        <v>0</v>
      </c>
      <c r="G25">
        <v>1568931.51</v>
      </c>
      <c r="H25">
        <v>16665.03</v>
      </c>
      <c r="I25">
        <v>164506.17000000001</v>
      </c>
      <c r="J25">
        <v>0.317</v>
      </c>
      <c r="K25">
        <v>18058.5</v>
      </c>
      <c r="L25">
        <v>3750.48</v>
      </c>
      <c r="M25">
        <v>0</v>
      </c>
      <c r="N25">
        <v>2025</v>
      </c>
      <c r="O25">
        <v>1</v>
      </c>
    </row>
    <row r="26" spans="1:15" x14ac:dyDescent="0.3">
      <c r="A26">
        <v>40429</v>
      </c>
      <c r="B26">
        <v>3202108</v>
      </c>
      <c r="C26" t="s">
        <v>39</v>
      </c>
      <c r="D26">
        <v>0.57099999999999995</v>
      </c>
      <c r="E26">
        <v>2612483.5299999998</v>
      </c>
      <c r="F26">
        <v>0</v>
      </c>
      <c r="G26">
        <v>2612483.5299999998</v>
      </c>
      <c r="H26">
        <v>27265.7</v>
      </c>
      <c r="I26">
        <v>97435.77</v>
      </c>
      <c r="J26">
        <v>0.81599999999999995</v>
      </c>
      <c r="K26">
        <v>29545.58</v>
      </c>
      <c r="L26">
        <v>9652.31</v>
      </c>
      <c r="M26">
        <v>0</v>
      </c>
      <c r="N26">
        <v>2025</v>
      </c>
      <c r="O26">
        <v>1</v>
      </c>
    </row>
    <row r="27" spans="1:15" x14ac:dyDescent="0.3">
      <c r="A27">
        <v>40430</v>
      </c>
      <c r="B27">
        <v>3202207</v>
      </c>
      <c r="C27" t="s">
        <v>40</v>
      </c>
      <c r="D27">
        <v>0.36799999999999999</v>
      </c>
      <c r="E27">
        <v>1653682.93</v>
      </c>
      <c r="F27">
        <v>0</v>
      </c>
      <c r="G27">
        <v>1653682.93</v>
      </c>
      <c r="H27">
        <v>17572.29</v>
      </c>
      <c r="I27">
        <v>121220.82</v>
      </c>
      <c r="J27">
        <v>0.69699999999999995</v>
      </c>
      <c r="K27">
        <v>19041.63</v>
      </c>
      <c r="L27">
        <v>8244.6200000000008</v>
      </c>
      <c r="M27">
        <v>0</v>
      </c>
      <c r="N27">
        <v>2025</v>
      </c>
      <c r="O27">
        <v>1</v>
      </c>
    </row>
    <row r="28" spans="1:15" x14ac:dyDescent="0.3">
      <c r="A28">
        <v>40431</v>
      </c>
      <c r="B28">
        <v>3202256</v>
      </c>
      <c r="C28" t="s">
        <v>41</v>
      </c>
      <c r="D28">
        <v>0.53100000000000003</v>
      </c>
      <c r="E28">
        <v>2402924.13</v>
      </c>
      <c r="F28">
        <v>0</v>
      </c>
      <c r="G28">
        <v>2402924.13</v>
      </c>
      <c r="H28">
        <v>25355.67</v>
      </c>
      <c r="I28">
        <v>59353.29</v>
      </c>
      <c r="J28">
        <v>0.45200000000000001</v>
      </c>
      <c r="K28">
        <v>27475.83</v>
      </c>
      <c r="L28">
        <v>5342.14</v>
      </c>
      <c r="M28">
        <v>0</v>
      </c>
      <c r="N28">
        <v>2025</v>
      </c>
      <c r="O28">
        <v>1</v>
      </c>
    </row>
    <row r="29" spans="1:15" x14ac:dyDescent="0.3">
      <c r="A29">
        <v>40432</v>
      </c>
      <c r="B29">
        <v>3202306</v>
      </c>
      <c r="C29" t="s">
        <v>42</v>
      </c>
      <c r="D29">
        <v>0.36699999999999999</v>
      </c>
      <c r="E29">
        <v>1660618.79</v>
      </c>
      <c r="F29">
        <v>0</v>
      </c>
      <c r="G29">
        <v>1660618.79</v>
      </c>
      <c r="H29">
        <v>17524.54</v>
      </c>
      <c r="I29">
        <v>331943.75</v>
      </c>
      <c r="J29">
        <v>0.98899999999999999</v>
      </c>
      <c r="K29">
        <v>18989.88</v>
      </c>
      <c r="L29">
        <v>11695.65</v>
      </c>
      <c r="M29">
        <v>0</v>
      </c>
      <c r="N29">
        <v>2025</v>
      </c>
      <c r="O29">
        <v>1</v>
      </c>
    </row>
    <row r="30" spans="1:15" x14ac:dyDescent="0.3">
      <c r="A30">
        <v>40433</v>
      </c>
      <c r="B30">
        <v>3202405</v>
      </c>
      <c r="C30" t="s">
        <v>43</v>
      </c>
      <c r="D30">
        <v>0.79</v>
      </c>
      <c r="E30">
        <v>3574559.77</v>
      </c>
      <c r="F30">
        <v>0</v>
      </c>
      <c r="G30">
        <v>3574559.77</v>
      </c>
      <c r="H30">
        <v>37723.129999999997</v>
      </c>
      <c r="I30">
        <v>2156539.94</v>
      </c>
      <c r="J30">
        <v>2.9359999999999999</v>
      </c>
      <c r="K30">
        <v>40877.42</v>
      </c>
      <c r="L30">
        <v>34712.99</v>
      </c>
      <c r="M30">
        <v>0</v>
      </c>
      <c r="N30">
        <v>2025</v>
      </c>
      <c r="O30">
        <v>1</v>
      </c>
    </row>
    <row r="31" spans="1:15" x14ac:dyDescent="0.3">
      <c r="A31">
        <v>40434</v>
      </c>
      <c r="B31">
        <v>3202454</v>
      </c>
      <c r="C31" t="s">
        <v>44</v>
      </c>
      <c r="D31">
        <v>0.33900000000000002</v>
      </c>
      <c r="E31">
        <v>1537481.89</v>
      </c>
      <c r="F31">
        <v>0</v>
      </c>
      <c r="G31">
        <v>1537481.89</v>
      </c>
      <c r="H31">
        <v>16187.52</v>
      </c>
      <c r="I31">
        <v>326285.28999999998</v>
      </c>
      <c r="J31">
        <v>0.87</v>
      </c>
      <c r="K31">
        <v>17541.060000000001</v>
      </c>
      <c r="L31">
        <v>10291.69</v>
      </c>
      <c r="M31">
        <v>0</v>
      </c>
      <c r="N31">
        <v>2025</v>
      </c>
      <c r="O31">
        <v>1</v>
      </c>
    </row>
    <row r="32" spans="1:15" x14ac:dyDescent="0.3">
      <c r="A32">
        <v>40435</v>
      </c>
      <c r="B32">
        <v>3202504</v>
      </c>
      <c r="C32" t="s">
        <v>45</v>
      </c>
      <c r="D32">
        <v>0.307</v>
      </c>
      <c r="E32">
        <v>1380128.28</v>
      </c>
      <c r="F32">
        <v>0</v>
      </c>
      <c r="G32">
        <v>1380128.28</v>
      </c>
      <c r="H32">
        <v>14659.49</v>
      </c>
      <c r="I32">
        <v>62735.46</v>
      </c>
      <c r="J32">
        <v>0.46100000000000002</v>
      </c>
      <c r="K32">
        <v>15885.28</v>
      </c>
      <c r="L32">
        <v>5452.25</v>
      </c>
      <c r="M32">
        <v>0</v>
      </c>
      <c r="N32">
        <v>2025</v>
      </c>
      <c r="O32">
        <v>1</v>
      </c>
    </row>
    <row r="33" spans="1:15" x14ac:dyDescent="0.3">
      <c r="A33">
        <v>40436</v>
      </c>
      <c r="B33">
        <v>3202553</v>
      </c>
      <c r="C33" t="s">
        <v>46</v>
      </c>
      <c r="D33">
        <v>0.28399999999999997</v>
      </c>
      <c r="E33">
        <v>1280666.07</v>
      </c>
      <c r="F33">
        <v>0</v>
      </c>
      <c r="G33">
        <v>1280666.07</v>
      </c>
      <c r="H33">
        <v>13561.23</v>
      </c>
      <c r="I33">
        <v>57668.9</v>
      </c>
      <c r="J33">
        <v>0.35499999999999998</v>
      </c>
      <c r="K33">
        <v>14695.17</v>
      </c>
      <c r="L33">
        <v>4201.43</v>
      </c>
      <c r="M33">
        <v>0</v>
      </c>
      <c r="N33">
        <v>2025</v>
      </c>
      <c r="O33">
        <v>1</v>
      </c>
    </row>
    <row r="34" spans="1:15" x14ac:dyDescent="0.3">
      <c r="A34">
        <v>40437</v>
      </c>
      <c r="B34">
        <v>3202603</v>
      </c>
      <c r="C34" t="s">
        <v>47</v>
      </c>
      <c r="D34">
        <v>0.314</v>
      </c>
      <c r="E34">
        <v>1420583.51</v>
      </c>
      <c r="F34">
        <v>0</v>
      </c>
      <c r="G34">
        <v>1420583.51</v>
      </c>
      <c r="H34">
        <v>14993.75</v>
      </c>
      <c r="I34">
        <v>135487.81</v>
      </c>
      <c r="J34">
        <v>0.53700000000000003</v>
      </c>
      <c r="K34">
        <v>16247.48</v>
      </c>
      <c r="L34">
        <v>6346.92</v>
      </c>
      <c r="M34">
        <v>0</v>
      </c>
      <c r="N34">
        <v>2025</v>
      </c>
      <c r="O34">
        <v>1</v>
      </c>
    </row>
    <row r="35" spans="1:15" x14ac:dyDescent="0.3">
      <c r="A35">
        <v>40438</v>
      </c>
      <c r="B35">
        <v>3202652</v>
      </c>
      <c r="C35" t="s">
        <v>48</v>
      </c>
      <c r="D35">
        <v>0.316</v>
      </c>
      <c r="E35">
        <v>1429496.08</v>
      </c>
      <c r="F35">
        <v>0</v>
      </c>
      <c r="G35">
        <v>1429496.08</v>
      </c>
      <c r="H35">
        <v>15089.25</v>
      </c>
      <c r="I35">
        <v>133067.94</v>
      </c>
      <c r="J35">
        <v>0.56399999999999995</v>
      </c>
      <c r="K35">
        <v>16350.97</v>
      </c>
      <c r="L35">
        <v>6669.77</v>
      </c>
      <c r="M35">
        <v>0</v>
      </c>
      <c r="N35">
        <v>2025</v>
      </c>
      <c r="O35">
        <v>1</v>
      </c>
    </row>
    <row r="36" spans="1:15" x14ac:dyDescent="0.3">
      <c r="A36">
        <v>40439</v>
      </c>
      <c r="B36">
        <v>3202702</v>
      </c>
      <c r="C36" t="s">
        <v>49</v>
      </c>
      <c r="D36">
        <v>0.40400000000000003</v>
      </c>
      <c r="E36">
        <v>1822632.93</v>
      </c>
      <c r="F36">
        <v>0</v>
      </c>
      <c r="G36">
        <v>1822632.93</v>
      </c>
      <c r="H36">
        <v>19291.32</v>
      </c>
      <c r="I36">
        <v>50159.08</v>
      </c>
      <c r="J36">
        <v>0.56200000000000006</v>
      </c>
      <c r="K36">
        <v>20904.39</v>
      </c>
      <c r="L36">
        <v>6651.1</v>
      </c>
      <c r="M36">
        <v>0</v>
      </c>
      <c r="N36">
        <v>2025</v>
      </c>
      <c r="O36">
        <v>1</v>
      </c>
    </row>
    <row r="37" spans="1:15" x14ac:dyDescent="0.3">
      <c r="A37">
        <v>40440</v>
      </c>
      <c r="B37">
        <v>3202801</v>
      </c>
      <c r="C37" t="s">
        <v>50</v>
      </c>
      <c r="D37">
        <v>3.4060000000000001</v>
      </c>
      <c r="E37">
        <v>15522667.84</v>
      </c>
      <c r="F37">
        <v>0</v>
      </c>
      <c r="G37">
        <v>15522667.84</v>
      </c>
      <c r="H37">
        <v>162639.20000000001</v>
      </c>
      <c r="I37">
        <v>275391.31</v>
      </c>
      <c r="J37">
        <v>1.2130000000000001</v>
      </c>
      <c r="K37">
        <v>176238.56</v>
      </c>
      <c r="L37">
        <v>14342.66</v>
      </c>
      <c r="M37">
        <v>0</v>
      </c>
      <c r="N37">
        <v>2025</v>
      </c>
      <c r="O37">
        <v>1</v>
      </c>
    </row>
    <row r="38" spans="1:15" x14ac:dyDescent="0.3">
      <c r="A38">
        <v>40441</v>
      </c>
      <c r="B38">
        <v>3202900</v>
      </c>
      <c r="C38" t="s">
        <v>51</v>
      </c>
      <c r="D38">
        <v>0.39200000000000002</v>
      </c>
      <c r="E38">
        <v>1772599.69</v>
      </c>
      <c r="F38">
        <v>0</v>
      </c>
      <c r="G38">
        <v>1772599.69</v>
      </c>
      <c r="H38">
        <v>18718.310000000001</v>
      </c>
      <c r="I38">
        <v>70528.61</v>
      </c>
      <c r="J38">
        <v>0.44600000000000001</v>
      </c>
      <c r="K38">
        <v>20283.48</v>
      </c>
      <c r="L38">
        <v>5278.6</v>
      </c>
      <c r="M38">
        <v>0</v>
      </c>
      <c r="N38">
        <v>2025</v>
      </c>
      <c r="O38">
        <v>1</v>
      </c>
    </row>
    <row r="39" spans="1:15" x14ac:dyDescent="0.3">
      <c r="A39">
        <v>40442</v>
      </c>
      <c r="B39">
        <v>3203007</v>
      </c>
      <c r="C39" t="s">
        <v>52</v>
      </c>
      <c r="D39">
        <v>0.5</v>
      </c>
      <c r="E39">
        <v>2264041.5699999998</v>
      </c>
      <c r="F39">
        <v>0</v>
      </c>
      <c r="G39">
        <v>2264041.5699999998</v>
      </c>
      <c r="H39">
        <v>23875.4</v>
      </c>
      <c r="I39">
        <v>201274.11</v>
      </c>
      <c r="J39">
        <v>0.91200000000000003</v>
      </c>
      <c r="K39">
        <v>25871.78</v>
      </c>
      <c r="L39">
        <v>10786.75</v>
      </c>
      <c r="M39">
        <v>0</v>
      </c>
      <c r="N39">
        <v>2025</v>
      </c>
      <c r="O39">
        <v>1</v>
      </c>
    </row>
    <row r="40" spans="1:15" x14ac:dyDescent="0.3">
      <c r="A40">
        <v>40443</v>
      </c>
      <c r="B40">
        <v>3203056</v>
      </c>
      <c r="C40" t="s">
        <v>53</v>
      </c>
      <c r="D40">
        <v>1.109</v>
      </c>
      <c r="E40">
        <v>5027177.68</v>
      </c>
      <c r="F40">
        <v>0</v>
      </c>
      <c r="G40">
        <v>5027177.68</v>
      </c>
      <c r="H40">
        <v>52955.63</v>
      </c>
      <c r="I40">
        <v>161313.45000000001</v>
      </c>
      <c r="J40">
        <v>0.98399999999999999</v>
      </c>
      <c r="K40">
        <v>57383.61</v>
      </c>
      <c r="L40">
        <v>11629.8</v>
      </c>
      <c r="M40">
        <v>0</v>
      </c>
      <c r="N40">
        <v>2025</v>
      </c>
      <c r="O40">
        <v>1</v>
      </c>
    </row>
    <row r="41" spans="1:15" x14ac:dyDescent="0.3">
      <c r="A41">
        <v>40444</v>
      </c>
      <c r="B41">
        <v>3203106</v>
      </c>
      <c r="C41" t="s">
        <v>54</v>
      </c>
      <c r="D41">
        <v>0.216</v>
      </c>
      <c r="E41">
        <v>977802.4</v>
      </c>
      <c r="F41">
        <v>0</v>
      </c>
      <c r="G41">
        <v>977802.4</v>
      </c>
      <c r="H41">
        <v>10314.17</v>
      </c>
      <c r="I41">
        <v>42175.34</v>
      </c>
      <c r="J41">
        <v>0.45900000000000002</v>
      </c>
      <c r="K41">
        <v>11176.61</v>
      </c>
      <c r="L41">
        <v>5429.43</v>
      </c>
      <c r="M41">
        <v>0</v>
      </c>
      <c r="N41">
        <v>2025</v>
      </c>
      <c r="O41">
        <v>1</v>
      </c>
    </row>
    <row r="42" spans="1:15" x14ac:dyDescent="0.3">
      <c r="A42">
        <v>40445</v>
      </c>
      <c r="B42">
        <v>3203130</v>
      </c>
      <c r="C42" t="s">
        <v>55</v>
      </c>
      <c r="D42">
        <v>0.376</v>
      </c>
      <c r="E42">
        <v>1707527.87</v>
      </c>
      <c r="F42">
        <v>0</v>
      </c>
      <c r="G42">
        <v>1707527.87</v>
      </c>
      <c r="H42">
        <v>17954.3</v>
      </c>
      <c r="I42">
        <v>68711.509999999995</v>
      </c>
      <c r="J42">
        <v>0.63600000000000001</v>
      </c>
      <c r="K42">
        <v>19455.580000000002</v>
      </c>
      <c r="L42">
        <v>7524.61</v>
      </c>
      <c r="M42">
        <v>0</v>
      </c>
      <c r="N42">
        <v>2025</v>
      </c>
      <c r="O42">
        <v>1</v>
      </c>
    </row>
    <row r="43" spans="1:15" x14ac:dyDescent="0.3">
      <c r="A43">
        <v>40446</v>
      </c>
      <c r="B43">
        <v>3203163</v>
      </c>
      <c r="C43" t="s">
        <v>56</v>
      </c>
      <c r="D43">
        <v>0.42799999999999999</v>
      </c>
      <c r="E43">
        <v>1934009.55</v>
      </c>
      <c r="F43">
        <v>0</v>
      </c>
      <c r="G43">
        <v>1934009.55</v>
      </c>
      <c r="H43">
        <v>20437.34</v>
      </c>
      <c r="I43">
        <v>67897.460000000006</v>
      </c>
      <c r="J43">
        <v>0.45300000000000001</v>
      </c>
      <c r="K43">
        <v>22146.25</v>
      </c>
      <c r="L43">
        <v>5355.25</v>
      </c>
      <c r="M43">
        <v>0</v>
      </c>
      <c r="N43">
        <v>2025</v>
      </c>
      <c r="O43">
        <v>1</v>
      </c>
    </row>
    <row r="44" spans="1:15" x14ac:dyDescent="0.3">
      <c r="A44">
        <v>40447</v>
      </c>
      <c r="B44">
        <v>3203205</v>
      </c>
      <c r="C44" t="s">
        <v>57</v>
      </c>
      <c r="D44">
        <v>4.431</v>
      </c>
      <c r="E44">
        <v>20144865.140000001</v>
      </c>
      <c r="F44">
        <v>0</v>
      </c>
      <c r="G44">
        <v>20144865.140000001</v>
      </c>
      <c r="H44">
        <v>211583.77</v>
      </c>
      <c r="I44">
        <v>1245824.74</v>
      </c>
      <c r="J44">
        <v>4.0759999999999996</v>
      </c>
      <c r="K44">
        <v>229275.71</v>
      </c>
      <c r="L44">
        <v>48200.53</v>
      </c>
      <c r="M44">
        <v>0</v>
      </c>
      <c r="N44">
        <v>2025</v>
      </c>
      <c r="O44">
        <v>1</v>
      </c>
    </row>
    <row r="45" spans="1:15" x14ac:dyDescent="0.3">
      <c r="A45">
        <v>40448</v>
      </c>
      <c r="B45">
        <v>3203304</v>
      </c>
      <c r="C45" t="s">
        <v>58</v>
      </c>
      <c r="D45">
        <v>0.314</v>
      </c>
      <c r="E45">
        <v>1414518.63</v>
      </c>
      <c r="F45">
        <v>0</v>
      </c>
      <c r="G45">
        <v>1414518.63</v>
      </c>
      <c r="H45">
        <v>14993.75</v>
      </c>
      <c r="I45">
        <v>100221.11</v>
      </c>
      <c r="J45">
        <v>0.54300000000000004</v>
      </c>
      <c r="K45">
        <v>16247.48</v>
      </c>
      <c r="L45">
        <v>6415.38</v>
      </c>
      <c r="M45">
        <v>0</v>
      </c>
      <c r="N45">
        <v>2025</v>
      </c>
      <c r="O45">
        <v>1</v>
      </c>
    </row>
    <row r="46" spans="1:15" x14ac:dyDescent="0.3">
      <c r="A46">
        <v>40449</v>
      </c>
      <c r="B46">
        <v>3203320</v>
      </c>
      <c r="C46" t="s">
        <v>59</v>
      </c>
      <c r="D46">
        <v>0.58499999999999996</v>
      </c>
      <c r="E46">
        <v>2659955.27</v>
      </c>
      <c r="F46">
        <v>0</v>
      </c>
      <c r="G46">
        <v>2659955.27</v>
      </c>
      <c r="H46">
        <v>27934.22</v>
      </c>
      <c r="I46">
        <v>488135.67999999999</v>
      </c>
      <c r="J46">
        <v>1.24</v>
      </c>
      <c r="K46">
        <v>30269.98</v>
      </c>
      <c r="L46">
        <v>14666.07</v>
      </c>
      <c r="M46">
        <v>0</v>
      </c>
      <c r="N46">
        <v>2025</v>
      </c>
      <c r="O46">
        <v>1</v>
      </c>
    </row>
    <row r="47" spans="1:15" x14ac:dyDescent="0.3">
      <c r="A47">
        <v>40450</v>
      </c>
      <c r="B47">
        <v>3203346</v>
      </c>
      <c r="C47" t="s">
        <v>60</v>
      </c>
      <c r="D47">
        <v>0.55500000000000005</v>
      </c>
      <c r="E47">
        <v>2520693.4500000002</v>
      </c>
      <c r="F47">
        <v>0</v>
      </c>
      <c r="G47">
        <v>2520693.4500000002</v>
      </c>
      <c r="H47">
        <v>26501.69</v>
      </c>
      <c r="I47">
        <v>126453.13</v>
      </c>
      <c r="J47">
        <v>0.69199999999999995</v>
      </c>
      <c r="K47">
        <v>28717.67</v>
      </c>
      <c r="L47">
        <v>8187.09</v>
      </c>
      <c r="M47">
        <v>0</v>
      </c>
      <c r="N47">
        <v>2025</v>
      </c>
      <c r="O47">
        <v>1</v>
      </c>
    </row>
    <row r="48" spans="1:15" x14ac:dyDescent="0.3">
      <c r="A48">
        <v>40451</v>
      </c>
      <c r="B48">
        <v>3203353</v>
      </c>
      <c r="C48" t="s">
        <v>61</v>
      </c>
      <c r="D48">
        <v>0.505</v>
      </c>
      <c r="E48">
        <v>2284437.9900000002</v>
      </c>
      <c r="F48">
        <v>0</v>
      </c>
      <c r="G48">
        <v>2284437.9900000002</v>
      </c>
      <c r="H48">
        <v>24114.15</v>
      </c>
      <c r="I48">
        <v>152068.85</v>
      </c>
      <c r="J48">
        <v>0.47</v>
      </c>
      <c r="K48">
        <v>26130.5</v>
      </c>
      <c r="L48">
        <v>5554.65</v>
      </c>
      <c r="M48">
        <v>0</v>
      </c>
      <c r="N48">
        <v>2025</v>
      </c>
      <c r="O48">
        <v>1</v>
      </c>
    </row>
    <row r="49" spans="1:15" x14ac:dyDescent="0.3">
      <c r="A49">
        <v>40452</v>
      </c>
      <c r="B49">
        <v>3203403</v>
      </c>
      <c r="C49" t="s">
        <v>62</v>
      </c>
      <c r="D49">
        <v>0.46899999999999997</v>
      </c>
      <c r="E49">
        <v>2129420.83</v>
      </c>
      <c r="F49">
        <v>0</v>
      </c>
      <c r="G49">
        <v>2129420.83</v>
      </c>
      <c r="H49">
        <v>22395.119999999999</v>
      </c>
      <c r="I49">
        <v>192213.08</v>
      </c>
      <c r="J49">
        <v>0.85899999999999999</v>
      </c>
      <c r="K49">
        <v>24267.72</v>
      </c>
      <c r="L49">
        <v>10152.120000000001</v>
      </c>
      <c r="M49">
        <v>0</v>
      </c>
      <c r="N49">
        <v>2025</v>
      </c>
      <c r="O49">
        <v>1</v>
      </c>
    </row>
    <row r="50" spans="1:15" x14ac:dyDescent="0.3">
      <c r="A50">
        <v>40453</v>
      </c>
      <c r="B50">
        <v>3203502</v>
      </c>
      <c r="C50" t="s">
        <v>63</v>
      </c>
      <c r="D50">
        <v>0.51500000000000001</v>
      </c>
      <c r="E50">
        <v>2339327.5299999998</v>
      </c>
      <c r="F50">
        <v>0</v>
      </c>
      <c r="G50">
        <v>2339327.5299999998</v>
      </c>
      <c r="H50">
        <v>24591.66</v>
      </c>
      <c r="I50">
        <v>150337.56</v>
      </c>
      <c r="J50">
        <v>0.70899999999999996</v>
      </c>
      <c r="K50">
        <v>26647.94</v>
      </c>
      <c r="L50">
        <v>8381.25</v>
      </c>
      <c r="M50">
        <v>0</v>
      </c>
      <c r="N50">
        <v>2025</v>
      </c>
      <c r="O50">
        <v>1</v>
      </c>
    </row>
    <row r="51" spans="1:15" x14ac:dyDescent="0.3">
      <c r="A51">
        <v>40454</v>
      </c>
      <c r="B51">
        <v>3203601</v>
      </c>
      <c r="C51" t="s">
        <v>64</v>
      </c>
      <c r="D51">
        <v>0.30599999999999999</v>
      </c>
      <c r="E51">
        <v>1386572.34</v>
      </c>
      <c r="F51">
        <v>0</v>
      </c>
      <c r="G51">
        <v>1386572.34</v>
      </c>
      <c r="H51">
        <v>14611.74</v>
      </c>
      <c r="I51">
        <v>32668.6</v>
      </c>
      <c r="J51">
        <v>0.30199999999999999</v>
      </c>
      <c r="K51">
        <v>15833.53</v>
      </c>
      <c r="L51">
        <v>3576.21</v>
      </c>
      <c r="M51">
        <v>0</v>
      </c>
      <c r="N51">
        <v>2025</v>
      </c>
      <c r="O51">
        <v>1</v>
      </c>
    </row>
    <row r="52" spans="1:15" x14ac:dyDescent="0.3">
      <c r="A52">
        <v>40455</v>
      </c>
      <c r="B52">
        <v>3203700</v>
      </c>
      <c r="C52" t="s">
        <v>65</v>
      </c>
      <c r="D52">
        <v>0.505</v>
      </c>
      <c r="E52">
        <v>2293945.08</v>
      </c>
      <c r="F52">
        <v>0</v>
      </c>
      <c r="G52">
        <v>2293945.08</v>
      </c>
      <c r="H52">
        <v>24114.15</v>
      </c>
      <c r="I52">
        <v>97727.75</v>
      </c>
      <c r="J52">
        <v>0.69899999999999995</v>
      </c>
      <c r="K52">
        <v>26130.5</v>
      </c>
      <c r="L52">
        <v>8266.0499999999993</v>
      </c>
      <c r="M52">
        <v>0</v>
      </c>
      <c r="N52">
        <v>2025</v>
      </c>
      <c r="O52">
        <v>1</v>
      </c>
    </row>
    <row r="53" spans="1:15" x14ac:dyDescent="0.3">
      <c r="A53">
        <v>40456</v>
      </c>
      <c r="B53">
        <v>3203809</v>
      </c>
      <c r="C53" t="s">
        <v>66</v>
      </c>
      <c r="D53">
        <v>0.32</v>
      </c>
      <c r="E53">
        <v>1443551.15</v>
      </c>
      <c r="F53">
        <v>0</v>
      </c>
      <c r="G53">
        <v>1443551.15</v>
      </c>
      <c r="H53">
        <v>15280.25</v>
      </c>
      <c r="I53">
        <v>78586.41</v>
      </c>
      <c r="J53">
        <v>0.56499999999999995</v>
      </c>
      <c r="K53">
        <v>16557.939999999999</v>
      </c>
      <c r="L53">
        <v>6675.16</v>
      </c>
      <c r="M53">
        <v>0</v>
      </c>
      <c r="N53">
        <v>2025</v>
      </c>
      <c r="O53">
        <v>1</v>
      </c>
    </row>
    <row r="54" spans="1:15" x14ac:dyDescent="0.3">
      <c r="A54">
        <v>40457</v>
      </c>
      <c r="B54">
        <v>3203908</v>
      </c>
      <c r="C54" t="s">
        <v>67</v>
      </c>
      <c r="D54">
        <v>1.2250000000000001</v>
      </c>
      <c r="E54">
        <v>5573120.1399999997</v>
      </c>
      <c r="F54">
        <v>0</v>
      </c>
      <c r="G54">
        <v>5573120.1399999997</v>
      </c>
      <c r="H54">
        <v>58494.720000000001</v>
      </c>
      <c r="I54">
        <v>271058.92</v>
      </c>
      <c r="J54">
        <v>1.476</v>
      </c>
      <c r="K54">
        <v>63385.86</v>
      </c>
      <c r="L54">
        <v>17456.939999999999</v>
      </c>
      <c r="M54">
        <v>0</v>
      </c>
      <c r="N54">
        <v>2025</v>
      </c>
      <c r="O54">
        <v>1</v>
      </c>
    </row>
    <row r="55" spans="1:15" x14ac:dyDescent="0.3">
      <c r="A55">
        <v>40458</v>
      </c>
      <c r="B55">
        <v>3204005</v>
      </c>
      <c r="C55" t="s">
        <v>68</v>
      </c>
      <c r="D55">
        <v>0.435</v>
      </c>
      <c r="E55">
        <v>1977251.38</v>
      </c>
      <c r="F55">
        <v>0</v>
      </c>
      <c r="G55">
        <v>1977251.38</v>
      </c>
      <c r="H55">
        <v>20771.599999999999</v>
      </c>
      <c r="I55">
        <v>73161.45</v>
      </c>
      <c r="J55">
        <v>0.70899999999999996</v>
      </c>
      <c r="K55">
        <v>22508.45</v>
      </c>
      <c r="L55">
        <v>8380.18</v>
      </c>
      <c r="M55">
        <v>0</v>
      </c>
      <c r="N55">
        <v>2025</v>
      </c>
      <c r="O55">
        <v>1</v>
      </c>
    </row>
    <row r="56" spans="1:15" x14ac:dyDescent="0.3">
      <c r="A56">
        <v>40459</v>
      </c>
      <c r="B56">
        <v>3204054</v>
      </c>
      <c r="C56" t="s">
        <v>69</v>
      </c>
      <c r="D56">
        <v>0.33400000000000002</v>
      </c>
      <c r="E56">
        <v>1512823.65</v>
      </c>
      <c r="F56">
        <v>0</v>
      </c>
      <c r="G56">
        <v>1512823.65</v>
      </c>
      <c r="H56">
        <v>15948.76</v>
      </c>
      <c r="I56">
        <v>131975.69</v>
      </c>
      <c r="J56">
        <v>0.81</v>
      </c>
      <c r="K56">
        <v>17282.349999999999</v>
      </c>
      <c r="L56">
        <v>9579.82</v>
      </c>
      <c r="M56">
        <v>0</v>
      </c>
      <c r="N56">
        <v>2025</v>
      </c>
      <c r="O56">
        <v>1</v>
      </c>
    </row>
    <row r="57" spans="1:15" x14ac:dyDescent="0.3">
      <c r="A57">
        <v>40460</v>
      </c>
      <c r="B57">
        <v>3204104</v>
      </c>
      <c r="C57" t="s">
        <v>70</v>
      </c>
      <c r="D57">
        <v>0.755</v>
      </c>
      <c r="E57">
        <v>3427523.07</v>
      </c>
      <c r="F57">
        <v>0</v>
      </c>
      <c r="G57">
        <v>3427523.07</v>
      </c>
      <c r="H57">
        <v>36051.85</v>
      </c>
      <c r="I57">
        <v>120110.42</v>
      </c>
      <c r="J57">
        <v>0.85099999999999998</v>
      </c>
      <c r="K57">
        <v>39066.379999999997</v>
      </c>
      <c r="L57">
        <v>10065.75</v>
      </c>
      <c r="M57">
        <v>0</v>
      </c>
      <c r="N57">
        <v>2025</v>
      </c>
      <c r="O57">
        <v>1</v>
      </c>
    </row>
    <row r="58" spans="1:15" x14ac:dyDescent="0.3">
      <c r="A58">
        <v>40461</v>
      </c>
      <c r="B58">
        <v>3204203</v>
      </c>
      <c r="C58" t="s">
        <v>71</v>
      </c>
      <c r="D58">
        <v>0.36499999999999999</v>
      </c>
      <c r="E58">
        <v>1639248.63</v>
      </c>
      <c r="F58">
        <v>0</v>
      </c>
      <c r="G58">
        <v>1639248.63</v>
      </c>
      <c r="H58">
        <v>17429.04</v>
      </c>
      <c r="I58">
        <v>324301</v>
      </c>
      <c r="J58">
        <v>0.753</v>
      </c>
      <c r="K58">
        <v>18886.39</v>
      </c>
      <c r="L58">
        <v>8905.61</v>
      </c>
      <c r="M58">
        <v>0</v>
      </c>
      <c r="N58">
        <v>2025</v>
      </c>
      <c r="O58">
        <v>1</v>
      </c>
    </row>
    <row r="59" spans="1:15" x14ac:dyDescent="0.3">
      <c r="A59">
        <v>40462</v>
      </c>
      <c r="B59">
        <v>3204252</v>
      </c>
      <c r="C59" t="s">
        <v>72</v>
      </c>
      <c r="D59">
        <v>0.27</v>
      </c>
      <c r="E59">
        <v>1216147.1399999999</v>
      </c>
      <c r="F59">
        <v>0</v>
      </c>
      <c r="G59">
        <v>1216147.1399999999</v>
      </c>
      <c r="H59">
        <v>12892.71</v>
      </c>
      <c r="I59">
        <v>24730.22</v>
      </c>
      <c r="J59">
        <v>0.316</v>
      </c>
      <c r="K59">
        <v>13970.76</v>
      </c>
      <c r="L59">
        <v>3735.21</v>
      </c>
      <c r="M59">
        <v>0</v>
      </c>
      <c r="N59">
        <v>2025</v>
      </c>
      <c r="O59">
        <v>1</v>
      </c>
    </row>
    <row r="60" spans="1:15" x14ac:dyDescent="0.3">
      <c r="A60">
        <v>40463</v>
      </c>
      <c r="B60">
        <v>1718402</v>
      </c>
      <c r="C60" t="s">
        <v>73</v>
      </c>
      <c r="D60">
        <v>0.39100000000000001</v>
      </c>
      <c r="E60">
        <v>1774454.14</v>
      </c>
      <c r="F60">
        <v>0</v>
      </c>
      <c r="G60">
        <v>1774454.14</v>
      </c>
      <c r="H60">
        <v>18670.560000000001</v>
      </c>
      <c r="I60">
        <v>196554.28</v>
      </c>
      <c r="J60">
        <v>0.56399999999999995</v>
      </c>
      <c r="K60">
        <v>20231.73</v>
      </c>
      <c r="L60">
        <v>6667.61</v>
      </c>
      <c r="M60">
        <v>0</v>
      </c>
      <c r="N60">
        <v>2025</v>
      </c>
      <c r="O60">
        <v>1</v>
      </c>
    </row>
    <row r="61" spans="1:15" x14ac:dyDescent="0.3">
      <c r="A61">
        <v>40464</v>
      </c>
      <c r="B61">
        <v>3204351</v>
      </c>
      <c r="C61" t="s">
        <v>74</v>
      </c>
      <c r="D61">
        <v>0.88200000000000001</v>
      </c>
      <c r="E61">
        <v>4006175.12</v>
      </c>
      <c r="F61">
        <v>0</v>
      </c>
      <c r="G61">
        <v>4006175.12</v>
      </c>
      <c r="H61">
        <v>42116.2</v>
      </c>
      <c r="I61">
        <v>115151.17</v>
      </c>
      <c r="J61">
        <v>0.71399999999999997</v>
      </c>
      <c r="K61">
        <v>45637.82</v>
      </c>
      <c r="L61">
        <v>8438.93</v>
      </c>
      <c r="M61">
        <v>0</v>
      </c>
      <c r="N61">
        <v>2025</v>
      </c>
      <c r="O61">
        <v>1</v>
      </c>
    </row>
    <row r="62" spans="1:15" x14ac:dyDescent="0.3">
      <c r="A62">
        <v>40465</v>
      </c>
      <c r="B62">
        <v>3204401</v>
      </c>
      <c r="C62" t="s">
        <v>75</v>
      </c>
      <c r="D62">
        <v>0.312</v>
      </c>
      <c r="E62">
        <v>1407245.21</v>
      </c>
      <c r="F62">
        <v>0</v>
      </c>
      <c r="G62">
        <v>1407245.21</v>
      </c>
      <c r="H62">
        <v>14898.25</v>
      </c>
      <c r="I62">
        <v>68881.119999999995</v>
      </c>
      <c r="J62">
        <v>0.45300000000000001</v>
      </c>
      <c r="K62">
        <v>16143.99</v>
      </c>
      <c r="L62">
        <v>5351.39</v>
      </c>
      <c r="M62">
        <v>0</v>
      </c>
      <c r="N62">
        <v>2025</v>
      </c>
      <c r="O62">
        <v>1</v>
      </c>
    </row>
    <row r="63" spans="1:15" x14ac:dyDescent="0.3">
      <c r="A63">
        <v>40466</v>
      </c>
      <c r="B63">
        <v>3204500</v>
      </c>
      <c r="C63" t="s">
        <v>76</v>
      </c>
      <c r="D63">
        <v>0.51800000000000002</v>
      </c>
      <c r="E63">
        <v>2351958.7799999998</v>
      </c>
      <c r="F63">
        <v>0</v>
      </c>
      <c r="G63">
        <v>2351958.7799999998</v>
      </c>
      <c r="H63">
        <v>24734.91</v>
      </c>
      <c r="I63">
        <v>52328.66</v>
      </c>
      <c r="J63">
        <v>0.47899999999999998</v>
      </c>
      <c r="K63">
        <v>26803.16</v>
      </c>
      <c r="L63">
        <v>5665.53</v>
      </c>
      <c r="M63">
        <v>0</v>
      </c>
      <c r="N63">
        <v>2025</v>
      </c>
      <c r="O63">
        <v>1</v>
      </c>
    </row>
    <row r="64" spans="1:15" x14ac:dyDescent="0.3">
      <c r="A64">
        <v>40467</v>
      </c>
      <c r="B64">
        <v>3204559</v>
      </c>
      <c r="C64" t="s">
        <v>77</v>
      </c>
      <c r="D64">
        <v>2.1909999999999998</v>
      </c>
      <c r="E64">
        <v>9967720.1899999995</v>
      </c>
      <c r="F64">
        <v>0</v>
      </c>
      <c r="G64">
        <v>9967720.1899999995</v>
      </c>
      <c r="H64">
        <v>104621.99</v>
      </c>
      <c r="I64">
        <v>593163.96</v>
      </c>
      <c r="J64">
        <v>1.236</v>
      </c>
      <c r="K64">
        <v>113370.14</v>
      </c>
      <c r="L64">
        <v>14620.87</v>
      </c>
      <c r="M64">
        <v>0</v>
      </c>
      <c r="N64">
        <v>2025</v>
      </c>
      <c r="O64">
        <v>1</v>
      </c>
    </row>
    <row r="65" spans="1:15" x14ac:dyDescent="0.3">
      <c r="A65">
        <v>40468</v>
      </c>
      <c r="B65">
        <v>3204609</v>
      </c>
      <c r="C65" t="s">
        <v>78</v>
      </c>
      <c r="D65">
        <v>0.66</v>
      </c>
      <c r="E65">
        <v>2990160.93</v>
      </c>
      <c r="F65">
        <v>0</v>
      </c>
      <c r="G65">
        <v>2990160.93</v>
      </c>
      <c r="H65">
        <v>31515.52</v>
      </c>
      <c r="I65">
        <v>153710.5</v>
      </c>
      <c r="J65">
        <v>0.82699999999999996</v>
      </c>
      <c r="K65">
        <v>34150.75</v>
      </c>
      <c r="L65">
        <v>9778.16</v>
      </c>
      <c r="M65">
        <v>0</v>
      </c>
      <c r="N65">
        <v>2025</v>
      </c>
      <c r="O65">
        <v>1</v>
      </c>
    </row>
    <row r="66" spans="1:15" x14ac:dyDescent="0.3">
      <c r="A66">
        <v>40469</v>
      </c>
      <c r="B66">
        <v>3204658</v>
      </c>
      <c r="C66" t="s">
        <v>79</v>
      </c>
      <c r="D66">
        <v>0.42099999999999999</v>
      </c>
      <c r="E66">
        <v>1907814.99</v>
      </c>
      <c r="F66">
        <v>0</v>
      </c>
      <c r="G66">
        <v>1907814.99</v>
      </c>
      <c r="H66">
        <v>20103.080000000002</v>
      </c>
      <c r="I66">
        <v>57807.040000000001</v>
      </c>
      <c r="J66">
        <v>0.34300000000000003</v>
      </c>
      <c r="K66">
        <v>21784.04</v>
      </c>
      <c r="L66">
        <v>4057.84</v>
      </c>
      <c r="M66">
        <v>0</v>
      </c>
      <c r="N66">
        <v>2025</v>
      </c>
      <c r="O66">
        <v>1</v>
      </c>
    </row>
    <row r="67" spans="1:15" x14ac:dyDescent="0.3">
      <c r="A67">
        <v>40470</v>
      </c>
      <c r="B67">
        <v>3204708</v>
      </c>
      <c r="C67" t="s">
        <v>80</v>
      </c>
      <c r="D67">
        <v>0.72299999999999998</v>
      </c>
      <c r="E67">
        <v>3294101.13</v>
      </c>
      <c r="F67">
        <v>0</v>
      </c>
      <c r="G67">
        <v>3294101.13</v>
      </c>
      <c r="H67">
        <v>34523.82</v>
      </c>
      <c r="I67">
        <v>172703.19</v>
      </c>
      <c r="J67">
        <v>1.1040000000000001</v>
      </c>
      <c r="K67">
        <v>37410.6</v>
      </c>
      <c r="L67">
        <v>13049.31</v>
      </c>
      <c r="M67">
        <v>0</v>
      </c>
      <c r="N67">
        <v>2025</v>
      </c>
      <c r="O67">
        <v>1</v>
      </c>
    </row>
    <row r="68" spans="1:15" x14ac:dyDescent="0.3">
      <c r="A68">
        <v>40471</v>
      </c>
      <c r="B68">
        <v>3204807</v>
      </c>
      <c r="C68" t="s">
        <v>81</v>
      </c>
      <c r="D68">
        <v>0.28599999999999998</v>
      </c>
      <c r="E68">
        <v>1289414.72</v>
      </c>
      <c r="F68">
        <v>0</v>
      </c>
      <c r="G68">
        <v>1289414.72</v>
      </c>
      <c r="H68">
        <v>13656.73</v>
      </c>
      <c r="I68">
        <v>95668.2</v>
      </c>
      <c r="J68">
        <v>0.45</v>
      </c>
      <c r="K68">
        <v>14798.66</v>
      </c>
      <c r="L68">
        <v>5321.93</v>
      </c>
      <c r="M68">
        <v>0</v>
      </c>
      <c r="N68">
        <v>2025</v>
      </c>
      <c r="O68">
        <v>1</v>
      </c>
    </row>
    <row r="69" spans="1:15" x14ac:dyDescent="0.3">
      <c r="A69">
        <v>40472</v>
      </c>
      <c r="B69">
        <v>3204906</v>
      </c>
      <c r="C69" t="s">
        <v>82</v>
      </c>
      <c r="D69">
        <v>1.998</v>
      </c>
      <c r="E69">
        <v>9059875.2400000002</v>
      </c>
      <c r="F69">
        <v>0</v>
      </c>
      <c r="G69">
        <v>9059875.2400000002</v>
      </c>
      <c r="H69">
        <v>95406.09</v>
      </c>
      <c r="I69">
        <v>972401.14</v>
      </c>
      <c r="J69">
        <v>2.9870000000000001</v>
      </c>
      <c r="K69">
        <v>103383.63</v>
      </c>
      <c r="L69">
        <v>35326.699999999997</v>
      </c>
      <c r="M69">
        <v>0</v>
      </c>
      <c r="N69">
        <v>2025</v>
      </c>
      <c r="O69">
        <v>1</v>
      </c>
    </row>
    <row r="70" spans="1:15" x14ac:dyDescent="0.3">
      <c r="A70">
        <v>40473</v>
      </c>
      <c r="B70">
        <v>3204955</v>
      </c>
      <c r="C70" t="s">
        <v>83</v>
      </c>
      <c r="D70">
        <v>0.3</v>
      </c>
      <c r="E70">
        <v>1360982.05</v>
      </c>
      <c r="F70">
        <v>0</v>
      </c>
      <c r="G70">
        <v>1360982.05</v>
      </c>
      <c r="H70">
        <v>14325.24</v>
      </c>
      <c r="I70">
        <v>55169.96</v>
      </c>
      <c r="J70">
        <v>0.45</v>
      </c>
      <c r="K70">
        <v>15523.06</v>
      </c>
      <c r="L70">
        <v>5323.17</v>
      </c>
      <c r="M70">
        <v>0</v>
      </c>
      <c r="N70">
        <v>2025</v>
      </c>
      <c r="O70">
        <v>1</v>
      </c>
    </row>
    <row r="71" spans="1:15" x14ac:dyDescent="0.3">
      <c r="A71">
        <v>40474</v>
      </c>
      <c r="B71">
        <v>3205002</v>
      </c>
      <c r="C71" t="s">
        <v>84</v>
      </c>
      <c r="D71">
        <v>14.551</v>
      </c>
      <c r="E71">
        <v>66058636.68</v>
      </c>
      <c r="F71">
        <v>0</v>
      </c>
      <c r="G71">
        <v>66058636.68</v>
      </c>
      <c r="H71">
        <v>694821.81</v>
      </c>
      <c r="I71">
        <v>3066248.8</v>
      </c>
      <c r="J71">
        <v>8.6910000000000007</v>
      </c>
      <c r="K71">
        <v>752920.53</v>
      </c>
      <c r="L71">
        <v>102774.58</v>
      </c>
      <c r="M71">
        <v>0</v>
      </c>
      <c r="N71">
        <v>2025</v>
      </c>
      <c r="O71">
        <v>1</v>
      </c>
    </row>
    <row r="72" spans="1:15" x14ac:dyDescent="0.3">
      <c r="A72">
        <v>40475</v>
      </c>
      <c r="B72">
        <v>3205010</v>
      </c>
      <c r="C72" t="s">
        <v>85</v>
      </c>
      <c r="D72">
        <v>0.78200000000000003</v>
      </c>
      <c r="E72">
        <v>3540056.88</v>
      </c>
      <c r="F72">
        <v>0</v>
      </c>
      <c r="G72">
        <v>3540056.88</v>
      </c>
      <c r="H72">
        <v>37341.120000000003</v>
      </c>
      <c r="I72">
        <v>109689.96</v>
      </c>
      <c r="J72">
        <v>0.95199999999999996</v>
      </c>
      <c r="K72">
        <v>40463.46</v>
      </c>
      <c r="L72">
        <v>11255.19</v>
      </c>
      <c r="M72">
        <v>0</v>
      </c>
      <c r="N72">
        <v>2025</v>
      </c>
      <c r="O72">
        <v>1</v>
      </c>
    </row>
    <row r="73" spans="1:15" x14ac:dyDescent="0.3">
      <c r="A73">
        <v>40476</v>
      </c>
      <c r="B73">
        <v>3205036</v>
      </c>
      <c r="C73" t="s">
        <v>86</v>
      </c>
      <c r="D73">
        <v>0.45700000000000002</v>
      </c>
      <c r="E73">
        <v>2078731.95</v>
      </c>
      <c r="F73">
        <v>0</v>
      </c>
      <c r="G73">
        <v>2078731.95</v>
      </c>
      <c r="H73">
        <v>21822.11</v>
      </c>
      <c r="I73">
        <v>135103.51999999999</v>
      </c>
      <c r="J73">
        <v>0.71699999999999997</v>
      </c>
      <c r="K73">
        <v>23646.81</v>
      </c>
      <c r="L73">
        <v>8483.5</v>
      </c>
      <c r="M73">
        <v>0</v>
      </c>
      <c r="N73">
        <v>2025</v>
      </c>
      <c r="O73">
        <v>1</v>
      </c>
    </row>
    <row r="74" spans="1:15" x14ac:dyDescent="0.3">
      <c r="A74">
        <v>40477</v>
      </c>
      <c r="B74">
        <v>3205069</v>
      </c>
      <c r="C74" t="s">
        <v>87</v>
      </c>
      <c r="D74">
        <v>0.67</v>
      </c>
      <c r="E74">
        <v>3032265.07</v>
      </c>
      <c r="F74">
        <v>0</v>
      </c>
      <c r="G74">
        <v>3032265.07</v>
      </c>
      <c r="H74">
        <v>31993.03</v>
      </c>
      <c r="I74">
        <v>232853.12</v>
      </c>
      <c r="J74">
        <v>0.85</v>
      </c>
      <c r="K74">
        <v>34668.18</v>
      </c>
      <c r="L74">
        <v>10052.799999999999</v>
      </c>
      <c r="M74">
        <v>0</v>
      </c>
      <c r="N74">
        <v>2025</v>
      </c>
      <c r="O74">
        <v>1</v>
      </c>
    </row>
    <row r="75" spans="1:15" x14ac:dyDescent="0.3">
      <c r="A75">
        <v>40478</v>
      </c>
      <c r="B75">
        <v>2112803</v>
      </c>
      <c r="C75" t="s">
        <v>88</v>
      </c>
      <c r="D75">
        <v>3.3740000000000001</v>
      </c>
      <c r="E75">
        <v>15221724.32</v>
      </c>
      <c r="F75">
        <v>0</v>
      </c>
      <c r="G75">
        <v>15221724.32</v>
      </c>
      <c r="H75">
        <v>161111.18</v>
      </c>
      <c r="I75">
        <v>557570.06999999995</v>
      </c>
      <c r="J75">
        <v>1.9590000000000001</v>
      </c>
      <c r="K75">
        <v>174582.77</v>
      </c>
      <c r="L75">
        <v>23167.45</v>
      </c>
      <c r="M75">
        <v>0</v>
      </c>
      <c r="N75">
        <v>2025</v>
      </c>
      <c r="O75">
        <v>1</v>
      </c>
    </row>
    <row r="76" spans="1:15" x14ac:dyDescent="0.3">
      <c r="A76">
        <v>40479</v>
      </c>
      <c r="B76">
        <v>3205150</v>
      </c>
      <c r="C76" t="s">
        <v>89</v>
      </c>
      <c r="D76">
        <v>0.36799999999999999</v>
      </c>
      <c r="E76">
        <v>1661059.13</v>
      </c>
      <c r="F76">
        <v>0</v>
      </c>
      <c r="G76">
        <v>1661059.13</v>
      </c>
      <c r="H76">
        <v>17572.29</v>
      </c>
      <c r="I76">
        <v>46200.24</v>
      </c>
      <c r="J76">
        <v>0.34699999999999998</v>
      </c>
      <c r="K76">
        <v>19041.63</v>
      </c>
      <c r="L76">
        <v>4107.5</v>
      </c>
      <c r="M76">
        <v>0</v>
      </c>
      <c r="N76">
        <v>2025</v>
      </c>
      <c r="O76">
        <v>1</v>
      </c>
    </row>
    <row r="77" spans="1:15" x14ac:dyDescent="0.3">
      <c r="A77">
        <v>40480</v>
      </c>
      <c r="B77">
        <v>3205176</v>
      </c>
      <c r="C77" t="s">
        <v>90</v>
      </c>
      <c r="D77">
        <v>0.7</v>
      </c>
      <c r="E77">
        <v>3167428.98</v>
      </c>
      <c r="F77">
        <v>0</v>
      </c>
      <c r="G77">
        <v>3167428.98</v>
      </c>
      <c r="H77">
        <v>33425.56</v>
      </c>
      <c r="I77">
        <v>98055.83</v>
      </c>
      <c r="J77">
        <v>0.56399999999999995</v>
      </c>
      <c r="K77">
        <v>36220.49</v>
      </c>
      <c r="L77">
        <v>6672.54</v>
      </c>
      <c r="M77">
        <v>0</v>
      </c>
      <c r="N77">
        <v>2025</v>
      </c>
      <c r="O77">
        <v>1</v>
      </c>
    </row>
    <row r="78" spans="1:15" x14ac:dyDescent="0.3">
      <c r="A78">
        <v>40481</v>
      </c>
      <c r="B78">
        <v>3205200</v>
      </c>
      <c r="C78" t="s">
        <v>91</v>
      </c>
      <c r="D78">
        <v>6.6219999999999999</v>
      </c>
      <c r="E78">
        <v>29781476.129999999</v>
      </c>
      <c r="F78">
        <v>0</v>
      </c>
      <c r="G78">
        <v>29781476.129999999</v>
      </c>
      <c r="H78">
        <v>316205.76</v>
      </c>
      <c r="I78">
        <v>3877684.63</v>
      </c>
      <c r="J78">
        <v>8.0009999999999994</v>
      </c>
      <c r="K78">
        <v>342645.85</v>
      </c>
      <c r="L78">
        <v>94611.47</v>
      </c>
      <c r="M78">
        <v>0</v>
      </c>
      <c r="N78">
        <v>2025</v>
      </c>
      <c r="O78">
        <v>1</v>
      </c>
    </row>
    <row r="79" spans="1:15" x14ac:dyDescent="0.3">
      <c r="A79">
        <v>40482</v>
      </c>
      <c r="B79">
        <v>3205309</v>
      </c>
      <c r="C79" t="s">
        <v>92</v>
      </c>
      <c r="D79">
        <v>10.878</v>
      </c>
      <c r="E79">
        <v>49853048.439999998</v>
      </c>
      <c r="F79">
        <v>0</v>
      </c>
      <c r="G79">
        <v>49853048.439999998</v>
      </c>
      <c r="H79">
        <v>519433.14</v>
      </c>
      <c r="I79">
        <v>4157461.26</v>
      </c>
      <c r="J79">
        <v>9.2110000000000003</v>
      </c>
      <c r="K79">
        <v>562866.43999999994</v>
      </c>
      <c r="L79">
        <v>108917.73</v>
      </c>
      <c r="M79">
        <v>0</v>
      </c>
      <c r="N79">
        <v>2025</v>
      </c>
      <c r="O79">
        <v>1</v>
      </c>
    </row>
    <row r="80" spans="1:15" x14ac:dyDescent="0.3">
      <c r="A80">
        <v>40561</v>
      </c>
      <c r="B80">
        <v>3200102</v>
      </c>
      <c r="C80" t="s">
        <v>15</v>
      </c>
      <c r="D80">
        <v>0.67100000000000004</v>
      </c>
      <c r="E80">
        <v>2559618.9</v>
      </c>
      <c r="F80">
        <v>0</v>
      </c>
      <c r="G80">
        <v>2559618.9</v>
      </c>
      <c r="H80">
        <v>36270.379999999997</v>
      </c>
      <c r="I80">
        <v>168041.82</v>
      </c>
      <c r="J80">
        <v>1.0169999999999999</v>
      </c>
      <c r="K80">
        <v>51544.53</v>
      </c>
      <c r="L80">
        <v>0</v>
      </c>
      <c r="M80">
        <v>15397.86</v>
      </c>
      <c r="N80">
        <v>2025</v>
      </c>
      <c r="O80">
        <v>2</v>
      </c>
    </row>
    <row r="81" spans="1:15" x14ac:dyDescent="0.3">
      <c r="A81">
        <v>40562</v>
      </c>
      <c r="B81">
        <v>3200169</v>
      </c>
      <c r="C81" t="s">
        <v>16</v>
      </c>
      <c r="D81">
        <v>0.309</v>
      </c>
      <c r="E81">
        <v>1178721.69</v>
      </c>
      <c r="F81">
        <v>0</v>
      </c>
      <c r="G81">
        <v>1178721.69</v>
      </c>
      <c r="H81">
        <v>16702.75</v>
      </c>
      <c r="I81">
        <v>53990.29</v>
      </c>
      <c r="J81">
        <v>0.46500000000000002</v>
      </c>
      <c r="K81">
        <v>23736.6</v>
      </c>
      <c r="L81">
        <v>0</v>
      </c>
      <c r="M81">
        <v>7090.82</v>
      </c>
      <c r="N81">
        <v>2025</v>
      </c>
      <c r="O81">
        <v>2</v>
      </c>
    </row>
    <row r="82" spans="1:15" x14ac:dyDescent="0.3">
      <c r="A82">
        <v>40563</v>
      </c>
      <c r="B82">
        <v>3200136</v>
      </c>
      <c r="C82" t="s">
        <v>17</v>
      </c>
      <c r="D82">
        <v>0.51900000000000002</v>
      </c>
      <c r="E82">
        <v>1979794.69</v>
      </c>
      <c r="F82">
        <v>0</v>
      </c>
      <c r="G82">
        <v>1979794.69</v>
      </c>
      <c r="H82">
        <v>28054.14</v>
      </c>
      <c r="I82">
        <v>53227.58</v>
      </c>
      <c r="J82">
        <v>0.35799999999999998</v>
      </c>
      <c r="K82">
        <v>39868.269999999997</v>
      </c>
      <c r="L82">
        <v>0</v>
      </c>
      <c r="M82">
        <v>11909.82</v>
      </c>
      <c r="N82">
        <v>2025</v>
      </c>
      <c r="O82">
        <v>2</v>
      </c>
    </row>
    <row r="83" spans="1:15" x14ac:dyDescent="0.3">
      <c r="A83">
        <v>40564</v>
      </c>
      <c r="B83">
        <v>3200201</v>
      </c>
      <c r="C83" t="s">
        <v>18</v>
      </c>
      <c r="D83">
        <v>0.41799999999999998</v>
      </c>
      <c r="E83">
        <v>1594516.72</v>
      </c>
      <c r="F83">
        <v>0</v>
      </c>
      <c r="G83">
        <v>1594516.72</v>
      </c>
      <c r="H83">
        <v>22594.66</v>
      </c>
      <c r="I83">
        <v>143606.56</v>
      </c>
      <c r="J83">
        <v>0.98699999999999999</v>
      </c>
      <c r="K83">
        <v>32109.71</v>
      </c>
      <c r="L83">
        <v>0</v>
      </c>
      <c r="M83">
        <v>9592.11</v>
      </c>
      <c r="N83">
        <v>2025</v>
      </c>
      <c r="O83">
        <v>2</v>
      </c>
    </row>
    <row r="84" spans="1:15" x14ac:dyDescent="0.3">
      <c r="A84">
        <v>40565</v>
      </c>
      <c r="B84">
        <v>3200300</v>
      </c>
      <c r="C84" t="s">
        <v>19</v>
      </c>
      <c r="D84">
        <v>0.442</v>
      </c>
      <c r="E84">
        <v>1686067.91</v>
      </c>
      <c r="F84">
        <v>0</v>
      </c>
      <c r="G84">
        <v>1686067.91</v>
      </c>
      <c r="H84">
        <v>23891.96</v>
      </c>
      <c r="I84">
        <v>111874.63</v>
      </c>
      <c r="J84">
        <v>0.56599999999999995</v>
      </c>
      <c r="K84">
        <v>33953.33</v>
      </c>
      <c r="L84">
        <v>0</v>
      </c>
      <c r="M84">
        <v>10142.85</v>
      </c>
      <c r="N84">
        <v>2025</v>
      </c>
      <c r="O84">
        <v>2</v>
      </c>
    </row>
    <row r="85" spans="1:15" x14ac:dyDescent="0.3">
      <c r="A85">
        <v>40566</v>
      </c>
      <c r="B85">
        <v>3200359</v>
      </c>
      <c r="C85" t="s">
        <v>20</v>
      </c>
      <c r="D85">
        <v>0.25800000000000001</v>
      </c>
      <c r="E85">
        <v>984175.38</v>
      </c>
      <c r="F85">
        <v>0</v>
      </c>
      <c r="G85">
        <v>984175.38</v>
      </c>
      <c r="H85">
        <v>13945.99</v>
      </c>
      <c r="I85">
        <v>22627.69</v>
      </c>
      <c r="J85">
        <v>0.32800000000000001</v>
      </c>
      <c r="K85">
        <v>19818.91</v>
      </c>
      <c r="L85">
        <v>0</v>
      </c>
      <c r="M85">
        <v>5920.49</v>
      </c>
      <c r="N85">
        <v>2025</v>
      </c>
      <c r="O85">
        <v>2</v>
      </c>
    </row>
    <row r="86" spans="1:15" x14ac:dyDescent="0.3">
      <c r="A86">
        <v>40567</v>
      </c>
      <c r="B86">
        <v>3200409</v>
      </c>
      <c r="C86" t="s">
        <v>21</v>
      </c>
      <c r="D86">
        <v>3.4780000000000002</v>
      </c>
      <c r="E86">
        <v>13267294.529999999</v>
      </c>
      <c r="F86">
        <v>0</v>
      </c>
      <c r="G86">
        <v>13267294.529999999</v>
      </c>
      <c r="H86">
        <v>188000.57</v>
      </c>
      <c r="I86">
        <v>237429.35</v>
      </c>
      <c r="J86">
        <v>0.93</v>
      </c>
      <c r="K86">
        <v>267171.21000000002</v>
      </c>
      <c r="L86">
        <v>0</v>
      </c>
      <c r="M86">
        <v>79811.88</v>
      </c>
      <c r="N86">
        <v>2025</v>
      </c>
      <c r="O86">
        <v>2</v>
      </c>
    </row>
    <row r="87" spans="1:15" x14ac:dyDescent="0.3">
      <c r="A87">
        <v>40568</v>
      </c>
      <c r="B87">
        <v>3200508</v>
      </c>
      <c r="C87" t="s">
        <v>22</v>
      </c>
      <c r="D87">
        <v>0.23799999999999999</v>
      </c>
      <c r="E87">
        <v>907882.73</v>
      </c>
      <c r="F87">
        <v>0</v>
      </c>
      <c r="G87">
        <v>907882.73</v>
      </c>
      <c r="H87">
        <v>12864.9</v>
      </c>
      <c r="I87">
        <v>102988.47</v>
      </c>
      <c r="J87">
        <v>0.32500000000000001</v>
      </c>
      <c r="K87">
        <v>18282.560000000001</v>
      </c>
      <c r="L87">
        <v>0</v>
      </c>
      <c r="M87">
        <v>5461.54</v>
      </c>
      <c r="N87">
        <v>2025</v>
      </c>
      <c r="O87">
        <v>2</v>
      </c>
    </row>
    <row r="88" spans="1:15" x14ac:dyDescent="0.3">
      <c r="A88">
        <v>40569</v>
      </c>
      <c r="B88">
        <v>3200607</v>
      </c>
      <c r="C88" t="s">
        <v>23</v>
      </c>
      <c r="D88">
        <v>4.4800000000000004</v>
      </c>
      <c r="E88">
        <v>17089557.079999998</v>
      </c>
      <c r="F88">
        <v>0</v>
      </c>
      <c r="G88">
        <v>17089557.079999998</v>
      </c>
      <c r="H88">
        <v>242162.89</v>
      </c>
      <c r="I88">
        <v>509452.41</v>
      </c>
      <c r="J88">
        <v>2.456</v>
      </c>
      <c r="K88">
        <v>344142.32</v>
      </c>
      <c r="L88">
        <v>0</v>
      </c>
      <c r="M88">
        <v>102805.41</v>
      </c>
      <c r="N88">
        <v>2025</v>
      </c>
      <c r="O88">
        <v>2</v>
      </c>
    </row>
    <row r="89" spans="1:15" x14ac:dyDescent="0.3">
      <c r="A89">
        <v>40570</v>
      </c>
      <c r="B89">
        <v>3200706</v>
      </c>
      <c r="C89" t="s">
        <v>24</v>
      </c>
      <c r="D89">
        <v>0.39500000000000002</v>
      </c>
      <c r="E89">
        <v>1506780.13</v>
      </c>
      <c r="F89">
        <v>0</v>
      </c>
      <c r="G89">
        <v>1506780.13</v>
      </c>
      <c r="H89">
        <v>21351.42</v>
      </c>
      <c r="I89">
        <v>45822.35</v>
      </c>
      <c r="J89">
        <v>0.44600000000000001</v>
      </c>
      <c r="K89">
        <v>30342.91</v>
      </c>
      <c r="L89">
        <v>0</v>
      </c>
      <c r="M89">
        <v>9064.32</v>
      </c>
      <c r="N89">
        <v>2025</v>
      </c>
      <c r="O89">
        <v>2</v>
      </c>
    </row>
    <row r="90" spans="1:15" x14ac:dyDescent="0.3">
      <c r="A90">
        <v>40571</v>
      </c>
      <c r="B90">
        <v>3200805</v>
      </c>
      <c r="C90" t="s">
        <v>25</v>
      </c>
      <c r="D90">
        <v>0.54</v>
      </c>
      <c r="E90">
        <v>2059901.96</v>
      </c>
      <c r="F90">
        <v>0</v>
      </c>
      <c r="G90">
        <v>2059901.96</v>
      </c>
      <c r="H90">
        <v>29189.279999999999</v>
      </c>
      <c r="I90">
        <v>293643.95</v>
      </c>
      <c r="J90">
        <v>1.016</v>
      </c>
      <c r="K90">
        <v>41481.440000000002</v>
      </c>
      <c r="L90">
        <v>0</v>
      </c>
      <c r="M90">
        <v>12391.72</v>
      </c>
      <c r="N90">
        <v>2025</v>
      </c>
      <c r="O90">
        <v>2</v>
      </c>
    </row>
    <row r="91" spans="1:15" x14ac:dyDescent="0.3">
      <c r="A91">
        <v>40572</v>
      </c>
      <c r="B91">
        <v>3200904</v>
      </c>
      <c r="C91" t="s">
        <v>26</v>
      </c>
      <c r="D91">
        <v>0.81299999999999994</v>
      </c>
      <c r="E91">
        <v>3101296.86</v>
      </c>
      <c r="F91">
        <v>0</v>
      </c>
      <c r="G91">
        <v>3101296.86</v>
      </c>
      <c r="H91">
        <v>43946.080000000002</v>
      </c>
      <c r="I91">
        <v>379594.96</v>
      </c>
      <c r="J91">
        <v>1.3140000000000001</v>
      </c>
      <c r="K91">
        <v>62452.62</v>
      </c>
      <c r="L91">
        <v>0</v>
      </c>
      <c r="M91">
        <v>18656.43</v>
      </c>
      <c r="N91">
        <v>2025</v>
      </c>
      <c r="O91">
        <v>2</v>
      </c>
    </row>
    <row r="92" spans="1:15" x14ac:dyDescent="0.3">
      <c r="A92">
        <v>40573</v>
      </c>
      <c r="B92">
        <v>3107109</v>
      </c>
      <c r="C92" t="s">
        <v>27</v>
      </c>
      <c r="D92">
        <v>0.48699999999999999</v>
      </c>
      <c r="E92">
        <v>1857726.41</v>
      </c>
      <c r="F92">
        <v>0</v>
      </c>
      <c r="G92">
        <v>1857726.41</v>
      </c>
      <c r="H92">
        <v>26324.400000000001</v>
      </c>
      <c r="I92">
        <v>64623.72</v>
      </c>
      <c r="J92">
        <v>0.56299999999999994</v>
      </c>
      <c r="K92">
        <v>37410.120000000003</v>
      </c>
      <c r="L92">
        <v>0</v>
      </c>
      <c r="M92">
        <v>11175.5</v>
      </c>
      <c r="N92">
        <v>2025</v>
      </c>
      <c r="O92">
        <v>2</v>
      </c>
    </row>
    <row r="93" spans="1:15" x14ac:dyDescent="0.3">
      <c r="A93">
        <v>40574</v>
      </c>
      <c r="B93">
        <v>3201100</v>
      </c>
      <c r="C93" t="s">
        <v>28</v>
      </c>
      <c r="D93">
        <v>0.247</v>
      </c>
      <c r="E93">
        <v>942214.44</v>
      </c>
      <c r="F93">
        <v>0</v>
      </c>
      <c r="G93">
        <v>942214.44</v>
      </c>
      <c r="H93">
        <v>13351.39</v>
      </c>
      <c r="I93">
        <v>310843.32</v>
      </c>
      <c r="J93">
        <v>0.442</v>
      </c>
      <c r="K93">
        <v>18973.919999999998</v>
      </c>
      <c r="L93">
        <v>0</v>
      </c>
      <c r="M93">
        <v>5668.07</v>
      </c>
      <c r="N93">
        <v>2025</v>
      </c>
      <c r="O93">
        <v>2</v>
      </c>
    </row>
    <row r="94" spans="1:15" x14ac:dyDescent="0.3">
      <c r="A94">
        <v>40575</v>
      </c>
      <c r="B94">
        <v>3201159</v>
      </c>
      <c r="C94" t="s">
        <v>29</v>
      </c>
      <c r="D94">
        <v>0.40699999999999997</v>
      </c>
      <c r="E94">
        <v>1552555.75</v>
      </c>
      <c r="F94">
        <v>0</v>
      </c>
      <c r="G94">
        <v>1552555.75</v>
      </c>
      <c r="H94">
        <v>22000.07</v>
      </c>
      <c r="I94">
        <v>85482.04</v>
      </c>
      <c r="J94">
        <v>0.47799999999999998</v>
      </c>
      <c r="K94">
        <v>31264.71</v>
      </c>
      <c r="L94">
        <v>0</v>
      </c>
      <c r="M94">
        <v>9339.69</v>
      </c>
      <c r="N94">
        <v>2025</v>
      </c>
      <c r="O94">
        <v>2</v>
      </c>
    </row>
    <row r="95" spans="1:15" x14ac:dyDescent="0.3">
      <c r="A95">
        <v>40576</v>
      </c>
      <c r="B95">
        <v>3201209</v>
      </c>
      <c r="C95" t="s">
        <v>30</v>
      </c>
      <c r="D95">
        <v>2.5920000000000001</v>
      </c>
      <c r="E95">
        <v>9887529.4499999993</v>
      </c>
      <c r="F95">
        <v>0</v>
      </c>
      <c r="G95">
        <v>9887529.4499999993</v>
      </c>
      <c r="H95">
        <v>140108.53</v>
      </c>
      <c r="I95">
        <v>1388217.19</v>
      </c>
      <c r="J95">
        <v>4.3239999999999998</v>
      </c>
      <c r="K95">
        <v>199110.92</v>
      </c>
      <c r="L95">
        <v>0</v>
      </c>
      <c r="M95">
        <v>59480.27</v>
      </c>
      <c r="N95">
        <v>2025</v>
      </c>
      <c r="O95">
        <v>2</v>
      </c>
    </row>
    <row r="96" spans="1:15" x14ac:dyDescent="0.3">
      <c r="A96">
        <v>40577</v>
      </c>
      <c r="B96">
        <v>3201308</v>
      </c>
      <c r="C96" t="s">
        <v>31</v>
      </c>
      <c r="D96">
        <v>8.3239999999999998</v>
      </c>
      <c r="E96">
        <v>31753007.420000002</v>
      </c>
      <c r="F96">
        <v>0</v>
      </c>
      <c r="G96">
        <v>31753007.420000002</v>
      </c>
      <c r="H96">
        <v>449947.3</v>
      </c>
      <c r="I96">
        <v>3006468.46</v>
      </c>
      <c r="J96">
        <v>6.5110000000000001</v>
      </c>
      <c r="K96">
        <v>639428.73</v>
      </c>
      <c r="L96">
        <v>0</v>
      </c>
      <c r="M96">
        <v>191016.12</v>
      </c>
      <c r="N96">
        <v>2025</v>
      </c>
      <c r="O96">
        <v>2</v>
      </c>
    </row>
    <row r="97" spans="1:15" x14ac:dyDescent="0.3">
      <c r="A97">
        <v>40578</v>
      </c>
      <c r="B97">
        <v>3201407</v>
      </c>
      <c r="C97" t="s">
        <v>32</v>
      </c>
      <c r="D97">
        <v>0.80700000000000005</v>
      </c>
      <c r="E97">
        <v>3078409.07</v>
      </c>
      <c r="F97">
        <v>0</v>
      </c>
      <c r="G97">
        <v>3078409.07</v>
      </c>
      <c r="H97">
        <v>43621.75</v>
      </c>
      <c r="I97">
        <v>442979.2</v>
      </c>
      <c r="J97">
        <v>1.165</v>
      </c>
      <c r="K97">
        <v>61991.71</v>
      </c>
      <c r="L97">
        <v>0</v>
      </c>
      <c r="M97">
        <v>18518.740000000002</v>
      </c>
      <c r="N97">
        <v>2025</v>
      </c>
      <c r="O97">
        <v>2</v>
      </c>
    </row>
    <row r="98" spans="1:15" x14ac:dyDescent="0.3">
      <c r="A98">
        <v>40579</v>
      </c>
      <c r="B98">
        <v>3201506</v>
      </c>
      <c r="C98" t="s">
        <v>33</v>
      </c>
      <c r="D98">
        <v>2.0139999999999998</v>
      </c>
      <c r="E98">
        <v>7682671.4100000001</v>
      </c>
      <c r="F98">
        <v>0</v>
      </c>
      <c r="G98">
        <v>7682671.4100000001</v>
      </c>
      <c r="H98">
        <v>108865.19</v>
      </c>
      <c r="I98">
        <v>930125.14</v>
      </c>
      <c r="J98">
        <v>2.875</v>
      </c>
      <c r="K98">
        <v>154710.42000000001</v>
      </c>
      <c r="L98">
        <v>0</v>
      </c>
      <c r="M98">
        <v>46216.54</v>
      </c>
      <c r="N98">
        <v>2025</v>
      </c>
      <c r="O98">
        <v>2</v>
      </c>
    </row>
    <row r="99" spans="1:15" x14ac:dyDescent="0.3">
      <c r="A99">
        <v>40580</v>
      </c>
      <c r="B99">
        <v>3201605</v>
      </c>
      <c r="C99" t="s">
        <v>34</v>
      </c>
      <c r="D99">
        <v>0.60099999999999998</v>
      </c>
      <c r="E99">
        <v>2292594.6</v>
      </c>
      <c r="F99">
        <v>0</v>
      </c>
      <c r="G99">
        <v>2292594.6</v>
      </c>
      <c r="H99">
        <v>32486.58</v>
      </c>
      <c r="I99">
        <v>117414.62</v>
      </c>
      <c r="J99">
        <v>0.96399999999999997</v>
      </c>
      <c r="K99">
        <v>46167.31</v>
      </c>
      <c r="L99">
        <v>0</v>
      </c>
      <c r="M99">
        <v>13791.53</v>
      </c>
      <c r="N99">
        <v>2025</v>
      </c>
      <c r="O99">
        <v>2</v>
      </c>
    </row>
    <row r="100" spans="1:15" x14ac:dyDescent="0.3">
      <c r="A100">
        <v>40581</v>
      </c>
      <c r="B100">
        <v>3201704</v>
      </c>
      <c r="C100" t="s">
        <v>35</v>
      </c>
      <c r="D100">
        <v>0.371</v>
      </c>
      <c r="E100">
        <v>1415228.95</v>
      </c>
      <c r="F100">
        <v>0</v>
      </c>
      <c r="G100">
        <v>1415228.95</v>
      </c>
      <c r="H100">
        <v>20054.12</v>
      </c>
      <c r="I100">
        <v>77237.98</v>
      </c>
      <c r="J100">
        <v>0.46400000000000002</v>
      </c>
      <c r="K100">
        <v>28499.29</v>
      </c>
      <c r="L100">
        <v>0</v>
      </c>
      <c r="M100">
        <v>8513.57</v>
      </c>
      <c r="N100">
        <v>2025</v>
      </c>
      <c r="O100">
        <v>2</v>
      </c>
    </row>
    <row r="101" spans="1:15" x14ac:dyDescent="0.3">
      <c r="A101">
        <v>40582</v>
      </c>
      <c r="B101">
        <v>3201803</v>
      </c>
      <c r="C101" t="s">
        <v>36</v>
      </c>
      <c r="D101">
        <v>0.187</v>
      </c>
      <c r="E101">
        <v>713336.4</v>
      </c>
      <c r="F101">
        <v>0</v>
      </c>
      <c r="G101">
        <v>713336.4</v>
      </c>
      <c r="H101">
        <v>10108.14</v>
      </c>
      <c r="I101">
        <v>25321.64</v>
      </c>
      <c r="J101">
        <v>0.29699999999999999</v>
      </c>
      <c r="K101">
        <v>14364.87</v>
      </c>
      <c r="L101">
        <v>0</v>
      </c>
      <c r="M101">
        <v>4291.21</v>
      </c>
      <c r="N101">
        <v>2025</v>
      </c>
      <c r="O101">
        <v>2</v>
      </c>
    </row>
    <row r="102" spans="1:15" x14ac:dyDescent="0.3">
      <c r="A102">
        <v>40583</v>
      </c>
      <c r="B102">
        <v>3201902</v>
      </c>
      <c r="C102" t="s">
        <v>37</v>
      </c>
      <c r="D102">
        <v>1.0620000000000001</v>
      </c>
      <c r="E102">
        <v>4051140.55</v>
      </c>
      <c r="F102">
        <v>0</v>
      </c>
      <c r="G102">
        <v>4051140.55</v>
      </c>
      <c r="H102">
        <v>57405.58</v>
      </c>
      <c r="I102">
        <v>330753.74</v>
      </c>
      <c r="J102">
        <v>1.0780000000000001</v>
      </c>
      <c r="K102">
        <v>81580.17</v>
      </c>
      <c r="L102">
        <v>0</v>
      </c>
      <c r="M102">
        <v>24370.39</v>
      </c>
      <c r="N102">
        <v>2025</v>
      </c>
      <c r="O102">
        <v>2</v>
      </c>
    </row>
    <row r="103" spans="1:15" x14ac:dyDescent="0.3">
      <c r="A103">
        <v>40584</v>
      </c>
      <c r="B103">
        <v>3202009</v>
      </c>
      <c r="C103" t="s">
        <v>38</v>
      </c>
      <c r="D103">
        <v>0.34899999999999998</v>
      </c>
      <c r="E103">
        <v>1331307.01</v>
      </c>
      <c r="F103">
        <v>0</v>
      </c>
      <c r="G103">
        <v>1331307.01</v>
      </c>
      <c r="H103">
        <v>18864.919999999998</v>
      </c>
      <c r="I103">
        <v>155317.38</v>
      </c>
      <c r="J103">
        <v>0.317</v>
      </c>
      <c r="K103">
        <v>26809.3</v>
      </c>
      <c r="L103">
        <v>0</v>
      </c>
      <c r="M103">
        <v>8008.72</v>
      </c>
      <c r="N103">
        <v>2025</v>
      </c>
      <c r="O103">
        <v>2</v>
      </c>
    </row>
    <row r="104" spans="1:15" x14ac:dyDescent="0.3">
      <c r="A104">
        <v>40585</v>
      </c>
      <c r="B104">
        <v>3202108</v>
      </c>
      <c r="C104" t="s">
        <v>39</v>
      </c>
      <c r="D104">
        <v>0.57099999999999995</v>
      </c>
      <c r="E104">
        <v>2178155.6</v>
      </c>
      <c r="F104">
        <v>0</v>
      </c>
      <c r="G104">
        <v>2178155.6</v>
      </c>
      <c r="H104">
        <v>30864.959999999999</v>
      </c>
      <c r="I104">
        <v>84486.17</v>
      </c>
      <c r="J104">
        <v>0.81599999999999995</v>
      </c>
      <c r="K104">
        <v>43862.79</v>
      </c>
      <c r="L104">
        <v>0</v>
      </c>
      <c r="M104">
        <v>13103.1</v>
      </c>
      <c r="N104">
        <v>2025</v>
      </c>
      <c r="O104">
        <v>2</v>
      </c>
    </row>
    <row r="105" spans="1:15" x14ac:dyDescent="0.3">
      <c r="A105">
        <v>40586</v>
      </c>
      <c r="B105">
        <v>3202207</v>
      </c>
      <c r="C105" t="s">
        <v>40</v>
      </c>
      <c r="D105">
        <v>0.36799999999999999</v>
      </c>
      <c r="E105">
        <v>1403785.06</v>
      </c>
      <c r="F105">
        <v>0</v>
      </c>
      <c r="G105">
        <v>1403785.06</v>
      </c>
      <c r="H105">
        <v>19891.95</v>
      </c>
      <c r="I105">
        <v>88730.42</v>
      </c>
      <c r="J105">
        <v>0.69699999999999995</v>
      </c>
      <c r="K105">
        <v>28268.83</v>
      </c>
      <c r="L105">
        <v>0</v>
      </c>
      <c r="M105">
        <v>8444.73</v>
      </c>
      <c r="N105">
        <v>2025</v>
      </c>
      <c r="O105">
        <v>2</v>
      </c>
    </row>
    <row r="106" spans="1:15" x14ac:dyDescent="0.3">
      <c r="A106">
        <v>40587</v>
      </c>
      <c r="B106">
        <v>3202256</v>
      </c>
      <c r="C106" t="s">
        <v>41</v>
      </c>
      <c r="D106">
        <v>0.53100000000000003</v>
      </c>
      <c r="E106">
        <v>2025570.26</v>
      </c>
      <c r="F106">
        <v>0</v>
      </c>
      <c r="G106">
        <v>2025570.26</v>
      </c>
      <c r="H106">
        <v>28702.79</v>
      </c>
      <c r="I106">
        <v>98631.4</v>
      </c>
      <c r="J106">
        <v>0.45200000000000001</v>
      </c>
      <c r="K106">
        <v>40790.080000000002</v>
      </c>
      <c r="L106">
        <v>0</v>
      </c>
      <c r="M106">
        <v>12185.19</v>
      </c>
      <c r="N106">
        <v>2025</v>
      </c>
      <c r="O106">
        <v>2</v>
      </c>
    </row>
    <row r="107" spans="1:15" x14ac:dyDescent="0.3">
      <c r="A107">
        <v>40588</v>
      </c>
      <c r="B107">
        <v>3202306</v>
      </c>
      <c r="C107" t="s">
        <v>42</v>
      </c>
      <c r="D107">
        <v>0.36699999999999999</v>
      </c>
      <c r="E107">
        <v>1399970.41</v>
      </c>
      <c r="F107">
        <v>0</v>
      </c>
      <c r="G107">
        <v>1399970.41</v>
      </c>
      <c r="H107">
        <v>19837.900000000001</v>
      </c>
      <c r="I107">
        <v>281323.69</v>
      </c>
      <c r="J107">
        <v>0.98899999999999999</v>
      </c>
      <c r="K107">
        <v>28192.02</v>
      </c>
      <c r="L107">
        <v>0</v>
      </c>
      <c r="M107">
        <v>8421.7800000000007</v>
      </c>
      <c r="N107">
        <v>2025</v>
      </c>
      <c r="O107">
        <v>2</v>
      </c>
    </row>
    <row r="108" spans="1:15" x14ac:dyDescent="0.3">
      <c r="A108">
        <v>40589</v>
      </c>
      <c r="B108">
        <v>3202405</v>
      </c>
      <c r="C108" t="s">
        <v>43</v>
      </c>
      <c r="D108">
        <v>0.79</v>
      </c>
      <c r="E108">
        <v>3013560.3</v>
      </c>
      <c r="F108">
        <v>0</v>
      </c>
      <c r="G108">
        <v>3013560.3</v>
      </c>
      <c r="H108">
        <v>42702.83</v>
      </c>
      <c r="I108">
        <v>1870175.47</v>
      </c>
      <c r="J108">
        <v>2.9359999999999999</v>
      </c>
      <c r="K108">
        <v>60685.81</v>
      </c>
      <c r="L108">
        <v>0</v>
      </c>
      <c r="M108">
        <v>18128.63</v>
      </c>
      <c r="N108">
        <v>2025</v>
      </c>
      <c r="O108">
        <v>2</v>
      </c>
    </row>
    <row r="109" spans="1:15" x14ac:dyDescent="0.3">
      <c r="A109">
        <v>40590</v>
      </c>
      <c r="B109">
        <v>3202454</v>
      </c>
      <c r="C109" t="s">
        <v>44</v>
      </c>
      <c r="D109">
        <v>0.33900000000000002</v>
      </c>
      <c r="E109">
        <v>1293160.68</v>
      </c>
      <c r="F109">
        <v>0</v>
      </c>
      <c r="G109">
        <v>1293160.68</v>
      </c>
      <c r="H109">
        <v>18324.38</v>
      </c>
      <c r="I109">
        <v>337621.22</v>
      </c>
      <c r="J109">
        <v>0.87</v>
      </c>
      <c r="K109">
        <v>26041.13</v>
      </c>
      <c r="L109">
        <v>0</v>
      </c>
      <c r="M109">
        <v>7779.25</v>
      </c>
      <c r="N109">
        <v>2025</v>
      </c>
      <c r="O109">
        <v>2</v>
      </c>
    </row>
    <row r="110" spans="1:15" x14ac:dyDescent="0.3">
      <c r="A110">
        <v>40591</v>
      </c>
      <c r="B110">
        <v>3202504</v>
      </c>
      <c r="C110" t="s">
        <v>45</v>
      </c>
      <c r="D110">
        <v>0.307</v>
      </c>
      <c r="E110">
        <v>1171092.3999999999</v>
      </c>
      <c r="F110">
        <v>0</v>
      </c>
      <c r="G110">
        <v>1171092.3999999999</v>
      </c>
      <c r="H110">
        <v>16594.64</v>
      </c>
      <c r="I110">
        <v>57660.72</v>
      </c>
      <c r="J110">
        <v>0.46100000000000002</v>
      </c>
      <c r="K110">
        <v>23582.97</v>
      </c>
      <c r="L110">
        <v>0</v>
      </c>
      <c r="M110">
        <v>7044.92</v>
      </c>
      <c r="N110">
        <v>2025</v>
      </c>
      <c r="O110">
        <v>2</v>
      </c>
    </row>
    <row r="111" spans="1:15" x14ac:dyDescent="0.3">
      <c r="A111">
        <v>40592</v>
      </c>
      <c r="B111">
        <v>3202553</v>
      </c>
      <c r="C111" t="s">
        <v>46</v>
      </c>
      <c r="D111">
        <v>0.28399999999999997</v>
      </c>
      <c r="E111">
        <v>1083355.8600000001</v>
      </c>
      <c r="F111">
        <v>0</v>
      </c>
      <c r="G111">
        <v>1083355.8600000001</v>
      </c>
      <c r="H111">
        <v>15351.4</v>
      </c>
      <c r="I111">
        <v>35824.57</v>
      </c>
      <c r="J111">
        <v>0.35499999999999998</v>
      </c>
      <c r="K111">
        <v>21816.17</v>
      </c>
      <c r="L111">
        <v>0</v>
      </c>
      <c r="M111">
        <v>6517.13</v>
      </c>
      <c r="N111">
        <v>2025</v>
      </c>
      <c r="O111">
        <v>2</v>
      </c>
    </row>
    <row r="112" spans="1:15" x14ac:dyDescent="0.3">
      <c r="A112">
        <v>40593</v>
      </c>
      <c r="B112">
        <v>3202603</v>
      </c>
      <c r="C112" t="s">
        <v>47</v>
      </c>
      <c r="D112">
        <v>0.314</v>
      </c>
      <c r="E112">
        <v>1197794.8600000001</v>
      </c>
      <c r="F112">
        <v>0</v>
      </c>
      <c r="G112">
        <v>1197794.8600000001</v>
      </c>
      <c r="H112">
        <v>16973.02</v>
      </c>
      <c r="I112">
        <v>98299.76</v>
      </c>
      <c r="J112">
        <v>0.53700000000000003</v>
      </c>
      <c r="K112">
        <v>24120.69</v>
      </c>
      <c r="L112">
        <v>0</v>
      </c>
      <c r="M112">
        <v>7205.56</v>
      </c>
      <c r="N112">
        <v>2025</v>
      </c>
      <c r="O112">
        <v>2</v>
      </c>
    </row>
    <row r="113" spans="1:15" x14ac:dyDescent="0.3">
      <c r="A113">
        <v>40594</v>
      </c>
      <c r="B113">
        <v>3202652</v>
      </c>
      <c r="C113" t="s">
        <v>48</v>
      </c>
      <c r="D113">
        <v>0.316</v>
      </c>
      <c r="E113">
        <v>1205424.1100000001</v>
      </c>
      <c r="F113">
        <v>0</v>
      </c>
      <c r="G113">
        <v>1205424.1100000001</v>
      </c>
      <c r="H113">
        <v>17081.13</v>
      </c>
      <c r="I113">
        <v>150507.5</v>
      </c>
      <c r="J113">
        <v>0.56399999999999995</v>
      </c>
      <c r="K113">
        <v>24274.33</v>
      </c>
      <c r="L113">
        <v>0</v>
      </c>
      <c r="M113">
        <v>7251.45</v>
      </c>
      <c r="N113">
        <v>2025</v>
      </c>
      <c r="O113">
        <v>2</v>
      </c>
    </row>
    <row r="114" spans="1:15" x14ac:dyDescent="0.3">
      <c r="A114">
        <v>40595</v>
      </c>
      <c r="B114">
        <v>3202702</v>
      </c>
      <c r="C114" t="s">
        <v>49</v>
      </c>
      <c r="D114">
        <v>0.40400000000000003</v>
      </c>
      <c r="E114">
        <v>1541111.86</v>
      </c>
      <c r="F114">
        <v>0</v>
      </c>
      <c r="G114">
        <v>1541111.86</v>
      </c>
      <c r="H114">
        <v>21837.9</v>
      </c>
      <c r="I114">
        <v>57921.77</v>
      </c>
      <c r="J114">
        <v>0.56200000000000006</v>
      </c>
      <c r="K114">
        <v>31034.27</v>
      </c>
      <c r="L114">
        <v>0</v>
      </c>
      <c r="M114">
        <v>9270.84</v>
      </c>
      <c r="N114">
        <v>2025</v>
      </c>
      <c r="O114">
        <v>2</v>
      </c>
    </row>
    <row r="115" spans="1:15" x14ac:dyDescent="0.3">
      <c r="A115">
        <v>40596</v>
      </c>
      <c r="B115">
        <v>3202801</v>
      </c>
      <c r="C115" t="s">
        <v>50</v>
      </c>
      <c r="D115">
        <v>3.4060000000000001</v>
      </c>
      <c r="E115">
        <v>12992640.939999999</v>
      </c>
      <c r="F115">
        <v>0</v>
      </c>
      <c r="G115">
        <v>12992640.939999999</v>
      </c>
      <c r="H115">
        <v>184108.66</v>
      </c>
      <c r="I115">
        <v>233735.45</v>
      </c>
      <c r="J115">
        <v>1.2130000000000001</v>
      </c>
      <c r="K115">
        <v>261640.35</v>
      </c>
      <c r="L115">
        <v>0</v>
      </c>
      <c r="M115">
        <v>78159.649999999994</v>
      </c>
      <c r="N115">
        <v>2025</v>
      </c>
      <c r="O115">
        <v>2</v>
      </c>
    </row>
    <row r="116" spans="1:15" x14ac:dyDescent="0.3">
      <c r="A116">
        <v>40597</v>
      </c>
      <c r="B116">
        <v>3202900</v>
      </c>
      <c r="C116" t="s">
        <v>51</v>
      </c>
      <c r="D116">
        <v>0.39200000000000002</v>
      </c>
      <c r="E116">
        <v>1495336.23</v>
      </c>
      <c r="F116">
        <v>0</v>
      </c>
      <c r="G116">
        <v>1495336.23</v>
      </c>
      <c r="H116">
        <v>21189.25</v>
      </c>
      <c r="I116">
        <v>142673.04</v>
      </c>
      <c r="J116">
        <v>0.44600000000000001</v>
      </c>
      <c r="K116">
        <v>30112.45</v>
      </c>
      <c r="L116">
        <v>0</v>
      </c>
      <c r="M116">
        <v>8995.4699999999993</v>
      </c>
      <c r="N116">
        <v>2025</v>
      </c>
      <c r="O116">
        <v>2</v>
      </c>
    </row>
    <row r="117" spans="1:15" x14ac:dyDescent="0.3">
      <c r="A117">
        <v>40598</v>
      </c>
      <c r="B117">
        <v>3203007</v>
      </c>
      <c r="C117" t="s">
        <v>52</v>
      </c>
      <c r="D117">
        <v>0.5</v>
      </c>
      <c r="E117">
        <v>1907316.62</v>
      </c>
      <c r="F117">
        <v>0</v>
      </c>
      <c r="G117">
        <v>1907316.62</v>
      </c>
      <c r="H117">
        <v>27027.11</v>
      </c>
      <c r="I117">
        <v>209702.06</v>
      </c>
      <c r="J117">
        <v>0.91200000000000003</v>
      </c>
      <c r="K117">
        <v>38408.74</v>
      </c>
      <c r="L117">
        <v>0</v>
      </c>
      <c r="M117">
        <v>11473.82</v>
      </c>
      <c r="N117">
        <v>2025</v>
      </c>
      <c r="O117">
        <v>2</v>
      </c>
    </row>
    <row r="118" spans="1:15" x14ac:dyDescent="0.3">
      <c r="A118">
        <v>40599</v>
      </c>
      <c r="B118">
        <v>3203056</v>
      </c>
      <c r="C118" t="s">
        <v>53</v>
      </c>
      <c r="D118">
        <v>1.109</v>
      </c>
      <c r="E118">
        <v>4230428.3</v>
      </c>
      <c r="F118">
        <v>0</v>
      </c>
      <c r="G118">
        <v>4230428.3</v>
      </c>
      <c r="H118">
        <v>59946.13</v>
      </c>
      <c r="I118">
        <v>198192.25</v>
      </c>
      <c r="J118">
        <v>0.98399999999999999</v>
      </c>
      <c r="K118">
        <v>85190.59</v>
      </c>
      <c r="L118">
        <v>0</v>
      </c>
      <c r="M118">
        <v>25448.93</v>
      </c>
      <c r="N118">
        <v>2025</v>
      </c>
      <c r="O118">
        <v>2</v>
      </c>
    </row>
    <row r="119" spans="1:15" x14ac:dyDescent="0.3">
      <c r="A119">
        <v>40600</v>
      </c>
      <c r="B119">
        <v>3203106</v>
      </c>
      <c r="C119" t="s">
        <v>54</v>
      </c>
      <c r="D119">
        <v>0.216</v>
      </c>
      <c r="E119">
        <v>823960.78</v>
      </c>
      <c r="F119">
        <v>0</v>
      </c>
      <c r="G119">
        <v>823960.78</v>
      </c>
      <c r="H119">
        <v>11675.71</v>
      </c>
      <c r="I119">
        <v>36932.120000000003</v>
      </c>
      <c r="J119">
        <v>0.45900000000000002</v>
      </c>
      <c r="K119">
        <v>16592.57</v>
      </c>
      <c r="L119">
        <v>0</v>
      </c>
      <c r="M119">
        <v>4956.6899999999996</v>
      </c>
      <c r="N119">
        <v>2025</v>
      </c>
      <c r="O119">
        <v>2</v>
      </c>
    </row>
    <row r="120" spans="1:15" x14ac:dyDescent="0.3">
      <c r="A120">
        <v>40601</v>
      </c>
      <c r="B120">
        <v>3203130</v>
      </c>
      <c r="C120" t="s">
        <v>55</v>
      </c>
      <c r="D120">
        <v>0.376</v>
      </c>
      <c r="E120">
        <v>1434302.14</v>
      </c>
      <c r="F120">
        <v>0</v>
      </c>
      <c r="G120">
        <v>1434302.14</v>
      </c>
      <c r="H120">
        <v>20324.39</v>
      </c>
      <c r="I120">
        <v>79093.539999999994</v>
      </c>
      <c r="J120">
        <v>0.63600000000000001</v>
      </c>
      <c r="K120">
        <v>28883.38</v>
      </c>
      <c r="L120">
        <v>0</v>
      </c>
      <c r="M120">
        <v>8628.31</v>
      </c>
      <c r="N120">
        <v>2025</v>
      </c>
      <c r="O120">
        <v>2</v>
      </c>
    </row>
    <row r="121" spans="1:15" x14ac:dyDescent="0.3">
      <c r="A121">
        <v>40602</v>
      </c>
      <c r="B121">
        <v>3203163</v>
      </c>
      <c r="C121" t="s">
        <v>56</v>
      </c>
      <c r="D121">
        <v>0.42799999999999999</v>
      </c>
      <c r="E121">
        <v>1632663.05</v>
      </c>
      <c r="F121">
        <v>0</v>
      </c>
      <c r="G121">
        <v>1632663.05</v>
      </c>
      <c r="H121">
        <v>23135.200000000001</v>
      </c>
      <c r="I121">
        <v>73249.460000000006</v>
      </c>
      <c r="J121">
        <v>0.45300000000000001</v>
      </c>
      <c r="K121">
        <v>32877.879999999997</v>
      </c>
      <c r="L121">
        <v>0</v>
      </c>
      <c r="M121">
        <v>9821.59</v>
      </c>
      <c r="N121">
        <v>2025</v>
      </c>
      <c r="O121">
        <v>2</v>
      </c>
    </row>
    <row r="122" spans="1:15" x14ac:dyDescent="0.3">
      <c r="A122">
        <v>40603</v>
      </c>
      <c r="B122">
        <v>3203205</v>
      </c>
      <c r="C122" t="s">
        <v>57</v>
      </c>
      <c r="D122">
        <v>4.431</v>
      </c>
      <c r="E122">
        <v>16902640.059999999</v>
      </c>
      <c r="F122">
        <v>0</v>
      </c>
      <c r="G122">
        <v>16902640.059999999</v>
      </c>
      <c r="H122">
        <v>239514.23999999999</v>
      </c>
      <c r="I122">
        <v>1254309.27</v>
      </c>
      <c r="J122">
        <v>4.0759999999999996</v>
      </c>
      <c r="K122">
        <v>340378.27</v>
      </c>
      <c r="L122">
        <v>0</v>
      </c>
      <c r="M122">
        <v>101680.97</v>
      </c>
      <c r="N122">
        <v>2025</v>
      </c>
      <c r="O122">
        <v>2</v>
      </c>
    </row>
    <row r="123" spans="1:15" x14ac:dyDescent="0.3">
      <c r="A123">
        <v>40604</v>
      </c>
      <c r="B123">
        <v>3203304</v>
      </c>
      <c r="C123" t="s">
        <v>58</v>
      </c>
      <c r="D123">
        <v>0.314</v>
      </c>
      <c r="E123">
        <v>1197794.8600000001</v>
      </c>
      <c r="F123">
        <v>0</v>
      </c>
      <c r="G123">
        <v>1197794.8600000001</v>
      </c>
      <c r="H123">
        <v>16973.02</v>
      </c>
      <c r="I123">
        <v>91519.65</v>
      </c>
      <c r="J123">
        <v>0.54300000000000004</v>
      </c>
      <c r="K123">
        <v>24120.69</v>
      </c>
      <c r="L123">
        <v>0</v>
      </c>
      <c r="M123">
        <v>7205.56</v>
      </c>
      <c r="N123">
        <v>2025</v>
      </c>
      <c r="O123">
        <v>2</v>
      </c>
    </row>
    <row r="124" spans="1:15" x14ac:dyDescent="0.3">
      <c r="A124">
        <v>40605</v>
      </c>
      <c r="B124">
        <v>3203320</v>
      </c>
      <c r="C124" t="s">
        <v>59</v>
      </c>
      <c r="D124">
        <v>0.58499999999999996</v>
      </c>
      <c r="E124">
        <v>2231560.46</v>
      </c>
      <c r="F124">
        <v>0</v>
      </c>
      <c r="G124">
        <v>2231560.46</v>
      </c>
      <c r="H124">
        <v>31621.72</v>
      </c>
      <c r="I124">
        <v>349158.18</v>
      </c>
      <c r="J124">
        <v>1.24</v>
      </c>
      <c r="K124">
        <v>44938.23</v>
      </c>
      <c r="L124">
        <v>0</v>
      </c>
      <c r="M124">
        <v>13424.37</v>
      </c>
      <c r="N124">
        <v>2025</v>
      </c>
      <c r="O124">
        <v>2</v>
      </c>
    </row>
    <row r="125" spans="1:15" x14ac:dyDescent="0.3">
      <c r="A125">
        <v>40606</v>
      </c>
      <c r="B125">
        <v>3203346</v>
      </c>
      <c r="C125" t="s">
        <v>60</v>
      </c>
      <c r="D125">
        <v>0.55500000000000005</v>
      </c>
      <c r="E125">
        <v>2117121.4700000002</v>
      </c>
      <c r="F125">
        <v>0</v>
      </c>
      <c r="G125">
        <v>2117121.4700000002</v>
      </c>
      <c r="H125">
        <v>30000.09</v>
      </c>
      <c r="I125">
        <v>131781.82</v>
      </c>
      <c r="J125">
        <v>0.69199999999999995</v>
      </c>
      <c r="K125">
        <v>42633.7</v>
      </c>
      <c r="L125">
        <v>0</v>
      </c>
      <c r="M125">
        <v>12735.94</v>
      </c>
      <c r="N125">
        <v>2025</v>
      </c>
      <c r="O125">
        <v>2</v>
      </c>
    </row>
    <row r="126" spans="1:15" x14ac:dyDescent="0.3">
      <c r="A126">
        <v>40607</v>
      </c>
      <c r="B126">
        <v>3203353</v>
      </c>
      <c r="C126" t="s">
        <v>61</v>
      </c>
      <c r="D126">
        <v>0.505</v>
      </c>
      <c r="E126">
        <v>1926389.8</v>
      </c>
      <c r="F126">
        <v>0</v>
      </c>
      <c r="G126">
        <v>1926389.8</v>
      </c>
      <c r="H126">
        <v>27297.38</v>
      </c>
      <c r="I126">
        <v>175636.59</v>
      </c>
      <c r="J126">
        <v>0.47</v>
      </c>
      <c r="K126">
        <v>38792.82</v>
      </c>
      <c r="L126">
        <v>0</v>
      </c>
      <c r="M126">
        <v>11588.56</v>
      </c>
      <c r="N126">
        <v>2025</v>
      </c>
      <c r="O126">
        <v>2</v>
      </c>
    </row>
    <row r="127" spans="1:15" x14ac:dyDescent="0.3">
      <c r="A127">
        <v>40608</v>
      </c>
      <c r="B127">
        <v>3203403</v>
      </c>
      <c r="C127" t="s">
        <v>62</v>
      </c>
      <c r="D127">
        <v>0.46899999999999997</v>
      </c>
      <c r="E127">
        <v>1789063.01</v>
      </c>
      <c r="F127">
        <v>0</v>
      </c>
      <c r="G127">
        <v>1789063.01</v>
      </c>
      <c r="H127">
        <v>25351.43</v>
      </c>
      <c r="I127">
        <v>157028.49</v>
      </c>
      <c r="J127">
        <v>0.85899999999999999</v>
      </c>
      <c r="K127">
        <v>36027.4</v>
      </c>
      <c r="L127">
        <v>0</v>
      </c>
      <c r="M127">
        <v>10762.44</v>
      </c>
      <c r="N127">
        <v>2025</v>
      </c>
      <c r="O127">
        <v>2</v>
      </c>
    </row>
    <row r="128" spans="1:15" x14ac:dyDescent="0.3">
      <c r="A128">
        <v>40609</v>
      </c>
      <c r="B128">
        <v>3203502</v>
      </c>
      <c r="C128" t="s">
        <v>63</v>
      </c>
      <c r="D128">
        <v>0.51500000000000001</v>
      </c>
      <c r="E128">
        <v>1964536.12</v>
      </c>
      <c r="F128">
        <v>0</v>
      </c>
      <c r="G128">
        <v>1964536.12</v>
      </c>
      <c r="H128">
        <v>27837.919999999998</v>
      </c>
      <c r="I128">
        <v>152428.42000000001</v>
      </c>
      <c r="J128">
        <v>0.70899999999999996</v>
      </c>
      <c r="K128">
        <v>39561.01</v>
      </c>
      <c r="L128">
        <v>0</v>
      </c>
      <c r="M128">
        <v>11818.03</v>
      </c>
      <c r="N128">
        <v>2025</v>
      </c>
      <c r="O128">
        <v>2</v>
      </c>
    </row>
    <row r="129" spans="1:15" x14ac:dyDescent="0.3">
      <c r="A129">
        <v>40610</v>
      </c>
      <c r="B129">
        <v>3203601</v>
      </c>
      <c r="C129" t="s">
        <v>64</v>
      </c>
      <c r="D129">
        <v>0.30599999999999999</v>
      </c>
      <c r="E129">
        <v>1167277.78</v>
      </c>
      <c r="F129">
        <v>0</v>
      </c>
      <c r="G129">
        <v>1167277.78</v>
      </c>
      <c r="H129">
        <v>16540.59</v>
      </c>
      <c r="I129">
        <v>29432.86</v>
      </c>
      <c r="J129">
        <v>0.30199999999999999</v>
      </c>
      <c r="K129">
        <v>23506.15</v>
      </c>
      <c r="L129">
        <v>0</v>
      </c>
      <c r="M129">
        <v>7021.98</v>
      </c>
      <c r="N129">
        <v>2025</v>
      </c>
      <c r="O129">
        <v>2</v>
      </c>
    </row>
    <row r="130" spans="1:15" x14ac:dyDescent="0.3">
      <c r="A130">
        <v>40611</v>
      </c>
      <c r="B130">
        <v>3203700</v>
      </c>
      <c r="C130" t="s">
        <v>65</v>
      </c>
      <c r="D130">
        <v>0.505</v>
      </c>
      <c r="E130">
        <v>1926389.8</v>
      </c>
      <c r="F130">
        <v>0</v>
      </c>
      <c r="G130">
        <v>1926389.8</v>
      </c>
      <c r="H130">
        <v>27297.38</v>
      </c>
      <c r="I130">
        <v>84535.58</v>
      </c>
      <c r="J130">
        <v>0.69899999999999995</v>
      </c>
      <c r="K130">
        <v>38792.82</v>
      </c>
      <c r="L130">
        <v>0</v>
      </c>
      <c r="M130">
        <v>11588.56</v>
      </c>
      <c r="N130">
        <v>2025</v>
      </c>
      <c r="O130">
        <v>2</v>
      </c>
    </row>
    <row r="131" spans="1:15" x14ac:dyDescent="0.3">
      <c r="A131">
        <v>40612</v>
      </c>
      <c r="B131">
        <v>3203809</v>
      </c>
      <c r="C131" t="s">
        <v>66</v>
      </c>
      <c r="D131">
        <v>0.32</v>
      </c>
      <c r="E131">
        <v>1220682.6599999999</v>
      </c>
      <c r="F131">
        <v>0</v>
      </c>
      <c r="G131">
        <v>1220682.6599999999</v>
      </c>
      <c r="H131">
        <v>17297.349999999999</v>
      </c>
      <c r="I131">
        <v>43409.86</v>
      </c>
      <c r="J131">
        <v>0.56499999999999995</v>
      </c>
      <c r="K131">
        <v>24581.599999999999</v>
      </c>
      <c r="L131">
        <v>0</v>
      </c>
      <c r="M131">
        <v>7343.24</v>
      </c>
      <c r="N131">
        <v>2025</v>
      </c>
      <c r="O131">
        <v>2</v>
      </c>
    </row>
    <row r="132" spans="1:15" x14ac:dyDescent="0.3">
      <c r="A132">
        <v>40613</v>
      </c>
      <c r="B132">
        <v>3203908</v>
      </c>
      <c r="C132" t="s">
        <v>67</v>
      </c>
      <c r="D132">
        <v>1.2250000000000001</v>
      </c>
      <c r="E132">
        <v>4672925.7699999996</v>
      </c>
      <c r="F132">
        <v>0</v>
      </c>
      <c r="G132">
        <v>4672925.7699999996</v>
      </c>
      <c r="H132">
        <v>66216.42</v>
      </c>
      <c r="I132">
        <v>344907.79</v>
      </c>
      <c r="J132">
        <v>1.476</v>
      </c>
      <c r="K132">
        <v>94101.42</v>
      </c>
      <c r="L132">
        <v>0</v>
      </c>
      <c r="M132">
        <v>28110.85</v>
      </c>
      <c r="N132">
        <v>2025</v>
      </c>
      <c r="O132">
        <v>2</v>
      </c>
    </row>
    <row r="133" spans="1:15" x14ac:dyDescent="0.3">
      <c r="A133">
        <v>40614</v>
      </c>
      <c r="B133">
        <v>3204005</v>
      </c>
      <c r="C133" t="s">
        <v>68</v>
      </c>
      <c r="D133">
        <v>0.435</v>
      </c>
      <c r="E133">
        <v>1659365.48</v>
      </c>
      <c r="F133">
        <v>0</v>
      </c>
      <c r="G133">
        <v>1659365.48</v>
      </c>
      <c r="H133">
        <v>23513.58</v>
      </c>
      <c r="I133">
        <v>76775.69</v>
      </c>
      <c r="J133">
        <v>0.70899999999999996</v>
      </c>
      <c r="K133">
        <v>33415.599999999999</v>
      </c>
      <c r="L133">
        <v>0</v>
      </c>
      <c r="M133">
        <v>9982.2199999999993</v>
      </c>
      <c r="N133">
        <v>2025</v>
      </c>
      <c r="O133">
        <v>2</v>
      </c>
    </row>
    <row r="134" spans="1:15" x14ac:dyDescent="0.3">
      <c r="A134">
        <v>40615</v>
      </c>
      <c r="B134">
        <v>3204054</v>
      </c>
      <c r="C134" t="s">
        <v>69</v>
      </c>
      <c r="D134">
        <v>0.33400000000000002</v>
      </c>
      <c r="E134">
        <v>1274087.55</v>
      </c>
      <c r="F134">
        <v>0</v>
      </c>
      <c r="G134">
        <v>1274087.55</v>
      </c>
      <c r="H134">
        <v>18054.11</v>
      </c>
      <c r="I134">
        <v>135035.95000000001</v>
      </c>
      <c r="J134">
        <v>0.81</v>
      </c>
      <c r="K134">
        <v>25657.040000000001</v>
      </c>
      <c r="L134">
        <v>0</v>
      </c>
      <c r="M134">
        <v>7664.51</v>
      </c>
      <c r="N134">
        <v>2025</v>
      </c>
      <c r="O134">
        <v>2</v>
      </c>
    </row>
    <row r="135" spans="1:15" x14ac:dyDescent="0.3">
      <c r="A135">
        <v>40616</v>
      </c>
      <c r="B135">
        <v>3204104</v>
      </c>
      <c r="C135" t="s">
        <v>70</v>
      </c>
      <c r="D135">
        <v>0.755</v>
      </c>
      <c r="E135">
        <v>2880048.13</v>
      </c>
      <c r="F135">
        <v>0</v>
      </c>
      <c r="G135">
        <v>2880048.13</v>
      </c>
      <c r="H135">
        <v>40810.93</v>
      </c>
      <c r="I135">
        <v>120363.3</v>
      </c>
      <c r="J135">
        <v>0.85099999999999998</v>
      </c>
      <c r="K135">
        <v>57997.2</v>
      </c>
      <c r="L135">
        <v>0</v>
      </c>
      <c r="M135">
        <v>17325.46</v>
      </c>
      <c r="N135">
        <v>2025</v>
      </c>
      <c r="O135">
        <v>2</v>
      </c>
    </row>
    <row r="136" spans="1:15" x14ac:dyDescent="0.3">
      <c r="A136">
        <v>40617</v>
      </c>
      <c r="B136">
        <v>3204203</v>
      </c>
      <c r="C136" t="s">
        <v>71</v>
      </c>
      <c r="D136">
        <v>0.36499999999999999</v>
      </c>
      <c r="E136">
        <v>1392341.16</v>
      </c>
      <c r="F136">
        <v>0</v>
      </c>
      <c r="G136">
        <v>1392341.16</v>
      </c>
      <c r="H136">
        <v>19729.79</v>
      </c>
      <c r="I136">
        <v>311782.23</v>
      </c>
      <c r="J136">
        <v>0.753</v>
      </c>
      <c r="K136">
        <v>28038.38</v>
      </c>
      <c r="L136">
        <v>0</v>
      </c>
      <c r="M136">
        <v>8375.89</v>
      </c>
      <c r="N136">
        <v>2025</v>
      </c>
      <c r="O136">
        <v>2</v>
      </c>
    </row>
    <row r="137" spans="1:15" x14ac:dyDescent="0.3">
      <c r="A137">
        <v>40618</v>
      </c>
      <c r="B137">
        <v>3204252</v>
      </c>
      <c r="C137" t="s">
        <v>72</v>
      </c>
      <c r="D137">
        <v>0.27</v>
      </c>
      <c r="E137">
        <v>1029950.97</v>
      </c>
      <c r="F137">
        <v>0</v>
      </c>
      <c r="G137">
        <v>1029950.97</v>
      </c>
      <c r="H137">
        <v>14594.64</v>
      </c>
      <c r="I137">
        <v>28518.45</v>
      </c>
      <c r="J137">
        <v>0.316</v>
      </c>
      <c r="K137">
        <v>20740.72</v>
      </c>
      <c r="L137">
        <v>0</v>
      </c>
      <c r="M137">
        <v>6195.86</v>
      </c>
      <c r="N137">
        <v>2025</v>
      </c>
      <c r="O137">
        <v>2</v>
      </c>
    </row>
    <row r="138" spans="1:15" x14ac:dyDescent="0.3">
      <c r="A138">
        <v>40619</v>
      </c>
      <c r="B138">
        <v>1718402</v>
      </c>
      <c r="C138" t="s">
        <v>73</v>
      </c>
      <c r="D138">
        <v>0.39100000000000001</v>
      </c>
      <c r="E138">
        <v>1491521.6</v>
      </c>
      <c r="F138">
        <v>0</v>
      </c>
      <c r="G138">
        <v>1491521.6</v>
      </c>
      <c r="H138">
        <v>21135.200000000001</v>
      </c>
      <c r="I138">
        <v>169421.95</v>
      </c>
      <c r="J138">
        <v>0.56399999999999995</v>
      </c>
      <c r="K138">
        <v>30035.64</v>
      </c>
      <c r="L138">
        <v>0</v>
      </c>
      <c r="M138">
        <v>8972.5300000000007</v>
      </c>
      <c r="N138">
        <v>2025</v>
      </c>
      <c r="O138">
        <v>2</v>
      </c>
    </row>
    <row r="139" spans="1:15" x14ac:dyDescent="0.3">
      <c r="A139">
        <v>40620</v>
      </c>
      <c r="B139">
        <v>3204351</v>
      </c>
      <c r="C139" t="s">
        <v>74</v>
      </c>
      <c r="D139">
        <v>0.88200000000000001</v>
      </c>
      <c r="E139">
        <v>3364506.54</v>
      </c>
      <c r="F139">
        <v>0</v>
      </c>
      <c r="G139">
        <v>3364506.54</v>
      </c>
      <c r="H139">
        <v>47675.82</v>
      </c>
      <c r="I139">
        <v>229726.39</v>
      </c>
      <c r="J139">
        <v>0.71399999999999997</v>
      </c>
      <c r="K139">
        <v>67753.02</v>
      </c>
      <c r="L139">
        <v>0</v>
      </c>
      <c r="M139">
        <v>20239.810000000001</v>
      </c>
      <c r="N139">
        <v>2025</v>
      </c>
      <c r="O139">
        <v>2</v>
      </c>
    </row>
    <row r="140" spans="1:15" x14ac:dyDescent="0.3">
      <c r="A140">
        <v>40621</v>
      </c>
      <c r="B140">
        <v>3204401</v>
      </c>
      <c r="C140" t="s">
        <v>75</v>
      </c>
      <c r="D140">
        <v>0.312</v>
      </c>
      <c r="E140">
        <v>1190165.58</v>
      </c>
      <c r="F140">
        <v>0</v>
      </c>
      <c r="G140">
        <v>1190165.58</v>
      </c>
      <c r="H140">
        <v>16864.919999999998</v>
      </c>
      <c r="I140">
        <v>76111.570000000007</v>
      </c>
      <c r="J140">
        <v>0.45300000000000001</v>
      </c>
      <c r="K140">
        <v>23967.05</v>
      </c>
      <c r="L140">
        <v>0</v>
      </c>
      <c r="M140">
        <v>7159.66</v>
      </c>
      <c r="N140">
        <v>2025</v>
      </c>
      <c r="O140">
        <v>2</v>
      </c>
    </row>
    <row r="141" spans="1:15" x14ac:dyDescent="0.3">
      <c r="A141">
        <v>40622</v>
      </c>
      <c r="B141">
        <v>3204500</v>
      </c>
      <c r="C141" t="s">
        <v>76</v>
      </c>
      <c r="D141">
        <v>0.51800000000000002</v>
      </c>
      <c r="E141">
        <v>1975980.04</v>
      </c>
      <c r="F141">
        <v>0</v>
      </c>
      <c r="G141">
        <v>1975980.04</v>
      </c>
      <c r="H141">
        <v>28000.080000000002</v>
      </c>
      <c r="I141">
        <v>74175.83</v>
      </c>
      <c r="J141">
        <v>0.47899999999999998</v>
      </c>
      <c r="K141">
        <v>39791.449999999997</v>
      </c>
      <c r="L141">
        <v>0</v>
      </c>
      <c r="M141">
        <v>11886.88</v>
      </c>
      <c r="N141">
        <v>2025</v>
      </c>
      <c r="O141">
        <v>2</v>
      </c>
    </row>
    <row r="142" spans="1:15" x14ac:dyDescent="0.3">
      <c r="A142">
        <v>40623</v>
      </c>
      <c r="B142">
        <v>3204559</v>
      </c>
      <c r="C142" t="s">
        <v>77</v>
      </c>
      <c r="D142">
        <v>2.1909999999999998</v>
      </c>
      <c r="E142">
        <v>8357861.5099999998</v>
      </c>
      <c r="F142">
        <v>0</v>
      </c>
      <c r="G142">
        <v>8357861.5099999998</v>
      </c>
      <c r="H142">
        <v>118432.79</v>
      </c>
      <c r="I142">
        <v>1015365.8</v>
      </c>
      <c r="J142">
        <v>1.236</v>
      </c>
      <c r="K142">
        <v>168307.11</v>
      </c>
      <c r="L142">
        <v>0</v>
      </c>
      <c r="M142">
        <v>50278.27</v>
      </c>
      <c r="N142">
        <v>2025</v>
      </c>
      <c r="O142">
        <v>2</v>
      </c>
    </row>
    <row r="143" spans="1:15" x14ac:dyDescent="0.3">
      <c r="A143">
        <v>40624</v>
      </c>
      <c r="B143">
        <v>3204609</v>
      </c>
      <c r="C143" t="s">
        <v>78</v>
      </c>
      <c r="D143">
        <v>0.66</v>
      </c>
      <c r="E143">
        <v>2517657.98</v>
      </c>
      <c r="F143">
        <v>0</v>
      </c>
      <c r="G143">
        <v>2517657.98</v>
      </c>
      <c r="H143">
        <v>35675.78</v>
      </c>
      <c r="I143">
        <v>193754.56</v>
      </c>
      <c r="J143">
        <v>0.82699999999999996</v>
      </c>
      <c r="K143">
        <v>50699.54</v>
      </c>
      <c r="L143">
        <v>0</v>
      </c>
      <c r="M143">
        <v>15145.44</v>
      </c>
      <c r="N143">
        <v>2025</v>
      </c>
      <c r="O143">
        <v>2</v>
      </c>
    </row>
    <row r="144" spans="1:15" x14ac:dyDescent="0.3">
      <c r="A144">
        <v>40625</v>
      </c>
      <c r="B144">
        <v>3204658</v>
      </c>
      <c r="C144" t="s">
        <v>79</v>
      </c>
      <c r="D144">
        <v>0.42099999999999999</v>
      </c>
      <c r="E144">
        <v>1605960.62</v>
      </c>
      <c r="F144">
        <v>0</v>
      </c>
      <c r="G144">
        <v>1605960.62</v>
      </c>
      <c r="H144">
        <v>22756.82</v>
      </c>
      <c r="I144">
        <v>65417.25</v>
      </c>
      <c r="J144">
        <v>0.34300000000000003</v>
      </c>
      <c r="K144">
        <v>32340.16</v>
      </c>
      <c r="L144">
        <v>0</v>
      </c>
      <c r="M144">
        <v>9660.9500000000007</v>
      </c>
      <c r="N144">
        <v>2025</v>
      </c>
      <c r="O144">
        <v>2</v>
      </c>
    </row>
    <row r="145" spans="1:15" x14ac:dyDescent="0.3">
      <c r="A145">
        <v>40626</v>
      </c>
      <c r="B145">
        <v>3204708</v>
      </c>
      <c r="C145" t="s">
        <v>80</v>
      </c>
      <c r="D145">
        <v>0.72299999999999998</v>
      </c>
      <c r="E145">
        <v>2757979.85</v>
      </c>
      <c r="F145">
        <v>0</v>
      </c>
      <c r="G145">
        <v>2757979.85</v>
      </c>
      <c r="H145">
        <v>39081.199999999997</v>
      </c>
      <c r="I145">
        <v>183190.98</v>
      </c>
      <c r="J145">
        <v>1.1040000000000001</v>
      </c>
      <c r="K145">
        <v>55539.040000000001</v>
      </c>
      <c r="L145">
        <v>0</v>
      </c>
      <c r="M145">
        <v>16591.14</v>
      </c>
      <c r="N145">
        <v>2025</v>
      </c>
      <c r="O145">
        <v>2</v>
      </c>
    </row>
    <row r="146" spans="1:15" x14ac:dyDescent="0.3">
      <c r="A146">
        <v>40627</v>
      </c>
      <c r="B146">
        <v>3204807</v>
      </c>
      <c r="C146" t="s">
        <v>81</v>
      </c>
      <c r="D146">
        <v>0.28599999999999998</v>
      </c>
      <c r="E146">
        <v>1090985.1200000001</v>
      </c>
      <c r="F146">
        <v>0</v>
      </c>
      <c r="G146">
        <v>1090985.1200000001</v>
      </c>
      <c r="H146">
        <v>15459.51</v>
      </c>
      <c r="I146">
        <v>78322.62</v>
      </c>
      <c r="J146">
        <v>0.45</v>
      </c>
      <c r="K146">
        <v>21969.8</v>
      </c>
      <c r="L146">
        <v>0</v>
      </c>
      <c r="M146">
        <v>6563.02</v>
      </c>
      <c r="N146">
        <v>2025</v>
      </c>
      <c r="O146">
        <v>2</v>
      </c>
    </row>
    <row r="147" spans="1:15" x14ac:dyDescent="0.3">
      <c r="A147">
        <v>40628</v>
      </c>
      <c r="B147">
        <v>3204906</v>
      </c>
      <c r="C147" t="s">
        <v>82</v>
      </c>
      <c r="D147">
        <v>1.998</v>
      </c>
      <c r="E147">
        <v>7621637.2800000003</v>
      </c>
      <c r="F147">
        <v>0</v>
      </c>
      <c r="G147">
        <v>7621637.2800000003</v>
      </c>
      <c r="H147">
        <v>108000.33</v>
      </c>
      <c r="I147">
        <v>803775.74</v>
      </c>
      <c r="J147">
        <v>2.9870000000000001</v>
      </c>
      <c r="K147">
        <v>153481.32999999999</v>
      </c>
      <c r="L147">
        <v>0</v>
      </c>
      <c r="M147">
        <v>45849.38</v>
      </c>
      <c r="N147">
        <v>2025</v>
      </c>
      <c r="O147">
        <v>2</v>
      </c>
    </row>
    <row r="148" spans="1:15" x14ac:dyDescent="0.3">
      <c r="A148">
        <v>40629</v>
      </c>
      <c r="B148">
        <v>3204955</v>
      </c>
      <c r="C148" t="s">
        <v>83</v>
      </c>
      <c r="D148">
        <v>0.3</v>
      </c>
      <c r="E148">
        <v>1144389.97</v>
      </c>
      <c r="F148">
        <v>0</v>
      </c>
      <c r="G148">
        <v>1144389.97</v>
      </c>
      <c r="H148">
        <v>16216.26</v>
      </c>
      <c r="I148">
        <v>62815.71</v>
      </c>
      <c r="J148">
        <v>0.45</v>
      </c>
      <c r="K148">
        <v>23045.24</v>
      </c>
      <c r="L148">
        <v>0</v>
      </c>
      <c r="M148">
        <v>6884.29</v>
      </c>
      <c r="N148">
        <v>2025</v>
      </c>
      <c r="O148">
        <v>2</v>
      </c>
    </row>
    <row r="149" spans="1:15" x14ac:dyDescent="0.3">
      <c r="A149">
        <v>40630</v>
      </c>
      <c r="B149">
        <v>3205002</v>
      </c>
      <c r="C149" t="s">
        <v>84</v>
      </c>
      <c r="D149">
        <v>14.551</v>
      </c>
      <c r="E149">
        <v>55506728.810000002</v>
      </c>
      <c r="F149">
        <v>0</v>
      </c>
      <c r="G149">
        <v>55506728.810000002</v>
      </c>
      <c r="H149">
        <v>786542.91</v>
      </c>
      <c r="I149">
        <v>2922606.86</v>
      </c>
      <c r="J149">
        <v>8.6910000000000007</v>
      </c>
      <c r="K149">
        <v>1117771.2</v>
      </c>
      <c r="L149">
        <v>0</v>
      </c>
      <c r="M149">
        <v>333911.03999999998</v>
      </c>
      <c r="N149">
        <v>2025</v>
      </c>
      <c r="O149">
        <v>2</v>
      </c>
    </row>
    <row r="150" spans="1:15" x14ac:dyDescent="0.3">
      <c r="A150">
        <v>40631</v>
      </c>
      <c r="B150">
        <v>3205010</v>
      </c>
      <c r="C150" t="s">
        <v>85</v>
      </c>
      <c r="D150">
        <v>0.78200000000000003</v>
      </c>
      <c r="E150">
        <v>2983043.21</v>
      </c>
      <c r="F150">
        <v>0</v>
      </c>
      <c r="G150">
        <v>2983043.21</v>
      </c>
      <c r="H150">
        <v>42270.400000000001</v>
      </c>
      <c r="I150">
        <v>150645.44</v>
      </c>
      <c r="J150">
        <v>0.95199999999999996</v>
      </c>
      <c r="K150">
        <v>60071.27</v>
      </c>
      <c r="L150">
        <v>0</v>
      </c>
      <c r="M150">
        <v>17945.05</v>
      </c>
      <c r="N150">
        <v>2025</v>
      </c>
      <c r="O150">
        <v>2</v>
      </c>
    </row>
    <row r="151" spans="1:15" x14ac:dyDescent="0.3">
      <c r="A151">
        <v>40632</v>
      </c>
      <c r="B151">
        <v>3205036</v>
      </c>
      <c r="C151" t="s">
        <v>86</v>
      </c>
      <c r="D151">
        <v>0.45700000000000002</v>
      </c>
      <c r="E151">
        <v>1743287.41</v>
      </c>
      <c r="F151">
        <v>0</v>
      </c>
      <c r="G151">
        <v>1743287.41</v>
      </c>
      <c r="H151">
        <v>24702.78</v>
      </c>
      <c r="I151">
        <v>123259.77</v>
      </c>
      <c r="J151">
        <v>0.71699999999999997</v>
      </c>
      <c r="K151">
        <v>35105.589999999997</v>
      </c>
      <c r="L151">
        <v>0</v>
      </c>
      <c r="M151">
        <v>10487.07</v>
      </c>
      <c r="N151">
        <v>2025</v>
      </c>
      <c r="O151">
        <v>2</v>
      </c>
    </row>
    <row r="152" spans="1:15" x14ac:dyDescent="0.3">
      <c r="A152">
        <v>40633</v>
      </c>
      <c r="B152">
        <v>3205069</v>
      </c>
      <c r="C152" t="s">
        <v>87</v>
      </c>
      <c r="D152">
        <v>0.67</v>
      </c>
      <c r="E152">
        <v>2555804.29</v>
      </c>
      <c r="F152">
        <v>0</v>
      </c>
      <c r="G152">
        <v>2555804.29</v>
      </c>
      <c r="H152">
        <v>36216.32</v>
      </c>
      <c r="I152">
        <v>272915.53000000003</v>
      </c>
      <c r="J152">
        <v>0.85</v>
      </c>
      <c r="K152">
        <v>51467.71</v>
      </c>
      <c r="L152">
        <v>0</v>
      </c>
      <c r="M152">
        <v>15374.92</v>
      </c>
      <c r="N152">
        <v>2025</v>
      </c>
      <c r="O152">
        <v>2</v>
      </c>
    </row>
    <row r="153" spans="1:15" x14ac:dyDescent="0.3">
      <c r="A153">
        <v>40634</v>
      </c>
      <c r="B153">
        <v>2112803</v>
      </c>
      <c r="C153" t="s">
        <v>88</v>
      </c>
      <c r="D153">
        <v>3.3740000000000001</v>
      </c>
      <c r="E153">
        <v>12870572.68</v>
      </c>
      <c r="F153">
        <v>0</v>
      </c>
      <c r="G153">
        <v>12870572.68</v>
      </c>
      <c r="H153">
        <v>182378.93</v>
      </c>
      <c r="I153">
        <v>384816.49</v>
      </c>
      <c r="J153">
        <v>1.9590000000000001</v>
      </c>
      <c r="K153">
        <v>259182.19</v>
      </c>
      <c r="L153">
        <v>0</v>
      </c>
      <c r="M153">
        <v>77425.320000000007</v>
      </c>
      <c r="N153">
        <v>2025</v>
      </c>
      <c r="O153">
        <v>2</v>
      </c>
    </row>
    <row r="154" spans="1:15" x14ac:dyDescent="0.3">
      <c r="A154">
        <v>40635</v>
      </c>
      <c r="B154">
        <v>3205150</v>
      </c>
      <c r="C154" t="s">
        <v>89</v>
      </c>
      <c r="D154">
        <v>0.36799999999999999</v>
      </c>
      <c r="E154">
        <v>1403785.06</v>
      </c>
      <c r="F154">
        <v>0</v>
      </c>
      <c r="G154">
        <v>1403785.06</v>
      </c>
      <c r="H154">
        <v>19891.95</v>
      </c>
      <c r="I154">
        <v>55042.96</v>
      </c>
      <c r="J154">
        <v>0.34699999999999998</v>
      </c>
      <c r="K154">
        <v>28268.83</v>
      </c>
      <c r="L154">
        <v>0</v>
      </c>
      <c r="M154">
        <v>8444.73</v>
      </c>
      <c r="N154">
        <v>2025</v>
      </c>
      <c r="O154">
        <v>2</v>
      </c>
    </row>
    <row r="155" spans="1:15" x14ac:dyDescent="0.3">
      <c r="A155">
        <v>40636</v>
      </c>
      <c r="B155">
        <v>3205176</v>
      </c>
      <c r="C155" t="s">
        <v>90</v>
      </c>
      <c r="D155">
        <v>0.7</v>
      </c>
      <c r="E155">
        <v>2670243.31</v>
      </c>
      <c r="F155">
        <v>0</v>
      </c>
      <c r="G155">
        <v>2670243.31</v>
      </c>
      <c r="H155">
        <v>37837.949999999997</v>
      </c>
      <c r="I155">
        <v>169342.33</v>
      </c>
      <c r="J155">
        <v>0.56399999999999995</v>
      </c>
      <c r="K155">
        <v>53772.23</v>
      </c>
      <c r="L155">
        <v>0</v>
      </c>
      <c r="M155">
        <v>16063.34</v>
      </c>
      <c r="N155">
        <v>2025</v>
      </c>
      <c r="O155">
        <v>2</v>
      </c>
    </row>
    <row r="156" spans="1:15" x14ac:dyDescent="0.3">
      <c r="A156">
        <v>40637</v>
      </c>
      <c r="B156">
        <v>3205200</v>
      </c>
      <c r="C156" t="s">
        <v>91</v>
      </c>
      <c r="D156">
        <v>6.6219999999999999</v>
      </c>
      <c r="E156">
        <v>25260501.550000001</v>
      </c>
      <c r="F156">
        <v>0</v>
      </c>
      <c r="G156">
        <v>25260501.550000001</v>
      </c>
      <c r="H156">
        <v>357947.02</v>
      </c>
      <c r="I156">
        <v>3574302.58</v>
      </c>
      <c r="J156">
        <v>8.0009999999999994</v>
      </c>
      <c r="K156">
        <v>508685.37</v>
      </c>
      <c r="L156">
        <v>0</v>
      </c>
      <c r="M156">
        <v>151959.24</v>
      </c>
      <c r="N156">
        <v>2025</v>
      </c>
      <c r="O156">
        <v>2</v>
      </c>
    </row>
    <row r="157" spans="1:15" x14ac:dyDescent="0.3">
      <c r="A157">
        <v>40638</v>
      </c>
      <c r="B157">
        <v>3205309</v>
      </c>
      <c r="C157" t="s">
        <v>92</v>
      </c>
      <c r="D157">
        <v>10.878</v>
      </c>
      <c r="E157">
        <v>41495580.630000003</v>
      </c>
      <c r="F157">
        <v>0</v>
      </c>
      <c r="G157">
        <v>41495580.630000003</v>
      </c>
      <c r="H157">
        <v>588001.77</v>
      </c>
      <c r="I157">
        <v>4165885.8</v>
      </c>
      <c r="J157">
        <v>9.2110000000000003</v>
      </c>
      <c r="K157">
        <v>835620.58</v>
      </c>
      <c r="L157">
        <v>0</v>
      </c>
      <c r="M157">
        <v>249624.39</v>
      </c>
      <c r="N157">
        <v>2025</v>
      </c>
      <c r="O157">
        <v>2</v>
      </c>
    </row>
    <row r="158" spans="1:15" x14ac:dyDescent="0.3">
      <c r="A158">
        <v>41029</v>
      </c>
      <c r="B158">
        <v>3200102</v>
      </c>
      <c r="C158" t="s">
        <v>15</v>
      </c>
      <c r="D158">
        <v>0.67100000000000004</v>
      </c>
      <c r="E158">
        <v>3138890.45</v>
      </c>
      <c r="F158">
        <v>0</v>
      </c>
      <c r="G158">
        <v>3138890.45</v>
      </c>
      <c r="H158">
        <v>41016.44</v>
      </c>
      <c r="I158">
        <v>280807.76</v>
      </c>
      <c r="J158">
        <v>1.0169999999999999</v>
      </c>
      <c r="K158">
        <v>53805.93</v>
      </c>
      <c r="L158">
        <v>0</v>
      </c>
      <c r="M158">
        <v>15819.68</v>
      </c>
      <c r="N158">
        <v>2025</v>
      </c>
      <c r="O158">
        <v>6</v>
      </c>
    </row>
    <row r="159" spans="1:15" x14ac:dyDescent="0.3">
      <c r="A159">
        <v>41030</v>
      </c>
      <c r="B159">
        <v>3200169</v>
      </c>
      <c r="C159" t="s">
        <v>16</v>
      </c>
      <c r="D159">
        <v>0.309</v>
      </c>
      <c r="E159">
        <v>1445480.1</v>
      </c>
      <c r="F159">
        <v>0</v>
      </c>
      <c r="G159">
        <v>1445480.1</v>
      </c>
      <c r="H159">
        <v>18888.34</v>
      </c>
      <c r="I159">
        <v>142985.39000000001</v>
      </c>
      <c r="J159">
        <v>0.46500000000000002</v>
      </c>
      <c r="K159">
        <v>24777.99</v>
      </c>
      <c r="L159">
        <v>0</v>
      </c>
      <c r="M159">
        <v>7285.07</v>
      </c>
      <c r="N159">
        <v>2025</v>
      </c>
      <c r="O159">
        <v>6</v>
      </c>
    </row>
    <row r="160" spans="1:15" x14ac:dyDescent="0.3">
      <c r="A160">
        <v>41031</v>
      </c>
      <c r="B160">
        <v>3200136</v>
      </c>
      <c r="C160" t="s">
        <v>17</v>
      </c>
      <c r="D160">
        <v>0.51900000000000002</v>
      </c>
      <c r="E160">
        <v>2427845.2200000002</v>
      </c>
      <c r="F160">
        <v>0</v>
      </c>
      <c r="G160">
        <v>2427845.2200000002</v>
      </c>
      <c r="H160">
        <v>31725.08</v>
      </c>
      <c r="I160">
        <v>134466.84</v>
      </c>
      <c r="J160">
        <v>0.35799999999999998</v>
      </c>
      <c r="K160">
        <v>41617.4</v>
      </c>
      <c r="L160">
        <v>0</v>
      </c>
      <c r="M160">
        <v>12236.09</v>
      </c>
      <c r="N160">
        <v>2025</v>
      </c>
      <c r="O160">
        <v>6</v>
      </c>
    </row>
    <row r="161" spans="1:15" x14ac:dyDescent="0.3">
      <c r="A161">
        <v>41032</v>
      </c>
      <c r="B161">
        <v>3200201</v>
      </c>
      <c r="C161" t="s">
        <v>18</v>
      </c>
      <c r="D161">
        <v>0.41799999999999998</v>
      </c>
      <c r="E161">
        <v>1955374.4</v>
      </c>
      <c r="F161">
        <v>0</v>
      </c>
      <c r="G161">
        <v>1955374.4</v>
      </c>
      <c r="H161">
        <v>25551.22</v>
      </c>
      <c r="I161">
        <v>252140.78</v>
      </c>
      <c r="J161">
        <v>0.98699999999999999</v>
      </c>
      <c r="K161">
        <v>33518.449999999997</v>
      </c>
      <c r="L161">
        <v>0</v>
      </c>
      <c r="M161">
        <v>9854.8799999999992</v>
      </c>
      <c r="N161">
        <v>2025</v>
      </c>
      <c r="O161">
        <v>6</v>
      </c>
    </row>
    <row r="162" spans="1:15" x14ac:dyDescent="0.3">
      <c r="A162">
        <v>41033</v>
      </c>
      <c r="B162">
        <v>3200300</v>
      </c>
      <c r="C162" t="s">
        <v>19</v>
      </c>
      <c r="D162">
        <v>0.442</v>
      </c>
      <c r="E162">
        <v>2067644.68</v>
      </c>
      <c r="F162">
        <v>0</v>
      </c>
      <c r="G162">
        <v>2067644.68</v>
      </c>
      <c r="H162">
        <v>27018.28</v>
      </c>
      <c r="I162">
        <v>208200.87</v>
      </c>
      <c r="J162">
        <v>0.56599999999999995</v>
      </c>
      <c r="K162">
        <v>35442.949999999997</v>
      </c>
      <c r="L162">
        <v>0</v>
      </c>
      <c r="M162">
        <v>10420.709999999999</v>
      </c>
      <c r="N162">
        <v>2025</v>
      </c>
      <c r="O162">
        <v>6</v>
      </c>
    </row>
    <row r="163" spans="1:15" x14ac:dyDescent="0.3">
      <c r="A163">
        <v>41034</v>
      </c>
      <c r="B163">
        <v>3200359</v>
      </c>
      <c r="C163" t="s">
        <v>20</v>
      </c>
      <c r="D163">
        <v>0.25800000000000001</v>
      </c>
      <c r="E163">
        <v>1206905.72</v>
      </c>
      <c r="F163">
        <v>0</v>
      </c>
      <c r="G163">
        <v>1206905.72</v>
      </c>
      <c r="H163">
        <v>15770.85</v>
      </c>
      <c r="I163">
        <v>86176.63</v>
      </c>
      <c r="J163">
        <v>0.32800000000000001</v>
      </c>
      <c r="K163">
        <v>20688.419999999998</v>
      </c>
      <c r="L163">
        <v>0</v>
      </c>
      <c r="M163">
        <v>6082.68</v>
      </c>
      <c r="N163">
        <v>2025</v>
      </c>
      <c r="O163">
        <v>6</v>
      </c>
    </row>
    <row r="164" spans="1:15" x14ac:dyDescent="0.3">
      <c r="A164">
        <v>41035</v>
      </c>
      <c r="B164">
        <v>3200409</v>
      </c>
      <c r="C164" t="s">
        <v>21</v>
      </c>
      <c r="D164">
        <v>3.4780000000000002</v>
      </c>
      <c r="E164">
        <v>16269837.619999999</v>
      </c>
      <c r="F164">
        <v>0</v>
      </c>
      <c r="G164">
        <v>16269837.619999999</v>
      </c>
      <c r="H164">
        <v>212600.84</v>
      </c>
      <c r="I164">
        <v>412877.09</v>
      </c>
      <c r="J164">
        <v>0.93</v>
      </c>
      <c r="K164">
        <v>278892.71999999997</v>
      </c>
      <c r="L164">
        <v>0</v>
      </c>
      <c r="M164">
        <v>81998.289999999994</v>
      </c>
      <c r="N164">
        <v>2025</v>
      </c>
      <c r="O164">
        <v>6</v>
      </c>
    </row>
    <row r="165" spans="1:15" x14ac:dyDescent="0.3">
      <c r="A165">
        <v>41036</v>
      </c>
      <c r="B165">
        <v>3200508</v>
      </c>
      <c r="C165" t="s">
        <v>22</v>
      </c>
      <c r="D165">
        <v>0.23799999999999999</v>
      </c>
      <c r="E165">
        <v>1113347.1100000001</v>
      </c>
      <c r="F165">
        <v>0</v>
      </c>
      <c r="G165">
        <v>1113347.1100000001</v>
      </c>
      <c r="H165">
        <v>14548.3</v>
      </c>
      <c r="I165">
        <v>113722.67</v>
      </c>
      <c r="J165">
        <v>0.32500000000000001</v>
      </c>
      <c r="K165">
        <v>19084.66</v>
      </c>
      <c r="L165">
        <v>0</v>
      </c>
      <c r="M165">
        <v>5611.15</v>
      </c>
      <c r="N165">
        <v>2025</v>
      </c>
      <c r="O165">
        <v>6</v>
      </c>
    </row>
    <row r="166" spans="1:15" x14ac:dyDescent="0.3">
      <c r="A166">
        <v>41037</v>
      </c>
      <c r="B166">
        <v>3200607</v>
      </c>
      <c r="C166" t="s">
        <v>23</v>
      </c>
      <c r="D166">
        <v>4.4800000000000004</v>
      </c>
      <c r="E166">
        <v>20957122.640000001</v>
      </c>
      <c r="F166">
        <v>0</v>
      </c>
      <c r="G166">
        <v>20957122.640000001</v>
      </c>
      <c r="H166">
        <v>273850.42</v>
      </c>
      <c r="I166">
        <v>1278729.3899999999</v>
      </c>
      <c r="J166">
        <v>2.456</v>
      </c>
      <c r="K166">
        <v>359240.76</v>
      </c>
      <c r="L166">
        <v>0</v>
      </c>
      <c r="M166">
        <v>105621.73</v>
      </c>
      <c r="N166">
        <v>2025</v>
      </c>
      <c r="O166">
        <v>6</v>
      </c>
    </row>
    <row r="167" spans="1:15" x14ac:dyDescent="0.3">
      <c r="A167">
        <v>41038</v>
      </c>
      <c r="B167">
        <v>3200706</v>
      </c>
      <c r="C167" t="s">
        <v>24</v>
      </c>
      <c r="D167">
        <v>0.39500000000000002</v>
      </c>
      <c r="E167">
        <v>1847782.01</v>
      </c>
      <c r="F167">
        <v>0</v>
      </c>
      <c r="G167">
        <v>1847782.01</v>
      </c>
      <c r="H167">
        <v>24145.29</v>
      </c>
      <c r="I167">
        <v>100776.93</v>
      </c>
      <c r="J167">
        <v>0.44600000000000001</v>
      </c>
      <c r="K167">
        <v>31674.13</v>
      </c>
      <c r="L167">
        <v>0</v>
      </c>
      <c r="M167">
        <v>9312.6299999999992</v>
      </c>
      <c r="N167">
        <v>2025</v>
      </c>
      <c r="O167">
        <v>6</v>
      </c>
    </row>
    <row r="168" spans="1:15" x14ac:dyDescent="0.3">
      <c r="A168">
        <v>41039</v>
      </c>
      <c r="B168">
        <v>3200805</v>
      </c>
      <c r="C168" t="s">
        <v>25</v>
      </c>
      <c r="D168">
        <v>0.54</v>
      </c>
      <c r="E168">
        <v>2526081.7599999998</v>
      </c>
      <c r="F168">
        <v>0</v>
      </c>
      <c r="G168">
        <v>2526081.7599999998</v>
      </c>
      <c r="H168">
        <v>33008.76</v>
      </c>
      <c r="I168">
        <v>657624.02</v>
      </c>
      <c r="J168">
        <v>1.016</v>
      </c>
      <c r="K168">
        <v>43301.34</v>
      </c>
      <c r="L168">
        <v>0</v>
      </c>
      <c r="M168">
        <v>12731.19</v>
      </c>
      <c r="N168">
        <v>2025</v>
      </c>
      <c r="O168">
        <v>6</v>
      </c>
    </row>
    <row r="169" spans="1:15" x14ac:dyDescent="0.3">
      <c r="A169">
        <v>41040</v>
      </c>
      <c r="B169">
        <v>3200904</v>
      </c>
      <c r="C169" t="s">
        <v>26</v>
      </c>
      <c r="D169">
        <v>0.81299999999999994</v>
      </c>
      <c r="E169">
        <v>3803156.39</v>
      </c>
      <c r="F169">
        <v>0</v>
      </c>
      <c r="G169">
        <v>3803156.39</v>
      </c>
      <c r="H169">
        <v>49696.52</v>
      </c>
      <c r="I169">
        <v>815148.37</v>
      </c>
      <c r="J169">
        <v>1.3140000000000001</v>
      </c>
      <c r="K169">
        <v>65192.57</v>
      </c>
      <c r="L169">
        <v>0</v>
      </c>
      <c r="M169">
        <v>19167.509999999998</v>
      </c>
      <c r="N169">
        <v>2025</v>
      </c>
      <c r="O169">
        <v>6</v>
      </c>
    </row>
    <row r="170" spans="1:15" x14ac:dyDescent="0.3">
      <c r="A170">
        <v>41041</v>
      </c>
      <c r="B170">
        <v>3107109</v>
      </c>
      <c r="C170" t="s">
        <v>27</v>
      </c>
      <c r="D170">
        <v>0.48699999999999999</v>
      </c>
      <c r="E170">
        <v>2278151.52</v>
      </c>
      <c r="F170">
        <v>0</v>
      </c>
      <c r="G170">
        <v>2278151.52</v>
      </c>
      <c r="H170">
        <v>29769.01</v>
      </c>
      <c r="I170">
        <v>163612.18</v>
      </c>
      <c r="J170">
        <v>0.56299999999999994</v>
      </c>
      <c r="K170">
        <v>39051.4</v>
      </c>
      <c r="L170">
        <v>0</v>
      </c>
      <c r="M170">
        <v>11481.65</v>
      </c>
      <c r="N170">
        <v>2025</v>
      </c>
      <c r="O170">
        <v>6</v>
      </c>
    </row>
    <row r="171" spans="1:15" x14ac:dyDescent="0.3">
      <c r="A171">
        <v>41042</v>
      </c>
      <c r="B171">
        <v>3201100</v>
      </c>
      <c r="C171" t="s">
        <v>28</v>
      </c>
      <c r="D171">
        <v>0.247</v>
      </c>
      <c r="E171">
        <v>1155448.49</v>
      </c>
      <c r="F171">
        <v>0</v>
      </c>
      <c r="G171">
        <v>1155448.49</v>
      </c>
      <c r="H171">
        <v>15098.45</v>
      </c>
      <c r="I171">
        <v>374391.12</v>
      </c>
      <c r="J171">
        <v>0.442</v>
      </c>
      <c r="K171">
        <v>19806.36</v>
      </c>
      <c r="L171">
        <v>0</v>
      </c>
      <c r="M171">
        <v>5823.34</v>
      </c>
      <c r="N171">
        <v>2025</v>
      </c>
      <c r="O171">
        <v>6</v>
      </c>
    </row>
    <row r="172" spans="1:15" x14ac:dyDescent="0.3">
      <c r="A172">
        <v>41043</v>
      </c>
      <c r="B172">
        <v>3201159</v>
      </c>
      <c r="C172" t="s">
        <v>29</v>
      </c>
      <c r="D172">
        <v>0.40699999999999997</v>
      </c>
      <c r="E172">
        <v>1903917.19</v>
      </c>
      <c r="F172">
        <v>0</v>
      </c>
      <c r="G172">
        <v>1903917.19</v>
      </c>
      <c r="H172">
        <v>24878.82</v>
      </c>
      <c r="I172">
        <v>157579.96</v>
      </c>
      <c r="J172">
        <v>0.47799999999999998</v>
      </c>
      <c r="K172">
        <v>32636.39</v>
      </c>
      <c r="L172">
        <v>0</v>
      </c>
      <c r="M172">
        <v>9595.5499999999993</v>
      </c>
      <c r="N172">
        <v>2025</v>
      </c>
      <c r="O172">
        <v>6</v>
      </c>
    </row>
    <row r="173" spans="1:15" x14ac:dyDescent="0.3">
      <c r="A173">
        <v>41044</v>
      </c>
      <c r="B173">
        <v>3201209</v>
      </c>
      <c r="C173" t="s">
        <v>30</v>
      </c>
      <c r="D173">
        <v>2.5920000000000001</v>
      </c>
      <c r="E173">
        <v>12125192.390000001</v>
      </c>
      <c r="F173">
        <v>0</v>
      </c>
      <c r="G173">
        <v>12125192.390000001</v>
      </c>
      <c r="H173">
        <v>158442.03</v>
      </c>
      <c r="I173">
        <v>2564164.02</v>
      </c>
      <c r="J173">
        <v>4.3239999999999998</v>
      </c>
      <c r="K173">
        <v>207846.44</v>
      </c>
      <c r="L173">
        <v>0</v>
      </c>
      <c r="M173">
        <v>61109.71</v>
      </c>
      <c r="N173">
        <v>2025</v>
      </c>
      <c r="O173">
        <v>6</v>
      </c>
    </row>
    <row r="174" spans="1:15" x14ac:dyDescent="0.3">
      <c r="A174">
        <v>41045</v>
      </c>
      <c r="B174">
        <v>3201308</v>
      </c>
      <c r="C174" t="s">
        <v>31</v>
      </c>
      <c r="D174">
        <v>8.3239999999999998</v>
      </c>
      <c r="E174">
        <v>38939082.270000003</v>
      </c>
      <c r="F174">
        <v>0</v>
      </c>
      <c r="G174">
        <v>38939082.270000003</v>
      </c>
      <c r="H174">
        <v>508823.86</v>
      </c>
      <c r="I174">
        <v>3379631.84</v>
      </c>
      <c r="J174">
        <v>6.5110000000000001</v>
      </c>
      <c r="K174">
        <v>667482.16</v>
      </c>
      <c r="L174">
        <v>0</v>
      </c>
      <c r="M174">
        <v>196248.94</v>
      </c>
      <c r="N174">
        <v>2025</v>
      </c>
      <c r="O174">
        <v>6</v>
      </c>
    </row>
    <row r="175" spans="1:15" x14ac:dyDescent="0.3">
      <c r="A175">
        <v>41046</v>
      </c>
      <c r="B175">
        <v>3201407</v>
      </c>
      <c r="C175" t="s">
        <v>32</v>
      </c>
      <c r="D175">
        <v>0.80700000000000005</v>
      </c>
      <c r="E175">
        <v>3775088.84</v>
      </c>
      <c r="F175">
        <v>0</v>
      </c>
      <c r="G175">
        <v>3775088.84</v>
      </c>
      <c r="H175">
        <v>49329.75</v>
      </c>
      <c r="I175">
        <v>626483.80000000005</v>
      </c>
      <c r="J175">
        <v>1.165</v>
      </c>
      <c r="K175">
        <v>64711.45</v>
      </c>
      <c r="L175">
        <v>0</v>
      </c>
      <c r="M175">
        <v>19026.060000000001</v>
      </c>
      <c r="N175">
        <v>2025</v>
      </c>
      <c r="O175">
        <v>6</v>
      </c>
    </row>
    <row r="176" spans="1:15" x14ac:dyDescent="0.3">
      <c r="A176">
        <v>41047</v>
      </c>
      <c r="B176">
        <v>3201506</v>
      </c>
      <c r="C176" t="s">
        <v>33</v>
      </c>
      <c r="D176">
        <v>2.0139999999999998</v>
      </c>
      <c r="E176">
        <v>9421349.3100000005</v>
      </c>
      <c r="F176">
        <v>0</v>
      </c>
      <c r="G176">
        <v>9421349.3100000005</v>
      </c>
      <c r="H176">
        <v>123110.44</v>
      </c>
      <c r="I176">
        <v>1959548</v>
      </c>
      <c r="J176">
        <v>2.875</v>
      </c>
      <c r="K176">
        <v>161497.96</v>
      </c>
      <c r="L176">
        <v>0</v>
      </c>
      <c r="M176">
        <v>47482.62</v>
      </c>
      <c r="N176">
        <v>2025</v>
      </c>
      <c r="O176">
        <v>6</v>
      </c>
    </row>
    <row r="177" spans="1:15" x14ac:dyDescent="0.3">
      <c r="A177">
        <v>41048</v>
      </c>
      <c r="B177">
        <v>3201605</v>
      </c>
      <c r="C177" t="s">
        <v>34</v>
      </c>
      <c r="D177">
        <v>0.60099999999999998</v>
      </c>
      <c r="E177">
        <v>2811435.43</v>
      </c>
      <c r="F177">
        <v>0</v>
      </c>
      <c r="G177">
        <v>2811435.43</v>
      </c>
      <c r="H177">
        <v>36737.519999999997</v>
      </c>
      <c r="I177">
        <v>262891.42</v>
      </c>
      <c r="J177">
        <v>0.96399999999999997</v>
      </c>
      <c r="K177">
        <v>48192.79</v>
      </c>
      <c r="L177">
        <v>0</v>
      </c>
      <c r="M177">
        <v>14169.34</v>
      </c>
      <c r="N177">
        <v>2025</v>
      </c>
      <c r="O177">
        <v>6</v>
      </c>
    </row>
    <row r="178" spans="1:15" x14ac:dyDescent="0.3">
      <c r="A178">
        <v>41049</v>
      </c>
      <c r="B178">
        <v>3201704</v>
      </c>
      <c r="C178" t="s">
        <v>35</v>
      </c>
      <c r="D178">
        <v>0.371</v>
      </c>
      <c r="E178">
        <v>1735511.72</v>
      </c>
      <c r="F178">
        <v>0</v>
      </c>
      <c r="G178">
        <v>1735511.72</v>
      </c>
      <c r="H178">
        <v>22678.240000000002</v>
      </c>
      <c r="I178">
        <v>117814.98</v>
      </c>
      <c r="J178">
        <v>0.46400000000000002</v>
      </c>
      <c r="K178">
        <v>29749.62</v>
      </c>
      <c r="L178">
        <v>0</v>
      </c>
      <c r="M178">
        <v>8746.7999999999993</v>
      </c>
      <c r="N178">
        <v>2025</v>
      </c>
      <c r="O178">
        <v>6</v>
      </c>
    </row>
    <row r="179" spans="1:15" x14ac:dyDescent="0.3">
      <c r="A179">
        <v>41050</v>
      </c>
      <c r="B179">
        <v>3201803</v>
      </c>
      <c r="C179" t="s">
        <v>36</v>
      </c>
      <c r="D179">
        <v>0.187</v>
      </c>
      <c r="E179">
        <v>874772.75</v>
      </c>
      <c r="F179">
        <v>0</v>
      </c>
      <c r="G179">
        <v>874772.75</v>
      </c>
      <c r="H179">
        <v>11430.81</v>
      </c>
      <c r="I179">
        <v>46558.01</v>
      </c>
      <c r="J179">
        <v>0.29699999999999999</v>
      </c>
      <c r="K179">
        <v>14995.09</v>
      </c>
      <c r="L179">
        <v>0</v>
      </c>
      <c r="M179">
        <v>4408.76</v>
      </c>
      <c r="N179">
        <v>2025</v>
      </c>
      <c r="O179">
        <v>6</v>
      </c>
    </row>
    <row r="180" spans="1:15" x14ac:dyDescent="0.3">
      <c r="A180">
        <v>41051</v>
      </c>
      <c r="B180">
        <v>3201902</v>
      </c>
      <c r="C180" t="s">
        <v>37</v>
      </c>
      <c r="D180">
        <v>1.0620000000000001</v>
      </c>
      <c r="E180">
        <v>4967960.7699999996</v>
      </c>
      <c r="F180">
        <v>0</v>
      </c>
      <c r="G180">
        <v>4967960.7699999996</v>
      </c>
      <c r="H180">
        <v>64917.22</v>
      </c>
      <c r="I180">
        <v>456615.79</v>
      </c>
      <c r="J180">
        <v>1.0780000000000001</v>
      </c>
      <c r="K180">
        <v>85159.31</v>
      </c>
      <c r="L180">
        <v>0</v>
      </c>
      <c r="M180">
        <v>25038.01</v>
      </c>
      <c r="N180">
        <v>2025</v>
      </c>
      <c r="O180">
        <v>6</v>
      </c>
    </row>
    <row r="181" spans="1:15" x14ac:dyDescent="0.3">
      <c r="A181">
        <v>41052</v>
      </c>
      <c r="B181">
        <v>3202009</v>
      </c>
      <c r="C181" t="s">
        <v>38</v>
      </c>
      <c r="D181">
        <v>0.34899999999999998</v>
      </c>
      <c r="E181">
        <v>1632597.27</v>
      </c>
      <c r="F181">
        <v>0</v>
      </c>
      <c r="G181">
        <v>1632597.27</v>
      </c>
      <c r="H181">
        <v>21333.439999999999</v>
      </c>
      <c r="I181">
        <v>176692.06</v>
      </c>
      <c r="J181">
        <v>0.317</v>
      </c>
      <c r="K181">
        <v>27985.5</v>
      </c>
      <c r="L181">
        <v>0</v>
      </c>
      <c r="M181">
        <v>8228.1200000000008</v>
      </c>
      <c r="N181">
        <v>2025</v>
      </c>
      <c r="O181">
        <v>6</v>
      </c>
    </row>
    <row r="182" spans="1:15" x14ac:dyDescent="0.3">
      <c r="A182">
        <v>41053</v>
      </c>
      <c r="B182">
        <v>3202108</v>
      </c>
      <c r="C182" t="s">
        <v>39</v>
      </c>
      <c r="D182">
        <v>0.57099999999999995</v>
      </c>
      <c r="E182">
        <v>2671097.56</v>
      </c>
      <c r="F182">
        <v>0</v>
      </c>
      <c r="G182">
        <v>2671097.56</v>
      </c>
      <c r="H182">
        <v>34903.699999999997</v>
      </c>
      <c r="I182">
        <v>225746.78</v>
      </c>
      <c r="J182">
        <v>0.81599999999999995</v>
      </c>
      <c r="K182">
        <v>45787.16</v>
      </c>
      <c r="L182">
        <v>0</v>
      </c>
      <c r="M182">
        <v>13462.05</v>
      </c>
      <c r="N182">
        <v>2025</v>
      </c>
      <c r="O182">
        <v>6</v>
      </c>
    </row>
    <row r="183" spans="1:15" x14ac:dyDescent="0.3">
      <c r="A183">
        <v>41054</v>
      </c>
      <c r="B183">
        <v>3202207</v>
      </c>
      <c r="C183" t="s">
        <v>40</v>
      </c>
      <c r="D183">
        <v>0.36799999999999999</v>
      </c>
      <c r="E183">
        <v>1721477.93</v>
      </c>
      <c r="F183">
        <v>0</v>
      </c>
      <c r="G183">
        <v>1721477.93</v>
      </c>
      <c r="H183">
        <v>22494.86</v>
      </c>
      <c r="I183">
        <v>189139.22</v>
      </c>
      <c r="J183">
        <v>0.69699999999999995</v>
      </c>
      <c r="K183">
        <v>29509.06</v>
      </c>
      <c r="L183">
        <v>0</v>
      </c>
      <c r="M183">
        <v>8676.07</v>
      </c>
      <c r="N183">
        <v>2025</v>
      </c>
      <c r="O183">
        <v>6</v>
      </c>
    </row>
    <row r="184" spans="1:15" x14ac:dyDescent="0.3">
      <c r="A184">
        <v>41055</v>
      </c>
      <c r="B184">
        <v>3202256</v>
      </c>
      <c r="C184" t="s">
        <v>41</v>
      </c>
      <c r="D184">
        <v>0.53100000000000003</v>
      </c>
      <c r="E184">
        <v>2483980.38</v>
      </c>
      <c r="F184">
        <v>0</v>
      </c>
      <c r="G184">
        <v>2483980.38</v>
      </c>
      <c r="H184">
        <v>32458.61</v>
      </c>
      <c r="I184">
        <v>178583.87</v>
      </c>
      <c r="J184">
        <v>0.45200000000000001</v>
      </c>
      <c r="K184">
        <v>42579.65</v>
      </c>
      <c r="L184">
        <v>0</v>
      </c>
      <c r="M184">
        <v>12519</v>
      </c>
      <c r="N184">
        <v>2025</v>
      </c>
      <c r="O184">
        <v>6</v>
      </c>
    </row>
    <row r="185" spans="1:15" x14ac:dyDescent="0.3">
      <c r="A185">
        <v>41056</v>
      </c>
      <c r="B185">
        <v>3202306</v>
      </c>
      <c r="C185" t="s">
        <v>42</v>
      </c>
      <c r="D185">
        <v>0.36699999999999999</v>
      </c>
      <c r="E185">
        <v>1716800</v>
      </c>
      <c r="F185">
        <v>0</v>
      </c>
      <c r="G185">
        <v>1716800</v>
      </c>
      <c r="H185">
        <v>22433.73</v>
      </c>
      <c r="I185">
        <v>415281.86</v>
      </c>
      <c r="J185">
        <v>0.98899999999999999</v>
      </c>
      <c r="K185">
        <v>29428.87</v>
      </c>
      <c r="L185">
        <v>0</v>
      </c>
      <c r="M185">
        <v>8652.49</v>
      </c>
      <c r="N185">
        <v>2025</v>
      </c>
      <c r="O185">
        <v>6</v>
      </c>
    </row>
    <row r="186" spans="1:15" x14ac:dyDescent="0.3">
      <c r="A186">
        <v>41057</v>
      </c>
      <c r="B186">
        <v>3202405</v>
      </c>
      <c r="C186" t="s">
        <v>43</v>
      </c>
      <c r="D186">
        <v>0.79</v>
      </c>
      <c r="E186">
        <v>3695564.05</v>
      </c>
      <c r="F186">
        <v>0</v>
      </c>
      <c r="G186">
        <v>3695564.05</v>
      </c>
      <c r="H186">
        <v>48290.59</v>
      </c>
      <c r="I186">
        <v>2530023.15</v>
      </c>
      <c r="J186">
        <v>2.9359999999999999</v>
      </c>
      <c r="K186">
        <v>63348.26</v>
      </c>
      <c r="L186">
        <v>0</v>
      </c>
      <c r="M186">
        <v>18625.259999999998</v>
      </c>
      <c r="N186">
        <v>2025</v>
      </c>
      <c r="O186">
        <v>6</v>
      </c>
    </row>
    <row r="187" spans="1:15" x14ac:dyDescent="0.3">
      <c r="A187">
        <v>41058</v>
      </c>
      <c r="B187">
        <v>3202454</v>
      </c>
      <c r="C187" t="s">
        <v>44</v>
      </c>
      <c r="D187">
        <v>0.33900000000000002</v>
      </c>
      <c r="E187">
        <v>1585817.97</v>
      </c>
      <c r="F187">
        <v>0</v>
      </c>
      <c r="G187">
        <v>1585817.97</v>
      </c>
      <c r="H187">
        <v>20722.16</v>
      </c>
      <c r="I187">
        <v>486427.16</v>
      </c>
      <c r="J187">
        <v>0.87</v>
      </c>
      <c r="K187">
        <v>27183.62</v>
      </c>
      <c r="L187">
        <v>0</v>
      </c>
      <c r="M187">
        <v>7992.36</v>
      </c>
      <c r="N187">
        <v>2025</v>
      </c>
      <c r="O187">
        <v>6</v>
      </c>
    </row>
    <row r="188" spans="1:15" x14ac:dyDescent="0.3">
      <c r="A188">
        <v>41059</v>
      </c>
      <c r="B188">
        <v>3202504</v>
      </c>
      <c r="C188" t="s">
        <v>45</v>
      </c>
      <c r="D188">
        <v>0.307</v>
      </c>
      <c r="E188">
        <v>1436124.27</v>
      </c>
      <c r="F188">
        <v>0</v>
      </c>
      <c r="G188">
        <v>1436124.27</v>
      </c>
      <c r="H188">
        <v>18766.09</v>
      </c>
      <c r="I188">
        <v>144155.26999999999</v>
      </c>
      <c r="J188">
        <v>0.46100000000000002</v>
      </c>
      <c r="K188">
        <v>24617.62</v>
      </c>
      <c r="L188">
        <v>0</v>
      </c>
      <c r="M188">
        <v>7237.92</v>
      </c>
      <c r="N188">
        <v>2025</v>
      </c>
      <c r="O188">
        <v>6</v>
      </c>
    </row>
    <row r="189" spans="1:15" x14ac:dyDescent="0.3">
      <c r="A189">
        <v>41060</v>
      </c>
      <c r="B189">
        <v>3202553</v>
      </c>
      <c r="C189" t="s">
        <v>46</v>
      </c>
      <c r="D189">
        <v>0.28399999999999997</v>
      </c>
      <c r="E189">
        <v>1328531.8799999999</v>
      </c>
      <c r="F189">
        <v>0</v>
      </c>
      <c r="G189">
        <v>1328531.8799999999</v>
      </c>
      <c r="H189">
        <v>17360.16</v>
      </c>
      <c r="I189">
        <v>86059.520000000004</v>
      </c>
      <c r="J189">
        <v>0.35499999999999998</v>
      </c>
      <c r="K189">
        <v>22773.3</v>
      </c>
      <c r="L189">
        <v>0</v>
      </c>
      <c r="M189">
        <v>6695.66</v>
      </c>
      <c r="N189">
        <v>2025</v>
      </c>
      <c r="O189">
        <v>6</v>
      </c>
    </row>
    <row r="190" spans="1:15" x14ac:dyDescent="0.3">
      <c r="A190">
        <v>41061</v>
      </c>
      <c r="B190">
        <v>3202603</v>
      </c>
      <c r="C190" t="s">
        <v>47</v>
      </c>
      <c r="D190">
        <v>0.314</v>
      </c>
      <c r="E190">
        <v>1468869.77</v>
      </c>
      <c r="F190">
        <v>0</v>
      </c>
      <c r="G190">
        <v>1468869.77</v>
      </c>
      <c r="H190">
        <v>19193.98</v>
      </c>
      <c r="I190">
        <v>261752.35</v>
      </c>
      <c r="J190">
        <v>0.53700000000000003</v>
      </c>
      <c r="K190">
        <v>25178.93</v>
      </c>
      <c r="L190">
        <v>0</v>
      </c>
      <c r="M190">
        <v>7402.95</v>
      </c>
      <c r="N190">
        <v>2025</v>
      </c>
      <c r="O190">
        <v>6</v>
      </c>
    </row>
    <row r="191" spans="1:15" x14ac:dyDescent="0.3">
      <c r="A191">
        <v>41062</v>
      </c>
      <c r="B191">
        <v>3202652</v>
      </c>
      <c r="C191" t="s">
        <v>48</v>
      </c>
      <c r="D191">
        <v>0.316</v>
      </c>
      <c r="E191">
        <v>1478225.61</v>
      </c>
      <c r="F191">
        <v>0</v>
      </c>
      <c r="G191">
        <v>1478225.61</v>
      </c>
      <c r="H191">
        <v>19316.240000000002</v>
      </c>
      <c r="I191">
        <v>199068.73</v>
      </c>
      <c r="J191">
        <v>0.56399999999999995</v>
      </c>
      <c r="K191">
        <v>25339.3</v>
      </c>
      <c r="L191">
        <v>0</v>
      </c>
      <c r="M191">
        <v>7450.1</v>
      </c>
      <c r="N191">
        <v>2025</v>
      </c>
      <c r="O191">
        <v>6</v>
      </c>
    </row>
    <row r="192" spans="1:15" x14ac:dyDescent="0.3">
      <c r="A192">
        <v>41063</v>
      </c>
      <c r="B192">
        <v>3202702</v>
      </c>
      <c r="C192" t="s">
        <v>49</v>
      </c>
      <c r="D192">
        <v>0.40400000000000003</v>
      </c>
      <c r="E192">
        <v>1889883.38</v>
      </c>
      <c r="F192">
        <v>0</v>
      </c>
      <c r="G192">
        <v>1889883.38</v>
      </c>
      <c r="H192">
        <v>24695.439999999999</v>
      </c>
      <c r="I192">
        <v>114754.38</v>
      </c>
      <c r="J192">
        <v>0.56200000000000006</v>
      </c>
      <c r="K192">
        <v>32395.82</v>
      </c>
      <c r="L192">
        <v>0</v>
      </c>
      <c r="M192">
        <v>9524.82</v>
      </c>
      <c r="N192">
        <v>2025</v>
      </c>
      <c r="O192">
        <v>6</v>
      </c>
    </row>
    <row r="193" spans="1:15" x14ac:dyDescent="0.3">
      <c r="A193">
        <v>41064</v>
      </c>
      <c r="B193">
        <v>3202801</v>
      </c>
      <c r="C193" t="s">
        <v>50</v>
      </c>
      <c r="D193">
        <v>3.4060000000000001</v>
      </c>
      <c r="E193">
        <v>15933026.699999999</v>
      </c>
      <c r="F193">
        <v>0</v>
      </c>
      <c r="G193">
        <v>15933026.699999999</v>
      </c>
      <c r="H193">
        <v>208199.67</v>
      </c>
      <c r="I193">
        <v>417580.59</v>
      </c>
      <c r="J193">
        <v>1.2130000000000001</v>
      </c>
      <c r="K193">
        <v>273119.2</v>
      </c>
      <c r="L193">
        <v>0</v>
      </c>
      <c r="M193">
        <v>80300.800000000003</v>
      </c>
      <c r="N193">
        <v>2025</v>
      </c>
      <c r="O193">
        <v>6</v>
      </c>
    </row>
    <row r="194" spans="1:15" x14ac:dyDescent="0.3">
      <c r="A194">
        <v>41065</v>
      </c>
      <c r="B194">
        <v>3202900</v>
      </c>
      <c r="C194" t="s">
        <v>51</v>
      </c>
      <c r="D194">
        <v>0.39200000000000002</v>
      </c>
      <c r="E194">
        <v>1833748.24</v>
      </c>
      <c r="F194">
        <v>0</v>
      </c>
      <c r="G194">
        <v>1833748.24</v>
      </c>
      <c r="H194">
        <v>23961.91</v>
      </c>
      <c r="I194">
        <v>201150.05</v>
      </c>
      <c r="J194">
        <v>0.44600000000000001</v>
      </c>
      <c r="K194">
        <v>31433.57</v>
      </c>
      <c r="L194">
        <v>0</v>
      </c>
      <c r="M194">
        <v>9241.9</v>
      </c>
      <c r="N194">
        <v>2025</v>
      </c>
      <c r="O194">
        <v>6</v>
      </c>
    </row>
    <row r="195" spans="1:15" x14ac:dyDescent="0.3">
      <c r="A195">
        <v>41066</v>
      </c>
      <c r="B195">
        <v>3203007</v>
      </c>
      <c r="C195" t="s">
        <v>52</v>
      </c>
      <c r="D195">
        <v>0.5</v>
      </c>
      <c r="E195">
        <v>2338964.58</v>
      </c>
      <c r="F195">
        <v>0</v>
      </c>
      <c r="G195">
        <v>2338964.58</v>
      </c>
      <c r="H195">
        <v>30563.66</v>
      </c>
      <c r="I195">
        <v>349085.69</v>
      </c>
      <c r="J195">
        <v>0.91200000000000003</v>
      </c>
      <c r="K195">
        <v>40093.83</v>
      </c>
      <c r="L195">
        <v>0</v>
      </c>
      <c r="M195">
        <v>11788.14</v>
      </c>
      <c r="N195">
        <v>2025</v>
      </c>
      <c r="O195">
        <v>6</v>
      </c>
    </row>
    <row r="196" spans="1:15" x14ac:dyDescent="0.3">
      <c r="A196">
        <v>41067</v>
      </c>
      <c r="B196">
        <v>3203056</v>
      </c>
      <c r="C196" t="s">
        <v>53</v>
      </c>
      <c r="D196">
        <v>1.109</v>
      </c>
      <c r="E196">
        <v>5187823.43</v>
      </c>
      <c r="F196">
        <v>0</v>
      </c>
      <c r="G196">
        <v>5187823.43</v>
      </c>
      <c r="H196">
        <v>67790.2</v>
      </c>
      <c r="I196">
        <v>409192</v>
      </c>
      <c r="J196">
        <v>0.98399999999999999</v>
      </c>
      <c r="K196">
        <v>88928.13</v>
      </c>
      <c r="L196">
        <v>0</v>
      </c>
      <c r="M196">
        <v>26146.09</v>
      </c>
      <c r="N196">
        <v>2025</v>
      </c>
      <c r="O196">
        <v>6</v>
      </c>
    </row>
    <row r="197" spans="1:15" x14ac:dyDescent="0.3">
      <c r="A197">
        <v>41068</v>
      </c>
      <c r="B197">
        <v>3203106</v>
      </c>
      <c r="C197" t="s">
        <v>54</v>
      </c>
      <c r="D197">
        <v>0.216</v>
      </c>
      <c r="E197">
        <v>1010432.69</v>
      </c>
      <c r="F197">
        <v>0</v>
      </c>
      <c r="G197">
        <v>1010432.69</v>
      </c>
      <c r="H197">
        <v>13203.5</v>
      </c>
      <c r="I197">
        <v>73402.38</v>
      </c>
      <c r="J197">
        <v>0.45900000000000002</v>
      </c>
      <c r="K197">
        <v>17320.54</v>
      </c>
      <c r="L197">
        <v>0</v>
      </c>
      <c r="M197">
        <v>5092.4799999999996</v>
      </c>
      <c r="N197">
        <v>2025</v>
      </c>
      <c r="O197">
        <v>6</v>
      </c>
    </row>
    <row r="198" spans="1:15" x14ac:dyDescent="0.3">
      <c r="A198">
        <v>41069</v>
      </c>
      <c r="B198">
        <v>3203130</v>
      </c>
      <c r="C198" t="s">
        <v>55</v>
      </c>
      <c r="D198">
        <v>0.376</v>
      </c>
      <c r="E198">
        <v>1758901.35</v>
      </c>
      <c r="F198">
        <v>0</v>
      </c>
      <c r="G198">
        <v>1758901.35</v>
      </c>
      <c r="H198">
        <v>22983.88</v>
      </c>
      <c r="I198">
        <v>193248.13</v>
      </c>
      <c r="J198">
        <v>0.63600000000000001</v>
      </c>
      <c r="K198">
        <v>30150.57</v>
      </c>
      <c r="L198">
        <v>0</v>
      </c>
      <c r="M198">
        <v>8864.68</v>
      </c>
      <c r="N198">
        <v>2025</v>
      </c>
      <c r="O198">
        <v>6</v>
      </c>
    </row>
    <row r="199" spans="1:15" x14ac:dyDescent="0.3">
      <c r="A199">
        <v>41070</v>
      </c>
      <c r="B199">
        <v>3203163</v>
      </c>
      <c r="C199" t="s">
        <v>56</v>
      </c>
      <c r="D199">
        <v>0.42799999999999999</v>
      </c>
      <c r="E199">
        <v>2002153.67</v>
      </c>
      <c r="F199">
        <v>0</v>
      </c>
      <c r="G199">
        <v>2002153.67</v>
      </c>
      <c r="H199">
        <v>26162.5</v>
      </c>
      <c r="I199">
        <v>85036.2</v>
      </c>
      <c r="J199">
        <v>0.45300000000000001</v>
      </c>
      <c r="K199">
        <v>34320.32</v>
      </c>
      <c r="L199">
        <v>0</v>
      </c>
      <c r="M199">
        <v>10090.65</v>
      </c>
      <c r="N199">
        <v>2025</v>
      </c>
      <c r="O199">
        <v>6</v>
      </c>
    </row>
    <row r="200" spans="1:15" x14ac:dyDescent="0.3">
      <c r="A200">
        <v>41071</v>
      </c>
      <c r="B200">
        <v>3203205</v>
      </c>
      <c r="C200" t="s">
        <v>57</v>
      </c>
      <c r="D200">
        <v>4.431</v>
      </c>
      <c r="E200">
        <v>20727904.079999998</v>
      </c>
      <c r="F200">
        <v>0</v>
      </c>
      <c r="G200">
        <v>20727904.079999998</v>
      </c>
      <c r="H200">
        <v>270855.18</v>
      </c>
      <c r="I200">
        <v>2628377.4500000002</v>
      </c>
      <c r="J200">
        <v>4.0759999999999996</v>
      </c>
      <c r="K200">
        <v>355311.56</v>
      </c>
      <c r="L200">
        <v>0</v>
      </c>
      <c r="M200">
        <v>104466.49</v>
      </c>
      <c r="N200">
        <v>2025</v>
      </c>
      <c r="O200">
        <v>6</v>
      </c>
    </row>
    <row r="201" spans="1:15" x14ac:dyDescent="0.3">
      <c r="A201">
        <v>41072</v>
      </c>
      <c r="B201">
        <v>3203304</v>
      </c>
      <c r="C201" t="s">
        <v>58</v>
      </c>
      <c r="D201">
        <v>0.314</v>
      </c>
      <c r="E201">
        <v>1468869.77</v>
      </c>
      <c r="F201">
        <v>0</v>
      </c>
      <c r="G201">
        <v>1468869.77</v>
      </c>
      <c r="H201">
        <v>19193.98</v>
      </c>
      <c r="I201">
        <v>175993.9</v>
      </c>
      <c r="J201">
        <v>0.54300000000000004</v>
      </c>
      <c r="K201">
        <v>25178.93</v>
      </c>
      <c r="L201">
        <v>0</v>
      </c>
      <c r="M201">
        <v>7402.95</v>
      </c>
      <c r="N201">
        <v>2025</v>
      </c>
      <c r="O201">
        <v>6</v>
      </c>
    </row>
    <row r="202" spans="1:15" x14ac:dyDescent="0.3">
      <c r="A202">
        <v>41073</v>
      </c>
      <c r="B202">
        <v>3203320</v>
      </c>
      <c r="C202" t="s">
        <v>59</v>
      </c>
      <c r="D202">
        <v>0.58499999999999996</v>
      </c>
      <c r="E202">
        <v>2736588.55</v>
      </c>
      <c r="F202">
        <v>0</v>
      </c>
      <c r="G202">
        <v>2736588.55</v>
      </c>
      <c r="H202">
        <v>35759.49</v>
      </c>
      <c r="I202">
        <v>508063.45</v>
      </c>
      <c r="J202">
        <v>1.24</v>
      </c>
      <c r="K202">
        <v>46909.79</v>
      </c>
      <c r="L202">
        <v>0</v>
      </c>
      <c r="M202">
        <v>13792.12</v>
      </c>
      <c r="N202">
        <v>2025</v>
      </c>
      <c r="O202">
        <v>6</v>
      </c>
    </row>
    <row r="203" spans="1:15" x14ac:dyDescent="0.3">
      <c r="A203">
        <v>41074</v>
      </c>
      <c r="B203">
        <v>3203346</v>
      </c>
      <c r="C203" t="s">
        <v>60</v>
      </c>
      <c r="D203">
        <v>0.55500000000000005</v>
      </c>
      <c r="E203">
        <v>2596250.66</v>
      </c>
      <c r="F203">
        <v>0</v>
      </c>
      <c r="G203">
        <v>2596250.66</v>
      </c>
      <c r="H203">
        <v>33925.67</v>
      </c>
      <c r="I203">
        <v>207226.9</v>
      </c>
      <c r="J203">
        <v>0.69199999999999995</v>
      </c>
      <c r="K203">
        <v>44504.15</v>
      </c>
      <c r="L203">
        <v>0</v>
      </c>
      <c r="M203">
        <v>13084.83</v>
      </c>
      <c r="N203">
        <v>2025</v>
      </c>
      <c r="O203">
        <v>6</v>
      </c>
    </row>
    <row r="204" spans="1:15" x14ac:dyDescent="0.3">
      <c r="A204">
        <v>41075</v>
      </c>
      <c r="B204">
        <v>3203353</v>
      </c>
      <c r="C204" t="s">
        <v>61</v>
      </c>
      <c r="D204">
        <v>0.505</v>
      </c>
      <c r="E204">
        <v>2362354.19</v>
      </c>
      <c r="F204">
        <v>0</v>
      </c>
      <c r="G204">
        <v>2362354.19</v>
      </c>
      <c r="H204">
        <v>30869.3</v>
      </c>
      <c r="I204">
        <v>192733.12</v>
      </c>
      <c r="J204">
        <v>0.47</v>
      </c>
      <c r="K204">
        <v>40494.78</v>
      </c>
      <c r="L204">
        <v>0</v>
      </c>
      <c r="M204">
        <v>11906.02</v>
      </c>
      <c r="N204">
        <v>2025</v>
      </c>
      <c r="O204">
        <v>6</v>
      </c>
    </row>
    <row r="205" spans="1:15" x14ac:dyDescent="0.3">
      <c r="A205">
        <v>41076</v>
      </c>
      <c r="B205">
        <v>3203403</v>
      </c>
      <c r="C205" t="s">
        <v>62</v>
      </c>
      <c r="D205">
        <v>0.46899999999999997</v>
      </c>
      <c r="E205">
        <v>2193948.77</v>
      </c>
      <c r="F205">
        <v>0</v>
      </c>
      <c r="G205">
        <v>2193948.77</v>
      </c>
      <c r="H205">
        <v>28668.720000000001</v>
      </c>
      <c r="I205">
        <v>280563.62</v>
      </c>
      <c r="J205">
        <v>0.85899999999999999</v>
      </c>
      <c r="K205">
        <v>37608.01</v>
      </c>
      <c r="L205">
        <v>0</v>
      </c>
      <c r="M205">
        <v>11057.27</v>
      </c>
      <c r="N205">
        <v>2025</v>
      </c>
      <c r="O205">
        <v>6</v>
      </c>
    </row>
    <row r="206" spans="1:15" x14ac:dyDescent="0.3">
      <c r="A206">
        <v>41077</v>
      </c>
      <c r="B206">
        <v>3203502</v>
      </c>
      <c r="C206" t="s">
        <v>63</v>
      </c>
      <c r="D206">
        <v>0.51500000000000001</v>
      </c>
      <c r="E206">
        <v>2409133.52</v>
      </c>
      <c r="F206">
        <v>0</v>
      </c>
      <c r="G206">
        <v>2409133.52</v>
      </c>
      <c r="H206">
        <v>31480.57</v>
      </c>
      <c r="I206">
        <v>284998.53999999998</v>
      </c>
      <c r="J206">
        <v>0.70899999999999996</v>
      </c>
      <c r="K206">
        <v>41296.65</v>
      </c>
      <c r="L206">
        <v>0</v>
      </c>
      <c r="M206">
        <v>12141.78</v>
      </c>
      <c r="N206">
        <v>2025</v>
      </c>
      <c r="O206">
        <v>6</v>
      </c>
    </row>
    <row r="207" spans="1:15" x14ac:dyDescent="0.3">
      <c r="A207">
        <v>41078</v>
      </c>
      <c r="B207">
        <v>3203601</v>
      </c>
      <c r="C207" t="s">
        <v>64</v>
      </c>
      <c r="D207">
        <v>0.30599999999999999</v>
      </c>
      <c r="E207">
        <v>1431446.34</v>
      </c>
      <c r="F207">
        <v>0</v>
      </c>
      <c r="G207">
        <v>1431446.34</v>
      </c>
      <c r="H207">
        <v>18704.96</v>
      </c>
      <c r="I207">
        <v>55453.919999999998</v>
      </c>
      <c r="J207">
        <v>0.30199999999999999</v>
      </c>
      <c r="K207">
        <v>24537.43</v>
      </c>
      <c r="L207">
        <v>0</v>
      </c>
      <c r="M207">
        <v>7214.34</v>
      </c>
      <c r="N207">
        <v>2025</v>
      </c>
      <c r="O207">
        <v>6</v>
      </c>
    </row>
    <row r="208" spans="1:15" x14ac:dyDescent="0.3">
      <c r="A208">
        <v>41079</v>
      </c>
      <c r="B208">
        <v>3203700</v>
      </c>
      <c r="C208" t="s">
        <v>65</v>
      </c>
      <c r="D208">
        <v>0.505</v>
      </c>
      <c r="E208">
        <v>2362354.19</v>
      </c>
      <c r="F208">
        <v>0</v>
      </c>
      <c r="G208">
        <v>2362354.19</v>
      </c>
      <c r="H208">
        <v>30869.3</v>
      </c>
      <c r="I208">
        <v>150489.51999999999</v>
      </c>
      <c r="J208">
        <v>0.69899999999999995</v>
      </c>
      <c r="K208">
        <v>40494.78</v>
      </c>
      <c r="L208">
        <v>0</v>
      </c>
      <c r="M208">
        <v>11906.02</v>
      </c>
      <c r="N208">
        <v>2025</v>
      </c>
      <c r="O208">
        <v>6</v>
      </c>
    </row>
    <row r="209" spans="1:15" x14ac:dyDescent="0.3">
      <c r="A209">
        <v>41080</v>
      </c>
      <c r="B209">
        <v>3203809</v>
      </c>
      <c r="C209" t="s">
        <v>66</v>
      </c>
      <c r="D209">
        <v>0.32</v>
      </c>
      <c r="E209">
        <v>1496937.33</v>
      </c>
      <c r="F209">
        <v>0</v>
      </c>
      <c r="G209">
        <v>1496937.33</v>
      </c>
      <c r="H209">
        <v>19560.740000000002</v>
      </c>
      <c r="I209">
        <v>117625.53</v>
      </c>
      <c r="J209">
        <v>0.56499999999999995</v>
      </c>
      <c r="K209">
        <v>25660.06</v>
      </c>
      <c r="L209">
        <v>0</v>
      </c>
      <c r="M209">
        <v>7544.41</v>
      </c>
      <c r="N209">
        <v>2025</v>
      </c>
      <c r="O209">
        <v>6</v>
      </c>
    </row>
    <row r="210" spans="1:15" x14ac:dyDescent="0.3">
      <c r="A210">
        <v>41081</v>
      </c>
      <c r="B210">
        <v>3203908</v>
      </c>
      <c r="C210" t="s">
        <v>67</v>
      </c>
      <c r="D210">
        <v>1.2250000000000001</v>
      </c>
      <c r="E210">
        <v>5730463.25</v>
      </c>
      <c r="F210">
        <v>0</v>
      </c>
      <c r="G210">
        <v>5730463.25</v>
      </c>
      <c r="H210">
        <v>74880.98</v>
      </c>
      <c r="I210">
        <v>738846.68</v>
      </c>
      <c r="J210">
        <v>1.476</v>
      </c>
      <c r="K210">
        <v>98229.89</v>
      </c>
      <c r="L210">
        <v>0</v>
      </c>
      <c r="M210">
        <v>28880.94</v>
      </c>
      <c r="N210">
        <v>2025</v>
      </c>
      <c r="O210">
        <v>6</v>
      </c>
    </row>
    <row r="211" spans="1:15" x14ac:dyDescent="0.3">
      <c r="A211">
        <v>41082</v>
      </c>
      <c r="B211">
        <v>3204005</v>
      </c>
      <c r="C211" t="s">
        <v>68</v>
      </c>
      <c r="D211">
        <v>0.435</v>
      </c>
      <c r="E211">
        <v>2034899.19</v>
      </c>
      <c r="F211">
        <v>0</v>
      </c>
      <c r="G211">
        <v>2034899.19</v>
      </c>
      <c r="H211">
        <v>26590.39</v>
      </c>
      <c r="I211">
        <v>178000.59</v>
      </c>
      <c r="J211">
        <v>0.70899999999999996</v>
      </c>
      <c r="K211">
        <v>34881.64</v>
      </c>
      <c r="L211">
        <v>0</v>
      </c>
      <c r="M211">
        <v>10255.68</v>
      </c>
      <c r="N211">
        <v>2025</v>
      </c>
      <c r="O211">
        <v>6</v>
      </c>
    </row>
    <row r="212" spans="1:15" x14ac:dyDescent="0.3">
      <c r="A212">
        <v>41083</v>
      </c>
      <c r="B212">
        <v>3204054</v>
      </c>
      <c r="C212" t="s">
        <v>69</v>
      </c>
      <c r="D212">
        <v>0.33400000000000002</v>
      </c>
      <c r="E212">
        <v>1562428.35</v>
      </c>
      <c r="F212">
        <v>0</v>
      </c>
      <c r="G212">
        <v>1562428.35</v>
      </c>
      <c r="H212">
        <v>20416.53</v>
      </c>
      <c r="I212">
        <v>198195.85</v>
      </c>
      <c r="J212">
        <v>0.81</v>
      </c>
      <c r="K212">
        <v>26782.69</v>
      </c>
      <c r="L212">
        <v>0</v>
      </c>
      <c r="M212">
        <v>7874.48</v>
      </c>
      <c r="N212">
        <v>2025</v>
      </c>
      <c r="O212">
        <v>6</v>
      </c>
    </row>
    <row r="213" spans="1:15" x14ac:dyDescent="0.3">
      <c r="A213">
        <v>41084</v>
      </c>
      <c r="B213">
        <v>3204104</v>
      </c>
      <c r="C213" t="s">
        <v>70</v>
      </c>
      <c r="D213">
        <v>0.755</v>
      </c>
      <c r="E213">
        <v>3531836.51</v>
      </c>
      <c r="F213">
        <v>0</v>
      </c>
      <c r="G213">
        <v>3531836.51</v>
      </c>
      <c r="H213">
        <v>46151.13</v>
      </c>
      <c r="I213">
        <v>244504.34</v>
      </c>
      <c r="J213">
        <v>0.85099999999999998</v>
      </c>
      <c r="K213">
        <v>60541.69</v>
      </c>
      <c r="L213">
        <v>0</v>
      </c>
      <c r="M213">
        <v>17800.09</v>
      </c>
      <c r="N213">
        <v>2025</v>
      </c>
      <c r="O213">
        <v>6</v>
      </c>
    </row>
    <row r="214" spans="1:15" x14ac:dyDescent="0.3">
      <c r="A214">
        <v>41085</v>
      </c>
      <c r="B214">
        <v>3204203</v>
      </c>
      <c r="C214" t="s">
        <v>71</v>
      </c>
      <c r="D214">
        <v>0.36499999999999999</v>
      </c>
      <c r="E214">
        <v>1707444.15</v>
      </c>
      <c r="F214">
        <v>0</v>
      </c>
      <c r="G214">
        <v>1707444.15</v>
      </c>
      <c r="H214">
        <v>22311.47</v>
      </c>
      <c r="I214">
        <v>345508.24</v>
      </c>
      <c r="J214">
        <v>0.753</v>
      </c>
      <c r="K214">
        <v>29268.49</v>
      </c>
      <c r="L214">
        <v>0</v>
      </c>
      <c r="M214">
        <v>8605.34</v>
      </c>
      <c r="N214">
        <v>2025</v>
      </c>
      <c r="O214">
        <v>6</v>
      </c>
    </row>
    <row r="215" spans="1:15" x14ac:dyDescent="0.3">
      <c r="A215">
        <v>41086</v>
      </c>
      <c r="B215">
        <v>3204252</v>
      </c>
      <c r="C215" t="s">
        <v>72</v>
      </c>
      <c r="D215">
        <v>0.27</v>
      </c>
      <c r="E215">
        <v>1263040.8700000001</v>
      </c>
      <c r="F215">
        <v>0</v>
      </c>
      <c r="G215">
        <v>1263040.8700000001</v>
      </c>
      <c r="H215">
        <v>16504.38</v>
      </c>
      <c r="I215">
        <v>56232.88</v>
      </c>
      <c r="J215">
        <v>0.316</v>
      </c>
      <c r="K215">
        <v>21650.67</v>
      </c>
      <c r="L215">
        <v>0</v>
      </c>
      <c r="M215">
        <v>6365.6</v>
      </c>
      <c r="N215">
        <v>2025</v>
      </c>
      <c r="O215">
        <v>6</v>
      </c>
    </row>
    <row r="216" spans="1:15" x14ac:dyDescent="0.3">
      <c r="A216">
        <v>41087</v>
      </c>
      <c r="B216">
        <v>1718402</v>
      </c>
      <c r="C216" t="s">
        <v>73</v>
      </c>
      <c r="D216">
        <v>0.39100000000000001</v>
      </c>
      <c r="E216">
        <v>1829070.31</v>
      </c>
      <c r="F216">
        <v>0</v>
      </c>
      <c r="G216">
        <v>1829070.31</v>
      </c>
      <c r="H216">
        <v>23900.78</v>
      </c>
      <c r="I216">
        <v>231481.98</v>
      </c>
      <c r="J216">
        <v>0.56399999999999995</v>
      </c>
      <c r="K216">
        <v>31353.38</v>
      </c>
      <c r="L216">
        <v>0</v>
      </c>
      <c r="M216">
        <v>9218.32</v>
      </c>
      <c r="N216">
        <v>2025</v>
      </c>
      <c r="O216">
        <v>6</v>
      </c>
    </row>
    <row r="217" spans="1:15" x14ac:dyDescent="0.3">
      <c r="A217">
        <v>41088</v>
      </c>
      <c r="B217">
        <v>3204351</v>
      </c>
      <c r="C217" t="s">
        <v>74</v>
      </c>
      <c r="D217">
        <v>0.88200000000000001</v>
      </c>
      <c r="E217">
        <v>4125933.51</v>
      </c>
      <c r="F217">
        <v>0</v>
      </c>
      <c r="G217">
        <v>4125933.51</v>
      </c>
      <c r="H217">
        <v>53914.3</v>
      </c>
      <c r="I217">
        <v>363850.44</v>
      </c>
      <c r="J217">
        <v>0.71399999999999997</v>
      </c>
      <c r="K217">
        <v>70725.52</v>
      </c>
      <c r="L217">
        <v>0</v>
      </c>
      <c r="M217">
        <v>20794.28</v>
      </c>
      <c r="N217">
        <v>2025</v>
      </c>
      <c r="O217">
        <v>6</v>
      </c>
    </row>
    <row r="218" spans="1:15" x14ac:dyDescent="0.3">
      <c r="A218">
        <v>41089</v>
      </c>
      <c r="B218">
        <v>3204401</v>
      </c>
      <c r="C218" t="s">
        <v>75</v>
      </c>
      <c r="D218">
        <v>0.312</v>
      </c>
      <c r="E218">
        <v>1459513.92</v>
      </c>
      <c r="F218">
        <v>0</v>
      </c>
      <c r="G218">
        <v>1459513.92</v>
      </c>
      <c r="H218">
        <v>19071.73</v>
      </c>
      <c r="I218">
        <v>113937.53</v>
      </c>
      <c r="J218">
        <v>0.45300000000000001</v>
      </c>
      <c r="K218">
        <v>25018.55</v>
      </c>
      <c r="L218">
        <v>0</v>
      </c>
      <c r="M218">
        <v>7355.8</v>
      </c>
      <c r="N218">
        <v>2025</v>
      </c>
      <c r="O218">
        <v>6</v>
      </c>
    </row>
    <row r="219" spans="1:15" x14ac:dyDescent="0.3">
      <c r="A219">
        <v>41090</v>
      </c>
      <c r="B219">
        <v>3204500</v>
      </c>
      <c r="C219" t="s">
        <v>76</v>
      </c>
      <c r="D219">
        <v>0.51800000000000002</v>
      </c>
      <c r="E219">
        <v>2423167.2799999998</v>
      </c>
      <c r="F219">
        <v>0</v>
      </c>
      <c r="G219">
        <v>2423167.2799999998</v>
      </c>
      <c r="H219">
        <v>31663.96</v>
      </c>
      <c r="I219">
        <v>113930.74</v>
      </c>
      <c r="J219">
        <v>0.47899999999999998</v>
      </c>
      <c r="K219">
        <v>41537.21</v>
      </c>
      <c r="L219">
        <v>0</v>
      </c>
      <c r="M219">
        <v>12212.51</v>
      </c>
      <c r="N219">
        <v>2025</v>
      </c>
      <c r="O219">
        <v>6</v>
      </c>
    </row>
    <row r="220" spans="1:15" x14ac:dyDescent="0.3">
      <c r="A220">
        <v>41091</v>
      </c>
      <c r="B220">
        <v>3204559</v>
      </c>
      <c r="C220" t="s">
        <v>77</v>
      </c>
      <c r="D220">
        <v>2.1909999999999998</v>
      </c>
      <c r="E220">
        <v>10249342.77</v>
      </c>
      <c r="F220">
        <v>0</v>
      </c>
      <c r="G220">
        <v>10249342.77</v>
      </c>
      <c r="H220">
        <v>133929.97</v>
      </c>
      <c r="I220">
        <v>785734.2</v>
      </c>
      <c r="J220">
        <v>1.236</v>
      </c>
      <c r="K220">
        <v>175691.19</v>
      </c>
      <c r="L220">
        <v>0</v>
      </c>
      <c r="M220">
        <v>51655.63</v>
      </c>
      <c r="N220">
        <v>2025</v>
      </c>
      <c r="O220">
        <v>6</v>
      </c>
    </row>
    <row r="221" spans="1:15" x14ac:dyDescent="0.3">
      <c r="A221">
        <v>41092</v>
      </c>
      <c r="B221">
        <v>3204609</v>
      </c>
      <c r="C221" t="s">
        <v>78</v>
      </c>
      <c r="D221">
        <v>0.66</v>
      </c>
      <c r="E221">
        <v>3087433.26</v>
      </c>
      <c r="F221">
        <v>0</v>
      </c>
      <c r="G221">
        <v>3087433.26</v>
      </c>
      <c r="H221">
        <v>40344.04</v>
      </c>
      <c r="I221">
        <v>326290.49</v>
      </c>
      <c r="J221">
        <v>0.82699999999999996</v>
      </c>
      <c r="K221">
        <v>52923.86</v>
      </c>
      <c r="L221">
        <v>0</v>
      </c>
      <c r="M221">
        <v>15560.34</v>
      </c>
      <c r="N221">
        <v>2025</v>
      </c>
      <c r="O221">
        <v>6</v>
      </c>
    </row>
    <row r="222" spans="1:15" x14ac:dyDescent="0.3">
      <c r="A222">
        <v>41093</v>
      </c>
      <c r="B222">
        <v>3204658</v>
      </c>
      <c r="C222" t="s">
        <v>79</v>
      </c>
      <c r="D222">
        <v>0.42099999999999999</v>
      </c>
      <c r="E222">
        <v>1969408.16</v>
      </c>
      <c r="F222">
        <v>0</v>
      </c>
      <c r="G222">
        <v>1969408.16</v>
      </c>
      <c r="H222">
        <v>25734.6</v>
      </c>
      <c r="I222">
        <v>141920.95999999999</v>
      </c>
      <c r="J222">
        <v>0.34300000000000003</v>
      </c>
      <c r="K222">
        <v>33759.01</v>
      </c>
      <c r="L222">
        <v>0</v>
      </c>
      <c r="M222">
        <v>9925.61</v>
      </c>
      <c r="N222">
        <v>2025</v>
      </c>
      <c r="O222">
        <v>6</v>
      </c>
    </row>
    <row r="223" spans="1:15" x14ac:dyDescent="0.3">
      <c r="A223">
        <v>41094</v>
      </c>
      <c r="B223">
        <v>3204708</v>
      </c>
      <c r="C223" t="s">
        <v>80</v>
      </c>
      <c r="D223">
        <v>0.72299999999999998</v>
      </c>
      <c r="E223">
        <v>3382142.77</v>
      </c>
      <c r="F223">
        <v>0</v>
      </c>
      <c r="G223">
        <v>3382142.77</v>
      </c>
      <c r="H223">
        <v>44195.06</v>
      </c>
      <c r="I223">
        <v>469583.09</v>
      </c>
      <c r="J223">
        <v>1.1040000000000001</v>
      </c>
      <c r="K223">
        <v>57975.68</v>
      </c>
      <c r="L223">
        <v>0</v>
      </c>
      <c r="M223">
        <v>17045.650000000001</v>
      </c>
      <c r="N223">
        <v>2025</v>
      </c>
      <c r="O223">
        <v>6</v>
      </c>
    </row>
    <row r="224" spans="1:15" x14ac:dyDescent="0.3">
      <c r="A224">
        <v>41095</v>
      </c>
      <c r="B224">
        <v>3204807</v>
      </c>
      <c r="C224" t="s">
        <v>81</v>
      </c>
      <c r="D224">
        <v>0.28599999999999998</v>
      </c>
      <c r="E224">
        <v>1337887.75</v>
      </c>
      <c r="F224">
        <v>0</v>
      </c>
      <c r="G224">
        <v>1337887.75</v>
      </c>
      <c r="H224">
        <v>17482.419999999998</v>
      </c>
      <c r="I224">
        <v>108399.54</v>
      </c>
      <c r="J224">
        <v>0.45</v>
      </c>
      <c r="K224">
        <v>22933.67</v>
      </c>
      <c r="L224">
        <v>0</v>
      </c>
      <c r="M224">
        <v>6742.82</v>
      </c>
      <c r="N224">
        <v>2025</v>
      </c>
      <c r="O224">
        <v>6</v>
      </c>
    </row>
    <row r="225" spans="1:15" x14ac:dyDescent="0.3">
      <c r="A225">
        <v>41096</v>
      </c>
      <c r="B225">
        <v>3204906</v>
      </c>
      <c r="C225" t="s">
        <v>82</v>
      </c>
      <c r="D225">
        <v>1.998</v>
      </c>
      <c r="E225">
        <v>9346502.4600000009</v>
      </c>
      <c r="F225">
        <v>0</v>
      </c>
      <c r="G225">
        <v>9346502.4600000009</v>
      </c>
      <c r="H225">
        <v>122132.4</v>
      </c>
      <c r="I225">
        <v>1783669.24</v>
      </c>
      <c r="J225">
        <v>2.9870000000000001</v>
      </c>
      <c r="K225">
        <v>160214.96</v>
      </c>
      <c r="L225">
        <v>0</v>
      </c>
      <c r="M225">
        <v>47105.4</v>
      </c>
      <c r="N225">
        <v>2025</v>
      </c>
      <c r="O225">
        <v>6</v>
      </c>
    </row>
    <row r="226" spans="1:15" x14ac:dyDescent="0.3">
      <c r="A226">
        <v>41097</v>
      </c>
      <c r="B226">
        <v>3204955</v>
      </c>
      <c r="C226" t="s">
        <v>83</v>
      </c>
      <c r="D226">
        <v>0.3</v>
      </c>
      <c r="E226">
        <v>1403378.76</v>
      </c>
      <c r="F226">
        <v>0</v>
      </c>
      <c r="G226">
        <v>1403378.76</v>
      </c>
      <c r="H226">
        <v>18338.2</v>
      </c>
      <c r="I226">
        <v>125190.11</v>
      </c>
      <c r="J226">
        <v>0.45</v>
      </c>
      <c r="K226">
        <v>24056.3</v>
      </c>
      <c r="L226">
        <v>0</v>
      </c>
      <c r="M226">
        <v>7072.88</v>
      </c>
      <c r="N226">
        <v>2025</v>
      </c>
      <c r="O226">
        <v>6</v>
      </c>
    </row>
    <row r="227" spans="1:15" x14ac:dyDescent="0.3">
      <c r="A227">
        <v>41098</v>
      </c>
      <c r="B227">
        <v>3205002</v>
      </c>
      <c r="C227" t="s">
        <v>84</v>
      </c>
      <c r="D227">
        <v>14.551</v>
      </c>
      <c r="E227">
        <v>68068547.129999995</v>
      </c>
      <c r="F227">
        <v>0</v>
      </c>
      <c r="G227">
        <v>68068547.129999995</v>
      </c>
      <c r="H227">
        <v>889463.73</v>
      </c>
      <c r="I227">
        <v>5867034.6200000001</v>
      </c>
      <c r="J227">
        <v>8.6910000000000007</v>
      </c>
      <c r="K227">
        <v>1166810.78</v>
      </c>
      <c r="L227">
        <v>0</v>
      </c>
      <c r="M227">
        <v>343058.42</v>
      </c>
      <c r="N227">
        <v>2025</v>
      </c>
      <c r="O227">
        <v>6</v>
      </c>
    </row>
    <row r="228" spans="1:15" x14ac:dyDescent="0.3">
      <c r="A228">
        <v>41099</v>
      </c>
      <c r="B228">
        <v>3205010</v>
      </c>
      <c r="C228" t="s">
        <v>85</v>
      </c>
      <c r="D228">
        <v>0.78200000000000003</v>
      </c>
      <c r="E228">
        <v>3658140.61</v>
      </c>
      <c r="F228">
        <v>0</v>
      </c>
      <c r="G228">
        <v>3658140.61</v>
      </c>
      <c r="H228">
        <v>47801.57</v>
      </c>
      <c r="I228">
        <v>301388.24</v>
      </c>
      <c r="J228">
        <v>0.95199999999999996</v>
      </c>
      <c r="K228">
        <v>62706.75</v>
      </c>
      <c r="L228">
        <v>0</v>
      </c>
      <c r="M228">
        <v>18436.650000000001</v>
      </c>
      <c r="N228">
        <v>2025</v>
      </c>
      <c r="O228">
        <v>6</v>
      </c>
    </row>
    <row r="229" spans="1:15" x14ac:dyDescent="0.3">
      <c r="A229">
        <v>41100</v>
      </c>
      <c r="B229">
        <v>3205036</v>
      </c>
      <c r="C229" t="s">
        <v>86</v>
      </c>
      <c r="D229">
        <v>0.45700000000000002</v>
      </c>
      <c r="E229">
        <v>2137813.61</v>
      </c>
      <c r="F229">
        <v>0</v>
      </c>
      <c r="G229">
        <v>2137813.61</v>
      </c>
      <c r="H229">
        <v>27935.19</v>
      </c>
      <c r="I229">
        <v>243676.84</v>
      </c>
      <c r="J229">
        <v>0.71699999999999997</v>
      </c>
      <c r="K229">
        <v>36645.760000000002</v>
      </c>
      <c r="L229">
        <v>0</v>
      </c>
      <c r="M229">
        <v>10774.36</v>
      </c>
      <c r="N229">
        <v>2025</v>
      </c>
      <c r="O229">
        <v>6</v>
      </c>
    </row>
    <row r="230" spans="1:15" x14ac:dyDescent="0.3">
      <c r="A230">
        <v>41101</v>
      </c>
      <c r="B230">
        <v>3205069</v>
      </c>
      <c r="C230" t="s">
        <v>87</v>
      </c>
      <c r="D230">
        <v>0.67</v>
      </c>
      <c r="E230">
        <v>3134212.54</v>
      </c>
      <c r="F230">
        <v>0</v>
      </c>
      <c r="G230">
        <v>3134212.54</v>
      </c>
      <c r="H230">
        <v>40955.31</v>
      </c>
      <c r="I230">
        <v>432478.9</v>
      </c>
      <c r="J230">
        <v>0.85</v>
      </c>
      <c r="K230">
        <v>53725.74</v>
      </c>
      <c r="L230">
        <v>0</v>
      </c>
      <c r="M230">
        <v>15796.11</v>
      </c>
      <c r="N230">
        <v>2025</v>
      </c>
      <c r="O230">
        <v>6</v>
      </c>
    </row>
    <row r="231" spans="1:15" x14ac:dyDescent="0.3">
      <c r="A231">
        <v>41102</v>
      </c>
      <c r="B231">
        <v>2112803</v>
      </c>
      <c r="C231" t="s">
        <v>88</v>
      </c>
      <c r="D231">
        <v>3.3740000000000001</v>
      </c>
      <c r="E231">
        <v>15783332.960000001</v>
      </c>
      <c r="F231">
        <v>0</v>
      </c>
      <c r="G231">
        <v>15783332.960000001</v>
      </c>
      <c r="H231">
        <v>206243.6</v>
      </c>
      <c r="I231">
        <v>646470.18000000005</v>
      </c>
      <c r="J231">
        <v>1.9590000000000001</v>
      </c>
      <c r="K231">
        <v>270553.19</v>
      </c>
      <c r="L231">
        <v>0</v>
      </c>
      <c r="M231">
        <v>79546.36</v>
      </c>
      <c r="N231">
        <v>2025</v>
      </c>
      <c r="O231">
        <v>6</v>
      </c>
    </row>
    <row r="232" spans="1:15" x14ac:dyDescent="0.3">
      <c r="A232">
        <v>41103</v>
      </c>
      <c r="B232">
        <v>3205150</v>
      </c>
      <c r="C232" t="s">
        <v>89</v>
      </c>
      <c r="D232">
        <v>0.36799999999999999</v>
      </c>
      <c r="E232">
        <v>1721477.93</v>
      </c>
      <c r="F232">
        <v>0</v>
      </c>
      <c r="G232">
        <v>1721477.93</v>
      </c>
      <c r="H232">
        <v>22494.86</v>
      </c>
      <c r="I232">
        <v>122281.75</v>
      </c>
      <c r="J232">
        <v>0.34699999999999998</v>
      </c>
      <c r="K232">
        <v>29509.06</v>
      </c>
      <c r="L232">
        <v>0</v>
      </c>
      <c r="M232">
        <v>8676.07</v>
      </c>
      <c r="N232">
        <v>2025</v>
      </c>
      <c r="O232">
        <v>6</v>
      </c>
    </row>
    <row r="233" spans="1:15" x14ac:dyDescent="0.3">
      <c r="A233">
        <v>41104</v>
      </c>
      <c r="B233">
        <v>3205176</v>
      </c>
      <c r="C233" t="s">
        <v>90</v>
      </c>
      <c r="D233">
        <v>0.7</v>
      </c>
      <c r="E233">
        <v>3274550.39</v>
      </c>
      <c r="F233">
        <v>0</v>
      </c>
      <c r="G233">
        <v>3274550.39</v>
      </c>
      <c r="H233">
        <v>42789.13</v>
      </c>
      <c r="I233">
        <v>269957.63</v>
      </c>
      <c r="J233">
        <v>0.56399999999999995</v>
      </c>
      <c r="K233">
        <v>56131.37</v>
      </c>
      <c r="L233">
        <v>0</v>
      </c>
      <c r="M233">
        <v>16503.39</v>
      </c>
      <c r="N233">
        <v>2025</v>
      </c>
      <c r="O233">
        <v>6</v>
      </c>
    </row>
    <row r="234" spans="1:15" x14ac:dyDescent="0.3">
      <c r="A234">
        <v>41105</v>
      </c>
      <c r="B234">
        <v>3205200</v>
      </c>
      <c r="C234" t="s">
        <v>91</v>
      </c>
      <c r="D234">
        <v>6.6219999999999999</v>
      </c>
      <c r="E234">
        <v>30977246.850000001</v>
      </c>
      <c r="F234">
        <v>0</v>
      </c>
      <c r="G234">
        <v>30977246.850000001</v>
      </c>
      <c r="H234">
        <v>404785.16</v>
      </c>
      <c r="I234">
        <v>7030687.2300000004</v>
      </c>
      <c r="J234">
        <v>8.0009999999999994</v>
      </c>
      <c r="K234">
        <v>531002.75</v>
      </c>
      <c r="L234">
        <v>0</v>
      </c>
      <c r="M234">
        <v>156122.10999999999</v>
      </c>
      <c r="N234">
        <v>2025</v>
      </c>
      <c r="O234">
        <v>6</v>
      </c>
    </row>
    <row r="235" spans="1:15" x14ac:dyDescent="0.3">
      <c r="A235">
        <v>41106</v>
      </c>
      <c r="B235">
        <v>3205309</v>
      </c>
      <c r="C235" t="s">
        <v>92</v>
      </c>
      <c r="D235">
        <v>10.878</v>
      </c>
      <c r="E235">
        <v>50886513.329999998</v>
      </c>
      <c r="F235">
        <v>0</v>
      </c>
      <c r="G235">
        <v>50886513.329999998</v>
      </c>
      <c r="H235">
        <v>664943.06000000006</v>
      </c>
      <c r="I235">
        <v>6416011.8499999996</v>
      </c>
      <c r="J235">
        <v>9.2110000000000003</v>
      </c>
      <c r="K235">
        <v>872281.48</v>
      </c>
      <c r="L235">
        <v>0</v>
      </c>
      <c r="M235">
        <v>256462.8</v>
      </c>
      <c r="N235">
        <v>2025</v>
      </c>
      <c r="O235">
        <v>6</v>
      </c>
    </row>
    <row r="236" spans="1:15" x14ac:dyDescent="0.3">
      <c r="A236">
        <v>41185</v>
      </c>
      <c r="B236">
        <v>3200102</v>
      </c>
      <c r="C236" t="s">
        <v>15</v>
      </c>
      <c r="D236">
        <v>0.67100000000000004</v>
      </c>
      <c r="E236">
        <v>3477855.92</v>
      </c>
      <c r="F236">
        <v>0</v>
      </c>
      <c r="G236">
        <v>3477855.92</v>
      </c>
      <c r="H236">
        <v>35191.19</v>
      </c>
      <c r="I236">
        <v>294106.17</v>
      </c>
      <c r="J236">
        <v>1.004</v>
      </c>
      <c r="K236">
        <v>48608.93</v>
      </c>
      <c r="L236">
        <v>12224.5</v>
      </c>
      <c r="M236">
        <v>15952.38</v>
      </c>
      <c r="N236">
        <v>2025</v>
      </c>
      <c r="O236">
        <v>7</v>
      </c>
    </row>
    <row r="237" spans="1:15" x14ac:dyDescent="0.3">
      <c r="A237">
        <v>41186</v>
      </c>
      <c r="B237">
        <v>3200169</v>
      </c>
      <c r="C237" t="s">
        <v>16</v>
      </c>
      <c r="D237">
        <v>0.309</v>
      </c>
      <c r="E237">
        <v>1601575.94</v>
      </c>
      <c r="F237">
        <v>0</v>
      </c>
      <c r="G237">
        <v>1601575.94</v>
      </c>
      <c r="H237">
        <v>16205.78</v>
      </c>
      <c r="I237">
        <v>144284.13</v>
      </c>
      <c r="J237">
        <v>0.45700000000000002</v>
      </c>
      <c r="K237">
        <v>22384.73</v>
      </c>
      <c r="L237">
        <v>5568.32</v>
      </c>
      <c r="M237">
        <v>7346.18</v>
      </c>
      <c r="N237">
        <v>2025</v>
      </c>
      <c r="O237">
        <v>7</v>
      </c>
    </row>
    <row r="238" spans="1:15" x14ac:dyDescent="0.3">
      <c r="A238">
        <v>41187</v>
      </c>
      <c r="B238">
        <v>3200136</v>
      </c>
      <c r="C238" t="s">
        <v>17</v>
      </c>
      <c r="D238">
        <v>0.51900000000000002</v>
      </c>
      <c r="E238">
        <v>2690025.64</v>
      </c>
      <c r="F238">
        <v>0</v>
      </c>
      <c r="G238">
        <v>2690025.64</v>
      </c>
      <c r="H238">
        <v>27219.41</v>
      </c>
      <c r="I238">
        <v>157375.92000000001</v>
      </c>
      <c r="J238">
        <v>0.35099999999999998</v>
      </c>
      <c r="K238">
        <v>37597.67</v>
      </c>
      <c r="L238">
        <v>4280.8500000000004</v>
      </c>
      <c r="M238">
        <v>12338.72</v>
      </c>
      <c r="N238">
        <v>2025</v>
      </c>
      <c r="O238">
        <v>7</v>
      </c>
    </row>
    <row r="239" spans="1:15" x14ac:dyDescent="0.3">
      <c r="A239">
        <v>41188</v>
      </c>
      <c r="B239">
        <v>3200201</v>
      </c>
      <c r="C239" t="s">
        <v>18</v>
      </c>
      <c r="D239">
        <v>0.41799999999999998</v>
      </c>
      <c r="E239">
        <v>2166533.21</v>
      </c>
      <c r="F239">
        <v>0</v>
      </c>
      <c r="G239">
        <v>2166533.21</v>
      </c>
      <c r="H239">
        <v>21922.38</v>
      </c>
      <c r="I239">
        <v>275706.38</v>
      </c>
      <c r="J239">
        <v>0.98299999999999998</v>
      </c>
      <c r="K239">
        <v>30280.97</v>
      </c>
      <c r="L239">
        <v>11971.83</v>
      </c>
      <c r="M239">
        <v>9937.5499999999993</v>
      </c>
      <c r="N239">
        <v>2025</v>
      </c>
      <c r="O239">
        <v>7</v>
      </c>
    </row>
    <row r="240" spans="1:15" x14ac:dyDescent="0.3">
      <c r="A240">
        <v>41189</v>
      </c>
      <c r="B240">
        <v>3200300</v>
      </c>
      <c r="C240" t="s">
        <v>19</v>
      </c>
      <c r="D240">
        <v>0.442</v>
      </c>
      <c r="E240">
        <v>2290927.4300000002</v>
      </c>
      <c r="F240">
        <v>0</v>
      </c>
      <c r="G240">
        <v>2290927.4300000002</v>
      </c>
      <c r="H240">
        <v>23181.08</v>
      </c>
      <c r="I240">
        <v>214685.5</v>
      </c>
      <c r="J240">
        <v>0.55500000000000005</v>
      </c>
      <c r="K240">
        <v>32019.59</v>
      </c>
      <c r="L240">
        <v>6763.57</v>
      </c>
      <c r="M240">
        <v>10508.12</v>
      </c>
      <c r="N240">
        <v>2025</v>
      </c>
      <c r="O240">
        <v>7</v>
      </c>
    </row>
    <row r="241" spans="1:15" x14ac:dyDescent="0.3">
      <c r="A241">
        <v>41190</v>
      </c>
      <c r="B241">
        <v>3200359</v>
      </c>
      <c r="C241" t="s">
        <v>20</v>
      </c>
      <c r="D241">
        <v>0.25800000000000001</v>
      </c>
      <c r="E241">
        <v>1337238.19</v>
      </c>
      <c r="F241">
        <v>0</v>
      </c>
      <c r="G241">
        <v>1337238.19</v>
      </c>
      <c r="H241">
        <v>13531.04</v>
      </c>
      <c r="I241">
        <v>92548.63</v>
      </c>
      <c r="J241">
        <v>0.32300000000000001</v>
      </c>
      <c r="K241">
        <v>18690.16</v>
      </c>
      <c r="L241">
        <v>3927.97</v>
      </c>
      <c r="M241">
        <v>6133.7</v>
      </c>
      <c r="N241">
        <v>2025</v>
      </c>
      <c r="O241">
        <v>7</v>
      </c>
    </row>
    <row r="242" spans="1:15" x14ac:dyDescent="0.3">
      <c r="A242">
        <v>41191</v>
      </c>
      <c r="B242">
        <v>3200409</v>
      </c>
      <c r="C242" t="s">
        <v>21</v>
      </c>
      <c r="D242">
        <v>3.4780000000000002</v>
      </c>
      <c r="E242">
        <v>18026800.050000001</v>
      </c>
      <c r="F242">
        <v>0</v>
      </c>
      <c r="G242">
        <v>18026800.050000001</v>
      </c>
      <c r="H242">
        <v>182406.77</v>
      </c>
      <c r="I242">
        <v>396198.32</v>
      </c>
      <c r="J242">
        <v>1.0049999999999999</v>
      </c>
      <c r="K242">
        <v>251955.04</v>
      </c>
      <c r="L242">
        <v>12244.99</v>
      </c>
      <c r="M242">
        <v>82686.09</v>
      </c>
      <c r="N242">
        <v>2025</v>
      </c>
      <c r="O242">
        <v>7</v>
      </c>
    </row>
    <row r="243" spans="1:15" x14ac:dyDescent="0.3">
      <c r="A243">
        <v>41192</v>
      </c>
      <c r="B243">
        <v>3200508</v>
      </c>
      <c r="C243" t="s">
        <v>22</v>
      </c>
      <c r="D243">
        <v>0.23799999999999999</v>
      </c>
      <c r="E243">
        <v>1233576.33</v>
      </c>
      <c r="F243">
        <v>0</v>
      </c>
      <c r="G243">
        <v>1233576.33</v>
      </c>
      <c r="H243">
        <v>12482.12</v>
      </c>
      <c r="I243">
        <v>162765.29</v>
      </c>
      <c r="J243">
        <v>0.31900000000000001</v>
      </c>
      <c r="K243">
        <v>17241.310000000001</v>
      </c>
      <c r="L243">
        <v>3887.45</v>
      </c>
      <c r="M243">
        <v>5658.22</v>
      </c>
      <c r="N243">
        <v>2025</v>
      </c>
      <c r="O243">
        <v>7</v>
      </c>
    </row>
    <row r="244" spans="1:15" x14ac:dyDescent="0.3">
      <c r="A244">
        <v>41193</v>
      </c>
      <c r="B244">
        <v>3200607</v>
      </c>
      <c r="C244" t="s">
        <v>23</v>
      </c>
      <c r="D244">
        <v>4.4800000000000004</v>
      </c>
      <c r="E244">
        <v>23220259.989999998</v>
      </c>
      <c r="F244">
        <v>0</v>
      </c>
      <c r="G244">
        <v>23220259.989999998</v>
      </c>
      <c r="H244">
        <v>234957.55</v>
      </c>
      <c r="I244">
        <v>1369092.74</v>
      </c>
      <c r="J244">
        <v>2.4649999999999999</v>
      </c>
      <c r="K244">
        <v>324542.44</v>
      </c>
      <c r="L244">
        <v>30018.78</v>
      </c>
      <c r="M244">
        <v>106507.67</v>
      </c>
      <c r="N244">
        <v>2025</v>
      </c>
      <c r="O244">
        <v>7</v>
      </c>
    </row>
    <row r="245" spans="1:15" x14ac:dyDescent="0.3">
      <c r="A245">
        <v>41194</v>
      </c>
      <c r="B245">
        <v>3200706</v>
      </c>
      <c r="C245" t="s">
        <v>24</v>
      </c>
      <c r="D245">
        <v>0.39500000000000002</v>
      </c>
      <c r="E245">
        <v>2047322.03</v>
      </c>
      <c r="F245">
        <v>0</v>
      </c>
      <c r="G245">
        <v>2047322.03</v>
      </c>
      <c r="H245">
        <v>20716.12</v>
      </c>
      <c r="I245">
        <v>91982.07</v>
      </c>
      <c r="J245">
        <v>0.438</v>
      </c>
      <c r="K245">
        <v>28614.79</v>
      </c>
      <c r="L245">
        <v>5338.8</v>
      </c>
      <c r="M245">
        <v>9390.74</v>
      </c>
      <c r="N245">
        <v>2025</v>
      </c>
      <c r="O245">
        <v>7</v>
      </c>
    </row>
    <row r="246" spans="1:15" x14ac:dyDescent="0.3">
      <c r="A246">
        <v>41195</v>
      </c>
      <c r="B246">
        <v>3200805</v>
      </c>
      <c r="C246" t="s">
        <v>25</v>
      </c>
      <c r="D246">
        <v>0.54</v>
      </c>
      <c r="E246">
        <v>2798870.6</v>
      </c>
      <c r="F246">
        <v>0</v>
      </c>
      <c r="G246">
        <v>2798870.6</v>
      </c>
      <c r="H246">
        <v>28320.78</v>
      </c>
      <c r="I246">
        <v>669269.53</v>
      </c>
      <c r="J246">
        <v>1.0069999999999999</v>
      </c>
      <c r="K246">
        <v>39118.949999999997</v>
      </c>
      <c r="L246">
        <v>12261.32</v>
      </c>
      <c r="M246">
        <v>12837.98</v>
      </c>
      <c r="N246">
        <v>2025</v>
      </c>
      <c r="O246">
        <v>7</v>
      </c>
    </row>
    <row r="247" spans="1:15" x14ac:dyDescent="0.3">
      <c r="A247">
        <v>41196</v>
      </c>
      <c r="B247">
        <v>3200904</v>
      </c>
      <c r="C247" t="s">
        <v>26</v>
      </c>
      <c r="D247">
        <v>0.81299999999999994</v>
      </c>
      <c r="E247">
        <v>4213855.2300000004</v>
      </c>
      <c r="F247">
        <v>0</v>
      </c>
      <c r="G247">
        <v>4213855.2300000004</v>
      </c>
      <c r="H247">
        <v>42638.5</v>
      </c>
      <c r="I247">
        <v>697804.74</v>
      </c>
      <c r="J247">
        <v>1.3120000000000001</v>
      </c>
      <c r="K247">
        <v>58895.76</v>
      </c>
      <c r="L247">
        <v>15977.26</v>
      </c>
      <c r="M247">
        <v>19328.29</v>
      </c>
      <c r="N247">
        <v>2025</v>
      </c>
      <c r="O247">
        <v>7</v>
      </c>
    </row>
    <row r="248" spans="1:15" x14ac:dyDescent="0.3">
      <c r="A248">
        <v>41197</v>
      </c>
      <c r="B248">
        <v>3107109</v>
      </c>
      <c r="C248" t="s">
        <v>27</v>
      </c>
      <c r="D248">
        <v>0.48699999999999999</v>
      </c>
      <c r="E248">
        <v>2524166.64</v>
      </c>
      <c r="F248">
        <v>0</v>
      </c>
      <c r="G248">
        <v>2524166.64</v>
      </c>
      <c r="H248">
        <v>25541.14</v>
      </c>
      <c r="I248">
        <v>169960.09</v>
      </c>
      <c r="J248">
        <v>0.55200000000000005</v>
      </c>
      <c r="K248">
        <v>35279.5</v>
      </c>
      <c r="L248">
        <v>6719.93</v>
      </c>
      <c r="M248">
        <v>11577.95</v>
      </c>
      <c r="N248">
        <v>2025</v>
      </c>
      <c r="O248">
        <v>7</v>
      </c>
    </row>
    <row r="249" spans="1:15" x14ac:dyDescent="0.3">
      <c r="A249">
        <v>41198</v>
      </c>
      <c r="B249">
        <v>3201100</v>
      </c>
      <c r="C249" t="s">
        <v>28</v>
      </c>
      <c r="D249">
        <v>0.247</v>
      </c>
      <c r="E249">
        <v>1280224.18</v>
      </c>
      <c r="F249">
        <v>0</v>
      </c>
      <c r="G249">
        <v>1280224.18</v>
      </c>
      <c r="H249">
        <v>12954.13</v>
      </c>
      <c r="I249">
        <v>371482.86</v>
      </c>
      <c r="J249">
        <v>0.435</v>
      </c>
      <c r="K249">
        <v>17893.3</v>
      </c>
      <c r="L249">
        <v>5301.83</v>
      </c>
      <c r="M249">
        <v>5872.19</v>
      </c>
      <c r="N249">
        <v>2025</v>
      </c>
      <c r="O249">
        <v>7</v>
      </c>
    </row>
    <row r="250" spans="1:15" x14ac:dyDescent="0.3">
      <c r="A250">
        <v>41199</v>
      </c>
      <c r="B250">
        <v>3201159</v>
      </c>
      <c r="C250" t="s">
        <v>29</v>
      </c>
      <c r="D250">
        <v>0.40699999999999997</v>
      </c>
      <c r="E250">
        <v>2109519.14</v>
      </c>
      <c r="F250">
        <v>0</v>
      </c>
      <c r="G250">
        <v>2109519.14</v>
      </c>
      <c r="H250">
        <v>21345.47</v>
      </c>
      <c r="I250">
        <v>198832.35</v>
      </c>
      <c r="J250">
        <v>0.54600000000000004</v>
      </c>
      <c r="K250">
        <v>29484.1</v>
      </c>
      <c r="L250">
        <v>6655.05</v>
      </c>
      <c r="M250">
        <v>9676.0300000000007</v>
      </c>
      <c r="N250">
        <v>2025</v>
      </c>
      <c r="O250">
        <v>7</v>
      </c>
    </row>
    <row r="251" spans="1:15" x14ac:dyDescent="0.3">
      <c r="A251">
        <v>41200</v>
      </c>
      <c r="B251">
        <v>3201209</v>
      </c>
      <c r="C251" t="s">
        <v>30</v>
      </c>
      <c r="D251">
        <v>2.5920000000000001</v>
      </c>
      <c r="E251">
        <v>13434579.029999999</v>
      </c>
      <c r="F251">
        <v>0</v>
      </c>
      <c r="G251">
        <v>13434579.029999999</v>
      </c>
      <c r="H251">
        <v>135939.72</v>
      </c>
      <c r="I251">
        <v>2828952.03</v>
      </c>
      <c r="J251">
        <v>4.298</v>
      </c>
      <c r="K251">
        <v>187770.98</v>
      </c>
      <c r="L251">
        <v>52346.2</v>
      </c>
      <c r="M251">
        <v>61622.3</v>
      </c>
      <c r="N251">
        <v>2025</v>
      </c>
      <c r="O251">
        <v>7</v>
      </c>
    </row>
    <row r="252" spans="1:15" x14ac:dyDescent="0.3">
      <c r="A252">
        <v>41201</v>
      </c>
      <c r="B252">
        <v>3201308</v>
      </c>
      <c r="C252" t="s">
        <v>31</v>
      </c>
      <c r="D252">
        <v>8.3239999999999998</v>
      </c>
      <c r="E252">
        <v>43144072.380000003</v>
      </c>
      <c r="F252">
        <v>0</v>
      </c>
      <c r="G252">
        <v>43144072.380000003</v>
      </c>
      <c r="H252">
        <v>436559.51</v>
      </c>
      <c r="I252">
        <v>3788252.97</v>
      </c>
      <c r="J252">
        <v>6.4569999999999999</v>
      </c>
      <c r="K252">
        <v>603011.44999999995</v>
      </c>
      <c r="L252">
        <v>78646.97</v>
      </c>
      <c r="M252">
        <v>197895.06</v>
      </c>
      <c r="N252">
        <v>2025</v>
      </c>
      <c r="O252">
        <v>7</v>
      </c>
    </row>
    <row r="253" spans="1:15" x14ac:dyDescent="0.3">
      <c r="A253">
        <v>41202</v>
      </c>
      <c r="B253">
        <v>3201407</v>
      </c>
      <c r="C253" t="s">
        <v>32</v>
      </c>
      <c r="D253">
        <v>0.80700000000000005</v>
      </c>
      <c r="E253">
        <v>4182756.66</v>
      </c>
      <c r="F253">
        <v>0</v>
      </c>
      <c r="G253">
        <v>4182756.66</v>
      </c>
      <c r="H253">
        <v>42323.83</v>
      </c>
      <c r="I253">
        <v>597936.11</v>
      </c>
      <c r="J253">
        <v>1.1639999999999999</v>
      </c>
      <c r="K253">
        <v>58461.1</v>
      </c>
      <c r="L253">
        <v>14182.23</v>
      </c>
      <c r="M253">
        <v>19185.650000000001</v>
      </c>
      <c r="N253">
        <v>2025</v>
      </c>
      <c r="O253">
        <v>7</v>
      </c>
    </row>
    <row r="254" spans="1:15" x14ac:dyDescent="0.3">
      <c r="A254">
        <v>41203</v>
      </c>
      <c r="B254">
        <v>3201506</v>
      </c>
      <c r="C254" t="s">
        <v>33</v>
      </c>
      <c r="D254">
        <v>2.0139999999999998</v>
      </c>
      <c r="E254">
        <v>10438750.800000001</v>
      </c>
      <c r="F254">
        <v>0</v>
      </c>
      <c r="G254">
        <v>10438750.800000001</v>
      </c>
      <c r="H254">
        <v>105626</v>
      </c>
      <c r="I254">
        <v>2000817.47</v>
      </c>
      <c r="J254">
        <v>2.86</v>
      </c>
      <c r="K254">
        <v>145899.21</v>
      </c>
      <c r="L254">
        <v>34836.06</v>
      </c>
      <c r="M254">
        <v>47880.9</v>
      </c>
      <c r="N254">
        <v>2025</v>
      </c>
      <c r="O254">
        <v>7</v>
      </c>
    </row>
    <row r="255" spans="1:15" x14ac:dyDescent="0.3">
      <c r="A255">
        <v>41204</v>
      </c>
      <c r="B255">
        <v>3201605</v>
      </c>
      <c r="C255" t="s">
        <v>34</v>
      </c>
      <c r="D255">
        <v>0.60099999999999998</v>
      </c>
      <c r="E255">
        <v>3115039.35</v>
      </c>
      <c r="F255">
        <v>0</v>
      </c>
      <c r="G255">
        <v>3115039.35</v>
      </c>
      <c r="H255">
        <v>31519.97</v>
      </c>
      <c r="I255">
        <v>274817.51</v>
      </c>
      <c r="J255">
        <v>0.94399999999999995</v>
      </c>
      <c r="K255">
        <v>43537.95</v>
      </c>
      <c r="L255">
        <v>11498.38</v>
      </c>
      <c r="M255">
        <v>14288.19</v>
      </c>
      <c r="N255">
        <v>2025</v>
      </c>
      <c r="O255">
        <v>7</v>
      </c>
    </row>
    <row r="256" spans="1:15" x14ac:dyDescent="0.3">
      <c r="A256">
        <v>41205</v>
      </c>
      <c r="B256">
        <v>3201704</v>
      </c>
      <c r="C256" t="s">
        <v>35</v>
      </c>
      <c r="D256">
        <v>0.371</v>
      </c>
      <c r="E256">
        <v>1922927.79</v>
      </c>
      <c r="F256">
        <v>0</v>
      </c>
      <c r="G256">
        <v>1922927.79</v>
      </c>
      <c r="H256">
        <v>19457.419999999998</v>
      </c>
      <c r="I256">
        <v>122282.15</v>
      </c>
      <c r="J256">
        <v>0.45600000000000002</v>
      </c>
      <c r="K256">
        <v>26876.17</v>
      </c>
      <c r="L256">
        <v>5551.83</v>
      </c>
      <c r="M256">
        <v>8820.17</v>
      </c>
      <c r="N256">
        <v>2025</v>
      </c>
      <c r="O256">
        <v>7</v>
      </c>
    </row>
    <row r="257" spans="1:15" x14ac:dyDescent="0.3">
      <c r="A257">
        <v>41206</v>
      </c>
      <c r="B257">
        <v>3201803</v>
      </c>
      <c r="C257" t="s">
        <v>36</v>
      </c>
      <c r="D257">
        <v>0.187</v>
      </c>
      <c r="E257">
        <v>969238.53</v>
      </c>
      <c r="F257">
        <v>0</v>
      </c>
      <c r="G257">
        <v>969238.53</v>
      </c>
      <c r="H257">
        <v>9807.3799999999992</v>
      </c>
      <c r="I257">
        <v>45067.68</v>
      </c>
      <c r="J257">
        <v>0.29299999999999998</v>
      </c>
      <c r="K257">
        <v>13546.74</v>
      </c>
      <c r="L257">
        <v>3573.47</v>
      </c>
      <c r="M257">
        <v>4445.74</v>
      </c>
      <c r="N257">
        <v>2025</v>
      </c>
      <c r="O257">
        <v>7</v>
      </c>
    </row>
    <row r="258" spans="1:15" x14ac:dyDescent="0.3">
      <c r="A258">
        <v>41207</v>
      </c>
      <c r="B258">
        <v>3201902</v>
      </c>
      <c r="C258" t="s">
        <v>37</v>
      </c>
      <c r="D258">
        <v>1.0620000000000001</v>
      </c>
      <c r="E258">
        <v>5504445.5700000003</v>
      </c>
      <c r="F258">
        <v>0</v>
      </c>
      <c r="G258">
        <v>5504445.5700000003</v>
      </c>
      <c r="H258">
        <v>55697.53</v>
      </c>
      <c r="I258">
        <v>501476.99</v>
      </c>
      <c r="J258">
        <v>1.147</v>
      </c>
      <c r="K258">
        <v>76933.94</v>
      </c>
      <c r="L258">
        <v>13970.83</v>
      </c>
      <c r="M258">
        <v>25248.02</v>
      </c>
      <c r="N258">
        <v>2025</v>
      </c>
      <c r="O258">
        <v>7</v>
      </c>
    </row>
    <row r="259" spans="1:15" x14ac:dyDescent="0.3">
      <c r="A259">
        <v>41208</v>
      </c>
      <c r="B259">
        <v>3202009</v>
      </c>
      <c r="C259" t="s">
        <v>38</v>
      </c>
      <c r="D259">
        <v>0.34899999999999998</v>
      </c>
      <c r="E259">
        <v>1808899.74</v>
      </c>
      <c r="F259">
        <v>0</v>
      </c>
      <c r="G259">
        <v>1808899.74</v>
      </c>
      <c r="H259">
        <v>18303.61</v>
      </c>
      <c r="I259">
        <v>160035.18</v>
      </c>
      <c r="J259">
        <v>0.312</v>
      </c>
      <c r="K259">
        <v>25282.44</v>
      </c>
      <c r="L259">
        <v>3800.01</v>
      </c>
      <c r="M259">
        <v>8297.14</v>
      </c>
      <c r="N259">
        <v>2025</v>
      </c>
      <c r="O259">
        <v>7</v>
      </c>
    </row>
    <row r="260" spans="1:15" x14ac:dyDescent="0.3">
      <c r="A260">
        <v>41209</v>
      </c>
      <c r="B260">
        <v>3202108</v>
      </c>
      <c r="C260" t="s">
        <v>39</v>
      </c>
      <c r="D260">
        <v>0.57099999999999995</v>
      </c>
      <c r="E260">
        <v>2959546.53</v>
      </c>
      <c r="F260">
        <v>0</v>
      </c>
      <c r="G260">
        <v>2959546.53</v>
      </c>
      <c r="H260">
        <v>29946.6</v>
      </c>
      <c r="I260">
        <v>223677.56</v>
      </c>
      <c r="J260">
        <v>0.79200000000000004</v>
      </c>
      <c r="K260">
        <v>41364.68</v>
      </c>
      <c r="L260">
        <v>9642.5400000000009</v>
      </c>
      <c r="M260">
        <v>13574.97</v>
      </c>
      <c r="N260">
        <v>2025</v>
      </c>
      <c r="O260">
        <v>7</v>
      </c>
    </row>
    <row r="261" spans="1:15" x14ac:dyDescent="0.3">
      <c r="A261">
        <v>41210</v>
      </c>
      <c r="B261">
        <v>3202207</v>
      </c>
      <c r="C261" t="s">
        <v>40</v>
      </c>
      <c r="D261">
        <v>0.36799999999999999</v>
      </c>
      <c r="E261">
        <v>1907378.51</v>
      </c>
      <c r="F261">
        <v>0</v>
      </c>
      <c r="G261">
        <v>1907378.51</v>
      </c>
      <c r="H261">
        <v>19300.080000000002</v>
      </c>
      <c r="I261">
        <v>173879.92</v>
      </c>
      <c r="J261">
        <v>0.68600000000000005</v>
      </c>
      <c r="K261">
        <v>26658.85</v>
      </c>
      <c r="L261">
        <v>8350.2999999999993</v>
      </c>
      <c r="M261">
        <v>8748.84</v>
      </c>
      <c r="N261">
        <v>2025</v>
      </c>
      <c r="O261">
        <v>7</v>
      </c>
    </row>
    <row r="262" spans="1:15" x14ac:dyDescent="0.3">
      <c r="A262">
        <v>41211</v>
      </c>
      <c r="B262">
        <v>3202256</v>
      </c>
      <c r="C262" t="s">
        <v>41</v>
      </c>
      <c r="D262">
        <v>0.53100000000000003</v>
      </c>
      <c r="E262">
        <v>2752222.78</v>
      </c>
      <c r="F262">
        <v>0</v>
      </c>
      <c r="G262">
        <v>2752222.78</v>
      </c>
      <c r="H262">
        <v>27848.76</v>
      </c>
      <c r="I262">
        <v>202359.13</v>
      </c>
      <c r="J262">
        <v>0.44400000000000001</v>
      </c>
      <c r="K262">
        <v>38466.97</v>
      </c>
      <c r="L262">
        <v>5406.2</v>
      </c>
      <c r="M262">
        <v>12624.01</v>
      </c>
      <c r="N262">
        <v>2025</v>
      </c>
      <c r="O262">
        <v>7</v>
      </c>
    </row>
    <row r="263" spans="1:15" x14ac:dyDescent="0.3">
      <c r="A263">
        <v>41212</v>
      </c>
      <c r="B263">
        <v>3202306</v>
      </c>
      <c r="C263" t="s">
        <v>42</v>
      </c>
      <c r="D263">
        <v>0.36699999999999999</v>
      </c>
      <c r="E263">
        <v>1902195.4</v>
      </c>
      <c r="F263">
        <v>0</v>
      </c>
      <c r="G263">
        <v>1902195.4</v>
      </c>
      <c r="H263">
        <v>19247.64</v>
      </c>
      <c r="I263">
        <v>439451.74</v>
      </c>
      <c r="J263">
        <v>0.99</v>
      </c>
      <c r="K263">
        <v>26586.41</v>
      </c>
      <c r="L263">
        <v>12052.89</v>
      </c>
      <c r="M263">
        <v>8725.07</v>
      </c>
      <c r="N263">
        <v>2025</v>
      </c>
      <c r="O263">
        <v>7</v>
      </c>
    </row>
    <row r="264" spans="1:15" x14ac:dyDescent="0.3">
      <c r="A264">
        <v>41213</v>
      </c>
      <c r="B264">
        <v>3202405</v>
      </c>
      <c r="C264" t="s">
        <v>43</v>
      </c>
      <c r="D264">
        <v>0.79</v>
      </c>
      <c r="E264">
        <v>4094644.09</v>
      </c>
      <c r="F264">
        <v>0</v>
      </c>
      <c r="G264">
        <v>4094644.09</v>
      </c>
      <c r="H264">
        <v>41432.25</v>
      </c>
      <c r="I264">
        <v>2593676.8199999998</v>
      </c>
      <c r="J264">
        <v>3.0129999999999999</v>
      </c>
      <c r="K264">
        <v>57229.58</v>
      </c>
      <c r="L264">
        <v>36700.57</v>
      </c>
      <c r="M264">
        <v>18781.490000000002</v>
      </c>
      <c r="N264">
        <v>2025</v>
      </c>
      <c r="O264">
        <v>7</v>
      </c>
    </row>
    <row r="265" spans="1:15" x14ac:dyDescent="0.3">
      <c r="A265">
        <v>41214</v>
      </c>
      <c r="B265">
        <v>3202454</v>
      </c>
      <c r="C265" t="s">
        <v>44</v>
      </c>
      <c r="D265">
        <v>0.33900000000000002</v>
      </c>
      <c r="E265">
        <v>1757068.81</v>
      </c>
      <c r="F265">
        <v>0</v>
      </c>
      <c r="G265">
        <v>1757068.81</v>
      </c>
      <c r="H265">
        <v>17779.150000000001</v>
      </c>
      <c r="I265">
        <v>484316.41</v>
      </c>
      <c r="J265">
        <v>0.86499999999999999</v>
      </c>
      <c r="K265">
        <v>24558.01</v>
      </c>
      <c r="L265">
        <v>10535.77</v>
      </c>
      <c r="M265">
        <v>8059.4</v>
      </c>
      <c r="N265">
        <v>2025</v>
      </c>
      <c r="O265">
        <v>7</v>
      </c>
    </row>
    <row r="266" spans="1:15" x14ac:dyDescent="0.3">
      <c r="A266">
        <v>41215</v>
      </c>
      <c r="B266">
        <v>3202504</v>
      </c>
      <c r="C266" t="s">
        <v>45</v>
      </c>
      <c r="D266">
        <v>0.307</v>
      </c>
      <c r="E266">
        <v>1591209.77</v>
      </c>
      <c r="F266">
        <v>0</v>
      </c>
      <c r="G266">
        <v>1591209.77</v>
      </c>
      <c r="H266">
        <v>16100.88</v>
      </c>
      <c r="I266">
        <v>156209.51</v>
      </c>
      <c r="J266">
        <v>0.45400000000000001</v>
      </c>
      <c r="K266">
        <v>22239.85</v>
      </c>
      <c r="L266">
        <v>5524.07</v>
      </c>
      <c r="M266">
        <v>7298.63</v>
      </c>
      <c r="N266">
        <v>2025</v>
      </c>
      <c r="O266">
        <v>7</v>
      </c>
    </row>
    <row r="267" spans="1:15" x14ac:dyDescent="0.3">
      <c r="A267">
        <v>41216</v>
      </c>
      <c r="B267">
        <v>3202553</v>
      </c>
      <c r="C267" t="s">
        <v>46</v>
      </c>
      <c r="D267">
        <v>0.28399999999999997</v>
      </c>
      <c r="E267">
        <v>1471998.63</v>
      </c>
      <c r="F267">
        <v>0</v>
      </c>
      <c r="G267">
        <v>1471998.63</v>
      </c>
      <c r="H267">
        <v>14894.63</v>
      </c>
      <c r="I267">
        <v>99858.87</v>
      </c>
      <c r="J267">
        <v>0.35</v>
      </c>
      <c r="K267">
        <v>20573.669999999998</v>
      </c>
      <c r="L267">
        <v>4258.4399999999996</v>
      </c>
      <c r="M267">
        <v>6751.83</v>
      </c>
      <c r="N267">
        <v>2025</v>
      </c>
      <c r="O267">
        <v>7</v>
      </c>
    </row>
    <row r="268" spans="1:15" x14ac:dyDescent="0.3">
      <c r="A268">
        <v>41217</v>
      </c>
      <c r="B268">
        <v>3202603</v>
      </c>
      <c r="C268" t="s">
        <v>47</v>
      </c>
      <c r="D268">
        <v>0.314</v>
      </c>
      <c r="E268">
        <v>1627491.43</v>
      </c>
      <c r="F268">
        <v>0</v>
      </c>
      <c r="G268">
        <v>1627491.43</v>
      </c>
      <c r="H268">
        <v>16468.009999999998</v>
      </c>
      <c r="I268">
        <v>213595.79</v>
      </c>
      <c r="J268">
        <v>0.52</v>
      </c>
      <c r="K268">
        <v>22746.94</v>
      </c>
      <c r="L268">
        <v>6330.05</v>
      </c>
      <c r="M268">
        <v>7465.05</v>
      </c>
      <c r="N268">
        <v>2025</v>
      </c>
      <c r="O268">
        <v>7</v>
      </c>
    </row>
    <row r="269" spans="1:15" x14ac:dyDescent="0.3">
      <c r="A269">
        <v>41218</v>
      </c>
      <c r="B269">
        <v>3202652</v>
      </c>
      <c r="C269" t="s">
        <v>48</v>
      </c>
      <c r="D269">
        <v>0.316</v>
      </c>
      <c r="E269">
        <v>1637857.63</v>
      </c>
      <c r="F269">
        <v>0</v>
      </c>
      <c r="G269">
        <v>1637857.63</v>
      </c>
      <c r="H269">
        <v>16572.900000000001</v>
      </c>
      <c r="I269">
        <v>247054.3</v>
      </c>
      <c r="J269">
        <v>0.55700000000000005</v>
      </c>
      <c r="K269">
        <v>22891.84</v>
      </c>
      <c r="L269">
        <v>6784.36</v>
      </c>
      <c r="M269">
        <v>7512.59</v>
      </c>
      <c r="N269">
        <v>2025</v>
      </c>
      <c r="O269">
        <v>7</v>
      </c>
    </row>
    <row r="270" spans="1:15" x14ac:dyDescent="0.3">
      <c r="A270">
        <v>41219</v>
      </c>
      <c r="B270">
        <v>3202702</v>
      </c>
      <c r="C270" t="s">
        <v>49</v>
      </c>
      <c r="D270">
        <v>0.40400000000000003</v>
      </c>
      <c r="E270">
        <v>2093969.87</v>
      </c>
      <c r="F270">
        <v>0</v>
      </c>
      <c r="G270">
        <v>2093969.87</v>
      </c>
      <c r="H270">
        <v>21188.14</v>
      </c>
      <c r="I270">
        <v>134431.18</v>
      </c>
      <c r="J270">
        <v>0.55200000000000005</v>
      </c>
      <c r="K270">
        <v>29266.77</v>
      </c>
      <c r="L270">
        <v>6717.84</v>
      </c>
      <c r="M270">
        <v>9604.7099999999991</v>
      </c>
      <c r="N270">
        <v>2025</v>
      </c>
      <c r="O270">
        <v>7</v>
      </c>
    </row>
    <row r="271" spans="1:15" x14ac:dyDescent="0.3">
      <c r="A271">
        <v>41220</v>
      </c>
      <c r="B271">
        <v>3202801</v>
      </c>
      <c r="C271" t="s">
        <v>50</v>
      </c>
      <c r="D271">
        <v>3.4060000000000001</v>
      </c>
      <c r="E271">
        <v>17653617.32</v>
      </c>
      <c r="F271">
        <v>0</v>
      </c>
      <c r="G271">
        <v>17653617.32</v>
      </c>
      <c r="H271">
        <v>178630.67</v>
      </c>
      <c r="I271">
        <v>400754.98</v>
      </c>
      <c r="J271">
        <v>1.2130000000000001</v>
      </c>
      <c r="K271">
        <v>246739.19</v>
      </c>
      <c r="L271">
        <v>14771.01</v>
      </c>
      <c r="M271">
        <v>80974.36</v>
      </c>
      <c r="N271">
        <v>2025</v>
      </c>
      <c r="O271">
        <v>7</v>
      </c>
    </row>
    <row r="272" spans="1:15" x14ac:dyDescent="0.3">
      <c r="A272">
        <v>41221</v>
      </c>
      <c r="B272">
        <v>3202900</v>
      </c>
      <c r="C272" t="s">
        <v>51</v>
      </c>
      <c r="D272">
        <v>0.39200000000000002</v>
      </c>
      <c r="E272">
        <v>2031772.76</v>
      </c>
      <c r="F272">
        <v>0</v>
      </c>
      <c r="G272">
        <v>2031772.76</v>
      </c>
      <c r="H272">
        <v>20558.78</v>
      </c>
      <c r="I272">
        <v>173424.18</v>
      </c>
      <c r="J272">
        <v>0.438</v>
      </c>
      <c r="K272">
        <v>28397.47</v>
      </c>
      <c r="L272">
        <v>5334.5</v>
      </c>
      <c r="M272">
        <v>9319.42</v>
      </c>
      <c r="N272">
        <v>2025</v>
      </c>
      <c r="O272">
        <v>7</v>
      </c>
    </row>
    <row r="273" spans="1:15" x14ac:dyDescent="0.3">
      <c r="A273">
        <v>41222</v>
      </c>
      <c r="B273">
        <v>3203007</v>
      </c>
      <c r="C273" t="s">
        <v>52</v>
      </c>
      <c r="D273">
        <v>0.5</v>
      </c>
      <c r="E273">
        <v>2591546.88</v>
      </c>
      <c r="F273">
        <v>0</v>
      </c>
      <c r="G273">
        <v>2591546.88</v>
      </c>
      <c r="H273">
        <v>26222.94</v>
      </c>
      <c r="I273">
        <v>381823.8</v>
      </c>
      <c r="J273">
        <v>0.90300000000000002</v>
      </c>
      <c r="K273">
        <v>36221.26</v>
      </c>
      <c r="L273">
        <v>11001.33</v>
      </c>
      <c r="M273">
        <v>11887.02</v>
      </c>
      <c r="N273">
        <v>2025</v>
      </c>
      <c r="O273">
        <v>7</v>
      </c>
    </row>
    <row r="274" spans="1:15" x14ac:dyDescent="0.3">
      <c r="A274">
        <v>41223</v>
      </c>
      <c r="B274">
        <v>3203056</v>
      </c>
      <c r="C274" t="s">
        <v>53</v>
      </c>
      <c r="D274">
        <v>1.109</v>
      </c>
      <c r="E274">
        <v>5748050.9500000002</v>
      </c>
      <c r="F274">
        <v>0</v>
      </c>
      <c r="G274">
        <v>5748050.9500000002</v>
      </c>
      <c r="H274">
        <v>58162.48</v>
      </c>
      <c r="I274">
        <v>437537.4</v>
      </c>
      <c r="J274">
        <v>0.98899999999999999</v>
      </c>
      <c r="K274">
        <v>80338.740000000005</v>
      </c>
      <c r="L274">
        <v>12044.28</v>
      </c>
      <c r="M274">
        <v>26365.4</v>
      </c>
      <c r="N274">
        <v>2025</v>
      </c>
      <c r="O274">
        <v>7</v>
      </c>
    </row>
    <row r="275" spans="1:15" x14ac:dyDescent="0.3">
      <c r="A275">
        <v>41224</v>
      </c>
      <c r="B275">
        <v>3203106</v>
      </c>
      <c r="C275" t="s">
        <v>54</v>
      </c>
      <c r="D275">
        <v>0.216</v>
      </c>
      <c r="E275">
        <v>1119548.25</v>
      </c>
      <c r="F275">
        <v>0</v>
      </c>
      <c r="G275">
        <v>1119548.25</v>
      </c>
      <c r="H275">
        <v>11328.31</v>
      </c>
      <c r="I275">
        <v>86667.1</v>
      </c>
      <c r="J275">
        <v>0.45100000000000001</v>
      </c>
      <c r="K275">
        <v>15647.59</v>
      </c>
      <c r="L275">
        <v>5497.05</v>
      </c>
      <c r="M275">
        <v>5135.1899999999996</v>
      </c>
      <c r="N275">
        <v>2025</v>
      </c>
      <c r="O275">
        <v>7</v>
      </c>
    </row>
    <row r="276" spans="1:15" x14ac:dyDescent="0.3">
      <c r="A276">
        <v>41225</v>
      </c>
      <c r="B276">
        <v>3203130</v>
      </c>
      <c r="C276" t="s">
        <v>55</v>
      </c>
      <c r="D276">
        <v>0.376</v>
      </c>
      <c r="E276">
        <v>1948843.23</v>
      </c>
      <c r="F276">
        <v>0</v>
      </c>
      <c r="G276">
        <v>1948843.23</v>
      </c>
      <c r="H276">
        <v>19719.650000000001</v>
      </c>
      <c r="I276">
        <v>191889.81</v>
      </c>
      <c r="J276">
        <v>0.61499999999999999</v>
      </c>
      <c r="K276">
        <v>27238.38</v>
      </c>
      <c r="L276">
        <v>7490.38</v>
      </c>
      <c r="M276">
        <v>8939.0400000000009</v>
      </c>
      <c r="N276">
        <v>2025</v>
      </c>
      <c r="O276">
        <v>7</v>
      </c>
    </row>
    <row r="277" spans="1:15" x14ac:dyDescent="0.3">
      <c r="A277">
        <v>41226</v>
      </c>
      <c r="B277">
        <v>3203163</v>
      </c>
      <c r="C277" t="s">
        <v>56</v>
      </c>
      <c r="D277">
        <v>0.42799999999999999</v>
      </c>
      <c r="E277">
        <v>2218364.12</v>
      </c>
      <c r="F277">
        <v>0</v>
      </c>
      <c r="G277">
        <v>2218364.12</v>
      </c>
      <c r="H277">
        <v>22446.84</v>
      </c>
      <c r="I277">
        <v>108857.73</v>
      </c>
      <c r="J277">
        <v>0.44500000000000001</v>
      </c>
      <c r="K277">
        <v>31005.39</v>
      </c>
      <c r="L277">
        <v>5421.79</v>
      </c>
      <c r="M277">
        <v>10175.290000000001</v>
      </c>
      <c r="N277">
        <v>2025</v>
      </c>
      <c r="O277">
        <v>7</v>
      </c>
    </row>
    <row r="278" spans="1:15" x14ac:dyDescent="0.3">
      <c r="A278">
        <v>41227</v>
      </c>
      <c r="B278">
        <v>3203205</v>
      </c>
      <c r="C278" t="s">
        <v>57</v>
      </c>
      <c r="D278">
        <v>4.431</v>
      </c>
      <c r="E278">
        <v>22966288.399999999</v>
      </c>
      <c r="F278">
        <v>0</v>
      </c>
      <c r="G278">
        <v>22966288.399999999</v>
      </c>
      <c r="H278">
        <v>232387.7</v>
      </c>
      <c r="I278">
        <v>2850703.05</v>
      </c>
      <c r="J278">
        <v>4.0979999999999999</v>
      </c>
      <c r="K278">
        <v>320992.76</v>
      </c>
      <c r="L278">
        <v>49909.87</v>
      </c>
      <c r="M278">
        <v>105342.75</v>
      </c>
      <c r="N278">
        <v>2025</v>
      </c>
      <c r="O278">
        <v>7</v>
      </c>
    </row>
    <row r="279" spans="1:15" x14ac:dyDescent="0.3">
      <c r="A279">
        <v>41228</v>
      </c>
      <c r="B279">
        <v>3203304</v>
      </c>
      <c r="C279" t="s">
        <v>58</v>
      </c>
      <c r="D279">
        <v>0.314</v>
      </c>
      <c r="E279">
        <v>1627491.43</v>
      </c>
      <c r="F279">
        <v>0</v>
      </c>
      <c r="G279">
        <v>1627491.43</v>
      </c>
      <c r="H279">
        <v>16468.009999999998</v>
      </c>
      <c r="I279">
        <v>219384.31</v>
      </c>
      <c r="J279">
        <v>0.52400000000000002</v>
      </c>
      <c r="K279">
        <v>22746.94</v>
      </c>
      <c r="L279">
        <v>6386.46</v>
      </c>
      <c r="M279">
        <v>7465.05</v>
      </c>
      <c r="N279">
        <v>2025</v>
      </c>
      <c r="O279">
        <v>7</v>
      </c>
    </row>
    <row r="280" spans="1:15" x14ac:dyDescent="0.3">
      <c r="A280">
        <v>41229</v>
      </c>
      <c r="B280">
        <v>3203320</v>
      </c>
      <c r="C280" t="s">
        <v>59</v>
      </c>
      <c r="D280">
        <v>0.58499999999999996</v>
      </c>
      <c r="E280">
        <v>3032109.85</v>
      </c>
      <c r="F280">
        <v>0</v>
      </c>
      <c r="G280">
        <v>3032109.85</v>
      </c>
      <c r="H280">
        <v>30680.84</v>
      </c>
      <c r="I280">
        <v>511145.14</v>
      </c>
      <c r="J280">
        <v>1.3140000000000001</v>
      </c>
      <c r="K280">
        <v>42378.87</v>
      </c>
      <c r="L280">
        <v>16002.2</v>
      </c>
      <c r="M280">
        <v>13907.81</v>
      </c>
      <c r="N280">
        <v>2025</v>
      </c>
      <c r="O280">
        <v>7</v>
      </c>
    </row>
    <row r="281" spans="1:15" x14ac:dyDescent="0.3">
      <c r="A281">
        <v>41230</v>
      </c>
      <c r="B281">
        <v>3203346</v>
      </c>
      <c r="C281" t="s">
        <v>60</v>
      </c>
      <c r="D281">
        <v>0.55500000000000005</v>
      </c>
      <c r="E281">
        <v>2876617.01</v>
      </c>
      <c r="F281">
        <v>0</v>
      </c>
      <c r="G281">
        <v>2876617.01</v>
      </c>
      <c r="H281">
        <v>29107.46</v>
      </c>
      <c r="I281">
        <v>235240.23</v>
      </c>
      <c r="J281">
        <v>0.68500000000000005</v>
      </c>
      <c r="K281">
        <v>40205.589999999997</v>
      </c>
      <c r="L281">
        <v>8338.2800000000007</v>
      </c>
      <c r="M281">
        <v>13194.59</v>
      </c>
      <c r="N281">
        <v>2025</v>
      </c>
      <c r="O281">
        <v>7</v>
      </c>
    </row>
    <row r="282" spans="1:15" x14ac:dyDescent="0.3">
      <c r="A282">
        <v>41231</v>
      </c>
      <c r="B282">
        <v>3203353</v>
      </c>
      <c r="C282" t="s">
        <v>61</v>
      </c>
      <c r="D282">
        <v>0.505</v>
      </c>
      <c r="E282">
        <v>2617462.33</v>
      </c>
      <c r="F282">
        <v>0</v>
      </c>
      <c r="G282">
        <v>2617462.33</v>
      </c>
      <c r="H282">
        <v>26485.17</v>
      </c>
      <c r="I282">
        <v>196494.95</v>
      </c>
      <c r="J282">
        <v>0.46300000000000002</v>
      </c>
      <c r="K282">
        <v>36583.47</v>
      </c>
      <c r="L282">
        <v>5635.86</v>
      </c>
      <c r="M282">
        <v>12005.89</v>
      </c>
      <c r="N282">
        <v>2025</v>
      </c>
      <c r="O282">
        <v>7</v>
      </c>
    </row>
    <row r="283" spans="1:15" x14ac:dyDescent="0.3">
      <c r="A283">
        <v>41232</v>
      </c>
      <c r="B283">
        <v>3203403</v>
      </c>
      <c r="C283" t="s">
        <v>62</v>
      </c>
      <c r="D283">
        <v>0.46899999999999997</v>
      </c>
      <c r="E283">
        <v>2430870.9700000002</v>
      </c>
      <c r="F283">
        <v>0</v>
      </c>
      <c r="G283">
        <v>2430870.9700000002</v>
      </c>
      <c r="H283">
        <v>24597.119999999999</v>
      </c>
      <c r="I283">
        <v>253984.83</v>
      </c>
      <c r="J283">
        <v>0.83899999999999997</v>
      </c>
      <c r="K283">
        <v>33975.54</v>
      </c>
      <c r="L283">
        <v>10219.709999999999</v>
      </c>
      <c r="M283">
        <v>11150.02</v>
      </c>
      <c r="N283">
        <v>2025</v>
      </c>
      <c r="O283">
        <v>7</v>
      </c>
    </row>
    <row r="284" spans="1:15" x14ac:dyDescent="0.3">
      <c r="A284">
        <v>41233</v>
      </c>
      <c r="B284">
        <v>3203502</v>
      </c>
      <c r="C284" t="s">
        <v>63</v>
      </c>
      <c r="D284">
        <v>0.51500000000000001</v>
      </c>
      <c r="E284">
        <v>2669293.2999999998</v>
      </c>
      <c r="F284">
        <v>0</v>
      </c>
      <c r="G284">
        <v>2669293.2999999998</v>
      </c>
      <c r="H284">
        <v>27009.63</v>
      </c>
      <c r="I284">
        <v>288043.2</v>
      </c>
      <c r="J284">
        <v>0.69699999999999995</v>
      </c>
      <c r="K284">
        <v>37307.89</v>
      </c>
      <c r="L284">
        <v>8488.08</v>
      </c>
      <c r="M284">
        <v>12243.63</v>
      </c>
      <c r="N284">
        <v>2025</v>
      </c>
      <c r="O284">
        <v>7</v>
      </c>
    </row>
    <row r="285" spans="1:15" x14ac:dyDescent="0.3">
      <c r="A285">
        <v>41234</v>
      </c>
      <c r="B285">
        <v>3203601</v>
      </c>
      <c r="C285" t="s">
        <v>64</v>
      </c>
      <c r="D285">
        <v>0.30599999999999999</v>
      </c>
      <c r="E285">
        <v>1586026.67</v>
      </c>
      <c r="F285">
        <v>0</v>
      </c>
      <c r="G285">
        <v>1586026.67</v>
      </c>
      <c r="H285">
        <v>16048.44</v>
      </c>
      <c r="I285">
        <v>68368.009999999995</v>
      </c>
      <c r="J285">
        <v>0.29699999999999999</v>
      </c>
      <c r="K285">
        <v>22167.41</v>
      </c>
      <c r="L285">
        <v>3618.14</v>
      </c>
      <c r="M285">
        <v>7274.85</v>
      </c>
      <c r="N285">
        <v>2025</v>
      </c>
      <c r="O285">
        <v>7</v>
      </c>
    </row>
    <row r="286" spans="1:15" x14ac:dyDescent="0.3">
      <c r="A286">
        <v>41235</v>
      </c>
      <c r="B286">
        <v>3203700</v>
      </c>
      <c r="C286" t="s">
        <v>65</v>
      </c>
      <c r="D286">
        <v>0.505</v>
      </c>
      <c r="E286">
        <v>2617462.33</v>
      </c>
      <c r="F286">
        <v>0</v>
      </c>
      <c r="G286">
        <v>2617462.33</v>
      </c>
      <c r="H286">
        <v>26485.17</v>
      </c>
      <c r="I286">
        <v>171494.22</v>
      </c>
      <c r="J286">
        <v>0.68500000000000005</v>
      </c>
      <c r="K286">
        <v>36583.47</v>
      </c>
      <c r="L286">
        <v>8348.3799999999992</v>
      </c>
      <c r="M286">
        <v>12005.89</v>
      </c>
      <c r="N286">
        <v>2025</v>
      </c>
      <c r="O286">
        <v>7</v>
      </c>
    </row>
    <row r="287" spans="1:15" x14ac:dyDescent="0.3">
      <c r="A287">
        <v>41236</v>
      </c>
      <c r="B287">
        <v>3203809</v>
      </c>
      <c r="C287" t="s">
        <v>66</v>
      </c>
      <c r="D287">
        <v>0.32</v>
      </c>
      <c r="E287">
        <v>1658590</v>
      </c>
      <c r="F287">
        <v>0</v>
      </c>
      <c r="G287">
        <v>1658590</v>
      </c>
      <c r="H287">
        <v>16782.68</v>
      </c>
      <c r="I287">
        <v>130160.26</v>
      </c>
      <c r="J287">
        <v>0.55300000000000005</v>
      </c>
      <c r="K287">
        <v>23181.61</v>
      </c>
      <c r="L287">
        <v>6739.82</v>
      </c>
      <c r="M287">
        <v>7607.69</v>
      </c>
      <c r="N287">
        <v>2025</v>
      </c>
      <c r="O287">
        <v>7</v>
      </c>
    </row>
    <row r="288" spans="1:15" x14ac:dyDescent="0.3">
      <c r="A288">
        <v>41237</v>
      </c>
      <c r="B288">
        <v>3203908</v>
      </c>
      <c r="C288" t="s">
        <v>67</v>
      </c>
      <c r="D288">
        <v>1.2250000000000001</v>
      </c>
      <c r="E288">
        <v>6349289.8399999999</v>
      </c>
      <c r="F288">
        <v>0</v>
      </c>
      <c r="G288">
        <v>6349289.8399999999</v>
      </c>
      <c r="H288">
        <v>64246.2</v>
      </c>
      <c r="I288">
        <v>762350.98</v>
      </c>
      <c r="J288">
        <v>1.4710000000000001</v>
      </c>
      <c r="K288">
        <v>88742.080000000002</v>
      </c>
      <c r="L288">
        <v>17917.759999999998</v>
      </c>
      <c r="M288">
        <v>29123.19</v>
      </c>
      <c r="N288">
        <v>2025</v>
      </c>
      <c r="O288">
        <v>7</v>
      </c>
    </row>
    <row r="289" spans="1:15" x14ac:dyDescent="0.3">
      <c r="A289">
        <v>41238</v>
      </c>
      <c r="B289">
        <v>3204005</v>
      </c>
      <c r="C289" t="s">
        <v>68</v>
      </c>
      <c r="D289">
        <v>0.435</v>
      </c>
      <c r="E289">
        <v>2254645.77</v>
      </c>
      <c r="F289">
        <v>0</v>
      </c>
      <c r="G289">
        <v>2254645.77</v>
      </c>
      <c r="H289">
        <v>22813.96</v>
      </c>
      <c r="I289">
        <v>215598.52</v>
      </c>
      <c r="J289">
        <v>0.69099999999999995</v>
      </c>
      <c r="K289">
        <v>31512.49</v>
      </c>
      <c r="L289">
        <v>8416.5300000000007</v>
      </c>
      <c r="M289">
        <v>10341.700000000001</v>
      </c>
      <c r="N289">
        <v>2025</v>
      </c>
      <c r="O289">
        <v>7</v>
      </c>
    </row>
    <row r="290" spans="1:15" x14ac:dyDescent="0.3">
      <c r="A290">
        <v>41239</v>
      </c>
      <c r="B290">
        <v>3204054</v>
      </c>
      <c r="C290" t="s">
        <v>69</v>
      </c>
      <c r="D290">
        <v>0.33400000000000002</v>
      </c>
      <c r="E290">
        <v>1731153.3</v>
      </c>
      <c r="F290">
        <v>0</v>
      </c>
      <c r="G290">
        <v>1731153.3</v>
      </c>
      <c r="H290">
        <v>17516.919999999998</v>
      </c>
      <c r="I290">
        <v>247292.63</v>
      </c>
      <c r="J290">
        <v>0.78400000000000003</v>
      </c>
      <c r="K290">
        <v>24195.8</v>
      </c>
      <c r="L290">
        <v>9550.2000000000007</v>
      </c>
      <c r="M290">
        <v>7940.53</v>
      </c>
      <c r="N290">
        <v>2025</v>
      </c>
      <c r="O290">
        <v>7</v>
      </c>
    </row>
    <row r="291" spans="1:15" x14ac:dyDescent="0.3">
      <c r="A291">
        <v>41240</v>
      </c>
      <c r="B291">
        <v>3204104</v>
      </c>
      <c r="C291" t="s">
        <v>70</v>
      </c>
      <c r="D291">
        <v>0.755</v>
      </c>
      <c r="E291">
        <v>3913235.79</v>
      </c>
      <c r="F291">
        <v>0</v>
      </c>
      <c r="G291">
        <v>3913235.79</v>
      </c>
      <c r="H291">
        <v>39596.639999999999</v>
      </c>
      <c r="I291">
        <v>260716.79</v>
      </c>
      <c r="J291">
        <v>0.83499999999999996</v>
      </c>
      <c r="K291">
        <v>54694.09</v>
      </c>
      <c r="L291">
        <v>10167.17</v>
      </c>
      <c r="M291">
        <v>17949.400000000001</v>
      </c>
      <c r="N291">
        <v>2025</v>
      </c>
      <c r="O291">
        <v>7</v>
      </c>
    </row>
    <row r="292" spans="1:15" x14ac:dyDescent="0.3">
      <c r="A292">
        <v>41241</v>
      </c>
      <c r="B292">
        <v>3204203</v>
      </c>
      <c r="C292" t="s">
        <v>71</v>
      </c>
      <c r="D292">
        <v>0.36499999999999999</v>
      </c>
      <c r="E292">
        <v>1891829.23</v>
      </c>
      <c r="F292">
        <v>0</v>
      </c>
      <c r="G292">
        <v>1891829.23</v>
      </c>
      <c r="H292">
        <v>19142.75</v>
      </c>
      <c r="I292">
        <v>383309.56</v>
      </c>
      <c r="J292">
        <v>0.745</v>
      </c>
      <c r="K292">
        <v>26441.52</v>
      </c>
      <c r="L292">
        <v>9071.51</v>
      </c>
      <c r="M292">
        <v>8677.52</v>
      </c>
      <c r="N292">
        <v>2025</v>
      </c>
      <c r="O292">
        <v>7</v>
      </c>
    </row>
    <row r="293" spans="1:15" x14ac:dyDescent="0.3">
      <c r="A293">
        <v>41242</v>
      </c>
      <c r="B293">
        <v>3204252</v>
      </c>
      <c r="C293" t="s">
        <v>72</v>
      </c>
      <c r="D293">
        <v>0.27</v>
      </c>
      <c r="E293">
        <v>1399435.33</v>
      </c>
      <c r="F293">
        <v>0</v>
      </c>
      <c r="G293">
        <v>1399435.33</v>
      </c>
      <c r="H293">
        <v>14160.39</v>
      </c>
      <c r="I293">
        <v>75828.27</v>
      </c>
      <c r="J293">
        <v>0.31</v>
      </c>
      <c r="K293">
        <v>19559.48</v>
      </c>
      <c r="L293">
        <v>3771.95</v>
      </c>
      <c r="M293">
        <v>6418.99</v>
      </c>
      <c r="N293">
        <v>2025</v>
      </c>
      <c r="O293">
        <v>7</v>
      </c>
    </row>
    <row r="294" spans="1:15" x14ac:dyDescent="0.3">
      <c r="A294">
        <v>41243</v>
      </c>
      <c r="B294">
        <v>1718402</v>
      </c>
      <c r="C294" t="s">
        <v>73</v>
      </c>
      <c r="D294">
        <v>0.39100000000000001</v>
      </c>
      <c r="E294">
        <v>2026589.68</v>
      </c>
      <c r="F294">
        <v>0</v>
      </c>
      <c r="G294">
        <v>2026589.68</v>
      </c>
      <c r="H294">
        <v>20506.34</v>
      </c>
      <c r="I294">
        <v>234317.03</v>
      </c>
      <c r="J294">
        <v>0.55900000000000005</v>
      </c>
      <c r="K294">
        <v>28325.03</v>
      </c>
      <c r="L294">
        <v>6804.25</v>
      </c>
      <c r="M294">
        <v>9295.65</v>
      </c>
      <c r="N294">
        <v>2025</v>
      </c>
      <c r="O294">
        <v>7</v>
      </c>
    </row>
    <row r="295" spans="1:15" x14ac:dyDescent="0.3">
      <c r="A295">
        <v>41244</v>
      </c>
      <c r="B295">
        <v>3204351</v>
      </c>
      <c r="C295" t="s">
        <v>74</v>
      </c>
      <c r="D295">
        <v>0.88200000000000001</v>
      </c>
      <c r="E295">
        <v>4571488.6900000004</v>
      </c>
      <c r="F295">
        <v>0</v>
      </c>
      <c r="G295">
        <v>4571488.6900000004</v>
      </c>
      <c r="H295">
        <v>46257.27</v>
      </c>
      <c r="I295">
        <v>334560.96999999997</v>
      </c>
      <c r="J295">
        <v>0.70299999999999996</v>
      </c>
      <c r="K295">
        <v>63894.29</v>
      </c>
      <c r="L295">
        <v>8558.89</v>
      </c>
      <c r="M295">
        <v>20968.7</v>
      </c>
      <c r="N295">
        <v>2025</v>
      </c>
      <c r="O295">
        <v>7</v>
      </c>
    </row>
    <row r="296" spans="1:15" x14ac:dyDescent="0.3">
      <c r="A296">
        <v>41245</v>
      </c>
      <c r="B296">
        <v>3204401</v>
      </c>
      <c r="C296" t="s">
        <v>75</v>
      </c>
      <c r="D296">
        <v>0.312</v>
      </c>
      <c r="E296">
        <v>1617125.25</v>
      </c>
      <c r="F296">
        <v>0</v>
      </c>
      <c r="G296">
        <v>1617125.25</v>
      </c>
      <c r="H296">
        <v>16363.12</v>
      </c>
      <c r="I296">
        <v>124976.66</v>
      </c>
      <c r="J296">
        <v>0.44400000000000001</v>
      </c>
      <c r="K296">
        <v>22602.06</v>
      </c>
      <c r="L296">
        <v>5407.98</v>
      </c>
      <c r="M296">
        <v>7417.5</v>
      </c>
      <c r="N296">
        <v>2025</v>
      </c>
      <c r="O296">
        <v>7</v>
      </c>
    </row>
    <row r="297" spans="1:15" x14ac:dyDescent="0.3">
      <c r="A297">
        <v>41246</v>
      </c>
      <c r="B297">
        <v>3204500</v>
      </c>
      <c r="C297" t="s">
        <v>76</v>
      </c>
      <c r="D297">
        <v>0.51800000000000002</v>
      </c>
      <c r="E297">
        <v>2684842.57</v>
      </c>
      <c r="F297">
        <v>0</v>
      </c>
      <c r="G297">
        <v>2684842.57</v>
      </c>
      <c r="H297">
        <v>27166.97</v>
      </c>
      <c r="I297">
        <v>87487.47</v>
      </c>
      <c r="J297">
        <v>0.54800000000000004</v>
      </c>
      <c r="K297">
        <v>37525.22</v>
      </c>
      <c r="L297">
        <v>6670.64</v>
      </c>
      <c r="M297">
        <v>12314.95</v>
      </c>
      <c r="N297">
        <v>2025</v>
      </c>
      <c r="O297">
        <v>7</v>
      </c>
    </row>
    <row r="298" spans="1:15" x14ac:dyDescent="0.3">
      <c r="A298">
        <v>41247</v>
      </c>
      <c r="B298">
        <v>3204559</v>
      </c>
      <c r="C298" t="s">
        <v>77</v>
      </c>
      <c r="D298">
        <v>2.1909999999999998</v>
      </c>
      <c r="E298">
        <v>11356158.42</v>
      </c>
      <c r="F298">
        <v>0</v>
      </c>
      <c r="G298">
        <v>11356158.42</v>
      </c>
      <c r="H298">
        <v>114908.92</v>
      </c>
      <c r="I298">
        <v>710731.41</v>
      </c>
      <c r="J298">
        <v>1.31</v>
      </c>
      <c r="K298">
        <v>158721.54</v>
      </c>
      <c r="L298">
        <v>15949.35</v>
      </c>
      <c r="M298">
        <v>52088.91</v>
      </c>
      <c r="N298">
        <v>2025</v>
      </c>
      <c r="O298">
        <v>7</v>
      </c>
    </row>
    <row r="299" spans="1:15" x14ac:dyDescent="0.3">
      <c r="A299">
        <v>41248</v>
      </c>
      <c r="B299">
        <v>3204609</v>
      </c>
      <c r="C299" t="s">
        <v>78</v>
      </c>
      <c r="D299">
        <v>0.66</v>
      </c>
      <c r="E299">
        <v>3420841.87</v>
      </c>
      <c r="F299">
        <v>0</v>
      </c>
      <c r="G299">
        <v>3420841.87</v>
      </c>
      <c r="H299">
        <v>34614.28</v>
      </c>
      <c r="I299">
        <v>375488.34</v>
      </c>
      <c r="J299">
        <v>0.82199999999999995</v>
      </c>
      <c r="K299">
        <v>47812.05</v>
      </c>
      <c r="L299">
        <v>10014.39</v>
      </c>
      <c r="M299">
        <v>15690.86</v>
      </c>
      <c r="N299">
        <v>2025</v>
      </c>
      <c r="O299">
        <v>7</v>
      </c>
    </row>
    <row r="300" spans="1:15" x14ac:dyDescent="0.3">
      <c r="A300">
        <v>41249</v>
      </c>
      <c r="B300">
        <v>3204658</v>
      </c>
      <c r="C300" t="s">
        <v>79</v>
      </c>
      <c r="D300">
        <v>0.42099999999999999</v>
      </c>
      <c r="E300">
        <v>2182082.4900000002</v>
      </c>
      <c r="F300">
        <v>0</v>
      </c>
      <c r="G300">
        <v>2182082.4900000002</v>
      </c>
      <c r="H300">
        <v>22079.72</v>
      </c>
      <c r="I300">
        <v>123992.4</v>
      </c>
      <c r="J300">
        <v>0.33800000000000002</v>
      </c>
      <c r="K300">
        <v>30498.3</v>
      </c>
      <c r="L300">
        <v>4115.17</v>
      </c>
      <c r="M300">
        <v>10008.870000000001</v>
      </c>
      <c r="N300">
        <v>2025</v>
      </c>
      <c r="O300">
        <v>7</v>
      </c>
    </row>
    <row r="301" spans="1:15" x14ac:dyDescent="0.3">
      <c r="A301">
        <v>41250</v>
      </c>
      <c r="B301">
        <v>3204708</v>
      </c>
      <c r="C301" t="s">
        <v>80</v>
      </c>
      <c r="D301">
        <v>0.72299999999999998</v>
      </c>
      <c r="E301">
        <v>3747376.8</v>
      </c>
      <c r="F301">
        <v>0</v>
      </c>
      <c r="G301">
        <v>3747376.8</v>
      </c>
      <c r="H301">
        <v>37918.370000000003</v>
      </c>
      <c r="I301">
        <v>477840.68</v>
      </c>
      <c r="J301">
        <v>1.0840000000000001</v>
      </c>
      <c r="K301">
        <v>52375.94</v>
      </c>
      <c r="L301">
        <v>13201.91</v>
      </c>
      <c r="M301">
        <v>17188.63</v>
      </c>
      <c r="N301">
        <v>2025</v>
      </c>
      <c r="O301">
        <v>7</v>
      </c>
    </row>
    <row r="302" spans="1:15" x14ac:dyDescent="0.3">
      <c r="A302">
        <v>41251</v>
      </c>
      <c r="B302">
        <v>3204807</v>
      </c>
      <c r="C302" t="s">
        <v>81</v>
      </c>
      <c r="D302">
        <v>0.28599999999999998</v>
      </c>
      <c r="E302">
        <v>1482364.83</v>
      </c>
      <c r="F302">
        <v>0</v>
      </c>
      <c r="G302">
        <v>1482364.83</v>
      </c>
      <c r="H302">
        <v>14999.52</v>
      </c>
      <c r="I302">
        <v>98954.71</v>
      </c>
      <c r="J302">
        <v>0.443</v>
      </c>
      <c r="K302">
        <v>20718.55</v>
      </c>
      <c r="L302">
        <v>5392.24</v>
      </c>
      <c r="M302">
        <v>6799.37</v>
      </c>
      <c r="N302">
        <v>2025</v>
      </c>
      <c r="O302">
        <v>7</v>
      </c>
    </row>
    <row r="303" spans="1:15" x14ac:dyDescent="0.3">
      <c r="A303">
        <v>41252</v>
      </c>
      <c r="B303">
        <v>3204906</v>
      </c>
      <c r="C303" t="s">
        <v>82</v>
      </c>
      <c r="D303">
        <v>1.998</v>
      </c>
      <c r="E303">
        <v>10355821.32</v>
      </c>
      <c r="F303">
        <v>0</v>
      </c>
      <c r="G303">
        <v>10355821.32</v>
      </c>
      <c r="H303">
        <v>104786.87</v>
      </c>
      <c r="I303">
        <v>1797011.69</v>
      </c>
      <c r="J303">
        <v>2.9940000000000002</v>
      </c>
      <c r="K303">
        <v>144740.14000000001</v>
      </c>
      <c r="L303">
        <v>36465.269999999997</v>
      </c>
      <c r="M303">
        <v>47500.52</v>
      </c>
      <c r="N303">
        <v>2025</v>
      </c>
      <c r="O303">
        <v>7</v>
      </c>
    </row>
    <row r="304" spans="1:15" x14ac:dyDescent="0.3">
      <c r="A304">
        <v>41253</v>
      </c>
      <c r="B304">
        <v>3204955</v>
      </c>
      <c r="C304" t="s">
        <v>83</v>
      </c>
      <c r="D304">
        <v>0.3</v>
      </c>
      <c r="E304">
        <v>1554928.13</v>
      </c>
      <c r="F304">
        <v>0</v>
      </c>
      <c r="G304">
        <v>1554928.13</v>
      </c>
      <c r="H304">
        <v>15733.76</v>
      </c>
      <c r="I304">
        <v>121598.71</v>
      </c>
      <c r="J304">
        <v>0.441</v>
      </c>
      <c r="K304">
        <v>21732.75</v>
      </c>
      <c r="L304">
        <v>5377.1</v>
      </c>
      <c r="M304">
        <v>7132.21</v>
      </c>
      <c r="N304">
        <v>2025</v>
      </c>
      <c r="O304">
        <v>7</v>
      </c>
    </row>
    <row r="305" spans="1:15" x14ac:dyDescent="0.3">
      <c r="A305">
        <v>41254</v>
      </c>
      <c r="B305">
        <v>3205002</v>
      </c>
      <c r="C305" t="s">
        <v>84</v>
      </c>
      <c r="D305">
        <v>14.551</v>
      </c>
      <c r="E305">
        <v>75419197.170000002</v>
      </c>
      <c r="F305">
        <v>0</v>
      </c>
      <c r="G305">
        <v>75419197.170000002</v>
      </c>
      <c r="H305">
        <v>763140.01</v>
      </c>
      <c r="I305">
        <v>6318158.2400000002</v>
      </c>
      <c r="J305">
        <v>8.8559999999999999</v>
      </c>
      <c r="K305">
        <v>1054110.96</v>
      </c>
      <c r="L305">
        <v>107861.47</v>
      </c>
      <c r="M305">
        <v>345935.97</v>
      </c>
      <c r="N305">
        <v>2025</v>
      </c>
      <c r="O305">
        <v>7</v>
      </c>
    </row>
    <row r="306" spans="1:15" x14ac:dyDescent="0.3">
      <c r="A306">
        <v>41255</v>
      </c>
      <c r="B306">
        <v>3205010</v>
      </c>
      <c r="C306" t="s">
        <v>85</v>
      </c>
      <c r="D306">
        <v>0.78200000000000003</v>
      </c>
      <c r="E306">
        <v>4053179.3</v>
      </c>
      <c r="F306">
        <v>0</v>
      </c>
      <c r="G306">
        <v>4053179.3</v>
      </c>
      <c r="H306">
        <v>41012.68</v>
      </c>
      <c r="I306">
        <v>315311.71000000002</v>
      </c>
      <c r="J306">
        <v>0.93799999999999994</v>
      </c>
      <c r="K306">
        <v>56650.04</v>
      </c>
      <c r="L306">
        <v>11424.16</v>
      </c>
      <c r="M306">
        <v>18591.29</v>
      </c>
      <c r="N306">
        <v>2025</v>
      </c>
      <c r="O306">
        <v>7</v>
      </c>
    </row>
    <row r="307" spans="1:15" x14ac:dyDescent="0.3">
      <c r="A307">
        <v>41256</v>
      </c>
      <c r="B307">
        <v>3205036</v>
      </c>
      <c r="C307" t="s">
        <v>86</v>
      </c>
      <c r="D307">
        <v>0.45700000000000002</v>
      </c>
      <c r="E307">
        <v>2368673.8199999998</v>
      </c>
      <c r="F307">
        <v>0</v>
      </c>
      <c r="G307">
        <v>2368673.8199999998</v>
      </c>
      <c r="H307">
        <v>23967.77</v>
      </c>
      <c r="I307">
        <v>239061.66</v>
      </c>
      <c r="J307">
        <v>0.70399999999999996</v>
      </c>
      <c r="K307">
        <v>33106.230000000003</v>
      </c>
      <c r="L307">
        <v>8577.2999999999993</v>
      </c>
      <c r="M307">
        <v>10864.73</v>
      </c>
      <c r="N307">
        <v>2025</v>
      </c>
      <c r="O307">
        <v>7</v>
      </c>
    </row>
    <row r="308" spans="1:15" x14ac:dyDescent="0.3">
      <c r="A308">
        <v>41257</v>
      </c>
      <c r="B308">
        <v>3205069</v>
      </c>
      <c r="C308" t="s">
        <v>87</v>
      </c>
      <c r="D308">
        <v>0.67</v>
      </c>
      <c r="E308">
        <v>3472672.82</v>
      </c>
      <c r="F308">
        <v>0</v>
      </c>
      <c r="G308">
        <v>3472672.82</v>
      </c>
      <c r="H308">
        <v>35138.74</v>
      </c>
      <c r="I308">
        <v>419769.31</v>
      </c>
      <c r="J308">
        <v>0.83899999999999997</v>
      </c>
      <c r="K308">
        <v>48536.480000000003</v>
      </c>
      <c r="L308">
        <v>10218.08</v>
      </c>
      <c r="M308">
        <v>15928.6</v>
      </c>
      <c r="N308">
        <v>2025</v>
      </c>
      <c r="O308">
        <v>7</v>
      </c>
    </row>
    <row r="309" spans="1:15" x14ac:dyDescent="0.3">
      <c r="A309">
        <v>41258</v>
      </c>
      <c r="B309">
        <v>2112803</v>
      </c>
      <c r="C309" t="s">
        <v>88</v>
      </c>
      <c r="D309">
        <v>3.3740000000000001</v>
      </c>
      <c r="E309">
        <v>17487758.300000001</v>
      </c>
      <c r="F309">
        <v>0</v>
      </c>
      <c r="G309">
        <v>17487758.300000001</v>
      </c>
      <c r="H309">
        <v>176952.4</v>
      </c>
      <c r="I309">
        <v>701206.8</v>
      </c>
      <c r="J309">
        <v>1.944</v>
      </c>
      <c r="K309">
        <v>244421.03</v>
      </c>
      <c r="L309">
        <v>23682.69</v>
      </c>
      <c r="M309">
        <v>80213.59</v>
      </c>
      <c r="N309">
        <v>2025</v>
      </c>
      <c r="O309">
        <v>7</v>
      </c>
    </row>
    <row r="310" spans="1:15" x14ac:dyDescent="0.3">
      <c r="A310">
        <v>41259</v>
      </c>
      <c r="B310">
        <v>3205150</v>
      </c>
      <c r="C310" t="s">
        <v>89</v>
      </c>
      <c r="D310">
        <v>0.36799999999999999</v>
      </c>
      <c r="E310">
        <v>1907378.51</v>
      </c>
      <c r="F310">
        <v>0</v>
      </c>
      <c r="G310">
        <v>1907378.51</v>
      </c>
      <c r="H310">
        <v>19300.080000000002</v>
      </c>
      <c r="I310">
        <v>103504.92</v>
      </c>
      <c r="J310">
        <v>0.34100000000000003</v>
      </c>
      <c r="K310">
        <v>26658.85</v>
      </c>
      <c r="L310">
        <v>4158.2299999999996</v>
      </c>
      <c r="M310">
        <v>8748.84</v>
      </c>
      <c r="N310">
        <v>2025</v>
      </c>
      <c r="O310">
        <v>7</v>
      </c>
    </row>
    <row r="311" spans="1:15" x14ac:dyDescent="0.3">
      <c r="A311">
        <v>41260</v>
      </c>
      <c r="B311">
        <v>3205176</v>
      </c>
      <c r="C311" t="s">
        <v>90</v>
      </c>
      <c r="D311">
        <v>0.7</v>
      </c>
      <c r="E311">
        <v>3628165.63</v>
      </c>
      <c r="F311">
        <v>0</v>
      </c>
      <c r="G311">
        <v>3628165.63</v>
      </c>
      <c r="H311">
        <v>36712.120000000003</v>
      </c>
      <c r="I311">
        <v>283181.49</v>
      </c>
      <c r="J311">
        <v>0.55400000000000005</v>
      </c>
      <c r="K311">
        <v>50709.760000000002</v>
      </c>
      <c r="L311">
        <v>6747.23</v>
      </c>
      <c r="M311">
        <v>16641.82</v>
      </c>
      <c r="N311">
        <v>2025</v>
      </c>
      <c r="O311">
        <v>7</v>
      </c>
    </row>
    <row r="312" spans="1:15" x14ac:dyDescent="0.3">
      <c r="A312">
        <v>41261</v>
      </c>
      <c r="B312">
        <v>3205200</v>
      </c>
      <c r="C312" t="s">
        <v>91</v>
      </c>
      <c r="D312">
        <v>6.6219999999999999</v>
      </c>
      <c r="E312">
        <v>34322446.799999997</v>
      </c>
      <c r="F312">
        <v>0</v>
      </c>
      <c r="G312">
        <v>34322446.799999997</v>
      </c>
      <c r="H312">
        <v>347296.62</v>
      </c>
      <c r="I312">
        <v>7362924.9000000004</v>
      </c>
      <c r="J312">
        <v>8.01</v>
      </c>
      <c r="K312">
        <v>479714.29</v>
      </c>
      <c r="L312">
        <v>97562.34</v>
      </c>
      <c r="M312">
        <v>157431.65</v>
      </c>
      <c r="N312">
        <v>2025</v>
      </c>
      <c r="O312">
        <v>7</v>
      </c>
    </row>
    <row r="313" spans="1:15" x14ac:dyDescent="0.3">
      <c r="A313">
        <v>41262</v>
      </c>
      <c r="B313">
        <v>3205309</v>
      </c>
      <c r="C313" t="s">
        <v>92</v>
      </c>
      <c r="D313">
        <v>10.878</v>
      </c>
      <c r="E313">
        <v>56381693.880000003</v>
      </c>
      <c r="F313">
        <v>0</v>
      </c>
      <c r="G313">
        <v>56381693.880000003</v>
      </c>
      <c r="H313">
        <v>570506.29</v>
      </c>
      <c r="I313">
        <v>6647429.5999999996</v>
      </c>
      <c r="J313">
        <v>9.1780000000000008</v>
      </c>
      <c r="K313">
        <v>788029.64</v>
      </c>
      <c r="L313">
        <v>111789.3</v>
      </c>
      <c r="M313">
        <v>258613.96</v>
      </c>
      <c r="N313">
        <v>2025</v>
      </c>
      <c r="O313">
        <v>7</v>
      </c>
    </row>
    <row r="314" spans="1:15" x14ac:dyDescent="0.3">
      <c r="A314">
        <v>41263</v>
      </c>
      <c r="B314">
        <v>3200102</v>
      </c>
      <c r="C314" t="s">
        <v>15</v>
      </c>
      <c r="D314">
        <v>0.67100000000000004</v>
      </c>
      <c r="E314">
        <v>3171632.95</v>
      </c>
      <c r="F314">
        <v>0</v>
      </c>
      <c r="G314">
        <v>3171632.95</v>
      </c>
      <c r="H314">
        <v>38872.67</v>
      </c>
      <c r="I314">
        <v>262000.64000000001</v>
      </c>
      <c r="J314">
        <v>1.004</v>
      </c>
      <c r="K314">
        <v>60641.77</v>
      </c>
      <c r="L314">
        <v>0</v>
      </c>
      <c r="M314">
        <v>16087.49</v>
      </c>
      <c r="N314">
        <v>2025</v>
      </c>
      <c r="O314">
        <v>8</v>
      </c>
    </row>
    <row r="315" spans="1:15" x14ac:dyDescent="0.3">
      <c r="A315">
        <v>41264</v>
      </c>
      <c r="B315">
        <v>3200169</v>
      </c>
      <c r="C315" t="s">
        <v>16</v>
      </c>
      <c r="D315">
        <v>0.309</v>
      </c>
      <c r="E315">
        <v>1460558.25</v>
      </c>
      <c r="F315">
        <v>0</v>
      </c>
      <c r="G315">
        <v>1460558.25</v>
      </c>
      <c r="H315">
        <v>17901.13</v>
      </c>
      <c r="I315">
        <v>99209.94</v>
      </c>
      <c r="J315">
        <v>0.45700000000000002</v>
      </c>
      <c r="K315">
        <v>27925.95</v>
      </c>
      <c r="L315">
        <v>0</v>
      </c>
      <c r="M315">
        <v>7408.4</v>
      </c>
      <c r="N315">
        <v>2025</v>
      </c>
      <c r="O315">
        <v>8</v>
      </c>
    </row>
    <row r="316" spans="1:15" x14ac:dyDescent="0.3">
      <c r="A316">
        <v>41265</v>
      </c>
      <c r="B316">
        <v>3200136</v>
      </c>
      <c r="C316" t="s">
        <v>17</v>
      </c>
      <c r="D316">
        <v>0.51900000000000002</v>
      </c>
      <c r="E316">
        <v>2453170.63</v>
      </c>
      <c r="F316">
        <v>0</v>
      </c>
      <c r="G316">
        <v>2453170.63</v>
      </c>
      <c r="H316">
        <v>30066.94</v>
      </c>
      <c r="I316">
        <v>105676.11</v>
      </c>
      <c r="J316">
        <v>0.35099999999999998</v>
      </c>
      <c r="K316">
        <v>46904.74</v>
      </c>
      <c r="L316">
        <v>0</v>
      </c>
      <c r="M316">
        <v>12443.23</v>
      </c>
      <c r="N316">
        <v>2025</v>
      </c>
      <c r="O316">
        <v>8</v>
      </c>
    </row>
    <row r="317" spans="1:15" x14ac:dyDescent="0.3">
      <c r="A317">
        <v>41266</v>
      </c>
      <c r="B317">
        <v>3200201</v>
      </c>
      <c r="C317" t="s">
        <v>18</v>
      </c>
      <c r="D317">
        <v>0.41799999999999998</v>
      </c>
      <c r="E317">
        <v>1975771.33</v>
      </c>
      <c r="F317">
        <v>0</v>
      </c>
      <c r="G317">
        <v>1975771.33</v>
      </c>
      <c r="H317">
        <v>24215.759999999998</v>
      </c>
      <c r="I317">
        <v>226814.97</v>
      </c>
      <c r="J317">
        <v>0.98299999999999998</v>
      </c>
      <c r="K317">
        <v>37776.839999999997</v>
      </c>
      <c r="L317">
        <v>0</v>
      </c>
      <c r="M317">
        <v>10021.719999999999</v>
      </c>
      <c r="N317">
        <v>2025</v>
      </c>
      <c r="O317">
        <v>8</v>
      </c>
    </row>
    <row r="318" spans="1:15" x14ac:dyDescent="0.3">
      <c r="A318">
        <v>41267</v>
      </c>
      <c r="B318">
        <v>3200300</v>
      </c>
      <c r="C318" t="s">
        <v>19</v>
      </c>
      <c r="D318">
        <v>0.442</v>
      </c>
      <c r="E318">
        <v>2089212.75</v>
      </c>
      <c r="F318">
        <v>0</v>
      </c>
      <c r="G318">
        <v>2089212.75</v>
      </c>
      <c r="H318">
        <v>25606.14</v>
      </c>
      <c r="I318">
        <v>172000.9</v>
      </c>
      <c r="J318">
        <v>0.55500000000000005</v>
      </c>
      <c r="K318">
        <v>39945.85</v>
      </c>
      <c r="L318">
        <v>0</v>
      </c>
      <c r="M318">
        <v>10597.13</v>
      </c>
      <c r="N318">
        <v>2025</v>
      </c>
      <c r="O318">
        <v>8</v>
      </c>
    </row>
    <row r="319" spans="1:15" x14ac:dyDescent="0.3">
      <c r="A319">
        <v>41268</v>
      </c>
      <c r="B319">
        <v>3200359</v>
      </c>
      <c r="C319" t="s">
        <v>20</v>
      </c>
      <c r="D319">
        <v>0.25800000000000001</v>
      </c>
      <c r="E319">
        <v>1219495.22</v>
      </c>
      <c r="F319">
        <v>0</v>
      </c>
      <c r="G319">
        <v>1219495.22</v>
      </c>
      <c r="H319">
        <v>14946.57</v>
      </c>
      <c r="I319">
        <v>99029.9</v>
      </c>
      <c r="J319">
        <v>0.32300000000000001</v>
      </c>
      <c r="K319">
        <v>23316.799999999999</v>
      </c>
      <c r="L319">
        <v>0</v>
      </c>
      <c r="M319">
        <v>6185.65</v>
      </c>
      <c r="N319">
        <v>2025</v>
      </c>
      <c r="O319">
        <v>8</v>
      </c>
    </row>
    <row r="320" spans="1:15" x14ac:dyDescent="0.3">
      <c r="A320">
        <v>41269</v>
      </c>
      <c r="B320">
        <v>3200409</v>
      </c>
      <c r="C320" t="s">
        <v>21</v>
      </c>
      <c r="D320">
        <v>3.4780000000000002</v>
      </c>
      <c r="E320">
        <v>16439551.960000001</v>
      </c>
      <c r="F320">
        <v>0</v>
      </c>
      <c r="G320">
        <v>16439551.960000001</v>
      </c>
      <c r="H320">
        <v>201489.06</v>
      </c>
      <c r="I320">
        <v>350240.85</v>
      </c>
      <c r="J320">
        <v>1.0049999999999999</v>
      </c>
      <c r="K320">
        <v>314325.02</v>
      </c>
      <c r="L320">
        <v>0</v>
      </c>
      <c r="M320">
        <v>83386.44</v>
      </c>
      <c r="N320">
        <v>2025</v>
      </c>
      <c r="O320">
        <v>8</v>
      </c>
    </row>
    <row r="321" spans="1:15" x14ac:dyDescent="0.3">
      <c r="A321">
        <v>41270</v>
      </c>
      <c r="B321">
        <v>3200508</v>
      </c>
      <c r="C321" t="s">
        <v>22</v>
      </c>
      <c r="D321">
        <v>0.23799999999999999</v>
      </c>
      <c r="E321">
        <v>1124960.73</v>
      </c>
      <c r="F321">
        <v>0</v>
      </c>
      <c r="G321">
        <v>1124960.73</v>
      </c>
      <c r="H321">
        <v>13787.92</v>
      </c>
      <c r="I321">
        <v>129240.35</v>
      </c>
      <c r="J321">
        <v>0.31900000000000001</v>
      </c>
      <c r="K321">
        <v>21509.3</v>
      </c>
      <c r="L321">
        <v>0</v>
      </c>
      <c r="M321">
        <v>5706.15</v>
      </c>
      <c r="N321">
        <v>2025</v>
      </c>
      <c r="O321">
        <v>8</v>
      </c>
    </row>
    <row r="322" spans="1:15" x14ac:dyDescent="0.3">
      <c r="A322">
        <v>41271</v>
      </c>
      <c r="B322">
        <v>3200607</v>
      </c>
      <c r="C322" t="s">
        <v>23</v>
      </c>
      <c r="D322">
        <v>4.4800000000000004</v>
      </c>
      <c r="E322">
        <v>21175731.100000001</v>
      </c>
      <c r="F322">
        <v>0</v>
      </c>
      <c r="G322">
        <v>21175731.100000001</v>
      </c>
      <c r="H322">
        <v>259537.37</v>
      </c>
      <c r="I322">
        <v>1263546.24</v>
      </c>
      <c r="J322">
        <v>2.4649999999999999</v>
      </c>
      <c r="K322">
        <v>404880.98</v>
      </c>
      <c r="L322">
        <v>0</v>
      </c>
      <c r="M322">
        <v>107409.79</v>
      </c>
      <c r="N322">
        <v>2025</v>
      </c>
      <c r="O322">
        <v>8</v>
      </c>
    </row>
    <row r="323" spans="1:15" x14ac:dyDescent="0.3">
      <c r="A323">
        <v>41272</v>
      </c>
      <c r="B323">
        <v>3200706</v>
      </c>
      <c r="C323" t="s">
        <v>24</v>
      </c>
      <c r="D323">
        <v>0.39500000000000002</v>
      </c>
      <c r="E323">
        <v>1867056.63</v>
      </c>
      <c r="F323">
        <v>0</v>
      </c>
      <c r="G323">
        <v>1867056.63</v>
      </c>
      <c r="H323">
        <v>22883.32</v>
      </c>
      <c r="I323">
        <v>86674.85</v>
      </c>
      <c r="J323">
        <v>0.438</v>
      </c>
      <c r="K323">
        <v>35698.21</v>
      </c>
      <c r="L323">
        <v>0</v>
      </c>
      <c r="M323">
        <v>9470.2800000000007</v>
      </c>
      <c r="N323">
        <v>2025</v>
      </c>
      <c r="O323">
        <v>8</v>
      </c>
    </row>
    <row r="324" spans="1:15" x14ac:dyDescent="0.3">
      <c r="A324">
        <v>41273</v>
      </c>
      <c r="B324">
        <v>3200805</v>
      </c>
      <c r="C324" t="s">
        <v>25</v>
      </c>
      <c r="D324">
        <v>0.54</v>
      </c>
      <c r="E324">
        <v>2552431.87</v>
      </c>
      <c r="F324">
        <v>0</v>
      </c>
      <c r="G324">
        <v>2552431.87</v>
      </c>
      <c r="H324">
        <v>31283.52</v>
      </c>
      <c r="I324">
        <v>616995.64</v>
      </c>
      <c r="J324">
        <v>1.0069999999999999</v>
      </c>
      <c r="K324">
        <v>48802.61</v>
      </c>
      <c r="L324">
        <v>0</v>
      </c>
      <c r="M324">
        <v>12946.72</v>
      </c>
      <c r="N324">
        <v>2025</v>
      </c>
      <c r="O324">
        <v>8</v>
      </c>
    </row>
    <row r="325" spans="1:15" x14ac:dyDescent="0.3">
      <c r="A325">
        <v>41274</v>
      </c>
      <c r="B325">
        <v>3200904</v>
      </c>
      <c r="C325" t="s">
        <v>26</v>
      </c>
      <c r="D325">
        <v>0.81299999999999994</v>
      </c>
      <c r="E325">
        <v>3842827.99</v>
      </c>
      <c r="F325">
        <v>0</v>
      </c>
      <c r="G325">
        <v>3842827.99</v>
      </c>
      <c r="H325">
        <v>47099.08</v>
      </c>
      <c r="I325">
        <v>582142.78</v>
      </c>
      <c r="J325">
        <v>1.3120000000000001</v>
      </c>
      <c r="K325">
        <v>73475.06</v>
      </c>
      <c r="L325">
        <v>0</v>
      </c>
      <c r="M325">
        <v>19492</v>
      </c>
      <c r="N325">
        <v>2025</v>
      </c>
      <c r="O325">
        <v>8</v>
      </c>
    </row>
    <row r="326" spans="1:15" x14ac:dyDescent="0.3">
      <c r="A326">
        <v>41275</v>
      </c>
      <c r="B326">
        <v>3107109</v>
      </c>
      <c r="C326" t="s">
        <v>27</v>
      </c>
      <c r="D326">
        <v>0.48699999999999999</v>
      </c>
      <c r="E326">
        <v>2301915.44</v>
      </c>
      <c r="F326">
        <v>0</v>
      </c>
      <c r="G326">
        <v>2301915.44</v>
      </c>
      <c r="H326">
        <v>28213.1</v>
      </c>
      <c r="I326">
        <v>157341.51999999999</v>
      </c>
      <c r="J326">
        <v>0.55200000000000005</v>
      </c>
      <c r="K326">
        <v>44012.73</v>
      </c>
      <c r="L326">
        <v>0</v>
      </c>
      <c r="M326">
        <v>11676.02</v>
      </c>
      <c r="N326">
        <v>2025</v>
      </c>
      <c r="O326">
        <v>8</v>
      </c>
    </row>
    <row r="327" spans="1:15" x14ac:dyDescent="0.3">
      <c r="A327">
        <v>41276</v>
      </c>
      <c r="B327">
        <v>3201100</v>
      </c>
      <c r="C327" t="s">
        <v>28</v>
      </c>
      <c r="D327">
        <v>0.247</v>
      </c>
      <c r="E327">
        <v>1167501.23</v>
      </c>
      <c r="F327">
        <v>0</v>
      </c>
      <c r="G327">
        <v>1167501.23</v>
      </c>
      <c r="H327">
        <v>14309.32</v>
      </c>
      <c r="I327">
        <v>357467.18</v>
      </c>
      <c r="J327">
        <v>0.435</v>
      </c>
      <c r="K327">
        <v>22322.68</v>
      </c>
      <c r="L327">
        <v>0</v>
      </c>
      <c r="M327">
        <v>5921.92</v>
      </c>
      <c r="N327">
        <v>2025</v>
      </c>
      <c r="O327">
        <v>8</v>
      </c>
    </row>
    <row r="328" spans="1:15" x14ac:dyDescent="0.3">
      <c r="A328">
        <v>41277</v>
      </c>
      <c r="B328">
        <v>3201159</v>
      </c>
      <c r="C328" t="s">
        <v>29</v>
      </c>
      <c r="D328">
        <v>0.40699999999999997</v>
      </c>
      <c r="E328">
        <v>1923777.37</v>
      </c>
      <c r="F328">
        <v>0</v>
      </c>
      <c r="G328">
        <v>1923777.37</v>
      </c>
      <c r="H328">
        <v>23578.51</v>
      </c>
      <c r="I328">
        <v>136754.21</v>
      </c>
      <c r="J328">
        <v>0.54600000000000004</v>
      </c>
      <c r="K328">
        <v>36782.71</v>
      </c>
      <c r="L328">
        <v>0</v>
      </c>
      <c r="M328">
        <v>9757.99</v>
      </c>
      <c r="N328">
        <v>2025</v>
      </c>
      <c r="O328">
        <v>8</v>
      </c>
    </row>
    <row r="329" spans="1:15" x14ac:dyDescent="0.3">
      <c r="A329">
        <v>41278</v>
      </c>
      <c r="B329">
        <v>3201209</v>
      </c>
      <c r="C329" t="s">
        <v>30</v>
      </c>
      <c r="D329">
        <v>2.5920000000000001</v>
      </c>
      <c r="E329">
        <v>12251672.99</v>
      </c>
      <c r="F329">
        <v>0</v>
      </c>
      <c r="G329">
        <v>12251672.99</v>
      </c>
      <c r="H329">
        <v>150160.91</v>
      </c>
      <c r="I329">
        <v>2505148.77</v>
      </c>
      <c r="J329">
        <v>4.298</v>
      </c>
      <c r="K329">
        <v>234252.57</v>
      </c>
      <c r="L329">
        <v>0</v>
      </c>
      <c r="M329">
        <v>62144.24</v>
      </c>
      <c r="N329">
        <v>2025</v>
      </c>
      <c r="O329">
        <v>8</v>
      </c>
    </row>
    <row r="330" spans="1:15" x14ac:dyDescent="0.3">
      <c r="A330">
        <v>41279</v>
      </c>
      <c r="B330">
        <v>3201308</v>
      </c>
      <c r="C330" t="s">
        <v>31</v>
      </c>
      <c r="D330">
        <v>8.3239999999999998</v>
      </c>
      <c r="E330">
        <v>39345264.670000002</v>
      </c>
      <c r="F330">
        <v>0</v>
      </c>
      <c r="G330">
        <v>39345264.670000002</v>
      </c>
      <c r="H330">
        <v>482229.7</v>
      </c>
      <c r="I330">
        <v>3641379.28</v>
      </c>
      <c r="J330">
        <v>6.4569999999999999</v>
      </c>
      <c r="K330">
        <v>752283.33</v>
      </c>
      <c r="L330">
        <v>0</v>
      </c>
      <c r="M330">
        <v>199571.23</v>
      </c>
      <c r="N330">
        <v>2025</v>
      </c>
      <c r="O330">
        <v>8</v>
      </c>
    </row>
    <row r="331" spans="1:15" x14ac:dyDescent="0.3">
      <c r="A331">
        <v>41280</v>
      </c>
      <c r="B331">
        <v>3201407</v>
      </c>
      <c r="C331" t="s">
        <v>32</v>
      </c>
      <c r="D331">
        <v>0.80700000000000005</v>
      </c>
      <c r="E331">
        <v>3814467.64</v>
      </c>
      <c r="F331">
        <v>0</v>
      </c>
      <c r="G331">
        <v>3814467.64</v>
      </c>
      <c r="H331">
        <v>46751.49</v>
      </c>
      <c r="I331">
        <v>653337.59</v>
      </c>
      <c r="J331">
        <v>1.1639999999999999</v>
      </c>
      <c r="K331">
        <v>72932.800000000003</v>
      </c>
      <c r="L331">
        <v>0</v>
      </c>
      <c r="M331">
        <v>19348.150000000001</v>
      </c>
      <c r="N331">
        <v>2025</v>
      </c>
      <c r="O331">
        <v>8</v>
      </c>
    </row>
    <row r="332" spans="1:15" x14ac:dyDescent="0.3">
      <c r="A332">
        <v>41281</v>
      </c>
      <c r="B332">
        <v>3201506</v>
      </c>
      <c r="C332" t="s">
        <v>33</v>
      </c>
      <c r="D332">
        <v>2.0139999999999998</v>
      </c>
      <c r="E332">
        <v>9519625.5399999991</v>
      </c>
      <c r="F332">
        <v>0</v>
      </c>
      <c r="G332">
        <v>9519625.5399999991</v>
      </c>
      <c r="H332">
        <v>116675.95</v>
      </c>
      <c r="I332">
        <v>1764063.5</v>
      </c>
      <c r="J332">
        <v>2.86</v>
      </c>
      <c r="K332">
        <v>182015.69</v>
      </c>
      <c r="L332">
        <v>0</v>
      </c>
      <c r="M332">
        <v>48286.45</v>
      </c>
      <c r="N332">
        <v>2025</v>
      </c>
      <c r="O332">
        <v>8</v>
      </c>
    </row>
    <row r="333" spans="1:15" x14ac:dyDescent="0.3">
      <c r="A333">
        <v>41282</v>
      </c>
      <c r="B333">
        <v>3201605</v>
      </c>
      <c r="C333" t="s">
        <v>34</v>
      </c>
      <c r="D333">
        <v>0.60099999999999998</v>
      </c>
      <c r="E333">
        <v>2840762.14</v>
      </c>
      <c r="F333">
        <v>0</v>
      </c>
      <c r="G333">
        <v>2840762.14</v>
      </c>
      <c r="H333">
        <v>34817.4</v>
      </c>
      <c r="I333">
        <v>253022.4</v>
      </c>
      <c r="J333">
        <v>0.94399999999999995</v>
      </c>
      <c r="K333">
        <v>54315.51</v>
      </c>
      <c r="L333">
        <v>0</v>
      </c>
      <c r="M333">
        <v>14409.22</v>
      </c>
      <c r="N333">
        <v>2025</v>
      </c>
      <c r="O333">
        <v>8</v>
      </c>
    </row>
    <row r="334" spans="1:15" x14ac:dyDescent="0.3">
      <c r="A334">
        <v>41283</v>
      </c>
      <c r="B334">
        <v>3201704</v>
      </c>
      <c r="C334" t="s">
        <v>35</v>
      </c>
      <c r="D334">
        <v>0.371</v>
      </c>
      <c r="E334">
        <v>1753615.26</v>
      </c>
      <c r="F334">
        <v>0</v>
      </c>
      <c r="G334">
        <v>1753615.26</v>
      </c>
      <c r="H334">
        <v>21492.94</v>
      </c>
      <c r="I334">
        <v>93930.64</v>
      </c>
      <c r="J334">
        <v>0.45600000000000002</v>
      </c>
      <c r="K334">
        <v>33529.199999999997</v>
      </c>
      <c r="L334">
        <v>0</v>
      </c>
      <c r="M334">
        <v>8894.8700000000008</v>
      </c>
      <c r="N334">
        <v>2025</v>
      </c>
      <c r="O334">
        <v>8</v>
      </c>
    </row>
    <row r="335" spans="1:15" x14ac:dyDescent="0.3">
      <c r="A335">
        <v>41284</v>
      </c>
      <c r="B335">
        <v>3201803</v>
      </c>
      <c r="C335" t="s">
        <v>36</v>
      </c>
      <c r="D335">
        <v>0.187</v>
      </c>
      <c r="E335">
        <v>883897.71</v>
      </c>
      <c r="F335">
        <v>0</v>
      </c>
      <c r="G335">
        <v>883897.71</v>
      </c>
      <c r="H335">
        <v>10833.37</v>
      </c>
      <c r="I335">
        <v>37083.43</v>
      </c>
      <c r="J335">
        <v>0.29299999999999998</v>
      </c>
      <c r="K335">
        <v>16900.16</v>
      </c>
      <c r="L335">
        <v>0</v>
      </c>
      <c r="M335">
        <v>4483.3999999999996</v>
      </c>
      <c r="N335">
        <v>2025</v>
      </c>
      <c r="O335">
        <v>8</v>
      </c>
    </row>
    <row r="336" spans="1:15" x14ac:dyDescent="0.3">
      <c r="A336">
        <v>41285</v>
      </c>
      <c r="B336">
        <v>3201902</v>
      </c>
      <c r="C336" t="s">
        <v>37</v>
      </c>
      <c r="D336">
        <v>1.0620000000000001</v>
      </c>
      <c r="E336">
        <v>5019782.6900000004</v>
      </c>
      <c r="F336">
        <v>0</v>
      </c>
      <c r="G336">
        <v>5019782.6900000004</v>
      </c>
      <c r="H336">
        <v>61524.26</v>
      </c>
      <c r="I336">
        <v>404551.05</v>
      </c>
      <c r="J336">
        <v>1.147</v>
      </c>
      <c r="K336">
        <v>95978.49</v>
      </c>
      <c r="L336">
        <v>0</v>
      </c>
      <c r="M336">
        <v>25461.87</v>
      </c>
      <c r="N336">
        <v>2025</v>
      </c>
      <c r="O336">
        <v>8</v>
      </c>
    </row>
    <row r="337" spans="1:15" x14ac:dyDescent="0.3">
      <c r="A337">
        <v>41286</v>
      </c>
      <c r="B337">
        <v>3202009</v>
      </c>
      <c r="C337" t="s">
        <v>38</v>
      </c>
      <c r="D337">
        <v>0.34899999999999998</v>
      </c>
      <c r="E337">
        <v>1649627.24</v>
      </c>
      <c r="F337">
        <v>0</v>
      </c>
      <c r="G337">
        <v>1649627.24</v>
      </c>
      <c r="H337">
        <v>20218.419999999998</v>
      </c>
      <c r="I337">
        <v>168948.16</v>
      </c>
      <c r="J337">
        <v>0.312</v>
      </c>
      <c r="K337">
        <v>31540.95</v>
      </c>
      <c r="L337">
        <v>0</v>
      </c>
      <c r="M337">
        <v>8367.41</v>
      </c>
      <c r="N337">
        <v>2025</v>
      </c>
      <c r="O337">
        <v>8</v>
      </c>
    </row>
    <row r="338" spans="1:15" x14ac:dyDescent="0.3">
      <c r="A338">
        <v>41287</v>
      </c>
      <c r="B338">
        <v>3202108</v>
      </c>
      <c r="C338" t="s">
        <v>39</v>
      </c>
      <c r="D338">
        <v>0.57099999999999995</v>
      </c>
      <c r="E338">
        <v>2698960.37</v>
      </c>
      <c r="F338">
        <v>0</v>
      </c>
      <c r="G338">
        <v>2698960.37</v>
      </c>
      <c r="H338">
        <v>33079.43</v>
      </c>
      <c r="I338">
        <v>183321.99</v>
      </c>
      <c r="J338">
        <v>0.79200000000000004</v>
      </c>
      <c r="K338">
        <v>51604.25</v>
      </c>
      <c r="L338">
        <v>0</v>
      </c>
      <c r="M338">
        <v>13689.95</v>
      </c>
      <c r="N338">
        <v>2025</v>
      </c>
      <c r="O338">
        <v>8</v>
      </c>
    </row>
    <row r="339" spans="1:15" x14ac:dyDescent="0.3">
      <c r="A339">
        <v>41288</v>
      </c>
      <c r="B339">
        <v>3202207</v>
      </c>
      <c r="C339" t="s">
        <v>40</v>
      </c>
      <c r="D339">
        <v>0.36799999999999999</v>
      </c>
      <c r="E339">
        <v>1739435.07</v>
      </c>
      <c r="F339">
        <v>0</v>
      </c>
      <c r="G339">
        <v>1739435.07</v>
      </c>
      <c r="H339">
        <v>21319.14</v>
      </c>
      <c r="I339">
        <v>164734.15</v>
      </c>
      <c r="J339">
        <v>0.68600000000000005</v>
      </c>
      <c r="K339">
        <v>33258.080000000002</v>
      </c>
      <c r="L339">
        <v>0</v>
      </c>
      <c r="M339">
        <v>8822.9500000000007</v>
      </c>
      <c r="N339">
        <v>2025</v>
      </c>
      <c r="O339">
        <v>8</v>
      </c>
    </row>
    <row r="340" spans="1:15" x14ac:dyDescent="0.3">
      <c r="A340">
        <v>41289</v>
      </c>
      <c r="B340">
        <v>3202256</v>
      </c>
      <c r="C340" t="s">
        <v>41</v>
      </c>
      <c r="D340">
        <v>0.53100000000000003</v>
      </c>
      <c r="E340">
        <v>2509891.33</v>
      </c>
      <c r="F340">
        <v>0</v>
      </c>
      <c r="G340">
        <v>2509891.33</v>
      </c>
      <c r="H340">
        <v>30762.13</v>
      </c>
      <c r="I340">
        <v>168168.31</v>
      </c>
      <c r="J340">
        <v>0.44400000000000001</v>
      </c>
      <c r="K340">
        <v>47989.24</v>
      </c>
      <c r="L340">
        <v>0</v>
      </c>
      <c r="M340">
        <v>12730.94</v>
      </c>
      <c r="N340">
        <v>2025</v>
      </c>
      <c r="O340">
        <v>8</v>
      </c>
    </row>
    <row r="341" spans="1:15" x14ac:dyDescent="0.3">
      <c r="A341">
        <v>41290</v>
      </c>
      <c r="B341">
        <v>3202306</v>
      </c>
      <c r="C341" t="s">
        <v>42</v>
      </c>
      <c r="D341">
        <v>0.36699999999999999</v>
      </c>
      <c r="E341">
        <v>1734708.32</v>
      </c>
      <c r="F341">
        <v>0</v>
      </c>
      <c r="G341">
        <v>1734708.32</v>
      </c>
      <c r="H341">
        <v>21261.21</v>
      </c>
      <c r="I341">
        <v>386204.31</v>
      </c>
      <c r="J341">
        <v>0.99</v>
      </c>
      <c r="K341">
        <v>33167.71</v>
      </c>
      <c r="L341">
        <v>0</v>
      </c>
      <c r="M341">
        <v>8798.9699999999993</v>
      </c>
      <c r="N341">
        <v>2025</v>
      </c>
      <c r="O341">
        <v>8</v>
      </c>
    </row>
    <row r="342" spans="1:15" x14ac:dyDescent="0.3">
      <c r="A342">
        <v>41291</v>
      </c>
      <c r="B342">
        <v>3202405</v>
      </c>
      <c r="C342" t="s">
        <v>43</v>
      </c>
      <c r="D342">
        <v>0.79</v>
      </c>
      <c r="E342">
        <v>3734113.32</v>
      </c>
      <c r="F342">
        <v>0</v>
      </c>
      <c r="G342">
        <v>3734113.32</v>
      </c>
      <c r="H342">
        <v>45766.63</v>
      </c>
      <c r="I342">
        <v>2285331.87</v>
      </c>
      <c r="J342">
        <v>3.0129999999999999</v>
      </c>
      <c r="K342">
        <v>71396.42</v>
      </c>
      <c r="L342">
        <v>0</v>
      </c>
      <c r="M342">
        <v>18940.57</v>
      </c>
      <c r="N342">
        <v>2025</v>
      </c>
      <c r="O342">
        <v>8</v>
      </c>
    </row>
    <row r="343" spans="1:15" x14ac:dyDescent="0.3">
      <c r="A343">
        <v>41292</v>
      </c>
      <c r="B343">
        <v>3202454</v>
      </c>
      <c r="C343" t="s">
        <v>44</v>
      </c>
      <c r="D343">
        <v>0.33900000000000002</v>
      </c>
      <c r="E343">
        <v>1602360</v>
      </c>
      <c r="F343">
        <v>0</v>
      </c>
      <c r="G343">
        <v>1602360</v>
      </c>
      <c r="H343">
        <v>19639.099999999999</v>
      </c>
      <c r="I343">
        <v>371245.15</v>
      </c>
      <c r="J343">
        <v>0.86499999999999999</v>
      </c>
      <c r="K343">
        <v>30637.200000000001</v>
      </c>
      <c r="L343">
        <v>0</v>
      </c>
      <c r="M343">
        <v>8127.66</v>
      </c>
      <c r="N343">
        <v>2025</v>
      </c>
      <c r="O343">
        <v>8</v>
      </c>
    </row>
    <row r="344" spans="1:15" x14ac:dyDescent="0.3">
      <c r="A344">
        <v>41293</v>
      </c>
      <c r="B344">
        <v>3202504</v>
      </c>
      <c r="C344" t="s">
        <v>45</v>
      </c>
      <c r="D344">
        <v>0.307</v>
      </c>
      <c r="E344">
        <v>1451104.78</v>
      </c>
      <c r="F344">
        <v>0</v>
      </c>
      <c r="G344">
        <v>1451104.78</v>
      </c>
      <c r="H344">
        <v>17785.259999999998</v>
      </c>
      <c r="I344">
        <v>138419.54</v>
      </c>
      <c r="J344">
        <v>0.45400000000000001</v>
      </c>
      <c r="K344">
        <v>27745.19</v>
      </c>
      <c r="L344">
        <v>0</v>
      </c>
      <c r="M344">
        <v>7360.45</v>
      </c>
      <c r="N344">
        <v>2025</v>
      </c>
      <c r="O344">
        <v>8</v>
      </c>
    </row>
    <row r="345" spans="1:15" x14ac:dyDescent="0.3">
      <c r="A345">
        <v>41294</v>
      </c>
      <c r="B345">
        <v>3202553</v>
      </c>
      <c r="C345" t="s">
        <v>46</v>
      </c>
      <c r="D345">
        <v>0.28399999999999997</v>
      </c>
      <c r="E345">
        <v>1342390.1</v>
      </c>
      <c r="F345">
        <v>0</v>
      </c>
      <c r="G345">
        <v>1342390.1</v>
      </c>
      <c r="H345">
        <v>16452.810000000001</v>
      </c>
      <c r="I345">
        <v>77817.399999999994</v>
      </c>
      <c r="J345">
        <v>0.35</v>
      </c>
      <c r="K345">
        <v>25666.560000000001</v>
      </c>
      <c r="L345">
        <v>0</v>
      </c>
      <c r="M345">
        <v>6809.01</v>
      </c>
      <c r="N345">
        <v>2025</v>
      </c>
      <c r="O345">
        <v>8</v>
      </c>
    </row>
    <row r="346" spans="1:15" x14ac:dyDescent="0.3">
      <c r="A346">
        <v>41295</v>
      </c>
      <c r="B346">
        <v>3202603</v>
      </c>
      <c r="C346" t="s">
        <v>47</v>
      </c>
      <c r="D346">
        <v>0.314</v>
      </c>
      <c r="E346">
        <v>1484191.86</v>
      </c>
      <c r="F346">
        <v>0</v>
      </c>
      <c r="G346">
        <v>1484191.86</v>
      </c>
      <c r="H346">
        <v>18190.79</v>
      </c>
      <c r="I346">
        <v>197601.54</v>
      </c>
      <c r="J346">
        <v>0.52</v>
      </c>
      <c r="K346">
        <v>28377.82</v>
      </c>
      <c r="L346">
        <v>0</v>
      </c>
      <c r="M346">
        <v>7528.28</v>
      </c>
      <c r="N346">
        <v>2025</v>
      </c>
      <c r="O346">
        <v>8</v>
      </c>
    </row>
    <row r="347" spans="1:15" x14ac:dyDescent="0.3">
      <c r="A347">
        <v>41296</v>
      </c>
      <c r="B347">
        <v>3202652</v>
      </c>
      <c r="C347" t="s">
        <v>48</v>
      </c>
      <c r="D347">
        <v>0.316</v>
      </c>
      <c r="E347">
        <v>1493645.32</v>
      </c>
      <c r="F347">
        <v>0</v>
      </c>
      <c r="G347">
        <v>1493645.32</v>
      </c>
      <c r="H347">
        <v>18306.650000000001</v>
      </c>
      <c r="I347">
        <v>198664.42</v>
      </c>
      <c r="J347">
        <v>0.55700000000000005</v>
      </c>
      <c r="K347">
        <v>28558.57</v>
      </c>
      <c r="L347">
        <v>0</v>
      </c>
      <c r="M347">
        <v>7576.23</v>
      </c>
      <c r="N347">
        <v>2025</v>
      </c>
      <c r="O347">
        <v>8</v>
      </c>
    </row>
    <row r="348" spans="1:15" x14ac:dyDescent="0.3">
      <c r="A348">
        <v>41297</v>
      </c>
      <c r="B348">
        <v>3202702</v>
      </c>
      <c r="C348" t="s">
        <v>49</v>
      </c>
      <c r="D348">
        <v>0.40400000000000003</v>
      </c>
      <c r="E348">
        <v>1909597.2</v>
      </c>
      <c r="F348">
        <v>0</v>
      </c>
      <c r="G348">
        <v>1909597.2</v>
      </c>
      <c r="H348">
        <v>23404.71</v>
      </c>
      <c r="I348">
        <v>120161.64</v>
      </c>
      <c r="J348">
        <v>0.55200000000000005</v>
      </c>
      <c r="K348">
        <v>36511.589999999997</v>
      </c>
      <c r="L348">
        <v>0</v>
      </c>
      <c r="M348">
        <v>9686.06</v>
      </c>
      <c r="N348">
        <v>2025</v>
      </c>
      <c r="O348">
        <v>8</v>
      </c>
    </row>
    <row r="349" spans="1:15" x14ac:dyDescent="0.3">
      <c r="A349">
        <v>41298</v>
      </c>
      <c r="B349">
        <v>3202801</v>
      </c>
      <c r="C349" t="s">
        <v>50</v>
      </c>
      <c r="D349">
        <v>3.4060000000000001</v>
      </c>
      <c r="E349">
        <v>16099227.699999999</v>
      </c>
      <c r="F349">
        <v>0</v>
      </c>
      <c r="G349">
        <v>16099227.699999999</v>
      </c>
      <c r="H349">
        <v>197317.92</v>
      </c>
      <c r="I349">
        <v>354932.68</v>
      </c>
      <c r="J349">
        <v>1.2130000000000001</v>
      </c>
      <c r="K349">
        <v>307818</v>
      </c>
      <c r="L349">
        <v>0</v>
      </c>
      <c r="M349">
        <v>81660.210000000006</v>
      </c>
      <c r="N349">
        <v>2025</v>
      </c>
      <c r="O349">
        <v>8</v>
      </c>
    </row>
    <row r="350" spans="1:15" x14ac:dyDescent="0.3">
      <c r="A350">
        <v>41299</v>
      </c>
      <c r="B350">
        <v>3202900</v>
      </c>
      <c r="C350" t="s">
        <v>51</v>
      </c>
      <c r="D350">
        <v>0.39200000000000002</v>
      </c>
      <c r="E350">
        <v>1852876.45</v>
      </c>
      <c r="F350">
        <v>0</v>
      </c>
      <c r="G350">
        <v>1852876.45</v>
      </c>
      <c r="H350">
        <v>22709.52</v>
      </c>
      <c r="I350">
        <v>149347.62</v>
      </c>
      <c r="J350">
        <v>0.438</v>
      </c>
      <c r="K350">
        <v>35427.089999999997</v>
      </c>
      <c r="L350">
        <v>0</v>
      </c>
      <c r="M350">
        <v>9398.36</v>
      </c>
      <c r="N350">
        <v>2025</v>
      </c>
      <c r="O350">
        <v>8</v>
      </c>
    </row>
    <row r="351" spans="1:15" x14ac:dyDescent="0.3">
      <c r="A351">
        <v>41300</v>
      </c>
      <c r="B351">
        <v>3203007</v>
      </c>
      <c r="C351" t="s">
        <v>52</v>
      </c>
      <c r="D351">
        <v>0.5</v>
      </c>
      <c r="E351">
        <v>2363362.85</v>
      </c>
      <c r="F351">
        <v>0</v>
      </c>
      <c r="G351">
        <v>2363362.85</v>
      </c>
      <c r="H351">
        <v>28966.22</v>
      </c>
      <c r="I351">
        <v>330966.52</v>
      </c>
      <c r="J351">
        <v>0.90300000000000002</v>
      </c>
      <c r="K351">
        <v>45187.61</v>
      </c>
      <c r="L351">
        <v>0</v>
      </c>
      <c r="M351">
        <v>11987.7</v>
      </c>
      <c r="N351">
        <v>2025</v>
      </c>
      <c r="O351">
        <v>8</v>
      </c>
    </row>
    <row r="352" spans="1:15" x14ac:dyDescent="0.3">
      <c r="A352">
        <v>41301</v>
      </c>
      <c r="B352">
        <v>3203056</v>
      </c>
      <c r="C352" t="s">
        <v>53</v>
      </c>
      <c r="D352">
        <v>1.109</v>
      </c>
      <c r="E352">
        <v>5241938.79</v>
      </c>
      <c r="F352">
        <v>0</v>
      </c>
      <c r="G352">
        <v>5241938.79</v>
      </c>
      <c r="H352">
        <v>64247.08</v>
      </c>
      <c r="I352">
        <v>366382.97</v>
      </c>
      <c r="J352">
        <v>0.98899999999999999</v>
      </c>
      <c r="K352">
        <v>100226.12</v>
      </c>
      <c r="L352">
        <v>0</v>
      </c>
      <c r="M352">
        <v>26588.720000000001</v>
      </c>
      <c r="N352">
        <v>2025</v>
      </c>
      <c r="O352">
        <v>8</v>
      </c>
    </row>
    <row r="353" spans="1:15" x14ac:dyDescent="0.3">
      <c r="A353">
        <v>41302</v>
      </c>
      <c r="B353">
        <v>3203106</v>
      </c>
      <c r="C353" t="s">
        <v>54</v>
      </c>
      <c r="D353">
        <v>0.216</v>
      </c>
      <c r="E353">
        <v>1020972.75</v>
      </c>
      <c r="F353">
        <v>0</v>
      </c>
      <c r="G353">
        <v>1020972.75</v>
      </c>
      <c r="H353">
        <v>12513.41</v>
      </c>
      <c r="I353">
        <v>73587.98</v>
      </c>
      <c r="J353">
        <v>0.45100000000000001</v>
      </c>
      <c r="K353">
        <v>19521.05</v>
      </c>
      <c r="L353">
        <v>0</v>
      </c>
      <c r="M353">
        <v>5178.6899999999996</v>
      </c>
      <c r="N353">
        <v>2025</v>
      </c>
      <c r="O353">
        <v>8</v>
      </c>
    </row>
    <row r="354" spans="1:15" x14ac:dyDescent="0.3">
      <c r="A354">
        <v>41303</v>
      </c>
      <c r="B354">
        <v>3203130</v>
      </c>
      <c r="C354" t="s">
        <v>55</v>
      </c>
      <c r="D354">
        <v>0.376</v>
      </c>
      <c r="E354">
        <v>1777248.89</v>
      </c>
      <c r="F354">
        <v>0</v>
      </c>
      <c r="G354">
        <v>1777248.89</v>
      </c>
      <c r="H354">
        <v>21782.6</v>
      </c>
      <c r="I354">
        <v>164879.4</v>
      </c>
      <c r="J354">
        <v>0.61499999999999999</v>
      </c>
      <c r="K354">
        <v>33981.089999999997</v>
      </c>
      <c r="L354">
        <v>0</v>
      </c>
      <c r="M354">
        <v>9014.75</v>
      </c>
      <c r="N354">
        <v>2025</v>
      </c>
      <c r="O354">
        <v>8</v>
      </c>
    </row>
    <row r="355" spans="1:15" x14ac:dyDescent="0.3">
      <c r="A355">
        <v>41304</v>
      </c>
      <c r="B355">
        <v>3203163</v>
      </c>
      <c r="C355" t="s">
        <v>56</v>
      </c>
      <c r="D355">
        <v>0.42799999999999999</v>
      </c>
      <c r="E355">
        <v>2023038.58</v>
      </c>
      <c r="F355">
        <v>0</v>
      </c>
      <c r="G355">
        <v>2023038.58</v>
      </c>
      <c r="H355">
        <v>24795.09</v>
      </c>
      <c r="I355">
        <v>79771.179999999993</v>
      </c>
      <c r="J355">
        <v>0.44500000000000001</v>
      </c>
      <c r="K355">
        <v>38680.6</v>
      </c>
      <c r="L355">
        <v>0</v>
      </c>
      <c r="M355">
        <v>10261.469999999999</v>
      </c>
      <c r="N355">
        <v>2025</v>
      </c>
      <c r="O355">
        <v>8</v>
      </c>
    </row>
    <row r="356" spans="1:15" x14ac:dyDescent="0.3">
      <c r="A356">
        <v>41305</v>
      </c>
      <c r="B356">
        <v>3203205</v>
      </c>
      <c r="C356" t="s">
        <v>57</v>
      </c>
      <c r="D356">
        <v>4.431</v>
      </c>
      <c r="E356">
        <v>20944121.59</v>
      </c>
      <c r="F356">
        <v>0</v>
      </c>
      <c r="G356">
        <v>20944121.59</v>
      </c>
      <c r="H356">
        <v>256698.68</v>
      </c>
      <c r="I356">
        <v>2397559.1800000002</v>
      </c>
      <c r="J356">
        <v>4.0979999999999999</v>
      </c>
      <c r="K356">
        <v>400452.6</v>
      </c>
      <c r="L356">
        <v>0</v>
      </c>
      <c r="M356">
        <v>106235</v>
      </c>
      <c r="N356">
        <v>2025</v>
      </c>
      <c r="O356">
        <v>8</v>
      </c>
    </row>
    <row r="357" spans="1:15" x14ac:dyDescent="0.3">
      <c r="A357">
        <v>41306</v>
      </c>
      <c r="B357">
        <v>3203304</v>
      </c>
      <c r="C357" t="s">
        <v>58</v>
      </c>
      <c r="D357">
        <v>0.314</v>
      </c>
      <c r="E357">
        <v>1484191.86</v>
      </c>
      <c r="F357">
        <v>0</v>
      </c>
      <c r="G357">
        <v>1484191.86</v>
      </c>
      <c r="H357">
        <v>18190.79</v>
      </c>
      <c r="I357">
        <v>145790.6</v>
      </c>
      <c r="J357">
        <v>0.52400000000000002</v>
      </c>
      <c r="K357">
        <v>28377.82</v>
      </c>
      <c r="L357">
        <v>0</v>
      </c>
      <c r="M357">
        <v>7528.28</v>
      </c>
      <c r="N357">
        <v>2025</v>
      </c>
      <c r="O357">
        <v>8</v>
      </c>
    </row>
    <row r="358" spans="1:15" x14ac:dyDescent="0.3">
      <c r="A358">
        <v>41307</v>
      </c>
      <c r="B358">
        <v>3203320</v>
      </c>
      <c r="C358" t="s">
        <v>59</v>
      </c>
      <c r="D358">
        <v>0.58499999999999996</v>
      </c>
      <c r="E358">
        <v>2765134.51</v>
      </c>
      <c r="F358">
        <v>0</v>
      </c>
      <c r="G358">
        <v>2765134.51</v>
      </c>
      <c r="H358">
        <v>33890.480000000003</v>
      </c>
      <c r="I358">
        <v>470860.87</v>
      </c>
      <c r="J358">
        <v>1.3140000000000001</v>
      </c>
      <c r="K358">
        <v>52869.5</v>
      </c>
      <c r="L358">
        <v>0</v>
      </c>
      <c r="M358">
        <v>14025.61</v>
      </c>
      <c r="N358">
        <v>2025</v>
      </c>
      <c r="O358">
        <v>8</v>
      </c>
    </row>
    <row r="359" spans="1:15" x14ac:dyDescent="0.3">
      <c r="A359">
        <v>41308</v>
      </c>
      <c r="B359">
        <v>3203346</v>
      </c>
      <c r="C359" t="s">
        <v>60</v>
      </c>
      <c r="D359">
        <v>0.55500000000000005</v>
      </c>
      <c r="E359">
        <v>2623332.75</v>
      </c>
      <c r="F359">
        <v>0</v>
      </c>
      <c r="G359">
        <v>2623332.75</v>
      </c>
      <c r="H359">
        <v>32152.51</v>
      </c>
      <c r="I359">
        <v>185184.16</v>
      </c>
      <c r="J359">
        <v>0.68500000000000005</v>
      </c>
      <c r="K359">
        <v>50158.239999999998</v>
      </c>
      <c r="L359">
        <v>0</v>
      </c>
      <c r="M359">
        <v>13306.35</v>
      </c>
      <c r="N359">
        <v>2025</v>
      </c>
      <c r="O359">
        <v>8</v>
      </c>
    </row>
    <row r="360" spans="1:15" x14ac:dyDescent="0.3">
      <c r="A360">
        <v>41309</v>
      </c>
      <c r="B360">
        <v>3203353</v>
      </c>
      <c r="C360" t="s">
        <v>61</v>
      </c>
      <c r="D360">
        <v>0.505</v>
      </c>
      <c r="E360">
        <v>2386996.5</v>
      </c>
      <c r="F360">
        <v>0</v>
      </c>
      <c r="G360">
        <v>2386996.5</v>
      </c>
      <c r="H360">
        <v>29255.89</v>
      </c>
      <c r="I360">
        <v>144319.76999999999</v>
      </c>
      <c r="J360">
        <v>0.46300000000000002</v>
      </c>
      <c r="K360">
        <v>45639.48</v>
      </c>
      <c r="L360">
        <v>0</v>
      </c>
      <c r="M360">
        <v>12107.58</v>
      </c>
      <c r="N360">
        <v>2025</v>
      </c>
      <c r="O360">
        <v>8</v>
      </c>
    </row>
    <row r="361" spans="1:15" x14ac:dyDescent="0.3">
      <c r="A361">
        <v>41310</v>
      </c>
      <c r="B361">
        <v>3203403</v>
      </c>
      <c r="C361" t="s">
        <v>62</v>
      </c>
      <c r="D361">
        <v>0.46899999999999997</v>
      </c>
      <c r="E361">
        <v>2216834.35</v>
      </c>
      <c r="F361">
        <v>0</v>
      </c>
      <c r="G361">
        <v>2216834.35</v>
      </c>
      <c r="H361">
        <v>27170.32</v>
      </c>
      <c r="I361">
        <v>263188.93</v>
      </c>
      <c r="J361">
        <v>0.83899999999999997</v>
      </c>
      <c r="K361">
        <v>42385.98</v>
      </c>
      <c r="L361">
        <v>0</v>
      </c>
      <c r="M361">
        <v>11244.46</v>
      </c>
      <c r="N361">
        <v>2025</v>
      </c>
      <c r="O361">
        <v>8</v>
      </c>
    </row>
    <row r="362" spans="1:15" x14ac:dyDescent="0.3">
      <c r="A362">
        <v>41311</v>
      </c>
      <c r="B362">
        <v>3203502</v>
      </c>
      <c r="C362" t="s">
        <v>63</v>
      </c>
      <c r="D362">
        <v>0.51500000000000001</v>
      </c>
      <c r="E362">
        <v>2434263.7400000002</v>
      </c>
      <c r="F362">
        <v>0</v>
      </c>
      <c r="G362">
        <v>2434263.7400000002</v>
      </c>
      <c r="H362">
        <v>29835.21</v>
      </c>
      <c r="I362">
        <v>251216.7</v>
      </c>
      <c r="J362">
        <v>0.69699999999999995</v>
      </c>
      <c r="K362">
        <v>46543.24</v>
      </c>
      <c r="L362">
        <v>0</v>
      </c>
      <c r="M362">
        <v>12347.33</v>
      </c>
      <c r="N362">
        <v>2025</v>
      </c>
      <c r="O362">
        <v>8</v>
      </c>
    </row>
    <row r="363" spans="1:15" x14ac:dyDescent="0.3">
      <c r="A363">
        <v>41312</v>
      </c>
      <c r="B363">
        <v>3203601</v>
      </c>
      <c r="C363" t="s">
        <v>64</v>
      </c>
      <c r="D363">
        <v>0.30599999999999999</v>
      </c>
      <c r="E363">
        <v>1446378.07</v>
      </c>
      <c r="F363">
        <v>0</v>
      </c>
      <c r="G363">
        <v>1446378.07</v>
      </c>
      <c r="H363">
        <v>17727.330000000002</v>
      </c>
      <c r="I363">
        <v>45275.12</v>
      </c>
      <c r="J363">
        <v>0.29699999999999999</v>
      </c>
      <c r="K363">
        <v>27654.81</v>
      </c>
      <c r="L363">
        <v>0</v>
      </c>
      <c r="M363">
        <v>7336.47</v>
      </c>
      <c r="N363">
        <v>2025</v>
      </c>
      <c r="O363">
        <v>8</v>
      </c>
    </row>
    <row r="364" spans="1:15" x14ac:dyDescent="0.3">
      <c r="A364">
        <v>41313</v>
      </c>
      <c r="B364">
        <v>3203700</v>
      </c>
      <c r="C364" t="s">
        <v>65</v>
      </c>
      <c r="D364">
        <v>0.505</v>
      </c>
      <c r="E364">
        <v>2386996.5</v>
      </c>
      <c r="F364">
        <v>0</v>
      </c>
      <c r="G364">
        <v>2386996.5</v>
      </c>
      <c r="H364">
        <v>29255.89</v>
      </c>
      <c r="I364">
        <v>146488.28</v>
      </c>
      <c r="J364">
        <v>0.68500000000000005</v>
      </c>
      <c r="K364">
        <v>45639.48</v>
      </c>
      <c r="L364">
        <v>0</v>
      </c>
      <c r="M364">
        <v>12107.58</v>
      </c>
      <c r="N364">
        <v>2025</v>
      </c>
      <c r="O364">
        <v>8</v>
      </c>
    </row>
    <row r="365" spans="1:15" x14ac:dyDescent="0.3">
      <c r="A365">
        <v>41314</v>
      </c>
      <c r="B365">
        <v>3203809</v>
      </c>
      <c r="C365" t="s">
        <v>66</v>
      </c>
      <c r="D365">
        <v>0.32</v>
      </c>
      <c r="E365">
        <v>1512552.24</v>
      </c>
      <c r="F365">
        <v>0</v>
      </c>
      <c r="G365">
        <v>1512552.24</v>
      </c>
      <c r="H365">
        <v>18538.38</v>
      </c>
      <c r="I365">
        <v>99116.64</v>
      </c>
      <c r="J365">
        <v>0.55300000000000005</v>
      </c>
      <c r="K365">
        <v>28920.07</v>
      </c>
      <c r="L365">
        <v>0</v>
      </c>
      <c r="M365">
        <v>7672.13</v>
      </c>
      <c r="N365">
        <v>2025</v>
      </c>
      <c r="O365">
        <v>8</v>
      </c>
    </row>
    <row r="366" spans="1:15" x14ac:dyDescent="0.3">
      <c r="A366">
        <v>41315</v>
      </c>
      <c r="B366">
        <v>3203908</v>
      </c>
      <c r="C366" t="s">
        <v>67</v>
      </c>
      <c r="D366">
        <v>1.2250000000000001</v>
      </c>
      <c r="E366">
        <v>5790238.96</v>
      </c>
      <c r="F366">
        <v>0</v>
      </c>
      <c r="G366">
        <v>5790238.96</v>
      </c>
      <c r="H366">
        <v>70967.25</v>
      </c>
      <c r="I366">
        <v>710313.09</v>
      </c>
      <c r="J366">
        <v>1.4710000000000001</v>
      </c>
      <c r="K366">
        <v>110709.65</v>
      </c>
      <c r="L366">
        <v>0</v>
      </c>
      <c r="M366">
        <v>29369.86</v>
      </c>
      <c r="N366">
        <v>2025</v>
      </c>
      <c r="O366">
        <v>8</v>
      </c>
    </row>
    <row r="367" spans="1:15" x14ac:dyDescent="0.3">
      <c r="A367">
        <v>41316</v>
      </c>
      <c r="B367">
        <v>3204005</v>
      </c>
      <c r="C367" t="s">
        <v>68</v>
      </c>
      <c r="D367">
        <v>0.435</v>
      </c>
      <c r="E367">
        <v>2056125.65</v>
      </c>
      <c r="F367">
        <v>0</v>
      </c>
      <c r="G367">
        <v>2056125.65</v>
      </c>
      <c r="H367">
        <v>25200.62</v>
      </c>
      <c r="I367">
        <v>168842.38</v>
      </c>
      <c r="J367">
        <v>0.69099999999999995</v>
      </c>
      <c r="K367">
        <v>39313.22</v>
      </c>
      <c r="L367">
        <v>0</v>
      </c>
      <c r="M367">
        <v>10429.299999999999</v>
      </c>
      <c r="N367">
        <v>2025</v>
      </c>
      <c r="O367">
        <v>8</v>
      </c>
    </row>
    <row r="368" spans="1:15" x14ac:dyDescent="0.3">
      <c r="A368">
        <v>41317</v>
      </c>
      <c r="B368">
        <v>3204054</v>
      </c>
      <c r="C368" t="s">
        <v>69</v>
      </c>
      <c r="D368">
        <v>0.33400000000000002</v>
      </c>
      <c r="E368">
        <v>1578726.38</v>
      </c>
      <c r="F368">
        <v>0</v>
      </c>
      <c r="G368">
        <v>1578726.38</v>
      </c>
      <c r="H368">
        <v>19349.439999999999</v>
      </c>
      <c r="I368">
        <v>234379.04</v>
      </c>
      <c r="J368">
        <v>0.78400000000000003</v>
      </c>
      <c r="K368">
        <v>30185.32</v>
      </c>
      <c r="L368">
        <v>0</v>
      </c>
      <c r="M368">
        <v>8007.78</v>
      </c>
      <c r="N368">
        <v>2025</v>
      </c>
      <c r="O368">
        <v>8</v>
      </c>
    </row>
    <row r="369" spans="1:15" x14ac:dyDescent="0.3">
      <c r="A369">
        <v>41318</v>
      </c>
      <c r="B369">
        <v>3204104</v>
      </c>
      <c r="C369" t="s">
        <v>70</v>
      </c>
      <c r="D369">
        <v>0.755</v>
      </c>
      <c r="E369">
        <v>3568677.9</v>
      </c>
      <c r="F369">
        <v>0</v>
      </c>
      <c r="G369">
        <v>3568677.9</v>
      </c>
      <c r="H369">
        <v>43739</v>
      </c>
      <c r="I369">
        <v>213969.12</v>
      </c>
      <c r="J369">
        <v>0.83499999999999996</v>
      </c>
      <c r="K369">
        <v>68233.289999999994</v>
      </c>
      <c r="L369">
        <v>0</v>
      </c>
      <c r="M369">
        <v>18101.43</v>
      </c>
      <c r="N369">
        <v>2025</v>
      </c>
      <c r="O369">
        <v>8</v>
      </c>
    </row>
    <row r="370" spans="1:15" x14ac:dyDescent="0.3">
      <c r="A370">
        <v>41319</v>
      </c>
      <c r="B370">
        <v>3204203</v>
      </c>
      <c r="C370" t="s">
        <v>71</v>
      </c>
      <c r="D370">
        <v>0.36499999999999999</v>
      </c>
      <c r="E370">
        <v>1725254.86</v>
      </c>
      <c r="F370">
        <v>0</v>
      </c>
      <c r="G370">
        <v>1725254.86</v>
      </c>
      <c r="H370">
        <v>21145.34</v>
      </c>
      <c r="I370">
        <v>329222.67</v>
      </c>
      <c r="J370">
        <v>0.745</v>
      </c>
      <c r="K370">
        <v>32986.959999999999</v>
      </c>
      <c r="L370">
        <v>0</v>
      </c>
      <c r="M370">
        <v>8751.02</v>
      </c>
      <c r="N370">
        <v>2025</v>
      </c>
      <c r="O370">
        <v>8</v>
      </c>
    </row>
    <row r="371" spans="1:15" x14ac:dyDescent="0.3">
      <c r="A371">
        <v>41320</v>
      </c>
      <c r="B371">
        <v>3204252</v>
      </c>
      <c r="C371" t="s">
        <v>72</v>
      </c>
      <c r="D371">
        <v>0.27</v>
      </c>
      <c r="E371">
        <v>1276215.93</v>
      </c>
      <c r="F371">
        <v>0</v>
      </c>
      <c r="G371">
        <v>1276215.93</v>
      </c>
      <c r="H371">
        <v>15641.76</v>
      </c>
      <c r="I371">
        <v>68274.429999999993</v>
      </c>
      <c r="J371">
        <v>0.31</v>
      </c>
      <c r="K371">
        <v>24401.31</v>
      </c>
      <c r="L371">
        <v>0</v>
      </c>
      <c r="M371">
        <v>6473.36</v>
      </c>
      <c r="N371">
        <v>2025</v>
      </c>
      <c r="O371">
        <v>8</v>
      </c>
    </row>
    <row r="372" spans="1:15" x14ac:dyDescent="0.3">
      <c r="A372">
        <v>41321</v>
      </c>
      <c r="B372">
        <v>1718402</v>
      </c>
      <c r="C372" t="s">
        <v>73</v>
      </c>
      <c r="D372">
        <v>0.39100000000000001</v>
      </c>
      <c r="E372">
        <v>1848149.74</v>
      </c>
      <c r="F372">
        <v>0</v>
      </c>
      <c r="G372">
        <v>1848149.74</v>
      </c>
      <c r="H372">
        <v>22651.59</v>
      </c>
      <c r="I372">
        <v>193572.04</v>
      </c>
      <c r="J372">
        <v>0.55900000000000005</v>
      </c>
      <c r="K372">
        <v>35336.71</v>
      </c>
      <c r="L372">
        <v>0</v>
      </c>
      <c r="M372">
        <v>9374.3799999999992</v>
      </c>
      <c r="N372">
        <v>2025</v>
      </c>
      <c r="O372">
        <v>8</v>
      </c>
    </row>
    <row r="373" spans="1:15" x14ac:dyDescent="0.3">
      <c r="A373">
        <v>41322</v>
      </c>
      <c r="B373">
        <v>3204351</v>
      </c>
      <c r="C373" t="s">
        <v>74</v>
      </c>
      <c r="D373">
        <v>0.88200000000000001</v>
      </c>
      <c r="E373">
        <v>4168972.07</v>
      </c>
      <c r="F373">
        <v>0</v>
      </c>
      <c r="G373">
        <v>4168972.07</v>
      </c>
      <c r="H373">
        <v>51096.42</v>
      </c>
      <c r="I373">
        <v>221080.95999999999</v>
      </c>
      <c r="J373">
        <v>0.70299999999999996</v>
      </c>
      <c r="K373">
        <v>79710.94</v>
      </c>
      <c r="L373">
        <v>0</v>
      </c>
      <c r="M373">
        <v>21146.3</v>
      </c>
      <c r="N373">
        <v>2025</v>
      </c>
      <c r="O373">
        <v>8</v>
      </c>
    </row>
    <row r="374" spans="1:15" x14ac:dyDescent="0.3">
      <c r="A374">
        <v>41323</v>
      </c>
      <c r="B374">
        <v>3204401</v>
      </c>
      <c r="C374" t="s">
        <v>75</v>
      </c>
      <c r="D374">
        <v>0.312</v>
      </c>
      <c r="E374">
        <v>1474738.41</v>
      </c>
      <c r="F374">
        <v>0</v>
      </c>
      <c r="G374">
        <v>1474738.41</v>
      </c>
      <c r="H374">
        <v>18074.919999999998</v>
      </c>
      <c r="I374">
        <v>124665.75</v>
      </c>
      <c r="J374">
        <v>0.44400000000000001</v>
      </c>
      <c r="K374">
        <v>28197.07</v>
      </c>
      <c r="L374">
        <v>0</v>
      </c>
      <c r="M374">
        <v>7480.32</v>
      </c>
      <c r="N374">
        <v>2025</v>
      </c>
      <c r="O374">
        <v>8</v>
      </c>
    </row>
    <row r="375" spans="1:15" x14ac:dyDescent="0.3">
      <c r="A375">
        <v>41324</v>
      </c>
      <c r="B375">
        <v>3204500</v>
      </c>
      <c r="C375" t="s">
        <v>76</v>
      </c>
      <c r="D375">
        <v>0.51800000000000002</v>
      </c>
      <c r="E375">
        <v>2448443.91</v>
      </c>
      <c r="F375">
        <v>0</v>
      </c>
      <c r="G375">
        <v>2448443.91</v>
      </c>
      <c r="H375">
        <v>30009.01</v>
      </c>
      <c r="I375">
        <v>74849.34</v>
      </c>
      <c r="J375">
        <v>0.54800000000000004</v>
      </c>
      <c r="K375">
        <v>46814.36</v>
      </c>
      <c r="L375">
        <v>0</v>
      </c>
      <c r="M375">
        <v>12419.26</v>
      </c>
      <c r="N375">
        <v>2025</v>
      </c>
      <c r="O375">
        <v>8</v>
      </c>
    </row>
    <row r="376" spans="1:15" x14ac:dyDescent="0.3">
      <c r="A376">
        <v>41325</v>
      </c>
      <c r="B376">
        <v>3204559</v>
      </c>
      <c r="C376" t="s">
        <v>77</v>
      </c>
      <c r="D376">
        <v>2.1909999999999998</v>
      </c>
      <c r="E376">
        <v>10356256.01</v>
      </c>
      <c r="F376">
        <v>0</v>
      </c>
      <c r="G376">
        <v>10356256.01</v>
      </c>
      <c r="H376">
        <v>126929.99</v>
      </c>
      <c r="I376">
        <v>617058.87</v>
      </c>
      <c r="J376">
        <v>1.31</v>
      </c>
      <c r="K376">
        <v>198012.11</v>
      </c>
      <c r="L376">
        <v>0</v>
      </c>
      <c r="M376">
        <v>52530.1</v>
      </c>
      <c r="N376">
        <v>2025</v>
      </c>
      <c r="O376">
        <v>8</v>
      </c>
    </row>
    <row r="377" spans="1:15" x14ac:dyDescent="0.3">
      <c r="A377">
        <v>41326</v>
      </c>
      <c r="B377">
        <v>3204609</v>
      </c>
      <c r="C377" t="s">
        <v>78</v>
      </c>
      <c r="D377">
        <v>0.66</v>
      </c>
      <c r="E377">
        <v>3119638.97</v>
      </c>
      <c r="F377">
        <v>0</v>
      </c>
      <c r="G377">
        <v>3119638.97</v>
      </c>
      <c r="H377">
        <v>38235.42</v>
      </c>
      <c r="I377">
        <v>305936.96000000002</v>
      </c>
      <c r="J377">
        <v>0.82199999999999995</v>
      </c>
      <c r="K377">
        <v>59647.65</v>
      </c>
      <c r="L377">
        <v>0</v>
      </c>
      <c r="M377">
        <v>15823.76</v>
      </c>
      <c r="N377">
        <v>2025</v>
      </c>
      <c r="O377">
        <v>8</v>
      </c>
    </row>
    <row r="378" spans="1:15" x14ac:dyDescent="0.3">
      <c r="A378">
        <v>41327</v>
      </c>
      <c r="B378">
        <v>3204658</v>
      </c>
      <c r="C378" t="s">
        <v>79</v>
      </c>
      <c r="D378">
        <v>0.42099999999999999</v>
      </c>
      <c r="E378">
        <v>1989951.53</v>
      </c>
      <c r="F378">
        <v>0</v>
      </c>
      <c r="G378">
        <v>1989951.53</v>
      </c>
      <c r="H378">
        <v>24389.56</v>
      </c>
      <c r="I378">
        <v>104518.39</v>
      </c>
      <c r="J378">
        <v>0.33800000000000002</v>
      </c>
      <c r="K378">
        <v>38047.96</v>
      </c>
      <c r="L378">
        <v>0</v>
      </c>
      <c r="M378">
        <v>10093.64</v>
      </c>
      <c r="N378">
        <v>2025</v>
      </c>
      <c r="O378">
        <v>8</v>
      </c>
    </row>
    <row r="379" spans="1:15" x14ac:dyDescent="0.3">
      <c r="A379">
        <v>41328</v>
      </c>
      <c r="B379">
        <v>3204708</v>
      </c>
      <c r="C379" t="s">
        <v>80</v>
      </c>
      <c r="D379">
        <v>0.72299999999999998</v>
      </c>
      <c r="E379">
        <v>3417422.69</v>
      </c>
      <c r="F379">
        <v>0</v>
      </c>
      <c r="G379">
        <v>3417422.69</v>
      </c>
      <c r="H379">
        <v>41885.160000000003</v>
      </c>
      <c r="I379">
        <v>453858.08</v>
      </c>
      <c r="J379">
        <v>1.0840000000000001</v>
      </c>
      <c r="K379">
        <v>65341.279999999999</v>
      </c>
      <c r="L379">
        <v>0</v>
      </c>
      <c r="M379">
        <v>17334.21</v>
      </c>
      <c r="N379">
        <v>2025</v>
      </c>
      <c r="O379">
        <v>8</v>
      </c>
    </row>
    <row r="380" spans="1:15" x14ac:dyDescent="0.3">
      <c r="A380">
        <v>41329</v>
      </c>
      <c r="B380">
        <v>3204807</v>
      </c>
      <c r="C380" t="s">
        <v>81</v>
      </c>
      <c r="D380">
        <v>0.28599999999999998</v>
      </c>
      <c r="E380">
        <v>1351843.56</v>
      </c>
      <c r="F380">
        <v>0</v>
      </c>
      <c r="G380">
        <v>1351843.56</v>
      </c>
      <c r="H380">
        <v>16568.68</v>
      </c>
      <c r="I380">
        <v>91295.43</v>
      </c>
      <c r="J380">
        <v>0.443</v>
      </c>
      <c r="K380">
        <v>25847.31</v>
      </c>
      <c r="L380">
        <v>0</v>
      </c>
      <c r="M380">
        <v>6856.96</v>
      </c>
      <c r="N380">
        <v>2025</v>
      </c>
      <c r="O380">
        <v>8</v>
      </c>
    </row>
    <row r="381" spans="1:15" x14ac:dyDescent="0.3">
      <c r="A381">
        <v>41330</v>
      </c>
      <c r="B381">
        <v>3204906</v>
      </c>
      <c r="C381" t="s">
        <v>82</v>
      </c>
      <c r="D381">
        <v>1.998</v>
      </c>
      <c r="E381">
        <v>9443997.9299999997</v>
      </c>
      <c r="F381">
        <v>0</v>
      </c>
      <c r="G381">
        <v>9443997.9299999997</v>
      </c>
      <c r="H381">
        <v>115749.03</v>
      </c>
      <c r="I381">
        <v>1694803.64</v>
      </c>
      <c r="J381">
        <v>2.9940000000000002</v>
      </c>
      <c r="K381">
        <v>180569.69</v>
      </c>
      <c r="L381">
        <v>0</v>
      </c>
      <c r="M381">
        <v>47902.85</v>
      </c>
      <c r="N381">
        <v>2025</v>
      </c>
      <c r="O381">
        <v>8</v>
      </c>
    </row>
    <row r="382" spans="1:15" x14ac:dyDescent="0.3">
      <c r="A382">
        <v>41331</v>
      </c>
      <c r="B382">
        <v>3204955</v>
      </c>
      <c r="C382" t="s">
        <v>83</v>
      </c>
      <c r="D382">
        <v>0.3</v>
      </c>
      <c r="E382">
        <v>1418017.73</v>
      </c>
      <c r="F382">
        <v>0</v>
      </c>
      <c r="G382">
        <v>1418017.73</v>
      </c>
      <c r="H382">
        <v>17379.73</v>
      </c>
      <c r="I382">
        <v>120302.68</v>
      </c>
      <c r="J382">
        <v>0.441</v>
      </c>
      <c r="K382">
        <v>27112.57</v>
      </c>
      <c r="L382">
        <v>0</v>
      </c>
      <c r="M382">
        <v>7192.62</v>
      </c>
      <c r="N382">
        <v>2025</v>
      </c>
      <c r="O382">
        <v>8</v>
      </c>
    </row>
    <row r="383" spans="1:15" x14ac:dyDescent="0.3">
      <c r="A383">
        <v>41332</v>
      </c>
      <c r="B383">
        <v>3205002</v>
      </c>
      <c r="C383" t="s">
        <v>84</v>
      </c>
      <c r="D383">
        <v>14.551</v>
      </c>
      <c r="E383">
        <v>68778585.569999993</v>
      </c>
      <c r="F383">
        <v>0</v>
      </c>
      <c r="G383">
        <v>68778585.569999993</v>
      </c>
      <c r="H383">
        <v>842975.05</v>
      </c>
      <c r="I383">
        <v>5804899.8399999999</v>
      </c>
      <c r="J383">
        <v>8.8559999999999999</v>
      </c>
      <c r="K383">
        <v>1315049.82</v>
      </c>
      <c r="L383">
        <v>0</v>
      </c>
      <c r="M383">
        <v>348866.04</v>
      </c>
      <c r="N383">
        <v>2025</v>
      </c>
      <c r="O383">
        <v>8</v>
      </c>
    </row>
    <row r="384" spans="1:15" x14ac:dyDescent="0.3">
      <c r="A384">
        <v>41333</v>
      </c>
      <c r="B384">
        <v>3205010</v>
      </c>
      <c r="C384" t="s">
        <v>85</v>
      </c>
      <c r="D384">
        <v>0.78200000000000003</v>
      </c>
      <c r="E384">
        <v>3696299.49</v>
      </c>
      <c r="F384">
        <v>0</v>
      </c>
      <c r="G384">
        <v>3696299.49</v>
      </c>
      <c r="H384">
        <v>45303.17</v>
      </c>
      <c r="I384">
        <v>277887.34999999998</v>
      </c>
      <c r="J384">
        <v>0.93799999999999994</v>
      </c>
      <c r="K384">
        <v>70673.42</v>
      </c>
      <c r="L384">
        <v>0</v>
      </c>
      <c r="M384">
        <v>18748.759999999998</v>
      </c>
      <c r="N384">
        <v>2025</v>
      </c>
      <c r="O384">
        <v>8</v>
      </c>
    </row>
    <row r="385" spans="1:15" x14ac:dyDescent="0.3">
      <c r="A385">
        <v>41334</v>
      </c>
      <c r="B385">
        <v>3205036</v>
      </c>
      <c r="C385" t="s">
        <v>86</v>
      </c>
      <c r="D385">
        <v>0.45700000000000002</v>
      </c>
      <c r="E385">
        <v>2160113.65</v>
      </c>
      <c r="F385">
        <v>0</v>
      </c>
      <c r="G385">
        <v>2160113.65</v>
      </c>
      <c r="H385">
        <v>26475.13</v>
      </c>
      <c r="I385">
        <v>201423.05</v>
      </c>
      <c r="J385">
        <v>0.70399999999999996</v>
      </c>
      <c r="K385">
        <v>41301.47</v>
      </c>
      <c r="L385">
        <v>0</v>
      </c>
      <c r="M385">
        <v>10956.76</v>
      </c>
      <c r="N385">
        <v>2025</v>
      </c>
      <c r="O385">
        <v>8</v>
      </c>
    </row>
    <row r="386" spans="1:15" x14ac:dyDescent="0.3">
      <c r="A386">
        <v>41335</v>
      </c>
      <c r="B386">
        <v>3205069</v>
      </c>
      <c r="C386" t="s">
        <v>87</v>
      </c>
      <c r="D386">
        <v>0.67</v>
      </c>
      <c r="E386">
        <v>3166906.19</v>
      </c>
      <c r="F386">
        <v>0</v>
      </c>
      <c r="G386">
        <v>3166906.19</v>
      </c>
      <c r="H386">
        <v>38814.74</v>
      </c>
      <c r="I386">
        <v>339319.7</v>
      </c>
      <c r="J386">
        <v>0.83899999999999997</v>
      </c>
      <c r="K386">
        <v>60551.39</v>
      </c>
      <c r="L386">
        <v>0</v>
      </c>
      <c r="M386">
        <v>16063.52</v>
      </c>
      <c r="N386">
        <v>2025</v>
      </c>
      <c r="O386">
        <v>8</v>
      </c>
    </row>
    <row r="387" spans="1:15" x14ac:dyDescent="0.3">
      <c r="A387">
        <v>41336</v>
      </c>
      <c r="B387">
        <v>2112803</v>
      </c>
      <c r="C387" t="s">
        <v>88</v>
      </c>
      <c r="D387">
        <v>3.3740000000000001</v>
      </c>
      <c r="E387">
        <v>15947972.49</v>
      </c>
      <c r="F387">
        <v>0</v>
      </c>
      <c r="G387">
        <v>15947972.49</v>
      </c>
      <c r="H387">
        <v>195464.08</v>
      </c>
      <c r="I387">
        <v>631693.75</v>
      </c>
      <c r="J387">
        <v>1.944</v>
      </c>
      <c r="K387">
        <v>304926</v>
      </c>
      <c r="L387">
        <v>0</v>
      </c>
      <c r="M387">
        <v>80893</v>
      </c>
      <c r="N387">
        <v>2025</v>
      </c>
      <c r="O387">
        <v>8</v>
      </c>
    </row>
    <row r="388" spans="1:15" x14ac:dyDescent="0.3">
      <c r="A388">
        <v>41337</v>
      </c>
      <c r="B388">
        <v>3205150</v>
      </c>
      <c r="C388" t="s">
        <v>89</v>
      </c>
      <c r="D388">
        <v>0.36799999999999999</v>
      </c>
      <c r="E388">
        <v>1739435.07</v>
      </c>
      <c r="F388">
        <v>0</v>
      </c>
      <c r="G388">
        <v>1739435.07</v>
      </c>
      <c r="H388">
        <v>21319.14</v>
      </c>
      <c r="I388">
        <v>97073.15</v>
      </c>
      <c r="J388">
        <v>0.34100000000000003</v>
      </c>
      <c r="K388">
        <v>33258.080000000002</v>
      </c>
      <c r="L388">
        <v>0</v>
      </c>
      <c r="M388">
        <v>8822.9500000000007</v>
      </c>
      <c r="N388">
        <v>2025</v>
      </c>
      <c r="O388">
        <v>8</v>
      </c>
    </row>
    <row r="389" spans="1:15" x14ac:dyDescent="0.3">
      <c r="A389">
        <v>41338</v>
      </c>
      <c r="B389">
        <v>3205176</v>
      </c>
      <c r="C389" t="s">
        <v>90</v>
      </c>
      <c r="D389">
        <v>0.7</v>
      </c>
      <c r="E389">
        <v>3308708.01</v>
      </c>
      <c r="F389">
        <v>0</v>
      </c>
      <c r="G389">
        <v>3308708.01</v>
      </c>
      <c r="H389">
        <v>40552.71</v>
      </c>
      <c r="I389">
        <v>217981.44</v>
      </c>
      <c r="J389">
        <v>0.55400000000000005</v>
      </c>
      <c r="K389">
        <v>63262.65</v>
      </c>
      <c r="L389">
        <v>0</v>
      </c>
      <c r="M389">
        <v>16782.78</v>
      </c>
      <c r="N389">
        <v>2025</v>
      </c>
      <c r="O389">
        <v>8</v>
      </c>
    </row>
    <row r="390" spans="1:15" x14ac:dyDescent="0.3">
      <c r="A390">
        <v>41339</v>
      </c>
      <c r="B390">
        <v>3205200</v>
      </c>
      <c r="C390" t="s">
        <v>91</v>
      </c>
      <c r="D390">
        <v>6.6219999999999999</v>
      </c>
      <c r="E390">
        <v>31300377.57</v>
      </c>
      <c r="F390">
        <v>0</v>
      </c>
      <c r="G390">
        <v>31300377.57</v>
      </c>
      <c r="H390">
        <v>383628.67</v>
      </c>
      <c r="I390">
        <v>6614245.0800000001</v>
      </c>
      <c r="J390">
        <v>8.01</v>
      </c>
      <c r="K390">
        <v>598464.71</v>
      </c>
      <c r="L390">
        <v>0</v>
      </c>
      <c r="M390">
        <v>158765.1</v>
      </c>
      <c r="N390">
        <v>2025</v>
      </c>
      <c r="O390">
        <v>8</v>
      </c>
    </row>
    <row r="391" spans="1:15" x14ac:dyDescent="0.3">
      <c r="A391">
        <v>41340</v>
      </c>
      <c r="B391">
        <v>3205309</v>
      </c>
      <c r="C391" t="s">
        <v>92</v>
      </c>
      <c r="D391">
        <v>10.878</v>
      </c>
      <c r="E391">
        <v>51417321.950000003</v>
      </c>
      <c r="F391">
        <v>0</v>
      </c>
      <c r="G391">
        <v>51417321.950000003</v>
      </c>
      <c r="H391">
        <v>630189.17000000004</v>
      </c>
      <c r="I391">
        <v>5804912.79</v>
      </c>
      <c r="J391">
        <v>9.1780000000000008</v>
      </c>
      <c r="K391">
        <v>983101.67</v>
      </c>
      <c r="L391">
        <v>0</v>
      </c>
      <c r="M391">
        <v>260804.38</v>
      </c>
      <c r="N391">
        <v>2025</v>
      </c>
      <c r="O391">
        <v>8</v>
      </c>
    </row>
    <row r="392" spans="1:15" x14ac:dyDescent="0.3">
      <c r="A392">
        <v>41419</v>
      </c>
      <c r="B392">
        <v>3200102</v>
      </c>
      <c r="C392" t="s">
        <v>15</v>
      </c>
      <c r="D392">
        <v>0.67100000000000004</v>
      </c>
      <c r="E392">
        <v>2904240.19</v>
      </c>
      <c r="F392">
        <v>0</v>
      </c>
      <c r="G392">
        <v>2904240.19</v>
      </c>
      <c r="H392">
        <v>41223.660000000003</v>
      </c>
      <c r="I392">
        <v>278857.01</v>
      </c>
      <c r="J392">
        <v>1.004</v>
      </c>
      <c r="K392">
        <v>62406.63</v>
      </c>
      <c r="L392">
        <v>0</v>
      </c>
      <c r="M392">
        <v>32593.06</v>
      </c>
      <c r="N392">
        <v>2025</v>
      </c>
      <c r="O392">
        <v>9</v>
      </c>
    </row>
    <row r="393" spans="1:15" x14ac:dyDescent="0.3">
      <c r="A393">
        <v>41420</v>
      </c>
      <c r="B393">
        <v>3200169</v>
      </c>
      <c r="C393" t="s">
        <v>16</v>
      </c>
      <c r="D393">
        <v>0.309</v>
      </c>
      <c r="E393">
        <v>1337422.06</v>
      </c>
      <c r="F393">
        <v>0</v>
      </c>
      <c r="G393">
        <v>1337422.06</v>
      </c>
      <c r="H393">
        <v>18983.77</v>
      </c>
      <c r="I393">
        <v>102791.67999999999</v>
      </c>
      <c r="J393">
        <v>0.45700000000000002</v>
      </c>
      <c r="K393">
        <v>28738.67</v>
      </c>
      <c r="L393">
        <v>0</v>
      </c>
      <c r="M393">
        <v>15009.32</v>
      </c>
      <c r="N393">
        <v>2025</v>
      </c>
      <c r="O393">
        <v>9</v>
      </c>
    </row>
    <row r="394" spans="1:15" x14ac:dyDescent="0.3">
      <c r="A394">
        <v>41421</v>
      </c>
      <c r="B394">
        <v>3200136</v>
      </c>
      <c r="C394" t="s">
        <v>17</v>
      </c>
      <c r="D394">
        <v>0.51900000000000002</v>
      </c>
      <c r="E394">
        <v>2246349.7200000002</v>
      </c>
      <c r="F394">
        <v>0</v>
      </c>
      <c r="G394">
        <v>2246349.7200000002</v>
      </c>
      <c r="H394">
        <v>31885.360000000001</v>
      </c>
      <c r="I394">
        <v>127367.1</v>
      </c>
      <c r="J394">
        <v>0.35099999999999998</v>
      </c>
      <c r="K394">
        <v>48269.8</v>
      </c>
      <c r="L394">
        <v>0</v>
      </c>
      <c r="M394">
        <v>25209.84</v>
      </c>
      <c r="N394">
        <v>2025</v>
      </c>
      <c r="O394">
        <v>9</v>
      </c>
    </row>
    <row r="395" spans="1:15" x14ac:dyDescent="0.3">
      <c r="A395">
        <v>41422</v>
      </c>
      <c r="B395">
        <v>3200201</v>
      </c>
      <c r="C395" t="s">
        <v>18</v>
      </c>
      <c r="D395">
        <v>0.41799999999999998</v>
      </c>
      <c r="E395">
        <v>1809198.8</v>
      </c>
      <c r="F395">
        <v>0</v>
      </c>
      <c r="G395">
        <v>1809198.8</v>
      </c>
      <c r="H395">
        <v>25680.31</v>
      </c>
      <c r="I395">
        <v>263477.98</v>
      </c>
      <c r="J395">
        <v>0.98299999999999998</v>
      </c>
      <c r="K395">
        <v>38876.25</v>
      </c>
      <c r="L395">
        <v>0</v>
      </c>
      <c r="M395">
        <v>20303.87</v>
      </c>
      <c r="N395">
        <v>2025</v>
      </c>
      <c r="O395">
        <v>9</v>
      </c>
    </row>
    <row r="396" spans="1:15" x14ac:dyDescent="0.3">
      <c r="A396">
        <v>41423</v>
      </c>
      <c r="B396">
        <v>3200300</v>
      </c>
      <c r="C396" t="s">
        <v>19</v>
      </c>
      <c r="D396">
        <v>0.442</v>
      </c>
      <c r="E396">
        <v>1913076.25</v>
      </c>
      <c r="F396">
        <v>0</v>
      </c>
      <c r="G396">
        <v>1913076.25</v>
      </c>
      <c r="H396">
        <v>27154.78</v>
      </c>
      <c r="I396">
        <v>217767.78</v>
      </c>
      <c r="J396">
        <v>0.55500000000000005</v>
      </c>
      <c r="K396">
        <v>41108.379999999997</v>
      </c>
      <c r="L396">
        <v>0</v>
      </c>
      <c r="M396">
        <v>21469.65</v>
      </c>
      <c r="N396">
        <v>2025</v>
      </c>
      <c r="O396">
        <v>9</v>
      </c>
    </row>
    <row r="397" spans="1:15" x14ac:dyDescent="0.3">
      <c r="A397">
        <v>41424</v>
      </c>
      <c r="B397">
        <v>3200359</v>
      </c>
      <c r="C397" t="s">
        <v>20</v>
      </c>
      <c r="D397">
        <v>0.25800000000000001</v>
      </c>
      <c r="E397">
        <v>1116682.53</v>
      </c>
      <c r="F397">
        <v>0</v>
      </c>
      <c r="G397">
        <v>1116682.53</v>
      </c>
      <c r="H397">
        <v>15850.53</v>
      </c>
      <c r="I397">
        <v>79894.320000000007</v>
      </c>
      <c r="J397">
        <v>0.32300000000000001</v>
      </c>
      <c r="K397">
        <v>23995.39</v>
      </c>
      <c r="L397">
        <v>0</v>
      </c>
      <c r="M397">
        <v>12532.06</v>
      </c>
      <c r="N397">
        <v>2025</v>
      </c>
      <c r="O397">
        <v>9</v>
      </c>
    </row>
    <row r="398" spans="1:15" x14ac:dyDescent="0.3">
      <c r="A398">
        <v>41425</v>
      </c>
      <c r="B398">
        <v>3200409</v>
      </c>
      <c r="C398" t="s">
        <v>21</v>
      </c>
      <c r="D398">
        <v>3.4780000000000002</v>
      </c>
      <c r="E398">
        <v>15053572.91</v>
      </c>
      <c r="F398">
        <v>0</v>
      </c>
      <c r="G398">
        <v>15053572.91</v>
      </c>
      <c r="H398">
        <v>213674.94</v>
      </c>
      <c r="I398">
        <v>410318.73</v>
      </c>
      <c r="J398">
        <v>1.0049999999999999</v>
      </c>
      <c r="K398">
        <v>323472.78999999998</v>
      </c>
      <c r="L398">
        <v>0</v>
      </c>
      <c r="M398">
        <v>168939.88</v>
      </c>
      <c r="N398">
        <v>2025</v>
      </c>
      <c r="O398">
        <v>9</v>
      </c>
    </row>
    <row r="399" spans="1:15" x14ac:dyDescent="0.3">
      <c r="A399">
        <v>41426</v>
      </c>
      <c r="B399">
        <v>3200508</v>
      </c>
      <c r="C399" t="s">
        <v>22</v>
      </c>
      <c r="D399">
        <v>0.23799999999999999</v>
      </c>
      <c r="E399">
        <v>1030117.99</v>
      </c>
      <c r="F399">
        <v>0</v>
      </c>
      <c r="G399">
        <v>1030117.99</v>
      </c>
      <c r="H399">
        <v>14621.8</v>
      </c>
      <c r="I399">
        <v>129822.12</v>
      </c>
      <c r="J399">
        <v>0.31900000000000001</v>
      </c>
      <c r="K399">
        <v>22135.29</v>
      </c>
      <c r="L399">
        <v>0</v>
      </c>
      <c r="M399">
        <v>11560.57</v>
      </c>
      <c r="N399">
        <v>2025</v>
      </c>
      <c r="O399">
        <v>9</v>
      </c>
    </row>
    <row r="400" spans="1:15" x14ac:dyDescent="0.3">
      <c r="A400">
        <v>41427</v>
      </c>
      <c r="B400">
        <v>3200607</v>
      </c>
      <c r="C400" t="s">
        <v>23</v>
      </c>
      <c r="D400">
        <v>4.4800000000000004</v>
      </c>
      <c r="E400">
        <v>19390456.210000001</v>
      </c>
      <c r="F400">
        <v>0</v>
      </c>
      <c r="G400">
        <v>19390456.210000001</v>
      </c>
      <c r="H400">
        <v>275233.96999999997</v>
      </c>
      <c r="I400">
        <v>1493614.87</v>
      </c>
      <c r="J400">
        <v>2.4649999999999999</v>
      </c>
      <c r="K400">
        <v>416664.21</v>
      </c>
      <c r="L400">
        <v>0</v>
      </c>
      <c r="M400">
        <v>217610.88</v>
      </c>
      <c r="N400">
        <v>2025</v>
      </c>
      <c r="O400">
        <v>9</v>
      </c>
    </row>
    <row r="401" spans="1:15" x14ac:dyDescent="0.3">
      <c r="A401">
        <v>41428</v>
      </c>
      <c r="B401">
        <v>3200706</v>
      </c>
      <c r="C401" t="s">
        <v>24</v>
      </c>
      <c r="D401">
        <v>0.39500000000000002</v>
      </c>
      <c r="E401">
        <v>1709649.58</v>
      </c>
      <c r="F401">
        <v>0</v>
      </c>
      <c r="G401">
        <v>1709649.58</v>
      </c>
      <c r="H401">
        <v>24267.279999999999</v>
      </c>
      <c r="I401">
        <v>107645.36</v>
      </c>
      <c r="J401">
        <v>0.438</v>
      </c>
      <c r="K401">
        <v>36737.14</v>
      </c>
      <c r="L401">
        <v>0</v>
      </c>
      <c r="M401">
        <v>19186.68</v>
      </c>
      <c r="N401">
        <v>2025</v>
      </c>
      <c r="O401">
        <v>9</v>
      </c>
    </row>
    <row r="402" spans="1:15" x14ac:dyDescent="0.3">
      <c r="A402">
        <v>41429</v>
      </c>
      <c r="B402">
        <v>3200805</v>
      </c>
      <c r="C402" t="s">
        <v>25</v>
      </c>
      <c r="D402">
        <v>0.54</v>
      </c>
      <c r="E402">
        <v>2337242.4900000002</v>
      </c>
      <c r="F402">
        <v>0</v>
      </c>
      <c r="G402">
        <v>2337242.4900000002</v>
      </c>
      <c r="H402">
        <v>33175.519999999997</v>
      </c>
      <c r="I402">
        <v>606241.55000000005</v>
      </c>
      <c r="J402">
        <v>1.0069999999999999</v>
      </c>
      <c r="K402">
        <v>50222.91</v>
      </c>
      <c r="L402">
        <v>0</v>
      </c>
      <c r="M402">
        <v>26229.89</v>
      </c>
      <c r="N402">
        <v>2025</v>
      </c>
      <c r="O402">
        <v>9</v>
      </c>
    </row>
    <row r="403" spans="1:15" x14ac:dyDescent="0.3">
      <c r="A403">
        <v>41430</v>
      </c>
      <c r="B403">
        <v>3200904</v>
      </c>
      <c r="C403" t="s">
        <v>26</v>
      </c>
      <c r="D403">
        <v>0.81299999999999994</v>
      </c>
      <c r="E403">
        <v>3518848.42</v>
      </c>
      <c r="F403">
        <v>0</v>
      </c>
      <c r="G403">
        <v>3518848.42</v>
      </c>
      <c r="H403">
        <v>49947.59</v>
      </c>
      <c r="I403">
        <v>632107.48</v>
      </c>
      <c r="J403">
        <v>1.3120000000000001</v>
      </c>
      <c r="K403">
        <v>75613.39</v>
      </c>
      <c r="L403">
        <v>0</v>
      </c>
      <c r="M403">
        <v>39490.550000000003</v>
      </c>
      <c r="N403">
        <v>2025</v>
      </c>
      <c r="O403">
        <v>9</v>
      </c>
    </row>
    <row r="404" spans="1:15" x14ac:dyDescent="0.3">
      <c r="A404">
        <v>41431</v>
      </c>
      <c r="B404">
        <v>3107109</v>
      </c>
      <c r="C404" t="s">
        <v>27</v>
      </c>
      <c r="D404">
        <v>0.48699999999999999</v>
      </c>
      <c r="E404">
        <v>2107846.4500000002</v>
      </c>
      <c r="F404">
        <v>0</v>
      </c>
      <c r="G404">
        <v>2107846.4500000002</v>
      </c>
      <c r="H404">
        <v>29919.41</v>
      </c>
      <c r="I404">
        <v>129709.28</v>
      </c>
      <c r="J404">
        <v>0.55200000000000005</v>
      </c>
      <c r="K404">
        <v>45293.63</v>
      </c>
      <c r="L404">
        <v>0</v>
      </c>
      <c r="M404">
        <v>23655.47</v>
      </c>
      <c r="N404">
        <v>2025</v>
      </c>
      <c r="O404">
        <v>9</v>
      </c>
    </row>
    <row r="405" spans="1:15" x14ac:dyDescent="0.3">
      <c r="A405">
        <v>41432</v>
      </c>
      <c r="B405">
        <v>3201100</v>
      </c>
      <c r="C405" t="s">
        <v>28</v>
      </c>
      <c r="D405">
        <v>0.247</v>
      </c>
      <c r="E405">
        <v>1069072.03</v>
      </c>
      <c r="F405">
        <v>0</v>
      </c>
      <c r="G405">
        <v>1069072.03</v>
      </c>
      <c r="H405">
        <v>15174.73</v>
      </c>
      <c r="I405">
        <v>359340.72</v>
      </c>
      <c r="J405">
        <v>0.435</v>
      </c>
      <c r="K405">
        <v>22972.33</v>
      </c>
      <c r="L405">
        <v>0</v>
      </c>
      <c r="M405">
        <v>11997.74</v>
      </c>
      <c r="N405">
        <v>2025</v>
      </c>
      <c r="O405">
        <v>9</v>
      </c>
    </row>
    <row r="406" spans="1:15" x14ac:dyDescent="0.3">
      <c r="A406">
        <v>41433</v>
      </c>
      <c r="B406">
        <v>3201159</v>
      </c>
      <c r="C406" t="s">
        <v>29</v>
      </c>
      <c r="D406">
        <v>0.40699999999999997</v>
      </c>
      <c r="E406">
        <v>1761588.32</v>
      </c>
      <c r="F406">
        <v>0</v>
      </c>
      <c r="G406">
        <v>1761588.32</v>
      </c>
      <c r="H406">
        <v>25004.52</v>
      </c>
      <c r="I406">
        <v>152656.57999999999</v>
      </c>
      <c r="J406">
        <v>0.54600000000000004</v>
      </c>
      <c r="K406">
        <v>37853.199999999997</v>
      </c>
      <c r="L406">
        <v>0</v>
      </c>
      <c r="M406">
        <v>19769.560000000001</v>
      </c>
      <c r="N406">
        <v>2025</v>
      </c>
      <c r="O406">
        <v>9</v>
      </c>
    </row>
    <row r="407" spans="1:15" x14ac:dyDescent="0.3">
      <c r="A407">
        <v>41434</v>
      </c>
      <c r="B407">
        <v>3201209</v>
      </c>
      <c r="C407" t="s">
        <v>30</v>
      </c>
      <c r="D407">
        <v>2.5920000000000001</v>
      </c>
      <c r="E407">
        <v>11218763.960000001</v>
      </c>
      <c r="F407">
        <v>0</v>
      </c>
      <c r="G407">
        <v>11218763.960000001</v>
      </c>
      <c r="H407">
        <v>159242.51</v>
      </c>
      <c r="I407">
        <v>2627500.64</v>
      </c>
      <c r="J407">
        <v>4.298</v>
      </c>
      <c r="K407">
        <v>241070</v>
      </c>
      <c r="L407">
        <v>0</v>
      </c>
      <c r="M407">
        <v>125903.44</v>
      </c>
      <c r="N407">
        <v>2025</v>
      </c>
      <c r="O407">
        <v>9</v>
      </c>
    </row>
    <row r="408" spans="1:15" x14ac:dyDescent="0.3">
      <c r="A408">
        <v>41435</v>
      </c>
      <c r="B408">
        <v>3201308</v>
      </c>
      <c r="C408" t="s">
        <v>31</v>
      </c>
      <c r="D408">
        <v>8.3239999999999998</v>
      </c>
      <c r="E408">
        <v>36028160.119999997</v>
      </c>
      <c r="F408">
        <v>0</v>
      </c>
      <c r="G408">
        <v>36028160.119999997</v>
      </c>
      <c r="H408">
        <v>511394.54</v>
      </c>
      <c r="I408">
        <v>4136182.53</v>
      </c>
      <c r="J408">
        <v>6.4569999999999999</v>
      </c>
      <c r="K408">
        <v>774176.97</v>
      </c>
      <c r="L408">
        <v>0</v>
      </c>
      <c r="M408">
        <v>404328.8</v>
      </c>
      <c r="N408">
        <v>2025</v>
      </c>
      <c r="O408">
        <v>9</v>
      </c>
    </row>
    <row r="409" spans="1:15" x14ac:dyDescent="0.3">
      <c r="A409">
        <v>41436</v>
      </c>
      <c r="B409">
        <v>3201407</v>
      </c>
      <c r="C409" t="s">
        <v>32</v>
      </c>
      <c r="D409">
        <v>0.80700000000000005</v>
      </c>
      <c r="E409">
        <v>3492879.04</v>
      </c>
      <c r="F409">
        <v>0</v>
      </c>
      <c r="G409">
        <v>3492879.04</v>
      </c>
      <c r="H409">
        <v>49578.98</v>
      </c>
      <c r="I409">
        <v>627843.57999999996</v>
      </c>
      <c r="J409">
        <v>1.1639999999999999</v>
      </c>
      <c r="K409">
        <v>75055.360000000001</v>
      </c>
      <c r="L409">
        <v>0</v>
      </c>
      <c r="M409">
        <v>39199.1</v>
      </c>
      <c r="N409">
        <v>2025</v>
      </c>
      <c r="O409">
        <v>9</v>
      </c>
    </row>
    <row r="410" spans="1:15" x14ac:dyDescent="0.3">
      <c r="A410">
        <v>41437</v>
      </c>
      <c r="B410">
        <v>3201506</v>
      </c>
      <c r="C410" t="s">
        <v>33</v>
      </c>
      <c r="D410">
        <v>2.0139999999999998</v>
      </c>
      <c r="E410">
        <v>8717048.8200000003</v>
      </c>
      <c r="F410">
        <v>0</v>
      </c>
      <c r="G410">
        <v>8717048.8200000003</v>
      </c>
      <c r="H410">
        <v>123732.41</v>
      </c>
      <c r="I410">
        <v>1973055.17</v>
      </c>
      <c r="J410">
        <v>2.86</v>
      </c>
      <c r="K410">
        <v>187312.88</v>
      </c>
      <c r="L410">
        <v>0</v>
      </c>
      <c r="M410">
        <v>97827.75</v>
      </c>
      <c r="N410">
        <v>2025</v>
      </c>
      <c r="O410">
        <v>9</v>
      </c>
    </row>
    <row r="411" spans="1:15" x14ac:dyDescent="0.3">
      <c r="A411">
        <v>41438</v>
      </c>
      <c r="B411">
        <v>3201605</v>
      </c>
      <c r="C411" t="s">
        <v>34</v>
      </c>
      <c r="D411">
        <v>0.60099999999999998</v>
      </c>
      <c r="E411">
        <v>2601264.2999999998</v>
      </c>
      <c r="F411">
        <v>0</v>
      </c>
      <c r="G411">
        <v>2601264.2999999998</v>
      </c>
      <c r="H411">
        <v>36923.129999999997</v>
      </c>
      <c r="I411">
        <v>259286.45</v>
      </c>
      <c r="J411">
        <v>0.94399999999999995</v>
      </c>
      <c r="K411">
        <v>55896.24</v>
      </c>
      <c r="L411">
        <v>0</v>
      </c>
      <c r="M411">
        <v>29192.89</v>
      </c>
      <c r="N411">
        <v>2025</v>
      </c>
      <c r="O411">
        <v>9</v>
      </c>
    </row>
    <row r="412" spans="1:15" x14ac:dyDescent="0.3">
      <c r="A412">
        <v>41439</v>
      </c>
      <c r="B412">
        <v>3201704</v>
      </c>
      <c r="C412" t="s">
        <v>35</v>
      </c>
      <c r="D412">
        <v>0.371</v>
      </c>
      <c r="E412">
        <v>1605772.13</v>
      </c>
      <c r="F412">
        <v>0</v>
      </c>
      <c r="G412">
        <v>1605772.13</v>
      </c>
      <c r="H412">
        <v>22792.81</v>
      </c>
      <c r="I412">
        <v>128506.4</v>
      </c>
      <c r="J412">
        <v>0.45600000000000002</v>
      </c>
      <c r="K412">
        <v>34505.01</v>
      </c>
      <c r="L412">
        <v>0</v>
      </c>
      <c r="M412">
        <v>18020.900000000001</v>
      </c>
      <c r="N412">
        <v>2025</v>
      </c>
      <c r="O412">
        <v>9</v>
      </c>
    </row>
    <row r="413" spans="1:15" x14ac:dyDescent="0.3">
      <c r="A413">
        <v>41440</v>
      </c>
      <c r="B413">
        <v>3201803</v>
      </c>
      <c r="C413" t="s">
        <v>36</v>
      </c>
      <c r="D413">
        <v>0.187</v>
      </c>
      <c r="E413">
        <v>809378.44</v>
      </c>
      <c r="F413">
        <v>0</v>
      </c>
      <c r="G413">
        <v>809378.44</v>
      </c>
      <c r="H413">
        <v>11488.56</v>
      </c>
      <c r="I413">
        <v>55763.05</v>
      </c>
      <c r="J413">
        <v>0.29299999999999998</v>
      </c>
      <c r="K413">
        <v>17392.009999999998</v>
      </c>
      <c r="L413">
        <v>0</v>
      </c>
      <c r="M413">
        <v>9083.31</v>
      </c>
      <c r="N413">
        <v>2025</v>
      </c>
      <c r="O413">
        <v>9</v>
      </c>
    </row>
    <row r="414" spans="1:15" x14ac:dyDescent="0.3">
      <c r="A414">
        <v>41441</v>
      </c>
      <c r="B414">
        <v>3201902</v>
      </c>
      <c r="C414" t="s">
        <v>37</v>
      </c>
      <c r="D414">
        <v>1.0620000000000001</v>
      </c>
      <c r="E414">
        <v>4596576.91</v>
      </c>
      <c r="F414">
        <v>0</v>
      </c>
      <c r="G414">
        <v>4596576.91</v>
      </c>
      <c r="H414">
        <v>65245.2</v>
      </c>
      <c r="I414">
        <v>508154.82</v>
      </c>
      <c r="J414">
        <v>1.147</v>
      </c>
      <c r="K414">
        <v>98771.74</v>
      </c>
      <c r="L414">
        <v>0</v>
      </c>
      <c r="M414">
        <v>51585.440000000002</v>
      </c>
      <c r="N414">
        <v>2025</v>
      </c>
      <c r="O414">
        <v>9</v>
      </c>
    </row>
    <row r="415" spans="1:15" x14ac:dyDescent="0.3">
      <c r="A415">
        <v>41442</v>
      </c>
      <c r="B415">
        <v>3202009</v>
      </c>
      <c r="C415" t="s">
        <v>38</v>
      </c>
      <c r="D415">
        <v>0.34899999999999998</v>
      </c>
      <c r="E415">
        <v>1510551.18</v>
      </c>
      <c r="F415">
        <v>0</v>
      </c>
      <c r="G415">
        <v>1510551.18</v>
      </c>
      <c r="H415">
        <v>21441.22</v>
      </c>
      <c r="I415">
        <v>183429.16</v>
      </c>
      <c r="J415">
        <v>0.312</v>
      </c>
      <c r="K415">
        <v>32458.880000000001</v>
      </c>
      <c r="L415">
        <v>0</v>
      </c>
      <c r="M415">
        <v>16952.27</v>
      </c>
      <c r="N415">
        <v>2025</v>
      </c>
      <c r="O415">
        <v>9</v>
      </c>
    </row>
    <row r="416" spans="1:15" x14ac:dyDescent="0.3">
      <c r="A416">
        <v>41443</v>
      </c>
      <c r="B416">
        <v>3202108</v>
      </c>
      <c r="C416" t="s">
        <v>39</v>
      </c>
      <c r="D416">
        <v>0.57099999999999995</v>
      </c>
      <c r="E416">
        <v>2471417.52</v>
      </c>
      <c r="F416">
        <v>0</v>
      </c>
      <c r="G416">
        <v>2471417.52</v>
      </c>
      <c r="H416">
        <v>35080.04</v>
      </c>
      <c r="I416">
        <v>205789.32</v>
      </c>
      <c r="J416">
        <v>0.79200000000000004</v>
      </c>
      <c r="K416">
        <v>53106.080000000002</v>
      </c>
      <c r="L416">
        <v>0</v>
      </c>
      <c r="M416">
        <v>27735.67</v>
      </c>
      <c r="N416">
        <v>2025</v>
      </c>
      <c r="O416">
        <v>9</v>
      </c>
    </row>
    <row r="417" spans="1:15" x14ac:dyDescent="0.3">
      <c r="A417">
        <v>41444</v>
      </c>
      <c r="B417">
        <v>3202207</v>
      </c>
      <c r="C417" t="s">
        <v>40</v>
      </c>
      <c r="D417">
        <v>0.36799999999999999</v>
      </c>
      <c r="E417">
        <v>1592787.48</v>
      </c>
      <c r="F417">
        <v>0</v>
      </c>
      <c r="G417">
        <v>1592787.48</v>
      </c>
      <c r="H417">
        <v>22608.5</v>
      </c>
      <c r="I417">
        <v>223107.16</v>
      </c>
      <c r="J417">
        <v>0.68600000000000005</v>
      </c>
      <c r="K417">
        <v>34225.99</v>
      </c>
      <c r="L417">
        <v>0</v>
      </c>
      <c r="M417">
        <v>17875.18</v>
      </c>
      <c r="N417">
        <v>2025</v>
      </c>
      <c r="O417">
        <v>9</v>
      </c>
    </row>
    <row r="418" spans="1:15" x14ac:dyDescent="0.3">
      <c r="A418">
        <v>41445</v>
      </c>
      <c r="B418">
        <v>3202256</v>
      </c>
      <c r="C418" t="s">
        <v>41</v>
      </c>
      <c r="D418">
        <v>0.53100000000000003</v>
      </c>
      <c r="E418">
        <v>2298288.46</v>
      </c>
      <c r="F418">
        <v>0</v>
      </c>
      <c r="G418">
        <v>2298288.46</v>
      </c>
      <c r="H418">
        <v>32622.6</v>
      </c>
      <c r="I418">
        <v>167148.24</v>
      </c>
      <c r="J418">
        <v>0.44400000000000001</v>
      </c>
      <c r="K418">
        <v>49385.87</v>
      </c>
      <c r="L418">
        <v>0</v>
      </c>
      <c r="M418">
        <v>25792.720000000001</v>
      </c>
      <c r="N418">
        <v>2025</v>
      </c>
      <c r="O418">
        <v>9</v>
      </c>
    </row>
    <row r="419" spans="1:15" x14ac:dyDescent="0.3">
      <c r="A419">
        <v>41446</v>
      </c>
      <c r="B419">
        <v>3202306</v>
      </c>
      <c r="C419" t="s">
        <v>42</v>
      </c>
      <c r="D419">
        <v>0.36699999999999999</v>
      </c>
      <c r="E419">
        <v>1588459.25</v>
      </c>
      <c r="F419">
        <v>0</v>
      </c>
      <c r="G419">
        <v>1588459.25</v>
      </c>
      <c r="H419">
        <v>22547.07</v>
      </c>
      <c r="I419">
        <v>413538.64</v>
      </c>
      <c r="J419">
        <v>0.99</v>
      </c>
      <c r="K419">
        <v>34132.980000000003</v>
      </c>
      <c r="L419">
        <v>0</v>
      </c>
      <c r="M419">
        <v>17826.61</v>
      </c>
      <c r="N419">
        <v>2025</v>
      </c>
      <c r="O419">
        <v>9</v>
      </c>
    </row>
    <row r="420" spans="1:15" x14ac:dyDescent="0.3">
      <c r="A420">
        <v>41447</v>
      </c>
      <c r="B420">
        <v>3202405</v>
      </c>
      <c r="C420" t="s">
        <v>43</v>
      </c>
      <c r="D420">
        <v>0.79</v>
      </c>
      <c r="E420">
        <v>3419299.18</v>
      </c>
      <c r="F420">
        <v>0</v>
      </c>
      <c r="G420">
        <v>3419299.18</v>
      </c>
      <c r="H420">
        <v>48534.559999999998</v>
      </c>
      <c r="I420">
        <v>2525096.96</v>
      </c>
      <c r="J420">
        <v>3.0129999999999999</v>
      </c>
      <c r="K420">
        <v>73474.259999999995</v>
      </c>
      <c r="L420">
        <v>0</v>
      </c>
      <c r="M420">
        <v>38373.339999999997</v>
      </c>
      <c r="N420">
        <v>2025</v>
      </c>
      <c r="O420">
        <v>9</v>
      </c>
    </row>
    <row r="421" spans="1:15" x14ac:dyDescent="0.3">
      <c r="A421">
        <v>41448</v>
      </c>
      <c r="B421">
        <v>3202454</v>
      </c>
      <c r="C421" t="s">
        <v>44</v>
      </c>
      <c r="D421">
        <v>0.33900000000000002</v>
      </c>
      <c r="E421">
        <v>1467268.88</v>
      </c>
      <c r="F421">
        <v>0</v>
      </c>
      <c r="G421">
        <v>1467268.88</v>
      </c>
      <c r="H421">
        <v>20826.86</v>
      </c>
      <c r="I421">
        <v>401466.36</v>
      </c>
      <c r="J421">
        <v>0.86499999999999999</v>
      </c>
      <c r="K421">
        <v>31528.84</v>
      </c>
      <c r="L421">
        <v>0</v>
      </c>
      <c r="M421">
        <v>16466.54</v>
      </c>
      <c r="N421">
        <v>2025</v>
      </c>
      <c r="O421">
        <v>9</v>
      </c>
    </row>
    <row r="422" spans="1:15" x14ac:dyDescent="0.3">
      <c r="A422">
        <v>41449</v>
      </c>
      <c r="B422">
        <v>3202504</v>
      </c>
      <c r="C422" t="s">
        <v>45</v>
      </c>
      <c r="D422">
        <v>0.307</v>
      </c>
      <c r="E422">
        <v>1328765.6200000001</v>
      </c>
      <c r="F422">
        <v>0</v>
      </c>
      <c r="G422">
        <v>1328765.6200000001</v>
      </c>
      <c r="H422">
        <v>18860.900000000001</v>
      </c>
      <c r="I422">
        <v>236086.53</v>
      </c>
      <c r="J422">
        <v>0.45400000000000001</v>
      </c>
      <c r="K422">
        <v>28552.66</v>
      </c>
      <c r="L422">
        <v>0</v>
      </c>
      <c r="M422">
        <v>14912.17</v>
      </c>
      <c r="N422">
        <v>2025</v>
      </c>
      <c r="O422">
        <v>9</v>
      </c>
    </row>
    <row r="423" spans="1:15" x14ac:dyDescent="0.3">
      <c r="A423">
        <v>41450</v>
      </c>
      <c r="B423">
        <v>3202553</v>
      </c>
      <c r="C423" t="s">
        <v>46</v>
      </c>
      <c r="D423">
        <v>0.28399999999999997</v>
      </c>
      <c r="E423">
        <v>1229216.4099999999</v>
      </c>
      <c r="F423">
        <v>0</v>
      </c>
      <c r="G423">
        <v>1229216.4099999999</v>
      </c>
      <c r="H423">
        <v>17447.87</v>
      </c>
      <c r="I423">
        <v>95664.08</v>
      </c>
      <c r="J423">
        <v>0.35</v>
      </c>
      <c r="K423">
        <v>26413.53</v>
      </c>
      <c r="L423">
        <v>0</v>
      </c>
      <c r="M423">
        <v>13794.98</v>
      </c>
      <c r="N423">
        <v>2025</v>
      </c>
      <c r="O423">
        <v>9</v>
      </c>
    </row>
    <row r="424" spans="1:15" x14ac:dyDescent="0.3">
      <c r="A424">
        <v>41451</v>
      </c>
      <c r="B424">
        <v>3202603</v>
      </c>
      <c r="C424" t="s">
        <v>47</v>
      </c>
      <c r="D424">
        <v>0.314</v>
      </c>
      <c r="E424">
        <v>1359063.23</v>
      </c>
      <c r="F424">
        <v>0</v>
      </c>
      <c r="G424">
        <v>1359063.23</v>
      </c>
      <c r="H424">
        <v>19290.95</v>
      </c>
      <c r="I424">
        <v>237283.72</v>
      </c>
      <c r="J424">
        <v>0.52</v>
      </c>
      <c r="K424">
        <v>29203.69</v>
      </c>
      <c r="L424">
        <v>0</v>
      </c>
      <c r="M424">
        <v>15252.19</v>
      </c>
      <c r="N424">
        <v>2025</v>
      </c>
      <c r="O424">
        <v>9</v>
      </c>
    </row>
    <row r="425" spans="1:15" x14ac:dyDescent="0.3">
      <c r="A425">
        <v>41452</v>
      </c>
      <c r="B425">
        <v>3202652</v>
      </c>
      <c r="C425" t="s">
        <v>48</v>
      </c>
      <c r="D425">
        <v>0.316</v>
      </c>
      <c r="E425">
        <v>1367719.68</v>
      </c>
      <c r="F425">
        <v>0</v>
      </c>
      <c r="G425">
        <v>1367719.68</v>
      </c>
      <c r="H425">
        <v>19413.82</v>
      </c>
      <c r="I425">
        <v>182698.07</v>
      </c>
      <c r="J425">
        <v>0.55700000000000005</v>
      </c>
      <c r="K425">
        <v>29389.71</v>
      </c>
      <c r="L425">
        <v>0</v>
      </c>
      <c r="M425">
        <v>15349.34</v>
      </c>
      <c r="N425">
        <v>2025</v>
      </c>
      <c r="O425">
        <v>9</v>
      </c>
    </row>
    <row r="426" spans="1:15" x14ac:dyDescent="0.3">
      <c r="A426">
        <v>41453</v>
      </c>
      <c r="B426">
        <v>3202702</v>
      </c>
      <c r="C426" t="s">
        <v>49</v>
      </c>
      <c r="D426">
        <v>0.40400000000000003</v>
      </c>
      <c r="E426">
        <v>1748603.65</v>
      </c>
      <c r="F426">
        <v>0</v>
      </c>
      <c r="G426">
        <v>1748603.65</v>
      </c>
      <c r="H426">
        <v>24820.21</v>
      </c>
      <c r="I426">
        <v>103222.72</v>
      </c>
      <c r="J426">
        <v>0.55200000000000005</v>
      </c>
      <c r="K426">
        <v>37574.18</v>
      </c>
      <c r="L426">
        <v>0</v>
      </c>
      <c r="M426">
        <v>19623.830000000002</v>
      </c>
      <c r="N426">
        <v>2025</v>
      </c>
      <c r="O426">
        <v>9</v>
      </c>
    </row>
    <row r="427" spans="1:15" x14ac:dyDescent="0.3">
      <c r="A427">
        <v>41454</v>
      </c>
      <c r="B427">
        <v>3202801</v>
      </c>
      <c r="C427" t="s">
        <v>50</v>
      </c>
      <c r="D427">
        <v>3.4060000000000001</v>
      </c>
      <c r="E427">
        <v>14741940.560000001</v>
      </c>
      <c r="F427">
        <v>0</v>
      </c>
      <c r="G427">
        <v>14741940.560000001</v>
      </c>
      <c r="H427">
        <v>209251.54</v>
      </c>
      <c r="I427">
        <v>390725.94</v>
      </c>
      <c r="J427">
        <v>1.2130000000000001</v>
      </c>
      <c r="K427">
        <v>316776.40999999997</v>
      </c>
      <c r="L427">
        <v>0</v>
      </c>
      <c r="M427">
        <v>165442.56</v>
      </c>
      <c r="N427">
        <v>2025</v>
      </c>
      <c r="O427">
        <v>9</v>
      </c>
    </row>
    <row r="428" spans="1:15" x14ac:dyDescent="0.3">
      <c r="A428">
        <v>41455</v>
      </c>
      <c r="B428">
        <v>3202900</v>
      </c>
      <c r="C428" t="s">
        <v>51</v>
      </c>
      <c r="D428">
        <v>0.39200000000000002</v>
      </c>
      <c r="E428">
        <v>1696664.92</v>
      </c>
      <c r="F428">
        <v>0</v>
      </c>
      <c r="G428">
        <v>1696664.92</v>
      </c>
      <c r="H428">
        <v>24082.97</v>
      </c>
      <c r="I428">
        <v>140297.49</v>
      </c>
      <c r="J428">
        <v>0.438</v>
      </c>
      <c r="K428">
        <v>36458.120000000003</v>
      </c>
      <c r="L428">
        <v>0</v>
      </c>
      <c r="M428">
        <v>19040.95</v>
      </c>
      <c r="N428">
        <v>2025</v>
      </c>
      <c r="O428">
        <v>9</v>
      </c>
    </row>
    <row r="429" spans="1:15" x14ac:dyDescent="0.3">
      <c r="A429">
        <v>41456</v>
      </c>
      <c r="B429">
        <v>3203007</v>
      </c>
      <c r="C429" t="s">
        <v>52</v>
      </c>
      <c r="D429">
        <v>0.5</v>
      </c>
      <c r="E429">
        <v>2164113.4</v>
      </c>
      <c r="F429">
        <v>0</v>
      </c>
      <c r="G429">
        <v>2164113.4</v>
      </c>
      <c r="H429">
        <v>30718.080000000002</v>
      </c>
      <c r="I429">
        <v>363800.99</v>
      </c>
      <c r="J429">
        <v>0.90300000000000002</v>
      </c>
      <c r="K429">
        <v>46502.7</v>
      </c>
      <c r="L429">
        <v>0</v>
      </c>
      <c r="M429">
        <v>24286.92</v>
      </c>
      <c r="N429">
        <v>2025</v>
      </c>
      <c r="O429">
        <v>9</v>
      </c>
    </row>
    <row r="430" spans="1:15" x14ac:dyDescent="0.3">
      <c r="A430">
        <v>41457</v>
      </c>
      <c r="B430">
        <v>3203056</v>
      </c>
      <c r="C430" t="s">
        <v>53</v>
      </c>
      <c r="D430">
        <v>1.109</v>
      </c>
      <c r="E430">
        <v>4800003.57</v>
      </c>
      <c r="F430">
        <v>0</v>
      </c>
      <c r="G430">
        <v>4800003.57</v>
      </c>
      <c r="H430">
        <v>68132.7</v>
      </c>
      <c r="I430">
        <v>343417.51</v>
      </c>
      <c r="J430">
        <v>0.98899999999999999</v>
      </c>
      <c r="K430">
        <v>103143</v>
      </c>
      <c r="L430">
        <v>0</v>
      </c>
      <c r="M430">
        <v>53868.41</v>
      </c>
      <c r="N430">
        <v>2025</v>
      </c>
      <c r="O430">
        <v>9</v>
      </c>
    </row>
    <row r="431" spans="1:15" x14ac:dyDescent="0.3">
      <c r="A431">
        <v>41458</v>
      </c>
      <c r="B431">
        <v>3203106</v>
      </c>
      <c r="C431" t="s">
        <v>54</v>
      </c>
      <c r="D431">
        <v>0.216</v>
      </c>
      <c r="E431">
        <v>934896.99</v>
      </c>
      <c r="F431">
        <v>0</v>
      </c>
      <c r="G431">
        <v>934896.99</v>
      </c>
      <c r="H431">
        <v>13270.21</v>
      </c>
      <c r="I431">
        <v>71260.740000000005</v>
      </c>
      <c r="J431">
        <v>0.45100000000000001</v>
      </c>
      <c r="K431">
        <v>20089.16</v>
      </c>
      <c r="L431">
        <v>0</v>
      </c>
      <c r="M431">
        <v>10491.96</v>
      </c>
      <c r="N431">
        <v>2025</v>
      </c>
      <c r="O431">
        <v>9</v>
      </c>
    </row>
    <row r="432" spans="1:15" x14ac:dyDescent="0.3">
      <c r="A432">
        <v>41459</v>
      </c>
      <c r="B432">
        <v>3203130</v>
      </c>
      <c r="C432" t="s">
        <v>55</v>
      </c>
      <c r="D432">
        <v>0.376</v>
      </c>
      <c r="E432">
        <v>1627413.29</v>
      </c>
      <c r="F432">
        <v>0</v>
      </c>
      <c r="G432">
        <v>1627413.29</v>
      </c>
      <c r="H432">
        <v>23099.99</v>
      </c>
      <c r="I432">
        <v>183614.28</v>
      </c>
      <c r="J432">
        <v>0.61499999999999999</v>
      </c>
      <c r="K432">
        <v>34970.04</v>
      </c>
      <c r="L432">
        <v>0</v>
      </c>
      <c r="M432">
        <v>18263.77</v>
      </c>
      <c r="N432">
        <v>2025</v>
      </c>
      <c r="O432">
        <v>9</v>
      </c>
    </row>
    <row r="433" spans="1:15" x14ac:dyDescent="0.3">
      <c r="A433">
        <v>41460</v>
      </c>
      <c r="B433">
        <v>3203163</v>
      </c>
      <c r="C433" t="s">
        <v>56</v>
      </c>
      <c r="D433">
        <v>0.42799999999999999</v>
      </c>
      <c r="E433">
        <v>1852481.08</v>
      </c>
      <c r="F433">
        <v>0</v>
      </c>
      <c r="G433">
        <v>1852481.08</v>
      </c>
      <c r="H433">
        <v>26294.67</v>
      </c>
      <c r="I433">
        <v>64477.52</v>
      </c>
      <c r="J433">
        <v>0.44500000000000001</v>
      </c>
      <c r="K433">
        <v>39806.31</v>
      </c>
      <c r="L433">
        <v>0</v>
      </c>
      <c r="M433">
        <v>20789.61</v>
      </c>
      <c r="N433">
        <v>2025</v>
      </c>
      <c r="O433">
        <v>9</v>
      </c>
    </row>
    <row r="434" spans="1:15" x14ac:dyDescent="0.3">
      <c r="A434">
        <v>41461</v>
      </c>
      <c r="B434">
        <v>3203205</v>
      </c>
      <c r="C434" t="s">
        <v>57</v>
      </c>
      <c r="D434">
        <v>4.431</v>
      </c>
      <c r="E434">
        <v>19178373.07</v>
      </c>
      <c r="F434">
        <v>0</v>
      </c>
      <c r="G434">
        <v>19178373.07</v>
      </c>
      <c r="H434">
        <v>272223.59999999998</v>
      </c>
      <c r="I434">
        <v>2740347.16</v>
      </c>
      <c r="J434">
        <v>4.0979999999999999</v>
      </c>
      <c r="K434">
        <v>412106.94</v>
      </c>
      <c r="L434">
        <v>0</v>
      </c>
      <c r="M434">
        <v>215230.76</v>
      </c>
      <c r="N434">
        <v>2025</v>
      </c>
      <c r="O434">
        <v>9</v>
      </c>
    </row>
    <row r="435" spans="1:15" x14ac:dyDescent="0.3">
      <c r="A435">
        <v>41462</v>
      </c>
      <c r="B435">
        <v>3203304</v>
      </c>
      <c r="C435" t="s">
        <v>58</v>
      </c>
      <c r="D435">
        <v>0.314</v>
      </c>
      <c r="E435">
        <v>1359063.23</v>
      </c>
      <c r="F435">
        <v>0</v>
      </c>
      <c r="G435">
        <v>1359063.23</v>
      </c>
      <c r="H435">
        <v>19290.95</v>
      </c>
      <c r="I435">
        <v>170742.81</v>
      </c>
      <c r="J435">
        <v>0.52400000000000002</v>
      </c>
      <c r="K435">
        <v>29203.69</v>
      </c>
      <c r="L435">
        <v>0</v>
      </c>
      <c r="M435">
        <v>15252.19</v>
      </c>
      <c r="N435">
        <v>2025</v>
      </c>
      <c r="O435">
        <v>9</v>
      </c>
    </row>
    <row r="436" spans="1:15" x14ac:dyDescent="0.3">
      <c r="A436">
        <v>41463</v>
      </c>
      <c r="B436">
        <v>3203320</v>
      </c>
      <c r="C436" t="s">
        <v>59</v>
      </c>
      <c r="D436">
        <v>0.58499999999999996</v>
      </c>
      <c r="E436">
        <v>2532012.6800000002</v>
      </c>
      <c r="F436">
        <v>0</v>
      </c>
      <c r="G436">
        <v>2532012.6800000002</v>
      </c>
      <c r="H436">
        <v>35940.15</v>
      </c>
      <c r="I436">
        <v>617602.93999999994</v>
      </c>
      <c r="J436">
        <v>1.3140000000000001</v>
      </c>
      <c r="K436">
        <v>54408.160000000003</v>
      </c>
      <c r="L436">
        <v>0</v>
      </c>
      <c r="M436">
        <v>28415.71</v>
      </c>
      <c r="N436">
        <v>2025</v>
      </c>
      <c r="O436">
        <v>9</v>
      </c>
    </row>
    <row r="437" spans="1:15" x14ac:dyDescent="0.3">
      <c r="A437">
        <v>41464</v>
      </c>
      <c r="B437">
        <v>3203346</v>
      </c>
      <c r="C437" t="s">
        <v>60</v>
      </c>
      <c r="D437">
        <v>0.55500000000000005</v>
      </c>
      <c r="E437">
        <v>2402165.89</v>
      </c>
      <c r="F437">
        <v>0</v>
      </c>
      <c r="G437">
        <v>2402165.89</v>
      </c>
      <c r="H437">
        <v>34097.06</v>
      </c>
      <c r="I437">
        <v>206524.69</v>
      </c>
      <c r="J437">
        <v>0.68500000000000005</v>
      </c>
      <c r="K437">
        <v>51618</v>
      </c>
      <c r="L437">
        <v>0</v>
      </c>
      <c r="M437">
        <v>26958.5</v>
      </c>
      <c r="N437">
        <v>2025</v>
      </c>
      <c r="O437">
        <v>9</v>
      </c>
    </row>
    <row r="438" spans="1:15" x14ac:dyDescent="0.3">
      <c r="A438">
        <v>41465</v>
      </c>
      <c r="B438">
        <v>3203353</v>
      </c>
      <c r="C438" t="s">
        <v>61</v>
      </c>
      <c r="D438">
        <v>0.505</v>
      </c>
      <c r="E438">
        <v>2185754.56</v>
      </c>
      <c r="F438">
        <v>0</v>
      </c>
      <c r="G438">
        <v>2185754.56</v>
      </c>
      <c r="H438">
        <v>31025.26</v>
      </c>
      <c r="I438">
        <v>168726.8</v>
      </c>
      <c r="J438">
        <v>0.46300000000000002</v>
      </c>
      <c r="K438">
        <v>46967.73</v>
      </c>
      <c r="L438">
        <v>0</v>
      </c>
      <c r="M438">
        <v>24529.8</v>
      </c>
      <c r="N438">
        <v>2025</v>
      </c>
      <c r="O438">
        <v>9</v>
      </c>
    </row>
    <row r="439" spans="1:15" x14ac:dyDescent="0.3">
      <c r="A439">
        <v>41466</v>
      </c>
      <c r="B439">
        <v>3203403</v>
      </c>
      <c r="C439" t="s">
        <v>62</v>
      </c>
      <c r="D439">
        <v>0.46899999999999997</v>
      </c>
      <c r="E439">
        <v>2029938.38</v>
      </c>
      <c r="F439">
        <v>0</v>
      </c>
      <c r="G439">
        <v>2029938.38</v>
      </c>
      <c r="H439">
        <v>28813.56</v>
      </c>
      <c r="I439">
        <v>226696.07</v>
      </c>
      <c r="J439">
        <v>0.83899999999999997</v>
      </c>
      <c r="K439">
        <v>43619.54</v>
      </c>
      <c r="L439">
        <v>0</v>
      </c>
      <c r="M439">
        <v>22781.14</v>
      </c>
      <c r="N439">
        <v>2025</v>
      </c>
      <c r="O439">
        <v>9</v>
      </c>
    </row>
    <row r="440" spans="1:15" x14ac:dyDescent="0.3">
      <c r="A440">
        <v>41467</v>
      </c>
      <c r="B440">
        <v>3203502</v>
      </c>
      <c r="C440" t="s">
        <v>63</v>
      </c>
      <c r="D440">
        <v>0.51500000000000001</v>
      </c>
      <c r="E440">
        <v>2229036.83</v>
      </c>
      <c r="F440">
        <v>0</v>
      </c>
      <c r="G440">
        <v>2229036.83</v>
      </c>
      <c r="H440">
        <v>31639.62</v>
      </c>
      <c r="I440">
        <v>242877.25</v>
      </c>
      <c r="J440">
        <v>0.69699999999999995</v>
      </c>
      <c r="K440">
        <v>47897.78</v>
      </c>
      <c r="L440">
        <v>0</v>
      </c>
      <c r="M440">
        <v>25015.53</v>
      </c>
      <c r="N440">
        <v>2025</v>
      </c>
      <c r="O440">
        <v>9</v>
      </c>
    </row>
    <row r="441" spans="1:15" x14ac:dyDescent="0.3">
      <c r="A441">
        <v>41468</v>
      </c>
      <c r="B441">
        <v>3203601</v>
      </c>
      <c r="C441" t="s">
        <v>64</v>
      </c>
      <c r="D441">
        <v>0.30599999999999999</v>
      </c>
      <c r="E441">
        <v>1324437.3899999999</v>
      </c>
      <c r="F441">
        <v>0</v>
      </c>
      <c r="G441">
        <v>1324437.3899999999</v>
      </c>
      <c r="H441">
        <v>18799.46</v>
      </c>
      <c r="I441">
        <v>64901.120000000003</v>
      </c>
      <c r="J441">
        <v>0.29699999999999999</v>
      </c>
      <c r="K441">
        <v>28459.65</v>
      </c>
      <c r="L441">
        <v>0</v>
      </c>
      <c r="M441">
        <v>14863.6</v>
      </c>
      <c r="N441">
        <v>2025</v>
      </c>
      <c r="O441">
        <v>9</v>
      </c>
    </row>
    <row r="442" spans="1:15" x14ac:dyDescent="0.3">
      <c r="A442">
        <v>41469</v>
      </c>
      <c r="B442">
        <v>3203700</v>
      </c>
      <c r="C442" t="s">
        <v>65</v>
      </c>
      <c r="D442">
        <v>0.505</v>
      </c>
      <c r="E442">
        <v>2185754.56</v>
      </c>
      <c r="F442">
        <v>0</v>
      </c>
      <c r="G442">
        <v>2185754.56</v>
      </c>
      <c r="H442">
        <v>31025.26</v>
      </c>
      <c r="I442">
        <v>162209.60999999999</v>
      </c>
      <c r="J442">
        <v>0.68500000000000005</v>
      </c>
      <c r="K442">
        <v>46967.73</v>
      </c>
      <c r="L442">
        <v>0</v>
      </c>
      <c r="M442">
        <v>24529.8</v>
      </c>
      <c r="N442">
        <v>2025</v>
      </c>
      <c r="O442">
        <v>9</v>
      </c>
    </row>
    <row r="443" spans="1:15" x14ac:dyDescent="0.3">
      <c r="A443">
        <v>41470</v>
      </c>
      <c r="B443">
        <v>3203809</v>
      </c>
      <c r="C443" t="s">
        <v>66</v>
      </c>
      <c r="D443">
        <v>0.32</v>
      </c>
      <c r="E443">
        <v>1385032.61</v>
      </c>
      <c r="F443">
        <v>0</v>
      </c>
      <c r="G443">
        <v>1385032.61</v>
      </c>
      <c r="H443">
        <v>19659.57</v>
      </c>
      <c r="I443">
        <v>121825.97</v>
      </c>
      <c r="J443">
        <v>0.55300000000000005</v>
      </c>
      <c r="K443">
        <v>29761.72</v>
      </c>
      <c r="L443">
        <v>0</v>
      </c>
      <c r="M443">
        <v>15543.64</v>
      </c>
      <c r="N443">
        <v>2025</v>
      </c>
      <c r="O443">
        <v>9</v>
      </c>
    </row>
    <row r="444" spans="1:15" x14ac:dyDescent="0.3">
      <c r="A444">
        <v>41471</v>
      </c>
      <c r="B444">
        <v>3203908</v>
      </c>
      <c r="C444" t="s">
        <v>67</v>
      </c>
      <c r="D444">
        <v>1.2250000000000001</v>
      </c>
      <c r="E444">
        <v>5302077.87</v>
      </c>
      <c r="F444">
        <v>0</v>
      </c>
      <c r="G444">
        <v>5302077.87</v>
      </c>
      <c r="H444">
        <v>75259.289999999994</v>
      </c>
      <c r="I444">
        <v>677112.59</v>
      </c>
      <c r="J444">
        <v>1.4710000000000001</v>
      </c>
      <c r="K444">
        <v>113931.62</v>
      </c>
      <c r="L444">
        <v>0</v>
      </c>
      <c r="M444">
        <v>59502.97</v>
      </c>
      <c r="N444">
        <v>2025</v>
      </c>
      <c r="O444">
        <v>9</v>
      </c>
    </row>
    <row r="445" spans="1:15" x14ac:dyDescent="0.3">
      <c r="A445">
        <v>41472</v>
      </c>
      <c r="B445">
        <v>3204005</v>
      </c>
      <c r="C445" t="s">
        <v>68</v>
      </c>
      <c r="D445">
        <v>0.435</v>
      </c>
      <c r="E445">
        <v>1882778.68</v>
      </c>
      <c r="F445">
        <v>0</v>
      </c>
      <c r="G445">
        <v>1882778.68</v>
      </c>
      <c r="H445">
        <v>26724.73</v>
      </c>
      <c r="I445">
        <v>177730.82</v>
      </c>
      <c r="J445">
        <v>0.69099999999999995</v>
      </c>
      <c r="K445">
        <v>40457.35</v>
      </c>
      <c r="L445">
        <v>0</v>
      </c>
      <c r="M445">
        <v>21129.63</v>
      </c>
      <c r="N445">
        <v>2025</v>
      </c>
      <c r="O445">
        <v>9</v>
      </c>
    </row>
    <row r="446" spans="1:15" x14ac:dyDescent="0.3">
      <c r="A446">
        <v>41473</v>
      </c>
      <c r="B446">
        <v>3204054</v>
      </c>
      <c r="C446" t="s">
        <v>69</v>
      </c>
      <c r="D446">
        <v>0.33400000000000002</v>
      </c>
      <c r="E446">
        <v>1445627.75</v>
      </c>
      <c r="F446">
        <v>0</v>
      </c>
      <c r="G446">
        <v>1445627.75</v>
      </c>
      <c r="H446">
        <v>20519.68</v>
      </c>
      <c r="I446">
        <v>281746.88</v>
      </c>
      <c r="J446">
        <v>0.78400000000000003</v>
      </c>
      <c r="K446">
        <v>31063.81</v>
      </c>
      <c r="L446">
        <v>0</v>
      </c>
      <c r="M446">
        <v>16223.67</v>
      </c>
      <c r="N446">
        <v>2025</v>
      </c>
      <c r="O446">
        <v>9</v>
      </c>
    </row>
    <row r="447" spans="1:15" x14ac:dyDescent="0.3">
      <c r="A447">
        <v>41474</v>
      </c>
      <c r="B447">
        <v>3204104</v>
      </c>
      <c r="C447" t="s">
        <v>70</v>
      </c>
      <c r="D447">
        <v>0.755</v>
      </c>
      <c r="E447">
        <v>3267811.26</v>
      </c>
      <c r="F447">
        <v>0</v>
      </c>
      <c r="G447">
        <v>3267811.26</v>
      </c>
      <c r="H447">
        <v>46384.3</v>
      </c>
      <c r="I447">
        <v>246323.66</v>
      </c>
      <c r="J447">
        <v>0.83499999999999996</v>
      </c>
      <c r="K447">
        <v>70219.08</v>
      </c>
      <c r="L447">
        <v>0</v>
      </c>
      <c r="M447">
        <v>36673.269999999997</v>
      </c>
      <c r="N447">
        <v>2025</v>
      </c>
      <c r="O447">
        <v>9</v>
      </c>
    </row>
    <row r="448" spans="1:15" x14ac:dyDescent="0.3">
      <c r="A448">
        <v>41475</v>
      </c>
      <c r="B448">
        <v>3204203</v>
      </c>
      <c r="C448" t="s">
        <v>71</v>
      </c>
      <c r="D448">
        <v>0.36499999999999999</v>
      </c>
      <c r="E448">
        <v>1579802.77</v>
      </c>
      <c r="F448">
        <v>0</v>
      </c>
      <c r="G448">
        <v>1579802.77</v>
      </c>
      <c r="H448">
        <v>22424.2</v>
      </c>
      <c r="I448">
        <v>368061.75</v>
      </c>
      <c r="J448">
        <v>0.745</v>
      </c>
      <c r="K448">
        <v>33946.97</v>
      </c>
      <c r="L448">
        <v>0</v>
      </c>
      <c r="M448">
        <v>17729.46</v>
      </c>
      <c r="N448">
        <v>2025</v>
      </c>
      <c r="O448">
        <v>9</v>
      </c>
    </row>
    <row r="449" spans="1:15" x14ac:dyDescent="0.3">
      <c r="A449">
        <v>41476</v>
      </c>
      <c r="B449">
        <v>3204252</v>
      </c>
      <c r="C449" t="s">
        <v>72</v>
      </c>
      <c r="D449">
        <v>0.27</v>
      </c>
      <c r="E449">
        <v>1168621.25</v>
      </c>
      <c r="F449">
        <v>0</v>
      </c>
      <c r="G449">
        <v>1168621.25</v>
      </c>
      <c r="H449">
        <v>16587.759999999998</v>
      </c>
      <c r="I449">
        <v>66694.05</v>
      </c>
      <c r="J449">
        <v>0.31</v>
      </c>
      <c r="K449">
        <v>25111.46</v>
      </c>
      <c r="L449">
        <v>0</v>
      </c>
      <c r="M449">
        <v>13114.94</v>
      </c>
      <c r="N449">
        <v>2025</v>
      </c>
      <c r="O449">
        <v>9</v>
      </c>
    </row>
    <row r="450" spans="1:15" x14ac:dyDescent="0.3">
      <c r="A450">
        <v>41477</v>
      </c>
      <c r="B450">
        <v>1718402</v>
      </c>
      <c r="C450" t="s">
        <v>73</v>
      </c>
      <c r="D450">
        <v>0.39100000000000001</v>
      </c>
      <c r="E450">
        <v>1692336.69</v>
      </c>
      <c r="F450">
        <v>0</v>
      </c>
      <c r="G450">
        <v>1692336.69</v>
      </c>
      <c r="H450">
        <v>24021.54</v>
      </c>
      <c r="I450">
        <v>207382.11</v>
      </c>
      <c r="J450">
        <v>0.55900000000000005</v>
      </c>
      <c r="K450">
        <v>36365.11</v>
      </c>
      <c r="L450">
        <v>0</v>
      </c>
      <c r="M450">
        <v>18992.38</v>
      </c>
      <c r="N450">
        <v>2025</v>
      </c>
      <c r="O450">
        <v>9</v>
      </c>
    </row>
    <row r="451" spans="1:15" x14ac:dyDescent="0.3">
      <c r="A451">
        <v>41478</v>
      </c>
      <c r="B451">
        <v>3204351</v>
      </c>
      <c r="C451" t="s">
        <v>74</v>
      </c>
      <c r="D451">
        <v>0.88200000000000001</v>
      </c>
      <c r="E451">
        <v>3817496.08</v>
      </c>
      <c r="F451">
        <v>0</v>
      </c>
      <c r="G451">
        <v>3817496.08</v>
      </c>
      <c r="H451">
        <v>54186.69</v>
      </c>
      <c r="I451">
        <v>238427.13</v>
      </c>
      <c r="J451">
        <v>0.70299999999999996</v>
      </c>
      <c r="K451">
        <v>82030.759999999995</v>
      </c>
      <c r="L451">
        <v>0</v>
      </c>
      <c r="M451">
        <v>42842.14</v>
      </c>
      <c r="N451">
        <v>2025</v>
      </c>
      <c r="O451">
        <v>9</v>
      </c>
    </row>
    <row r="452" spans="1:15" x14ac:dyDescent="0.3">
      <c r="A452">
        <v>41479</v>
      </c>
      <c r="B452">
        <v>3204401</v>
      </c>
      <c r="C452" t="s">
        <v>75</v>
      </c>
      <c r="D452">
        <v>0.312</v>
      </c>
      <c r="E452">
        <v>1350406.77</v>
      </c>
      <c r="F452">
        <v>0</v>
      </c>
      <c r="G452">
        <v>1350406.77</v>
      </c>
      <c r="H452">
        <v>19168.080000000002</v>
      </c>
      <c r="I452">
        <v>155404.04999999999</v>
      </c>
      <c r="J452">
        <v>0.44400000000000001</v>
      </c>
      <c r="K452">
        <v>29017.68</v>
      </c>
      <c r="L452">
        <v>0</v>
      </c>
      <c r="M452">
        <v>15155.05</v>
      </c>
      <c r="N452">
        <v>2025</v>
      </c>
      <c r="O452">
        <v>9</v>
      </c>
    </row>
    <row r="453" spans="1:15" x14ac:dyDescent="0.3">
      <c r="A453">
        <v>41480</v>
      </c>
      <c r="B453">
        <v>3204500</v>
      </c>
      <c r="C453" t="s">
        <v>76</v>
      </c>
      <c r="D453">
        <v>0.51800000000000002</v>
      </c>
      <c r="E453">
        <v>2242021.5</v>
      </c>
      <c r="F453">
        <v>0</v>
      </c>
      <c r="G453">
        <v>2242021.5</v>
      </c>
      <c r="H453">
        <v>31823.93</v>
      </c>
      <c r="I453">
        <v>126307.15</v>
      </c>
      <c r="J453">
        <v>0.54800000000000004</v>
      </c>
      <c r="K453">
        <v>48176.800000000003</v>
      </c>
      <c r="L453">
        <v>0</v>
      </c>
      <c r="M453">
        <v>25161.26</v>
      </c>
      <c r="N453">
        <v>2025</v>
      </c>
      <c r="O453">
        <v>9</v>
      </c>
    </row>
    <row r="454" spans="1:15" x14ac:dyDescent="0.3">
      <c r="A454">
        <v>41481</v>
      </c>
      <c r="B454">
        <v>3204559</v>
      </c>
      <c r="C454" t="s">
        <v>77</v>
      </c>
      <c r="D454">
        <v>2.1909999999999998</v>
      </c>
      <c r="E454">
        <v>9483144.9900000002</v>
      </c>
      <c r="F454">
        <v>0</v>
      </c>
      <c r="G454">
        <v>9483144.9900000002</v>
      </c>
      <c r="H454">
        <v>134606.60999999999</v>
      </c>
      <c r="I454">
        <v>694980.18</v>
      </c>
      <c r="J454">
        <v>1.31</v>
      </c>
      <c r="K454">
        <v>203774.84</v>
      </c>
      <c r="L454">
        <v>0</v>
      </c>
      <c r="M454">
        <v>106425.32</v>
      </c>
      <c r="N454">
        <v>2025</v>
      </c>
      <c r="O454">
        <v>9</v>
      </c>
    </row>
    <row r="455" spans="1:15" x14ac:dyDescent="0.3">
      <c r="A455">
        <v>41482</v>
      </c>
      <c r="B455">
        <v>3204609</v>
      </c>
      <c r="C455" t="s">
        <v>78</v>
      </c>
      <c r="D455">
        <v>0.66</v>
      </c>
      <c r="E455">
        <v>2856629.72</v>
      </c>
      <c r="F455">
        <v>0</v>
      </c>
      <c r="G455">
        <v>2856629.72</v>
      </c>
      <c r="H455">
        <v>40547.86</v>
      </c>
      <c r="I455">
        <v>320187.42</v>
      </c>
      <c r="J455">
        <v>0.82199999999999995</v>
      </c>
      <c r="K455">
        <v>61383.57</v>
      </c>
      <c r="L455">
        <v>0</v>
      </c>
      <c r="M455">
        <v>32058.74</v>
      </c>
      <c r="N455">
        <v>2025</v>
      </c>
      <c r="O455">
        <v>9</v>
      </c>
    </row>
    <row r="456" spans="1:15" x14ac:dyDescent="0.3">
      <c r="A456">
        <v>41483</v>
      </c>
      <c r="B456">
        <v>3204658</v>
      </c>
      <c r="C456" t="s">
        <v>79</v>
      </c>
      <c r="D456">
        <v>0.42099999999999999</v>
      </c>
      <c r="E456">
        <v>1822183.47</v>
      </c>
      <c r="F456">
        <v>0</v>
      </c>
      <c r="G456">
        <v>1822183.47</v>
      </c>
      <c r="H456">
        <v>25864.62</v>
      </c>
      <c r="I456">
        <v>115020.47</v>
      </c>
      <c r="J456">
        <v>0.33800000000000002</v>
      </c>
      <c r="K456">
        <v>39155.279999999999</v>
      </c>
      <c r="L456">
        <v>0</v>
      </c>
      <c r="M456">
        <v>20449.59</v>
      </c>
      <c r="N456">
        <v>2025</v>
      </c>
      <c r="O456">
        <v>9</v>
      </c>
    </row>
    <row r="457" spans="1:15" x14ac:dyDescent="0.3">
      <c r="A457">
        <v>41484</v>
      </c>
      <c r="B457">
        <v>3204708</v>
      </c>
      <c r="C457" t="s">
        <v>80</v>
      </c>
      <c r="D457">
        <v>0.72299999999999998</v>
      </c>
      <c r="E457">
        <v>3129308.01</v>
      </c>
      <c r="F457">
        <v>0</v>
      </c>
      <c r="G457">
        <v>3129308.01</v>
      </c>
      <c r="H457">
        <v>44418.34</v>
      </c>
      <c r="I457">
        <v>478454.9</v>
      </c>
      <c r="J457">
        <v>1.0840000000000001</v>
      </c>
      <c r="K457">
        <v>67242.899999999994</v>
      </c>
      <c r="L457">
        <v>0</v>
      </c>
      <c r="M457">
        <v>35118.9</v>
      </c>
      <c r="N457">
        <v>2025</v>
      </c>
      <c r="O457">
        <v>9</v>
      </c>
    </row>
    <row r="458" spans="1:15" x14ac:dyDescent="0.3">
      <c r="A458">
        <v>41485</v>
      </c>
      <c r="B458">
        <v>3204807</v>
      </c>
      <c r="C458" t="s">
        <v>81</v>
      </c>
      <c r="D458">
        <v>0.28599999999999998</v>
      </c>
      <c r="E458">
        <v>1237872.8799999999</v>
      </c>
      <c r="F458">
        <v>0</v>
      </c>
      <c r="G458">
        <v>1237872.8799999999</v>
      </c>
      <c r="H458">
        <v>17570.740000000002</v>
      </c>
      <c r="I458">
        <v>99714.18</v>
      </c>
      <c r="J458">
        <v>0.443</v>
      </c>
      <c r="K458">
        <v>26599.55</v>
      </c>
      <c r="L458">
        <v>0</v>
      </c>
      <c r="M458">
        <v>13892.13</v>
      </c>
      <c r="N458">
        <v>2025</v>
      </c>
      <c r="O458">
        <v>9</v>
      </c>
    </row>
    <row r="459" spans="1:15" x14ac:dyDescent="0.3">
      <c r="A459">
        <v>41486</v>
      </c>
      <c r="B459">
        <v>3204906</v>
      </c>
      <c r="C459" t="s">
        <v>82</v>
      </c>
      <c r="D459">
        <v>1.998</v>
      </c>
      <c r="E459">
        <v>8647797.2100000009</v>
      </c>
      <c r="F459">
        <v>0</v>
      </c>
      <c r="G459">
        <v>8647797.2100000009</v>
      </c>
      <c r="H459">
        <v>122749.44</v>
      </c>
      <c r="I459">
        <v>1801618.08</v>
      </c>
      <c r="J459">
        <v>2.9940000000000002</v>
      </c>
      <c r="K459">
        <v>185824.79</v>
      </c>
      <c r="L459">
        <v>0</v>
      </c>
      <c r="M459">
        <v>97050.57</v>
      </c>
      <c r="N459">
        <v>2025</v>
      </c>
      <c r="O459">
        <v>9</v>
      </c>
    </row>
    <row r="460" spans="1:15" x14ac:dyDescent="0.3">
      <c r="A460">
        <v>41487</v>
      </c>
      <c r="B460">
        <v>3204955</v>
      </c>
      <c r="C460" t="s">
        <v>83</v>
      </c>
      <c r="D460">
        <v>0.3</v>
      </c>
      <c r="E460">
        <v>1298468.07</v>
      </c>
      <c r="F460">
        <v>0</v>
      </c>
      <c r="G460">
        <v>1298468.07</v>
      </c>
      <c r="H460">
        <v>18430.849999999999</v>
      </c>
      <c r="I460">
        <v>103895.18</v>
      </c>
      <c r="J460">
        <v>0.441</v>
      </c>
      <c r="K460">
        <v>27901.62</v>
      </c>
      <c r="L460">
        <v>0</v>
      </c>
      <c r="M460">
        <v>14572.15</v>
      </c>
      <c r="N460">
        <v>2025</v>
      </c>
      <c r="O460">
        <v>9</v>
      </c>
    </row>
    <row r="461" spans="1:15" x14ac:dyDescent="0.3">
      <c r="A461">
        <v>41488</v>
      </c>
      <c r="B461">
        <v>3205002</v>
      </c>
      <c r="C461" t="s">
        <v>84</v>
      </c>
      <c r="D461">
        <v>14.551</v>
      </c>
      <c r="E461">
        <v>62980028.590000004</v>
      </c>
      <c r="F461">
        <v>0</v>
      </c>
      <c r="G461">
        <v>62980028.590000004</v>
      </c>
      <c r="H461">
        <v>893957.47</v>
      </c>
      <c r="I461">
        <v>7044667.9900000002</v>
      </c>
      <c r="J461">
        <v>8.8559999999999999</v>
      </c>
      <c r="K461">
        <v>1353321.61</v>
      </c>
      <c r="L461">
        <v>0</v>
      </c>
      <c r="M461">
        <v>706798.21</v>
      </c>
      <c r="N461">
        <v>2025</v>
      </c>
      <c r="O461">
        <v>9</v>
      </c>
    </row>
    <row r="462" spans="1:15" x14ac:dyDescent="0.3">
      <c r="A462">
        <v>41489</v>
      </c>
      <c r="B462">
        <v>3205010</v>
      </c>
      <c r="C462" t="s">
        <v>85</v>
      </c>
      <c r="D462">
        <v>0.78200000000000003</v>
      </c>
      <c r="E462">
        <v>3384673.38</v>
      </c>
      <c r="F462">
        <v>0</v>
      </c>
      <c r="G462">
        <v>3384673.38</v>
      </c>
      <c r="H462">
        <v>48043.07</v>
      </c>
      <c r="I462">
        <v>284257.14</v>
      </c>
      <c r="J462">
        <v>0.93799999999999994</v>
      </c>
      <c r="K462">
        <v>72730.22</v>
      </c>
      <c r="L462">
        <v>0</v>
      </c>
      <c r="M462">
        <v>37984.76</v>
      </c>
      <c r="N462">
        <v>2025</v>
      </c>
      <c r="O462">
        <v>9</v>
      </c>
    </row>
    <row r="463" spans="1:15" x14ac:dyDescent="0.3">
      <c r="A463">
        <v>41490</v>
      </c>
      <c r="B463">
        <v>3205036</v>
      </c>
      <c r="C463" t="s">
        <v>86</v>
      </c>
      <c r="D463">
        <v>0.45700000000000002</v>
      </c>
      <c r="E463">
        <v>1977999.66</v>
      </c>
      <c r="F463">
        <v>0</v>
      </c>
      <c r="G463">
        <v>1977999.66</v>
      </c>
      <c r="H463">
        <v>28076.32</v>
      </c>
      <c r="I463">
        <v>251447.23</v>
      </c>
      <c r="J463">
        <v>0.70399999999999996</v>
      </c>
      <c r="K463">
        <v>42503.47</v>
      </c>
      <c r="L463">
        <v>0</v>
      </c>
      <c r="M463">
        <v>22198.26</v>
      </c>
      <c r="N463">
        <v>2025</v>
      </c>
      <c r="O463">
        <v>9</v>
      </c>
    </row>
    <row r="464" spans="1:15" x14ac:dyDescent="0.3">
      <c r="A464">
        <v>41491</v>
      </c>
      <c r="B464">
        <v>3205069</v>
      </c>
      <c r="C464" t="s">
        <v>87</v>
      </c>
      <c r="D464">
        <v>0.67</v>
      </c>
      <c r="E464">
        <v>2899911.99</v>
      </c>
      <c r="F464">
        <v>0</v>
      </c>
      <c r="G464">
        <v>2899911.99</v>
      </c>
      <c r="H464">
        <v>41162.22</v>
      </c>
      <c r="I464">
        <v>386172.99</v>
      </c>
      <c r="J464">
        <v>0.83899999999999997</v>
      </c>
      <c r="K464">
        <v>62313.62</v>
      </c>
      <c r="L464">
        <v>0</v>
      </c>
      <c r="M464">
        <v>32544.49</v>
      </c>
      <c r="N464">
        <v>2025</v>
      </c>
      <c r="O464">
        <v>9</v>
      </c>
    </row>
    <row r="465" spans="1:15" x14ac:dyDescent="0.3">
      <c r="A465">
        <v>41492</v>
      </c>
      <c r="B465">
        <v>2112803</v>
      </c>
      <c r="C465" t="s">
        <v>88</v>
      </c>
      <c r="D465">
        <v>3.3740000000000001</v>
      </c>
      <c r="E465">
        <v>14603437.32</v>
      </c>
      <c r="F465">
        <v>0</v>
      </c>
      <c r="G465">
        <v>14603437.32</v>
      </c>
      <c r="H465">
        <v>207285.58</v>
      </c>
      <c r="I465">
        <v>854582.87</v>
      </c>
      <c r="J465">
        <v>1.944</v>
      </c>
      <c r="K465">
        <v>313800.23</v>
      </c>
      <c r="L465">
        <v>0</v>
      </c>
      <c r="M465">
        <v>163888.20000000001</v>
      </c>
      <c r="N465">
        <v>2025</v>
      </c>
      <c r="O465">
        <v>9</v>
      </c>
    </row>
    <row r="466" spans="1:15" x14ac:dyDescent="0.3">
      <c r="A466">
        <v>41493</v>
      </c>
      <c r="B466">
        <v>3205150</v>
      </c>
      <c r="C466" t="s">
        <v>89</v>
      </c>
      <c r="D466">
        <v>0.36799999999999999</v>
      </c>
      <c r="E466">
        <v>1592787.48</v>
      </c>
      <c r="F466">
        <v>0</v>
      </c>
      <c r="G466">
        <v>1592787.48</v>
      </c>
      <c r="H466">
        <v>22608.5</v>
      </c>
      <c r="I466">
        <v>68482.63</v>
      </c>
      <c r="J466">
        <v>0.34100000000000003</v>
      </c>
      <c r="K466">
        <v>34225.99</v>
      </c>
      <c r="L466">
        <v>0</v>
      </c>
      <c r="M466">
        <v>17875.18</v>
      </c>
      <c r="N466">
        <v>2025</v>
      </c>
      <c r="O466">
        <v>9</v>
      </c>
    </row>
    <row r="467" spans="1:15" x14ac:dyDescent="0.3">
      <c r="A467">
        <v>41494</v>
      </c>
      <c r="B467">
        <v>3205176</v>
      </c>
      <c r="C467" t="s">
        <v>90</v>
      </c>
      <c r="D467">
        <v>0.7</v>
      </c>
      <c r="E467">
        <v>3029758.78</v>
      </c>
      <c r="F467">
        <v>0</v>
      </c>
      <c r="G467">
        <v>3029758.78</v>
      </c>
      <c r="H467">
        <v>43005.31</v>
      </c>
      <c r="I467">
        <v>222750.35</v>
      </c>
      <c r="J467">
        <v>0.55400000000000005</v>
      </c>
      <c r="K467">
        <v>65103.79</v>
      </c>
      <c r="L467">
        <v>0</v>
      </c>
      <c r="M467">
        <v>34001.699999999997</v>
      </c>
      <c r="N467">
        <v>2025</v>
      </c>
      <c r="O467">
        <v>9</v>
      </c>
    </row>
    <row r="468" spans="1:15" x14ac:dyDescent="0.3">
      <c r="A468">
        <v>41495</v>
      </c>
      <c r="B468">
        <v>3205200</v>
      </c>
      <c r="C468" t="s">
        <v>91</v>
      </c>
      <c r="D468">
        <v>6.6219999999999999</v>
      </c>
      <c r="E468">
        <v>28661518.059999999</v>
      </c>
      <c r="F468">
        <v>0</v>
      </c>
      <c r="G468">
        <v>28661518.059999999</v>
      </c>
      <c r="H468">
        <v>406830.21</v>
      </c>
      <c r="I468">
        <v>7738250.3499999996</v>
      </c>
      <c r="J468">
        <v>8.01</v>
      </c>
      <c r="K468">
        <v>615881.78</v>
      </c>
      <c r="L468">
        <v>0</v>
      </c>
      <c r="M468">
        <v>321656.09000000003</v>
      </c>
      <c r="N468">
        <v>2025</v>
      </c>
      <c r="O468">
        <v>9</v>
      </c>
    </row>
    <row r="469" spans="1:15" x14ac:dyDescent="0.3">
      <c r="A469">
        <v>41496</v>
      </c>
      <c r="B469">
        <v>3205309</v>
      </c>
      <c r="C469" t="s">
        <v>92</v>
      </c>
      <c r="D469">
        <v>10.878</v>
      </c>
      <c r="E469">
        <v>47082451.350000001</v>
      </c>
      <c r="F469">
        <v>0</v>
      </c>
      <c r="G469">
        <v>47082451.350000001</v>
      </c>
      <c r="H469">
        <v>668302.48</v>
      </c>
      <c r="I469">
        <v>6889762.9199999999</v>
      </c>
      <c r="J469">
        <v>9.1780000000000008</v>
      </c>
      <c r="K469">
        <v>1011712.82</v>
      </c>
      <c r="L469">
        <v>0</v>
      </c>
      <c r="M469">
        <v>528386.43999999994</v>
      </c>
      <c r="N469">
        <v>2025</v>
      </c>
      <c r="O469">
        <v>9</v>
      </c>
    </row>
    <row r="470" spans="1:15" x14ac:dyDescent="0.3">
      <c r="A470">
        <v>41497</v>
      </c>
      <c r="B470">
        <v>3200102</v>
      </c>
      <c r="C470" t="s">
        <v>15</v>
      </c>
      <c r="D470">
        <v>0.67100000000000004</v>
      </c>
      <c r="E470">
        <v>3309535.73</v>
      </c>
      <c r="F470">
        <v>0</v>
      </c>
      <c r="G470">
        <v>3309535.73</v>
      </c>
      <c r="H470">
        <v>39533.760000000002</v>
      </c>
      <c r="I470">
        <v>167640.94</v>
      </c>
      <c r="J470">
        <v>1.004</v>
      </c>
      <c r="K470">
        <v>70914.83</v>
      </c>
      <c r="L470">
        <v>12890.93</v>
      </c>
      <c r="M470">
        <v>16504.36</v>
      </c>
      <c r="N470">
        <v>2025</v>
      </c>
      <c r="O470">
        <v>10</v>
      </c>
    </row>
    <row r="471" spans="1:15" x14ac:dyDescent="0.3">
      <c r="A471">
        <v>41498</v>
      </c>
      <c r="B471">
        <v>3200169</v>
      </c>
      <c r="C471" t="s">
        <v>16</v>
      </c>
      <c r="D471">
        <v>0.309</v>
      </c>
      <c r="E471">
        <v>1524063.4</v>
      </c>
      <c r="F471">
        <v>0</v>
      </c>
      <c r="G471">
        <v>1524063.4</v>
      </c>
      <c r="H471">
        <v>18205.560000000001</v>
      </c>
      <c r="I471">
        <v>53319.75</v>
      </c>
      <c r="J471">
        <v>0.45700000000000002</v>
      </c>
      <c r="K471">
        <v>32656.75</v>
      </c>
      <c r="L471">
        <v>5871.87</v>
      </c>
      <c r="M471">
        <v>7600.37</v>
      </c>
      <c r="N471">
        <v>2025</v>
      </c>
      <c r="O471">
        <v>10</v>
      </c>
    </row>
    <row r="472" spans="1:15" x14ac:dyDescent="0.3">
      <c r="A472">
        <v>41499</v>
      </c>
      <c r="B472">
        <v>3200136</v>
      </c>
      <c r="C472" t="s">
        <v>17</v>
      </c>
      <c r="D472">
        <v>0.51900000000000002</v>
      </c>
      <c r="E472">
        <v>2559834.65</v>
      </c>
      <c r="F472">
        <v>0</v>
      </c>
      <c r="G472">
        <v>2559834.65</v>
      </c>
      <c r="H472">
        <v>30578.27</v>
      </c>
      <c r="I472">
        <v>82832.42</v>
      </c>
      <c r="J472">
        <v>0.35099999999999998</v>
      </c>
      <c r="K472">
        <v>54850.66</v>
      </c>
      <c r="L472">
        <v>4514.2299999999996</v>
      </c>
      <c r="M472">
        <v>12765.67</v>
      </c>
      <c r="N472">
        <v>2025</v>
      </c>
      <c r="O472">
        <v>10</v>
      </c>
    </row>
    <row r="473" spans="1:15" x14ac:dyDescent="0.3">
      <c r="A473">
        <v>41500</v>
      </c>
      <c r="B473">
        <v>3200201</v>
      </c>
      <c r="C473" t="s">
        <v>18</v>
      </c>
      <c r="D473">
        <v>0.41799999999999998</v>
      </c>
      <c r="E473">
        <v>2061678.02</v>
      </c>
      <c r="F473">
        <v>0</v>
      </c>
      <c r="G473">
        <v>2061678.02</v>
      </c>
      <c r="H473">
        <v>24627.59</v>
      </c>
      <c r="I473">
        <v>143553.60999999999</v>
      </c>
      <c r="J473">
        <v>0.98299999999999998</v>
      </c>
      <c r="K473">
        <v>44176.44</v>
      </c>
      <c r="L473">
        <v>12624.48</v>
      </c>
      <c r="M473">
        <v>10281.41</v>
      </c>
      <c r="N473">
        <v>2025</v>
      </c>
      <c r="O473">
        <v>10</v>
      </c>
    </row>
    <row r="474" spans="1:15" x14ac:dyDescent="0.3">
      <c r="A474">
        <v>41501</v>
      </c>
      <c r="B474">
        <v>3200300</v>
      </c>
      <c r="C474" t="s">
        <v>19</v>
      </c>
      <c r="D474">
        <v>0.442</v>
      </c>
      <c r="E474">
        <v>2180051.87</v>
      </c>
      <c r="F474">
        <v>0</v>
      </c>
      <c r="G474">
        <v>2180051.87</v>
      </c>
      <c r="H474">
        <v>26041.61</v>
      </c>
      <c r="I474">
        <v>75974.52</v>
      </c>
      <c r="J474">
        <v>0.55500000000000005</v>
      </c>
      <c r="K474">
        <v>46712.89</v>
      </c>
      <c r="L474">
        <v>7132.29</v>
      </c>
      <c r="M474">
        <v>10871.73</v>
      </c>
      <c r="N474">
        <v>2025</v>
      </c>
      <c r="O474">
        <v>10</v>
      </c>
    </row>
    <row r="475" spans="1:15" x14ac:dyDescent="0.3">
      <c r="A475">
        <v>41502</v>
      </c>
      <c r="B475">
        <v>3200359</v>
      </c>
      <c r="C475" t="s">
        <v>20</v>
      </c>
      <c r="D475">
        <v>0.25800000000000001</v>
      </c>
      <c r="E475">
        <v>1272518.96</v>
      </c>
      <c r="F475">
        <v>0</v>
      </c>
      <c r="G475">
        <v>1272518.96</v>
      </c>
      <c r="H475">
        <v>15200.76</v>
      </c>
      <c r="I475">
        <v>68485.83</v>
      </c>
      <c r="J475">
        <v>0.32300000000000001</v>
      </c>
      <c r="K475">
        <v>27266.799999999999</v>
      </c>
      <c r="L475">
        <v>4142.1099999999997</v>
      </c>
      <c r="M475">
        <v>6345.94</v>
      </c>
      <c r="N475">
        <v>2025</v>
      </c>
      <c r="O475">
        <v>10</v>
      </c>
    </row>
    <row r="476" spans="1:15" x14ac:dyDescent="0.3">
      <c r="A476">
        <v>41503</v>
      </c>
      <c r="B476">
        <v>3200409</v>
      </c>
      <c r="C476" t="s">
        <v>21</v>
      </c>
      <c r="D476">
        <v>3.4780000000000002</v>
      </c>
      <c r="E476">
        <v>17154344.739999998</v>
      </c>
      <c r="F476">
        <v>0</v>
      </c>
      <c r="G476">
        <v>17154344.739999998</v>
      </c>
      <c r="H476">
        <v>204915.67</v>
      </c>
      <c r="I476">
        <v>201917.61</v>
      </c>
      <c r="J476">
        <v>1.0049999999999999</v>
      </c>
      <c r="K476">
        <v>367573.39</v>
      </c>
      <c r="L476">
        <v>12912.53</v>
      </c>
      <c r="M476">
        <v>85547.199999999997</v>
      </c>
      <c r="N476">
        <v>2025</v>
      </c>
      <c r="O476">
        <v>10</v>
      </c>
    </row>
    <row r="477" spans="1:15" x14ac:dyDescent="0.3">
      <c r="A477">
        <v>41504</v>
      </c>
      <c r="B477">
        <v>3200508</v>
      </c>
      <c r="C477" t="s">
        <v>22</v>
      </c>
      <c r="D477">
        <v>0.23799999999999999</v>
      </c>
      <c r="E477">
        <v>1173874.0900000001</v>
      </c>
      <c r="F477">
        <v>0</v>
      </c>
      <c r="G477">
        <v>1173874.0900000001</v>
      </c>
      <c r="H477">
        <v>14022.41</v>
      </c>
      <c r="I477">
        <v>86932.28</v>
      </c>
      <c r="J477">
        <v>0.31900000000000001</v>
      </c>
      <c r="K477">
        <v>25153.1</v>
      </c>
      <c r="L477">
        <v>4099.37</v>
      </c>
      <c r="M477">
        <v>5854.01</v>
      </c>
      <c r="N477">
        <v>2025</v>
      </c>
      <c r="O477">
        <v>10</v>
      </c>
    </row>
    <row r="478" spans="1:15" x14ac:dyDescent="0.3">
      <c r="A478">
        <v>41505</v>
      </c>
      <c r="B478">
        <v>3200607</v>
      </c>
      <c r="C478" t="s">
        <v>23</v>
      </c>
      <c r="D478">
        <v>4.4800000000000004</v>
      </c>
      <c r="E478">
        <v>22096453.25</v>
      </c>
      <c r="F478">
        <v>0</v>
      </c>
      <c r="G478">
        <v>22096453.25</v>
      </c>
      <c r="H478">
        <v>263951.18</v>
      </c>
      <c r="I478">
        <v>756943.09</v>
      </c>
      <c r="J478">
        <v>2.4649999999999999</v>
      </c>
      <c r="K478">
        <v>473470.04</v>
      </c>
      <c r="L478">
        <v>31655.26</v>
      </c>
      <c r="M478">
        <v>110193.05</v>
      </c>
      <c r="N478">
        <v>2025</v>
      </c>
      <c r="O478">
        <v>10</v>
      </c>
    </row>
    <row r="479" spans="1:15" x14ac:dyDescent="0.3">
      <c r="A479">
        <v>41506</v>
      </c>
      <c r="B479">
        <v>3200706</v>
      </c>
      <c r="C479" t="s">
        <v>24</v>
      </c>
      <c r="D479">
        <v>0.39500000000000002</v>
      </c>
      <c r="E479">
        <v>1948236.39</v>
      </c>
      <c r="F479">
        <v>0</v>
      </c>
      <c r="G479">
        <v>1948236.39</v>
      </c>
      <c r="H479">
        <v>23272.48</v>
      </c>
      <c r="I479">
        <v>44453.25</v>
      </c>
      <c r="J479">
        <v>0.438</v>
      </c>
      <c r="K479">
        <v>41745.69</v>
      </c>
      <c r="L479">
        <v>5629.84</v>
      </c>
      <c r="M479">
        <v>9715.68</v>
      </c>
      <c r="N479">
        <v>2025</v>
      </c>
      <c r="O479">
        <v>10</v>
      </c>
    </row>
    <row r="480" spans="1:15" x14ac:dyDescent="0.3">
      <c r="A480">
        <v>41507</v>
      </c>
      <c r="B480">
        <v>3200805</v>
      </c>
      <c r="C480" t="s">
        <v>25</v>
      </c>
      <c r="D480">
        <v>0.54</v>
      </c>
      <c r="E480">
        <v>2663411.7799999998</v>
      </c>
      <c r="F480">
        <v>0</v>
      </c>
      <c r="G480">
        <v>2663411.7799999998</v>
      </c>
      <c r="H480">
        <v>31815.54</v>
      </c>
      <c r="I480">
        <v>278647.52</v>
      </c>
      <c r="J480">
        <v>1.0069999999999999</v>
      </c>
      <c r="K480">
        <v>57070.05</v>
      </c>
      <c r="L480">
        <v>12929.75</v>
      </c>
      <c r="M480">
        <v>13282.2</v>
      </c>
      <c r="N480">
        <v>2025</v>
      </c>
      <c r="O480">
        <v>10</v>
      </c>
    </row>
    <row r="481" spans="1:15" x14ac:dyDescent="0.3">
      <c r="A481">
        <v>41508</v>
      </c>
      <c r="B481">
        <v>3200904</v>
      </c>
      <c r="C481" t="s">
        <v>26</v>
      </c>
      <c r="D481">
        <v>0.81299999999999994</v>
      </c>
      <c r="E481">
        <v>4009914.42</v>
      </c>
      <c r="F481">
        <v>0</v>
      </c>
      <c r="G481">
        <v>4009914.42</v>
      </c>
      <c r="H481">
        <v>47900.07</v>
      </c>
      <c r="I481">
        <v>340234.93</v>
      </c>
      <c r="J481">
        <v>1.3120000000000001</v>
      </c>
      <c r="K481">
        <v>85922.13</v>
      </c>
      <c r="L481">
        <v>16848.259999999998</v>
      </c>
      <c r="M481">
        <v>19997.09</v>
      </c>
      <c r="N481">
        <v>2025</v>
      </c>
      <c r="O481">
        <v>10</v>
      </c>
    </row>
    <row r="482" spans="1:15" x14ac:dyDescent="0.3">
      <c r="A482">
        <v>41509</v>
      </c>
      <c r="B482">
        <v>3107109</v>
      </c>
      <c r="C482" t="s">
        <v>27</v>
      </c>
      <c r="D482">
        <v>0.48699999999999999</v>
      </c>
      <c r="E482">
        <v>2402002.84</v>
      </c>
      <c r="F482">
        <v>0</v>
      </c>
      <c r="G482">
        <v>2402002.84</v>
      </c>
      <c r="H482">
        <v>28692.91</v>
      </c>
      <c r="I482">
        <v>82633.990000000005</v>
      </c>
      <c r="J482">
        <v>0.55200000000000005</v>
      </c>
      <c r="K482">
        <v>51468.74</v>
      </c>
      <c r="L482">
        <v>7086.27</v>
      </c>
      <c r="M482">
        <v>11978.58</v>
      </c>
      <c r="N482">
        <v>2025</v>
      </c>
      <c r="O482">
        <v>10</v>
      </c>
    </row>
    <row r="483" spans="1:15" x14ac:dyDescent="0.3">
      <c r="A483">
        <v>41510</v>
      </c>
      <c r="B483">
        <v>3201100</v>
      </c>
      <c r="C483" t="s">
        <v>28</v>
      </c>
      <c r="D483">
        <v>0.247</v>
      </c>
      <c r="E483">
        <v>1218264.27</v>
      </c>
      <c r="F483">
        <v>0</v>
      </c>
      <c r="G483">
        <v>1218264.27</v>
      </c>
      <c r="H483">
        <v>14552.67</v>
      </c>
      <c r="I483">
        <v>207558.04</v>
      </c>
      <c r="J483">
        <v>0.435</v>
      </c>
      <c r="K483">
        <v>26104.26</v>
      </c>
      <c r="L483">
        <v>5590.86</v>
      </c>
      <c r="M483">
        <v>6075.38</v>
      </c>
      <c r="N483">
        <v>2025</v>
      </c>
      <c r="O483">
        <v>10</v>
      </c>
    </row>
    <row r="484" spans="1:15" x14ac:dyDescent="0.3">
      <c r="A484">
        <v>41511</v>
      </c>
      <c r="B484">
        <v>3201159</v>
      </c>
      <c r="C484" t="s">
        <v>29</v>
      </c>
      <c r="D484">
        <v>0.40699999999999997</v>
      </c>
      <c r="E484">
        <v>2007423.33</v>
      </c>
      <c r="F484">
        <v>0</v>
      </c>
      <c r="G484">
        <v>2007423.33</v>
      </c>
      <c r="H484">
        <v>23979.49</v>
      </c>
      <c r="I484">
        <v>85322.58</v>
      </c>
      <c r="J484">
        <v>0.54600000000000004</v>
      </c>
      <c r="K484">
        <v>43013.91</v>
      </c>
      <c r="L484">
        <v>7017.85</v>
      </c>
      <c r="M484">
        <v>10010.84</v>
      </c>
      <c r="N484">
        <v>2025</v>
      </c>
      <c r="O484">
        <v>10</v>
      </c>
    </row>
    <row r="485" spans="1:15" x14ac:dyDescent="0.3">
      <c r="A485">
        <v>41512</v>
      </c>
      <c r="B485">
        <v>3201209</v>
      </c>
      <c r="C485" t="s">
        <v>30</v>
      </c>
      <c r="D485">
        <v>2.5920000000000001</v>
      </c>
      <c r="E485">
        <v>12784376.529999999</v>
      </c>
      <c r="F485">
        <v>0</v>
      </c>
      <c r="G485">
        <v>12784376.529999999</v>
      </c>
      <c r="H485">
        <v>152714.60999999999</v>
      </c>
      <c r="I485">
        <v>1429490.64</v>
      </c>
      <c r="J485">
        <v>4.298</v>
      </c>
      <c r="K485">
        <v>273936.24</v>
      </c>
      <c r="L485">
        <v>55199.87</v>
      </c>
      <c r="M485">
        <v>63754.55</v>
      </c>
      <c r="N485">
        <v>2025</v>
      </c>
      <c r="O485">
        <v>10</v>
      </c>
    </row>
    <row r="486" spans="1:15" x14ac:dyDescent="0.3">
      <c r="A486">
        <v>41513</v>
      </c>
      <c r="B486">
        <v>3201308</v>
      </c>
      <c r="C486" t="s">
        <v>31</v>
      </c>
      <c r="D486">
        <v>8.3239999999999998</v>
      </c>
      <c r="E486">
        <v>41055999.280000001</v>
      </c>
      <c r="F486">
        <v>0</v>
      </c>
      <c r="G486">
        <v>41055999.280000001</v>
      </c>
      <c r="H486">
        <v>490430.71999999997</v>
      </c>
      <c r="I486">
        <v>2292941.38</v>
      </c>
      <c r="J486">
        <v>6.4569999999999999</v>
      </c>
      <c r="K486">
        <v>879724.24</v>
      </c>
      <c r="L486">
        <v>82934.44</v>
      </c>
      <c r="M486">
        <v>204742.63</v>
      </c>
      <c r="N486">
        <v>2025</v>
      </c>
      <c r="O486">
        <v>10</v>
      </c>
    </row>
    <row r="487" spans="1:15" x14ac:dyDescent="0.3">
      <c r="A487">
        <v>41514</v>
      </c>
      <c r="B487">
        <v>3201407</v>
      </c>
      <c r="C487" t="s">
        <v>32</v>
      </c>
      <c r="D487">
        <v>0.80700000000000005</v>
      </c>
      <c r="E487">
        <v>3980320.91</v>
      </c>
      <c r="F487">
        <v>0</v>
      </c>
      <c r="G487">
        <v>3980320.91</v>
      </c>
      <c r="H487">
        <v>47546.559999999998</v>
      </c>
      <c r="I487">
        <v>722886.49</v>
      </c>
      <c r="J487">
        <v>1.1639999999999999</v>
      </c>
      <c r="K487">
        <v>85288.02</v>
      </c>
      <c r="L487">
        <v>14955.38</v>
      </c>
      <c r="M487">
        <v>19849.509999999998</v>
      </c>
      <c r="N487">
        <v>2025</v>
      </c>
      <c r="O487">
        <v>10</v>
      </c>
    </row>
    <row r="488" spans="1:15" x14ac:dyDescent="0.3">
      <c r="A488">
        <v>41515</v>
      </c>
      <c r="B488">
        <v>3201506</v>
      </c>
      <c r="C488" t="s">
        <v>33</v>
      </c>
      <c r="D488">
        <v>2.0139999999999998</v>
      </c>
      <c r="E488">
        <v>9933539.4800000004</v>
      </c>
      <c r="F488">
        <v>0</v>
      </c>
      <c r="G488">
        <v>9933539.4800000004</v>
      </c>
      <c r="H488">
        <v>118660.2</v>
      </c>
      <c r="I488">
        <v>935145.9</v>
      </c>
      <c r="J488">
        <v>2.86</v>
      </c>
      <c r="K488">
        <v>212850.14</v>
      </c>
      <c r="L488">
        <v>36735.160000000003</v>
      </c>
      <c r="M488">
        <v>49537.68</v>
      </c>
      <c r="N488">
        <v>2025</v>
      </c>
      <c r="O488">
        <v>10</v>
      </c>
    </row>
    <row r="489" spans="1:15" x14ac:dyDescent="0.3">
      <c r="A489">
        <v>41516</v>
      </c>
      <c r="B489">
        <v>3201605</v>
      </c>
      <c r="C489" t="s">
        <v>34</v>
      </c>
      <c r="D489">
        <v>0.60099999999999998</v>
      </c>
      <c r="E489">
        <v>2964278.66</v>
      </c>
      <c r="F489">
        <v>0</v>
      </c>
      <c r="G489">
        <v>2964278.66</v>
      </c>
      <c r="H489">
        <v>35409.519999999997</v>
      </c>
      <c r="I489">
        <v>122512.92</v>
      </c>
      <c r="J489">
        <v>0.94399999999999995</v>
      </c>
      <c r="K489">
        <v>63516.85</v>
      </c>
      <c r="L489">
        <v>12125.22</v>
      </c>
      <c r="M489">
        <v>14782.59</v>
      </c>
      <c r="N489">
        <v>2025</v>
      </c>
      <c r="O489">
        <v>10</v>
      </c>
    </row>
    <row r="490" spans="1:15" x14ac:dyDescent="0.3">
      <c r="A490">
        <v>41517</v>
      </c>
      <c r="B490">
        <v>3201704</v>
      </c>
      <c r="C490" t="s">
        <v>35</v>
      </c>
      <c r="D490">
        <v>0.371</v>
      </c>
      <c r="E490">
        <v>1829862.55</v>
      </c>
      <c r="F490">
        <v>0</v>
      </c>
      <c r="G490">
        <v>1829862.55</v>
      </c>
      <c r="H490">
        <v>21858.46</v>
      </c>
      <c r="I490">
        <v>69390.25</v>
      </c>
      <c r="J490">
        <v>0.45600000000000002</v>
      </c>
      <c r="K490">
        <v>39209.24</v>
      </c>
      <c r="L490">
        <v>5854.49</v>
      </c>
      <c r="M490">
        <v>9125.36</v>
      </c>
      <c r="N490">
        <v>2025</v>
      </c>
      <c r="O490">
        <v>10</v>
      </c>
    </row>
    <row r="491" spans="1:15" x14ac:dyDescent="0.3">
      <c r="A491">
        <v>41518</v>
      </c>
      <c r="B491">
        <v>3201803</v>
      </c>
      <c r="C491" t="s">
        <v>36</v>
      </c>
      <c r="D491">
        <v>0.187</v>
      </c>
      <c r="E491">
        <v>922329.66</v>
      </c>
      <c r="F491">
        <v>0</v>
      </c>
      <c r="G491">
        <v>922329.66</v>
      </c>
      <c r="H491">
        <v>11017.6</v>
      </c>
      <c r="I491">
        <v>31195.09</v>
      </c>
      <c r="J491">
        <v>0.29299999999999998</v>
      </c>
      <c r="K491">
        <v>19763.16</v>
      </c>
      <c r="L491">
        <v>3768.28</v>
      </c>
      <c r="M491">
        <v>4599.58</v>
      </c>
      <c r="N491">
        <v>2025</v>
      </c>
      <c r="O491">
        <v>10</v>
      </c>
    </row>
    <row r="492" spans="1:15" x14ac:dyDescent="0.3">
      <c r="A492">
        <v>41519</v>
      </c>
      <c r="B492">
        <v>3201902</v>
      </c>
      <c r="C492" t="s">
        <v>37</v>
      </c>
      <c r="D492">
        <v>1.0620000000000001</v>
      </c>
      <c r="E492">
        <v>5238043.1500000004</v>
      </c>
      <c r="F492">
        <v>0</v>
      </c>
      <c r="G492">
        <v>5238043.1500000004</v>
      </c>
      <c r="H492">
        <v>62570.57</v>
      </c>
      <c r="I492">
        <v>255188.38</v>
      </c>
      <c r="J492">
        <v>1.147</v>
      </c>
      <c r="K492">
        <v>112237.77</v>
      </c>
      <c r="L492">
        <v>14732.46</v>
      </c>
      <c r="M492">
        <v>26121.66</v>
      </c>
      <c r="N492">
        <v>2025</v>
      </c>
      <c r="O492">
        <v>10</v>
      </c>
    </row>
    <row r="493" spans="1:15" x14ac:dyDescent="0.3">
      <c r="A493">
        <v>41520</v>
      </c>
      <c r="B493">
        <v>3202009</v>
      </c>
      <c r="C493" t="s">
        <v>38</v>
      </c>
      <c r="D493">
        <v>0.34899999999999998</v>
      </c>
      <c r="E493">
        <v>1721353.17</v>
      </c>
      <c r="F493">
        <v>0</v>
      </c>
      <c r="G493">
        <v>1721353.17</v>
      </c>
      <c r="H493">
        <v>20562.27</v>
      </c>
      <c r="I493">
        <v>78750.080000000002</v>
      </c>
      <c r="J493">
        <v>0.312</v>
      </c>
      <c r="K493">
        <v>36884.160000000003</v>
      </c>
      <c r="L493">
        <v>4007.17</v>
      </c>
      <c r="M493">
        <v>8584.24</v>
      </c>
      <c r="N493">
        <v>2025</v>
      </c>
      <c r="O493">
        <v>10</v>
      </c>
    </row>
    <row r="494" spans="1:15" x14ac:dyDescent="0.3">
      <c r="A494">
        <v>41521</v>
      </c>
      <c r="B494">
        <v>3202108</v>
      </c>
      <c r="C494" t="s">
        <v>39</v>
      </c>
      <c r="D494">
        <v>0.57099999999999995</v>
      </c>
      <c r="E494">
        <v>2816311.33</v>
      </c>
      <c r="F494">
        <v>0</v>
      </c>
      <c r="G494">
        <v>2816311.33</v>
      </c>
      <c r="H494">
        <v>33641.99</v>
      </c>
      <c r="I494">
        <v>114391.38</v>
      </c>
      <c r="J494">
        <v>0.79200000000000004</v>
      </c>
      <c r="K494">
        <v>60346.29</v>
      </c>
      <c r="L494">
        <v>10168.200000000001</v>
      </c>
      <c r="M494">
        <v>14044.69</v>
      </c>
      <c r="N494">
        <v>2025</v>
      </c>
      <c r="O494">
        <v>10</v>
      </c>
    </row>
    <row r="495" spans="1:15" x14ac:dyDescent="0.3">
      <c r="A495">
        <v>41522</v>
      </c>
      <c r="B495">
        <v>3202207</v>
      </c>
      <c r="C495" t="s">
        <v>40</v>
      </c>
      <c r="D495">
        <v>0.36799999999999999</v>
      </c>
      <c r="E495">
        <v>1815065.79</v>
      </c>
      <c r="F495">
        <v>0</v>
      </c>
      <c r="G495">
        <v>1815065.79</v>
      </c>
      <c r="H495">
        <v>21681.7</v>
      </c>
      <c r="I495">
        <v>125491.64</v>
      </c>
      <c r="J495">
        <v>0.68600000000000005</v>
      </c>
      <c r="K495">
        <v>38892.18</v>
      </c>
      <c r="L495">
        <v>8805.52</v>
      </c>
      <c r="M495">
        <v>9051.57</v>
      </c>
      <c r="N495">
        <v>2025</v>
      </c>
      <c r="O495">
        <v>10</v>
      </c>
    </row>
    <row r="496" spans="1:15" x14ac:dyDescent="0.3">
      <c r="A496">
        <v>41523</v>
      </c>
      <c r="B496">
        <v>3202256</v>
      </c>
      <c r="C496" t="s">
        <v>41</v>
      </c>
      <c r="D496">
        <v>0.53100000000000003</v>
      </c>
      <c r="E496">
        <v>2619021.56</v>
      </c>
      <c r="F496">
        <v>0</v>
      </c>
      <c r="G496">
        <v>2619021.56</v>
      </c>
      <c r="H496">
        <v>31285.279999999999</v>
      </c>
      <c r="I496">
        <v>120335.37</v>
      </c>
      <c r="J496">
        <v>0.44400000000000001</v>
      </c>
      <c r="K496">
        <v>56118.879999999997</v>
      </c>
      <c r="L496">
        <v>5700.92</v>
      </c>
      <c r="M496">
        <v>13060.83</v>
      </c>
      <c r="N496">
        <v>2025</v>
      </c>
      <c r="O496">
        <v>10</v>
      </c>
    </row>
    <row r="497" spans="1:15" x14ac:dyDescent="0.3">
      <c r="A497">
        <v>41524</v>
      </c>
      <c r="B497">
        <v>3202306</v>
      </c>
      <c r="C497" t="s">
        <v>42</v>
      </c>
      <c r="D497">
        <v>0.36699999999999999</v>
      </c>
      <c r="E497">
        <v>1810133.58</v>
      </c>
      <c r="F497">
        <v>0</v>
      </c>
      <c r="G497">
        <v>1810133.58</v>
      </c>
      <c r="H497">
        <v>21622.79</v>
      </c>
      <c r="I497">
        <v>217012.86</v>
      </c>
      <c r="J497">
        <v>0.99</v>
      </c>
      <c r="K497">
        <v>38786.5</v>
      </c>
      <c r="L497">
        <v>12709.96</v>
      </c>
      <c r="M497">
        <v>9026.98</v>
      </c>
      <c r="N497">
        <v>2025</v>
      </c>
      <c r="O497">
        <v>10</v>
      </c>
    </row>
    <row r="498" spans="1:15" x14ac:dyDescent="0.3">
      <c r="A498">
        <v>41525</v>
      </c>
      <c r="B498">
        <v>3202405</v>
      </c>
      <c r="C498" t="s">
        <v>43</v>
      </c>
      <c r="D498">
        <v>0.79</v>
      </c>
      <c r="E498">
        <v>3896472.77</v>
      </c>
      <c r="F498">
        <v>0</v>
      </c>
      <c r="G498">
        <v>3896472.77</v>
      </c>
      <c r="H498">
        <v>46544.959999999999</v>
      </c>
      <c r="I498">
        <v>1397289.45</v>
      </c>
      <c r="J498">
        <v>3.0129999999999999</v>
      </c>
      <c r="K498">
        <v>83491.37</v>
      </c>
      <c r="L498">
        <v>38701.32</v>
      </c>
      <c r="M498">
        <v>19431.36</v>
      </c>
      <c r="N498">
        <v>2025</v>
      </c>
      <c r="O498">
        <v>10</v>
      </c>
    </row>
    <row r="499" spans="1:15" x14ac:dyDescent="0.3">
      <c r="A499">
        <v>41526</v>
      </c>
      <c r="B499">
        <v>3202454</v>
      </c>
      <c r="C499" t="s">
        <v>44</v>
      </c>
      <c r="D499">
        <v>0.33900000000000002</v>
      </c>
      <c r="E499">
        <v>1672030.72</v>
      </c>
      <c r="F499">
        <v>0</v>
      </c>
      <c r="G499">
        <v>1672030.72</v>
      </c>
      <c r="H499">
        <v>19973.09</v>
      </c>
      <c r="I499">
        <v>227896.98</v>
      </c>
      <c r="J499">
        <v>0.86499999999999999</v>
      </c>
      <c r="K499">
        <v>35827.31</v>
      </c>
      <c r="L499">
        <v>11110.13</v>
      </c>
      <c r="M499">
        <v>8338.27</v>
      </c>
      <c r="N499">
        <v>2025</v>
      </c>
      <c r="O499">
        <v>10</v>
      </c>
    </row>
    <row r="500" spans="1:15" x14ac:dyDescent="0.3">
      <c r="A500">
        <v>41527</v>
      </c>
      <c r="B500">
        <v>3202504</v>
      </c>
      <c r="C500" t="s">
        <v>45</v>
      </c>
      <c r="D500">
        <v>0.307</v>
      </c>
      <c r="E500">
        <v>1514198.91</v>
      </c>
      <c r="F500">
        <v>0</v>
      </c>
      <c r="G500">
        <v>1514198.91</v>
      </c>
      <c r="H500">
        <v>18087.73</v>
      </c>
      <c r="I500">
        <v>62590.61</v>
      </c>
      <c r="J500">
        <v>0.45400000000000001</v>
      </c>
      <c r="K500">
        <v>32445.37</v>
      </c>
      <c r="L500">
        <v>5825.22</v>
      </c>
      <c r="M500">
        <v>7551.18</v>
      </c>
      <c r="N500">
        <v>2025</v>
      </c>
      <c r="O500">
        <v>10</v>
      </c>
    </row>
    <row r="501" spans="1:15" x14ac:dyDescent="0.3">
      <c r="A501">
        <v>41528</v>
      </c>
      <c r="B501">
        <v>3202553</v>
      </c>
      <c r="C501" t="s">
        <v>46</v>
      </c>
      <c r="D501">
        <v>0.28399999999999997</v>
      </c>
      <c r="E501">
        <v>1400757.3</v>
      </c>
      <c r="F501">
        <v>0</v>
      </c>
      <c r="G501">
        <v>1400757.3</v>
      </c>
      <c r="H501">
        <v>16732.62</v>
      </c>
      <c r="I501">
        <v>68744.320000000007</v>
      </c>
      <c r="J501">
        <v>0.35</v>
      </c>
      <c r="K501">
        <v>30014.61</v>
      </c>
      <c r="L501">
        <v>4490.59</v>
      </c>
      <c r="M501">
        <v>6985.45</v>
      </c>
      <c r="N501">
        <v>2025</v>
      </c>
      <c r="O501">
        <v>10</v>
      </c>
    </row>
    <row r="502" spans="1:15" x14ac:dyDescent="0.3">
      <c r="A502">
        <v>41529</v>
      </c>
      <c r="B502">
        <v>3202603</v>
      </c>
      <c r="C502" t="s">
        <v>47</v>
      </c>
      <c r="D502">
        <v>0.314</v>
      </c>
      <c r="E502">
        <v>1548724.62</v>
      </c>
      <c r="F502">
        <v>0</v>
      </c>
      <c r="G502">
        <v>1548724.62</v>
      </c>
      <c r="H502">
        <v>18500.150000000001</v>
      </c>
      <c r="I502">
        <v>152697.46</v>
      </c>
      <c r="J502">
        <v>0.52</v>
      </c>
      <c r="K502">
        <v>33185.18</v>
      </c>
      <c r="L502">
        <v>6675.14</v>
      </c>
      <c r="M502">
        <v>7723.35</v>
      </c>
      <c r="N502">
        <v>2025</v>
      </c>
      <c r="O502">
        <v>10</v>
      </c>
    </row>
    <row r="503" spans="1:15" x14ac:dyDescent="0.3">
      <c r="A503">
        <v>41530</v>
      </c>
      <c r="B503">
        <v>3202652</v>
      </c>
      <c r="C503" t="s">
        <v>48</v>
      </c>
      <c r="D503">
        <v>0.316</v>
      </c>
      <c r="E503">
        <v>1558589.1</v>
      </c>
      <c r="F503">
        <v>0</v>
      </c>
      <c r="G503">
        <v>1558589.1</v>
      </c>
      <c r="H503">
        <v>18617.98</v>
      </c>
      <c r="I503">
        <v>114458.95</v>
      </c>
      <c r="J503">
        <v>0.55700000000000005</v>
      </c>
      <c r="K503">
        <v>33396.550000000003</v>
      </c>
      <c r="L503">
        <v>7154.21</v>
      </c>
      <c r="M503">
        <v>7772.55</v>
      </c>
      <c r="N503">
        <v>2025</v>
      </c>
      <c r="O503">
        <v>10</v>
      </c>
    </row>
    <row r="504" spans="1:15" x14ac:dyDescent="0.3">
      <c r="A504">
        <v>41531</v>
      </c>
      <c r="B504">
        <v>3202702</v>
      </c>
      <c r="C504" t="s">
        <v>49</v>
      </c>
      <c r="D504">
        <v>0.40400000000000003</v>
      </c>
      <c r="E504">
        <v>1992626.6</v>
      </c>
      <c r="F504">
        <v>0</v>
      </c>
      <c r="G504">
        <v>1992626.6</v>
      </c>
      <c r="H504">
        <v>23802.74</v>
      </c>
      <c r="I504">
        <v>55572.08</v>
      </c>
      <c r="J504">
        <v>0.55200000000000005</v>
      </c>
      <c r="K504">
        <v>42696.85</v>
      </c>
      <c r="L504">
        <v>7084.07</v>
      </c>
      <c r="M504">
        <v>9937.0499999999993</v>
      </c>
      <c r="N504">
        <v>2025</v>
      </c>
      <c r="O504">
        <v>10</v>
      </c>
    </row>
    <row r="505" spans="1:15" x14ac:dyDescent="0.3">
      <c r="A505">
        <v>41532</v>
      </c>
      <c r="B505">
        <v>3202801</v>
      </c>
      <c r="C505" t="s">
        <v>50</v>
      </c>
      <c r="D505">
        <v>3.4060000000000001</v>
      </c>
      <c r="E505">
        <v>16799223.170000002</v>
      </c>
      <c r="F505">
        <v>0</v>
      </c>
      <c r="G505">
        <v>16799223.170000002</v>
      </c>
      <c r="H505">
        <v>200673.6</v>
      </c>
      <c r="I505">
        <v>276654.87</v>
      </c>
      <c r="J505">
        <v>1.2130000000000001</v>
      </c>
      <c r="K505">
        <v>359964.05</v>
      </c>
      <c r="L505">
        <v>15576.26</v>
      </c>
      <c r="M505">
        <v>83776.240000000005</v>
      </c>
      <c r="N505">
        <v>2025</v>
      </c>
      <c r="O505">
        <v>10</v>
      </c>
    </row>
    <row r="506" spans="1:15" x14ac:dyDescent="0.3">
      <c r="A506">
        <v>41533</v>
      </c>
      <c r="B506">
        <v>3202900</v>
      </c>
      <c r="C506" t="s">
        <v>51</v>
      </c>
      <c r="D506">
        <v>0.39200000000000002</v>
      </c>
      <c r="E506">
        <v>1933439.66</v>
      </c>
      <c r="F506">
        <v>0</v>
      </c>
      <c r="G506">
        <v>1933439.66</v>
      </c>
      <c r="H506">
        <v>23095.73</v>
      </c>
      <c r="I506">
        <v>58335.09</v>
      </c>
      <c r="J506">
        <v>0.438</v>
      </c>
      <c r="K506">
        <v>41428.629999999997</v>
      </c>
      <c r="L506">
        <v>5625.31</v>
      </c>
      <c r="M506">
        <v>9641.89</v>
      </c>
      <c r="N506">
        <v>2025</v>
      </c>
      <c r="O506">
        <v>10</v>
      </c>
    </row>
    <row r="507" spans="1:15" x14ac:dyDescent="0.3">
      <c r="A507">
        <v>41534</v>
      </c>
      <c r="B507">
        <v>3203007</v>
      </c>
      <c r="C507" t="s">
        <v>52</v>
      </c>
      <c r="D507">
        <v>0.5</v>
      </c>
      <c r="E507">
        <v>2466122.02</v>
      </c>
      <c r="F507">
        <v>0</v>
      </c>
      <c r="G507">
        <v>2466122.02</v>
      </c>
      <c r="H507">
        <v>29458.84</v>
      </c>
      <c r="I507">
        <v>200278.38</v>
      </c>
      <c r="J507">
        <v>0.90300000000000002</v>
      </c>
      <c r="K507">
        <v>52842.64</v>
      </c>
      <c r="L507">
        <v>11601.07</v>
      </c>
      <c r="M507">
        <v>12298.33</v>
      </c>
      <c r="N507">
        <v>2025</v>
      </c>
      <c r="O507">
        <v>10</v>
      </c>
    </row>
    <row r="508" spans="1:15" x14ac:dyDescent="0.3">
      <c r="A508">
        <v>41535</v>
      </c>
      <c r="B508">
        <v>3203056</v>
      </c>
      <c r="C508" t="s">
        <v>53</v>
      </c>
      <c r="D508">
        <v>1.109</v>
      </c>
      <c r="E508">
        <v>5469858.6399999997</v>
      </c>
      <c r="F508">
        <v>0</v>
      </c>
      <c r="G508">
        <v>5469858.6399999997</v>
      </c>
      <c r="H508">
        <v>65339.7</v>
      </c>
      <c r="I508">
        <v>228800.12</v>
      </c>
      <c r="J508">
        <v>0.98899999999999999</v>
      </c>
      <c r="K508">
        <v>117204.97</v>
      </c>
      <c r="L508">
        <v>12700.88</v>
      </c>
      <c r="M508">
        <v>27277.7</v>
      </c>
      <c r="N508">
        <v>2025</v>
      </c>
      <c r="O508">
        <v>10</v>
      </c>
    </row>
    <row r="509" spans="1:15" x14ac:dyDescent="0.3">
      <c r="A509">
        <v>41536</v>
      </c>
      <c r="B509">
        <v>3203106</v>
      </c>
      <c r="C509" t="s">
        <v>54</v>
      </c>
      <c r="D509">
        <v>0.216</v>
      </c>
      <c r="E509">
        <v>1065364.71</v>
      </c>
      <c r="F509">
        <v>0</v>
      </c>
      <c r="G509">
        <v>1065364.71</v>
      </c>
      <c r="H509">
        <v>12726.22</v>
      </c>
      <c r="I509">
        <v>44831.69</v>
      </c>
      <c r="J509">
        <v>0.45100000000000001</v>
      </c>
      <c r="K509">
        <v>22828.01</v>
      </c>
      <c r="L509">
        <v>5796.72</v>
      </c>
      <c r="M509">
        <v>5312.88</v>
      </c>
      <c r="N509">
        <v>2025</v>
      </c>
      <c r="O509">
        <v>10</v>
      </c>
    </row>
    <row r="510" spans="1:15" x14ac:dyDescent="0.3">
      <c r="A510">
        <v>41537</v>
      </c>
      <c r="B510">
        <v>3203130</v>
      </c>
      <c r="C510" t="s">
        <v>55</v>
      </c>
      <c r="D510">
        <v>0.376</v>
      </c>
      <c r="E510">
        <v>1854523.76</v>
      </c>
      <c r="F510">
        <v>0</v>
      </c>
      <c r="G510">
        <v>1854523.76</v>
      </c>
      <c r="H510">
        <v>22153.05</v>
      </c>
      <c r="I510">
        <v>75588.17</v>
      </c>
      <c r="J510">
        <v>0.61499999999999999</v>
      </c>
      <c r="K510">
        <v>39737.660000000003</v>
      </c>
      <c r="L510">
        <v>7898.72</v>
      </c>
      <c r="M510">
        <v>9248.35</v>
      </c>
      <c r="N510">
        <v>2025</v>
      </c>
      <c r="O510">
        <v>10</v>
      </c>
    </row>
    <row r="511" spans="1:15" x14ac:dyDescent="0.3">
      <c r="A511">
        <v>41538</v>
      </c>
      <c r="B511">
        <v>3203163</v>
      </c>
      <c r="C511" t="s">
        <v>56</v>
      </c>
      <c r="D511">
        <v>0.42799999999999999</v>
      </c>
      <c r="E511">
        <v>2111000.4300000002</v>
      </c>
      <c r="F511">
        <v>0</v>
      </c>
      <c r="G511">
        <v>2111000.4300000002</v>
      </c>
      <c r="H511">
        <v>25216.76</v>
      </c>
      <c r="I511">
        <v>57052.75</v>
      </c>
      <c r="J511">
        <v>0.44500000000000001</v>
      </c>
      <c r="K511">
        <v>45233.3</v>
      </c>
      <c r="L511">
        <v>5717.36</v>
      </c>
      <c r="M511">
        <v>10527.37</v>
      </c>
      <c r="N511">
        <v>2025</v>
      </c>
      <c r="O511">
        <v>10</v>
      </c>
    </row>
    <row r="512" spans="1:15" x14ac:dyDescent="0.3">
      <c r="A512">
        <v>41539</v>
      </c>
      <c r="B512">
        <v>3203205</v>
      </c>
      <c r="C512" t="s">
        <v>57</v>
      </c>
      <c r="D512">
        <v>4.431</v>
      </c>
      <c r="E512">
        <v>21854773.300000001</v>
      </c>
      <c r="F512">
        <v>0</v>
      </c>
      <c r="G512">
        <v>21854773.300000001</v>
      </c>
      <c r="H512">
        <v>261064.22</v>
      </c>
      <c r="I512">
        <v>1420205.93</v>
      </c>
      <c r="J512">
        <v>4.0979999999999999</v>
      </c>
      <c r="K512">
        <v>468291.46</v>
      </c>
      <c r="L512">
        <v>52630.73</v>
      </c>
      <c r="M512">
        <v>108987.82</v>
      </c>
      <c r="N512">
        <v>2025</v>
      </c>
      <c r="O512">
        <v>10</v>
      </c>
    </row>
    <row r="513" spans="1:15" x14ac:dyDescent="0.3">
      <c r="A513">
        <v>41540</v>
      </c>
      <c r="B513">
        <v>3203304</v>
      </c>
      <c r="C513" t="s">
        <v>58</v>
      </c>
      <c r="D513">
        <v>0.314</v>
      </c>
      <c r="E513">
        <v>1548724.62</v>
      </c>
      <c r="F513">
        <v>0</v>
      </c>
      <c r="G513">
        <v>1548724.62</v>
      </c>
      <c r="H513">
        <v>18500.150000000001</v>
      </c>
      <c r="I513">
        <v>117603.43</v>
      </c>
      <c r="J513">
        <v>0.52400000000000002</v>
      </c>
      <c r="K513">
        <v>33185.18</v>
      </c>
      <c r="L513">
        <v>6734.62</v>
      </c>
      <c r="M513">
        <v>7723.35</v>
      </c>
      <c r="N513">
        <v>2025</v>
      </c>
      <c r="O513">
        <v>10</v>
      </c>
    </row>
    <row r="514" spans="1:15" x14ac:dyDescent="0.3">
      <c r="A514">
        <v>41541</v>
      </c>
      <c r="B514">
        <v>3203320</v>
      </c>
      <c r="C514" t="s">
        <v>59</v>
      </c>
      <c r="D514">
        <v>0.58499999999999996</v>
      </c>
      <c r="E514">
        <v>2885362.75</v>
      </c>
      <c r="F514">
        <v>0</v>
      </c>
      <c r="G514">
        <v>2885362.75</v>
      </c>
      <c r="H514">
        <v>34466.839999999997</v>
      </c>
      <c r="I514">
        <v>390040.23</v>
      </c>
      <c r="J514">
        <v>1.3140000000000001</v>
      </c>
      <c r="K514">
        <v>61825.89</v>
      </c>
      <c r="L514">
        <v>16874.57</v>
      </c>
      <c r="M514">
        <v>14389.05</v>
      </c>
      <c r="N514">
        <v>2025</v>
      </c>
      <c r="O514">
        <v>10</v>
      </c>
    </row>
    <row r="515" spans="1:15" x14ac:dyDescent="0.3">
      <c r="A515">
        <v>41542</v>
      </c>
      <c r="B515">
        <v>3203346</v>
      </c>
      <c r="C515" t="s">
        <v>60</v>
      </c>
      <c r="D515">
        <v>0.55500000000000005</v>
      </c>
      <c r="E515">
        <v>2737395.44</v>
      </c>
      <c r="F515">
        <v>0</v>
      </c>
      <c r="G515">
        <v>2737395.44</v>
      </c>
      <c r="H515">
        <v>32699.31</v>
      </c>
      <c r="I515">
        <v>119617.28</v>
      </c>
      <c r="J515">
        <v>0.68500000000000005</v>
      </c>
      <c r="K515">
        <v>58655.33</v>
      </c>
      <c r="L515">
        <v>8792.85</v>
      </c>
      <c r="M515">
        <v>13651.15</v>
      </c>
      <c r="N515">
        <v>2025</v>
      </c>
      <c r="O515">
        <v>10</v>
      </c>
    </row>
    <row r="516" spans="1:15" x14ac:dyDescent="0.3">
      <c r="A516">
        <v>41543</v>
      </c>
      <c r="B516">
        <v>3203353</v>
      </c>
      <c r="C516" t="s">
        <v>61</v>
      </c>
      <c r="D516">
        <v>0.505</v>
      </c>
      <c r="E516">
        <v>2490783.21</v>
      </c>
      <c r="F516">
        <v>0</v>
      </c>
      <c r="G516">
        <v>2490783.21</v>
      </c>
      <c r="H516">
        <v>29753.43</v>
      </c>
      <c r="I516">
        <v>109442.37</v>
      </c>
      <c r="J516">
        <v>0.46300000000000002</v>
      </c>
      <c r="K516">
        <v>53371.07</v>
      </c>
      <c r="L516">
        <v>5943.1</v>
      </c>
      <c r="M516">
        <v>12421.32</v>
      </c>
      <c r="N516">
        <v>2025</v>
      </c>
      <c r="O516">
        <v>10</v>
      </c>
    </row>
    <row r="517" spans="1:15" x14ac:dyDescent="0.3">
      <c r="A517">
        <v>41544</v>
      </c>
      <c r="B517">
        <v>3203403</v>
      </c>
      <c r="C517" t="s">
        <v>62</v>
      </c>
      <c r="D517">
        <v>0.46899999999999997</v>
      </c>
      <c r="E517">
        <v>2313222.44</v>
      </c>
      <c r="F517">
        <v>0</v>
      </c>
      <c r="G517">
        <v>2313222.44</v>
      </c>
      <c r="H517">
        <v>27632.39</v>
      </c>
      <c r="I517">
        <v>148936.54999999999</v>
      </c>
      <c r="J517">
        <v>0.83899999999999997</v>
      </c>
      <c r="K517">
        <v>49566.400000000001</v>
      </c>
      <c r="L517">
        <v>10776.84</v>
      </c>
      <c r="M517">
        <v>11535.84</v>
      </c>
      <c r="N517">
        <v>2025</v>
      </c>
      <c r="O517">
        <v>10</v>
      </c>
    </row>
    <row r="518" spans="1:15" x14ac:dyDescent="0.3">
      <c r="A518">
        <v>41545</v>
      </c>
      <c r="B518">
        <v>3203502</v>
      </c>
      <c r="C518" t="s">
        <v>63</v>
      </c>
      <c r="D518">
        <v>0.51500000000000001</v>
      </c>
      <c r="E518">
        <v>2540105.66</v>
      </c>
      <c r="F518">
        <v>0</v>
      </c>
      <c r="G518">
        <v>2540105.66</v>
      </c>
      <c r="H518">
        <v>30342.6</v>
      </c>
      <c r="I518">
        <v>144169.21</v>
      </c>
      <c r="J518">
        <v>0.69699999999999995</v>
      </c>
      <c r="K518">
        <v>54427.92</v>
      </c>
      <c r="L518">
        <v>8950.81</v>
      </c>
      <c r="M518">
        <v>12667.28</v>
      </c>
      <c r="N518">
        <v>2025</v>
      </c>
      <c r="O518">
        <v>10</v>
      </c>
    </row>
    <row r="519" spans="1:15" x14ac:dyDescent="0.3">
      <c r="A519">
        <v>41546</v>
      </c>
      <c r="B519">
        <v>3203601</v>
      </c>
      <c r="C519" t="s">
        <v>64</v>
      </c>
      <c r="D519">
        <v>0.30599999999999999</v>
      </c>
      <c r="E519">
        <v>1509266.68</v>
      </c>
      <c r="F519">
        <v>0</v>
      </c>
      <c r="G519">
        <v>1509266.68</v>
      </c>
      <c r="H519">
        <v>18028.810000000001</v>
      </c>
      <c r="I519">
        <v>33734.25</v>
      </c>
      <c r="J519">
        <v>0.29699999999999999</v>
      </c>
      <c r="K519">
        <v>32339.7</v>
      </c>
      <c r="L519">
        <v>3815.39</v>
      </c>
      <c r="M519">
        <v>7526.58</v>
      </c>
      <c r="N519">
        <v>2025</v>
      </c>
      <c r="O519">
        <v>10</v>
      </c>
    </row>
    <row r="520" spans="1:15" x14ac:dyDescent="0.3">
      <c r="A520">
        <v>41547</v>
      </c>
      <c r="B520">
        <v>3203700</v>
      </c>
      <c r="C520" t="s">
        <v>65</v>
      </c>
      <c r="D520">
        <v>0.505</v>
      </c>
      <c r="E520">
        <v>2490783.21</v>
      </c>
      <c r="F520">
        <v>0</v>
      </c>
      <c r="G520">
        <v>2490783.21</v>
      </c>
      <c r="H520">
        <v>29753.43</v>
      </c>
      <c r="I520">
        <v>110581.11</v>
      </c>
      <c r="J520">
        <v>0.68500000000000005</v>
      </c>
      <c r="K520">
        <v>53371.07</v>
      </c>
      <c r="L520">
        <v>8803.5</v>
      </c>
      <c r="M520">
        <v>12421.32</v>
      </c>
      <c r="N520">
        <v>2025</v>
      </c>
      <c r="O520">
        <v>10</v>
      </c>
    </row>
    <row r="521" spans="1:15" x14ac:dyDescent="0.3">
      <c r="A521">
        <v>41548</v>
      </c>
      <c r="B521">
        <v>3203809</v>
      </c>
      <c r="C521" t="s">
        <v>66</v>
      </c>
      <c r="D521">
        <v>0.32</v>
      </c>
      <c r="E521">
        <v>1578318.08</v>
      </c>
      <c r="F521">
        <v>0</v>
      </c>
      <c r="G521">
        <v>1578318.08</v>
      </c>
      <c r="H521">
        <v>18853.66</v>
      </c>
      <c r="I521">
        <v>101232.02</v>
      </c>
      <c r="J521">
        <v>0.55300000000000005</v>
      </c>
      <c r="K521">
        <v>33819.279999999999</v>
      </c>
      <c r="L521">
        <v>7107.24</v>
      </c>
      <c r="M521">
        <v>7870.93</v>
      </c>
      <c r="N521">
        <v>2025</v>
      </c>
      <c r="O521">
        <v>10</v>
      </c>
    </row>
    <row r="522" spans="1:15" x14ac:dyDescent="0.3">
      <c r="A522">
        <v>41549</v>
      </c>
      <c r="B522">
        <v>3203908</v>
      </c>
      <c r="C522" t="s">
        <v>67</v>
      </c>
      <c r="D522">
        <v>1.2250000000000001</v>
      </c>
      <c r="E522">
        <v>6041998.9400000004</v>
      </c>
      <c r="F522">
        <v>0</v>
      </c>
      <c r="G522">
        <v>6041998.9400000004</v>
      </c>
      <c r="H522">
        <v>72174.149999999994</v>
      </c>
      <c r="I522">
        <v>395551.44</v>
      </c>
      <c r="J522">
        <v>1.4710000000000001</v>
      </c>
      <c r="K522">
        <v>129464.46</v>
      </c>
      <c r="L522">
        <v>18894.560000000001</v>
      </c>
      <c r="M522">
        <v>30130.91</v>
      </c>
      <c r="N522">
        <v>2025</v>
      </c>
      <c r="O522">
        <v>10</v>
      </c>
    </row>
    <row r="523" spans="1:15" x14ac:dyDescent="0.3">
      <c r="A523">
        <v>41550</v>
      </c>
      <c r="B523">
        <v>3204005</v>
      </c>
      <c r="C523" t="s">
        <v>68</v>
      </c>
      <c r="D523">
        <v>0.435</v>
      </c>
      <c r="E523">
        <v>2145526.13</v>
      </c>
      <c r="F523">
        <v>0</v>
      </c>
      <c r="G523">
        <v>2145526.13</v>
      </c>
      <c r="H523">
        <v>25629.19</v>
      </c>
      <c r="I523">
        <v>103478.49</v>
      </c>
      <c r="J523">
        <v>0.69099999999999995</v>
      </c>
      <c r="K523">
        <v>45973.09</v>
      </c>
      <c r="L523">
        <v>8875.36</v>
      </c>
      <c r="M523">
        <v>10699.55</v>
      </c>
      <c r="N523">
        <v>2025</v>
      </c>
      <c r="O523">
        <v>10</v>
      </c>
    </row>
    <row r="524" spans="1:15" x14ac:dyDescent="0.3">
      <c r="A524">
        <v>41551</v>
      </c>
      <c r="B524">
        <v>3204054</v>
      </c>
      <c r="C524" t="s">
        <v>69</v>
      </c>
      <c r="D524">
        <v>0.33400000000000002</v>
      </c>
      <c r="E524">
        <v>1647369.51</v>
      </c>
      <c r="F524">
        <v>0</v>
      </c>
      <c r="G524">
        <v>1647369.51</v>
      </c>
      <c r="H524">
        <v>19678.5</v>
      </c>
      <c r="I524">
        <v>184523.19</v>
      </c>
      <c r="J524">
        <v>0.78400000000000003</v>
      </c>
      <c r="K524">
        <v>35298.89</v>
      </c>
      <c r="L524">
        <v>10070.83</v>
      </c>
      <c r="M524">
        <v>8215.2900000000009</v>
      </c>
      <c r="N524">
        <v>2025</v>
      </c>
      <c r="O524">
        <v>10</v>
      </c>
    </row>
    <row r="525" spans="1:15" x14ac:dyDescent="0.3">
      <c r="A525">
        <v>41552</v>
      </c>
      <c r="B525">
        <v>3204104</v>
      </c>
      <c r="C525" t="s">
        <v>70</v>
      </c>
      <c r="D525">
        <v>0.755</v>
      </c>
      <c r="E525">
        <v>3723844.25</v>
      </c>
      <c r="F525">
        <v>0</v>
      </c>
      <c r="G525">
        <v>3723844.25</v>
      </c>
      <c r="H525">
        <v>44482.84</v>
      </c>
      <c r="I525">
        <v>126757.22</v>
      </c>
      <c r="J525">
        <v>0.83499999999999996</v>
      </c>
      <c r="K525">
        <v>79792.38</v>
      </c>
      <c r="L525">
        <v>10721.43</v>
      </c>
      <c r="M525">
        <v>18570.48</v>
      </c>
      <c r="N525">
        <v>2025</v>
      </c>
      <c r="O525">
        <v>10</v>
      </c>
    </row>
    <row r="526" spans="1:15" x14ac:dyDescent="0.3">
      <c r="A526">
        <v>41553</v>
      </c>
      <c r="B526">
        <v>3204203</v>
      </c>
      <c r="C526" t="s">
        <v>71</v>
      </c>
      <c r="D526">
        <v>0.36499999999999999</v>
      </c>
      <c r="E526">
        <v>1800269.07</v>
      </c>
      <c r="F526">
        <v>0</v>
      </c>
      <c r="G526">
        <v>1800269.07</v>
      </c>
      <c r="H526">
        <v>21504.95</v>
      </c>
      <c r="I526">
        <v>206515.24</v>
      </c>
      <c r="J526">
        <v>0.745</v>
      </c>
      <c r="K526">
        <v>38575.129999999997</v>
      </c>
      <c r="L526">
        <v>9566.0499999999993</v>
      </c>
      <c r="M526">
        <v>8977.7800000000007</v>
      </c>
      <c r="N526">
        <v>2025</v>
      </c>
      <c r="O526">
        <v>10</v>
      </c>
    </row>
    <row r="527" spans="1:15" x14ac:dyDescent="0.3">
      <c r="A527">
        <v>41554</v>
      </c>
      <c r="B527">
        <v>3204252</v>
      </c>
      <c r="C527" t="s">
        <v>72</v>
      </c>
      <c r="D527">
        <v>0.27</v>
      </c>
      <c r="E527">
        <v>1331705.8899999999</v>
      </c>
      <c r="F527">
        <v>0</v>
      </c>
      <c r="G527">
        <v>1331705.8899999999</v>
      </c>
      <c r="H527">
        <v>15907.77</v>
      </c>
      <c r="I527">
        <v>28277.51</v>
      </c>
      <c r="J527">
        <v>0.31</v>
      </c>
      <c r="K527">
        <v>28535.02</v>
      </c>
      <c r="L527">
        <v>3977.58</v>
      </c>
      <c r="M527">
        <v>6641.1</v>
      </c>
      <c r="N527">
        <v>2025</v>
      </c>
      <c r="O527">
        <v>10</v>
      </c>
    </row>
    <row r="528" spans="1:15" x14ac:dyDescent="0.3">
      <c r="A528">
        <v>41555</v>
      </c>
      <c r="B528">
        <v>1718402</v>
      </c>
      <c r="C528" t="s">
        <v>73</v>
      </c>
      <c r="D528">
        <v>0.39100000000000001</v>
      </c>
      <c r="E528">
        <v>1928507.42</v>
      </c>
      <c r="F528">
        <v>0</v>
      </c>
      <c r="G528">
        <v>1928507.42</v>
      </c>
      <c r="H528">
        <v>23036.81</v>
      </c>
      <c r="I528">
        <v>146237.32</v>
      </c>
      <c r="J528">
        <v>0.55900000000000005</v>
      </c>
      <c r="K528">
        <v>41322.94</v>
      </c>
      <c r="L528">
        <v>7175.18</v>
      </c>
      <c r="M528">
        <v>9617.2999999999993</v>
      </c>
      <c r="N528">
        <v>2025</v>
      </c>
      <c r="O528">
        <v>10</v>
      </c>
    </row>
    <row r="529" spans="1:15" x14ac:dyDescent="0.3">
      <c r="A529">
        <v>41556</v>
      </c>
      <c r="B529">
        <v>3204351</v>
      </c>
      <c r="C529" t="s">
        <v>74</v>
      </c>
      <c r="D529">
        <v>0.88200000000000001</v>
      </c>
      <c r="E529">
        <v>4350239.2300000004</v>
      </c>
      <c r="F529">
        <v>0</v>
      </c>
      <c r="G529">
        <v>4350239.2300000004</v>
      </c>
      <c r="H529">
        <v>51965.39</v>
      </c>
      <c r="I529">
        <v>135402.75</v>
      </c>
      <c r="J529">
        <v>0.70299999999999996</v>
      </c>
      <c r="K529">
        <v>93214.42</v>
      </c>
      <c r="L529">
        <v>9025.49</v>
      </c>
      <c r="M529">
        <v>21694.26</v>
      </c>
      <c r="N529">
        <v>2025</v>
      </c>
      <c r="O529">
        <v>10</v>
      </c>
    </row>
    <row r="530" spans="1:15" x14ac:dyDescent="0.3">
      <c r="A530">
        <v>41557</v>
      </c>
      <c r="B530">
        <v>3204401</v>
      </c>
      <c r="C530" t="s">
        <v>75</v>
      </c>
      <c r="D530">
        <v>0.312</v>
      </c>
      <c r="E530">
        <v>1538860.15</v>
      </c>
      <c r="F530">
        <v>0</v>
      </c>
      <c r="G530">
        <v>1538860.15</v>
      </c>
      <c r="H530">
        <v>18382.310000000001</v>
      </c>
      <c r="I530">
        <v>81541.8</v>
      </c>
      <c r="J530">
        <v>0.44400000000000001</v>
      </c>
      <c r="K530">
        <v>32973.800000000003</v>
      </c>
      <c r="L530">
        <v>5702.8</v>
      </c>
      <c r="M530">
        <v>7674.16</v>
      </c>
      <c r="N530">
        <v>2025</v>
      </c>
      <c r="O530">
        <v>10</v>
      </c>
    </row>
    <row r="531" spans="1:15" x14ac:dyDescent="0.3">
      <c r="A531">
        <v>41558</v>
      </c>
      <c r="B531">
        <v>3204500</v>
      </c>
      <c r="C531" t="s">
        <v>76</v>
      </c>
      <c r="D531">
        <v>0.51800000000000002</v>
      </c>
      <c r="E531">
        <v>2554902.39</v>
      </c>
      <c r="F531">
        <v>0</v>
      </c>
      <c r="G531">
        <v>2554902.39</v>
      </c>
      <c r="H531">
        <v>30519.360000000001</v>
      </c>
      <c r="I531">
        <v>61277.86</v>
      </c>
      <c r="J531">
        <v>0.54800000000000004</v>
      </c>
      <c r="K531">
        <v>54744.98</v>
      </c>
      <c r="L531">
        <v>7034.29</v>
      </c>
      <c r="M531">
        <v>12741.07</v>
      </c>
      <c r="N531">
        <v>2025</v>
      </c>
      <c r="O531">
        <v>10</v>
      </c>
    </row>
    <row r="532" spans="1:15" x14ac:dyDescent="0.3">
      <c r="A532">
        <v>41559</v>
      </c>
      <c r="B532">
        <v>3204559</v>
      </c>
      <c r="C532" t="s">
        <v>77</v>
      </c>
      <c r="D532">
        <v>2.1909999999999998</v>
      </c>
      <c r="E532">
        <v>10806546.65</v>
      </c>
      <c r="F532">
        <v>0</v>
      </c>
      <c r="G532">
        <v>10806546.65</v>
      </c>
      <c r="H532">
        <v>129088.62</v>
      </c>
      <c r="I532">
        <v>633148.1</v>
      </c>
      <c r="J532">
        <v>1.31</v>
      </c>
      <c r="K532">
        <v>231556.44</v>
      </c>
      <c r="L532">
        <v>16818.84</v>
      </c>
      <c r="M532">
        <v>53891.29</v>
      </c>
      <c r="N532">
        <v>2025</v>
      </c>
      <c r="O532">
        <v>10</v>
      </c>
    </row>
    <row r="533" spans="1:15" x14ac:dyDescent="0.3">
      <c r="A533">
        <v>41560</v>
      </c>
      <c r="B533">
        <v>3204609</v>
      </c>
      <c r="C533" t="s">
        <v>78</v>
      </c>
      <c r="D533">
        <v>0.66</v>
      </c>
      <c r="E533">
        <v>3255281.04</v>
      </c>
      <c r="F533">
        <v>0</v>
      </c>
      <c r="G533">
        <v>3255281.04</v>
      </c>
      <c r="H533">
        <v>38885.660000000003</v>
      </c>
      <c r="I533">
        <v>196684.78</v>
      </c>
      <c r="J533">
        <v>0.82199999999999995</v>
      </c>
      <c r="K533">
        <v>69752.289999999994</v>
      </c>
      <c r="L533">
        <v>10560.33</v>
      </c>
      <c r="M533">
        <v>16233.8</v>
      </c>
      <c r="N533">
        <v>2025</v>
      </c>
      <c r="O533">
        <v>10</v>
      </c>
    </row>
    <row r="534" spans="1:15" x14ac:dyDescent="0.3">
      <c r="A534">
        <v>41561</v>
      </c>
      <c r="B534">
        <v>3204658</v>
      </c>
      <c r="C534" t="s">
        <v>79</v>
      </c>
      <c r="D534">
        <v>0.42099999999999999</v>
      </c>
      <c r="E534">
        <v>2076474.74</v>
      </c>
      <c r="F534">
        <v>0</v>
      </c>
      <c r="G534">
        <v>2076474.74</v>
      </c>
      <c r="H534">
        <v>24804.34</v>
      </c>
      <c r="I534">
        <v>67145.3</v>
      </c>
      <c r="J534">
        <v>0.33800000000000002</v>
      </c>
      <c r="K534">
        <v>44493.51</v>
      </c>
      <c r="L534">
        <v>4339.51</v>
      </c>
      <c r="M534">
        <v>10355.200000000001</v>
      </c>
      <c r="N534">
        <v>2025</v>
      </c>
      <c r="O534">
        <v>10</v>
      </c>
    </row>
    <row r="535" spans="1:15" x14ac:dyDescent="0.3">
      <c r="A535">
        <v>41562</v>
      </c>
      <c r="B535">
        <v>3204708</v>
      </c>
      <c r="C535" t="s">
        <v>80</v>
      </c>
      <c r="D535">
        <v>0.72299999999999998</v>
      </c>
      <c r="E535">
        <v>3566012.43</v>
      </c>
      <c r="F535">
        <v>0</v>
      </c>
      <c r="G535">
        <v>3566012.43</v>
      </c>
      <c r="H535">
        <v>42597.48</v>
      </c>
      <c r="I535">
        <v>246092.42</v>
      </c>
      <c r="J535">
        <v>1.0840000000000001</v>
      </c>
      <c r="K535">
        <v>76410.45</v>
      </c>
      <c r="L535">
        <v>13921.62</v>
      </c>
      <c r="M535">
        <v>17783.39</v>
      </c>
      <c r="N535">
        <v>2025</v>
      </c>
      <c r="O535">
        <v>10</v>
      </c>
    </row>
    <row r="536" spans="1:15" x14ac:dyDescent="0.3">
      <c r="A536">
        <v>41563</v>
      </c>
      <c r="B536">
        <v>3204807</v>
      </c>
      <c r="C536" t="s">
        <v>81</v>
      </c>
      <c r="D536">
        <v>0.28599999999999998</v>
      </c>
      <c r="E536">
        <v>1410621.8</v>
      </c>
      <c r="F536">
        <v>0</v>
      </c>
      <c r="G536">
        <v>1410621.8</v>
      </c>
      <c r="H536">
        <v>16850.46</v>
      </c>
      <c r="I536">
        <v>50198.9</v>
      </c>
      <c r="J536">
        <v>0.443</v>
      </c>
      <c r="K536">
        <v>30225.99</v>
      </c>
      <c r="L536">
        <v>5686.2</v>
      </c>
      <c r="M536">
        <v>7034.65</v>
      </c>
      <c r="N536">
        <v>2025</v>
      </c>
      <c r="O536">
        <v>10</v>
      </c>
    </row>
    <row r="537" spans="1:15" x14ac:dyDescent="0.3">
      <c r="A537">
        <v>41564</v>
      </c>
      <c r="B537">
        <v>3204906</v>
      </c>
      <c r="C537" t="s">
        <v>82</v>
      </c>
      <c r="D537">
        <v>1.998</v>
      </c>
      <c r="E537">
        <v>9854623.5700000003</v>
      </c>
      <c r="F537">
        <v>0</v>
      </c>
      <c r="G537">
        <v>9854623.5700000003</v>
      </c>
      <c r="H537">
        <v>117717.51</v>
      </c>
      <c r="I537">
        <v>971082.71</v>
      </c>
      <c r="J537">
        <v>2.9940000000000002</v>
      </c>
      <c r="K537">
        <v>211159.18</v>
      </c>
      <c r="L537">
        <v>38453.19</v>
      </c>
      <c r="M537">
        <v>49144.13</v>
      </c>
      <c r="N537">
        <v>2025</v>
      </c>
      <c r="O537">
        <v>10</v>
      </c>
    </row>
    <row r="538" spans="1:15" x14ac:dyDescent="0.3">
      <c r="A538">
        <v>41565</v>
      </c>
      <c r="B538">
        <v>3204955</v>
      </c>
      <c r="C538" t="s">
        <v>83</v>
      </c>
      <c r="D538">
        <v>0.3</v>
      </c>
      <c r="E538">
        <v>1479673.21</v>
      </c>
      <c r="F538">
        <v>0</v>
      </c>
      <c r="G538">
        <v>1479673.21</v>
      </c>
      <c r="H538">
        <v>17675.3</v>
      </c>
      <c r="I538">
        <v>55256.12</v>
      </c>
      <c r="J538">
        <v>0.441</v>
      </c>
      <c r="K538">
        <v>31705.58</v>
      </c>
      <c r="L538">
        <v>5670.24</v>
      </c>
      <c r="M538">
        <v>7379</v>
      </c>
      <c r="N538">
        <v>2025</v>
      </c>
      <c r="O538">
        <v>10</v>
      </c>
    </row>
    <row r="539" spans="1:15" x14ac:dyDescent="0.3">
      <c r="A539">
        <v>41566</v>
      </c>
      <c r="B539">
        <v>3205002</v>
      </c>
      <c r="C539" t="s">
        <v>84</v>
      </c>
      <c r="D539">
        <v>14.551</v>
      </c>
      <c r="E539">
        <v>71769082.870000005</v>
      </c>
      <c r="F539">
        <v>0</v>
      </c>
      <c r="G539">
        <v>71769082.870000005</v>
      </c>
      <c r="H539">
        <v>857311.09</v>
      </c>
      <c r="I539">
        <v>4013113.23</v>
      </c>
      <c r="J539">
        <v>8.8559999999999999</v>
      </c>
      <c r="K539">
        <v>1537826.46</v>
      </c>
      <c r="L539">
        <v>113741.58</v>
      </c>
      <c r="M539">
        <v>357906.05</v>
      </c>
      <c r="N539">
        <v>2025</v>
      </c>
      <c r="O539">
        <v>10</v>
      </c>
    </row>
    <row r="540" spans="1:15" x14ac:dyDescent="0.3">
      <c r="A540">
        <v>41567</v>
      </c>
      <c r="B540">
        <v>3205010</v>
      </c>
      <c r="C540" t="s">
        <v>85</v>
      </c>
      <c r="D540">
        <v>0.78200000000000003</v>
      </c>
      <c r="E540">
        <v>3857014.84</v>
      </c>
      <c r="F540">
        <v>0</v>
      </c>
      <c r="G540">
        <v>3857014.84</v>
      </c>
      <c r="H540">
        <v>46073.62</v>
      </c>
      <c r="I540">
        <v>148289</v>
      </c>
      <c r="J540">
        <v>0.93799999999999994</v>
      </c>
      <c r="K540">
        <v>82645.89</v>
      </c>
      <c r="L540">
        <v>12046.95</v>
      </c>
      <c r="M540">
        <v>19234.59</v>
      </c>
      <c r="N540">
        <v>2025</v>
      </c>
      <c r="O540">
        <v>10</v>
      </c>
    </row>
    <row r="541" spans="1:15" x14ac:dyDescent="0.3">
      <c r="A541">
        <v>41568</v>
      </c>
      <c r="B541">
        <v>3205036</v>
      </c>
      <c r="C541" t="s">
        <v>86</v>
      </c>
      <c r="D541">
        <v>0.45700000000000002</v>
      </c>
      <c r="E541">
        <v>2254035.52</v>
      </c>
      <c r="F541">
        <v>0</v>
      </c>
      <c r="G541">
        <v>2254035.52</v>
      </c>
      <c r="H541">
        <v>26925.38</v>
      </c>
      <c r="I541">
        <v>145062.97</v>
      </c>
      <c r="J541">
        <v>0.70399999999999996</v>
      </c>
      <c r="K541">
        <v>48298.18</v>
      </c>
      <c r="L541">
        <v>9044.89</v>
      </c>
      <c r="M541">
        <v>11240.68</v>
      </c>
      <c r="N541">
        <v>2025</v>
      </c>
      <c r="O541">
        <v>10</v>
      </c>
    </row>
    <row r="542" spans="1:15" x14ac:dyDescent="0.3">
      <c r="A542">
        <v>41569</v>
      </c>
      <c r="B542">
        <v>3205069</v>
      </c>
      <c r="C542" t="s">
        <v>87</v>
      </c>
      <c r="D542">
        <v>0.67</v>
      </c>
      <c r="E542">
        <v>3304603.51</v>
      </c>
      <c r="F542">
        <v>0</v>
      </c>
      <c r="G542">
        <v>3304603.51</v>
      </c>
      <c r="H542">
        <v>39474.839999999997</v>
      </c>
      <c r="I542">
        <v>204606.11</v>
      </c>
      <c r="J542">
        <v>0.83899999999999997</v>
      </c>
      <c r="K542">
        <v>70809.13</v>
      </c>
      <c r="L542">
        <v>10775.12</v>
      </c>
      <c r="M542">
        <v>16479.759999999998</v>
      </c>
      <c r="N542">
        <v>2025</v>
      </c>
      <c r="O542">
        <v>10</v>
      </c>
    </row>
    <row r="543" spans="1:15" x14ac:dyDescent="0.3">
      <c r="A543">
        <v>41570</v>
      </c>
      <c r="B543">
        <v>2112803</v>
      </c>
      <c r="C543" t="s">
        <v>88</v>
      </c>
      <c r="D543">
        <v>3.3740000000000001</v>
      </c>
      <c r="E543">
        <v>16641391.359999999</v>
      </c>
      <c r="F543">
        <v>0</v>
      </c>
      <c r="G543">
        <v>16641391.359999999</v>
      </c>
      <c r="H543">
        <v>198788.24</v>
      </c>
      <c r="I543">
        <v>498264.26</v>
      </c>
      <c r="J543">
        <v>1.944</v>
      </c>
      <c r="K543">
        <v>356582.12</v>
      </c>
      <c r="L543">
        <v>24973.759999999998</v>
      </c>
      <c r="M543">
        <v>82989.14</v>
      </c>
      <c r="N543">
        <v>2025</v>
      </c>
      <c r="O543">
        <v>10</v>
      </c>
    </row>
    <row r="544" spans="1:15" x14ac:dyDescent="0.3">
      <c r="A544">
        <v>41571</v>
      </c>
      <c r="B544">
        <v>3205150</v>
      </c>
      <c r="C544" t="s">
        <v>89</v>
      </c>
      <c r="D544">
        <v>0.36799999999999999</v>
      </c>
      <c r="E544">
        <v>1815065.79</v>
      </c>
      <c r="F544">
        <v>0</v>
      </c>
      <c r="G544">
        <v>1815065.79</v>
      </c>
      <c r="H544">
        <v>21681.7</v>
      </c>
      <c r="I544">
        <v>72132.78</v>
      </c>
      <c r="J544">
        <v>0.34100000000000003</v>
      </c>
      <c r="K544">
        <v>38892.18</v>
      </c>
      <c r="L544">
        <v>4384.92</v>
      </c>
      <c r="M544">
        <v>9051.57</v>
      </c>
      <c r="N544">
        <v>2025</v>
      </c>
      <c r="O544">
        <v>10</v>
      </c>
    </row>
    <row r="545" spans="1:15" x14ac:dyDescent="0.3">
      <c r="A545">
        <v>41572</v>
      </c>
      <c r="B545">
        <v>3205176</v>
      </c>
      <c r="C545" t="s">
        <v>90</v>
      </c>
      <c r="D545">
        <v>0.7</v>
      </c>
      <c r="E545">
        <v>3452570.82</v>
      </c>
      <c r="F545">
        <v>0</v>
      </c>
      <c r="G545">
        <v>3452570.82</v>
      </c>
      <c r="H545">
        <v>41242.370000000003</v>
      </c>
      <c r="I545">
        <v>180735.2</v>
      </c>
      <c r="J545">
        <v>0.55400000000000005</v>
      </c>
      <c r="K545">
        <v>73979.69</v>
      </c>
      <c r="L545">
        <v>7115.06</v>
      </c>
      <c r="M545">
        <v>17217.66</v>
      </c>
      <c r="N545">
        <v>2025</v>
      </c>
      <c r="O545">
        <v>10</v>
      </c>
    </row>
    <row r="546" spans="1:15" x14ac:dyDescent="0.3">
      <c r="A546">
        <v>41573</v>
      </c>
      <c r="B546">
        <v>3205200</v>
      </c>
      <c r="C546" t="s">
        <v>91</v>
      </c>
      <c r="D546">
        <v>6.6219999999999999</v>
      </c>
      <c r="E546">
        <v>32661319.960000001</v>
      </c>
      <c r="F546">
        <v>0</v>
      </c>
      <c r="G546">
        <v>32661319.960000001</v>
      </c>
      <c r="H546">
        <v>390152.84</v>
      </c>
      <c r="I546">
        <v>4025438.12</v>
      </c>
      <c r="J546">
        <v>8.01</v>
      </c>
      <c r="K546">
        <v>699847.9</v>
      </c>
      <c r="L546">
        <v>102880.99</v>
      </c>
      <c r="M546">
        <v>162879.10999999999</v>
      </c>
      <c r="N546">
        <v>2025</v>
      </c>
      <c r="O546">
        <v>10</v>
      </c>
    </row>
    <row r="547" spans="1:15" x14ac:dyDescent="0.3">
      <c r="A547">
        <v>41574</v>
      </c>
      <c r="B547">
        <v>3205309</v>
      </c>
      <c r="C547" t="s">
        <v>92</v>
      </c>
      <c r="D547">
        <v>10.878</v>
      </c>
      <c r="E547">
        <v>53652950.700000003</v>
      </c>
      <c r="F547">
        <v>0</v>
      </c>
      <c r="G547">
        <v>53652950.700000003</v>
      </c>
      <c r="H547">
        <v>640906.47</v>
      </c>
      <c r="I547">
        <v>3673561.82</v>
      </c>
      <c r="J547">
        <v>9.1780000000000008</v>
      </c>
      <c r="K547">
        <v>1149644.4099999999</v>
      </c>
      <c r="L547">
        <v>117883.55</v>
      </c>
      <c r="M547">
        <v>267562.46000000002</v>
      </c>
      <c r="N547">
        <v>2025</v>
      </c>
      <c r="O547">
        <v>10</v>
      </c>
    </row>
    <row r="548" spans="1:15" x14ac:dyDescent="0.3">
      <c r="A548">
        <v>41575</v>
      </c>
      <c r="B548">
        <v>3200102</v>
      </c>
      <c r="C548" t="s">
        <v>15</v>
      </c>
      <c r="D548">
        <v>0.67100000000000004</v>
      </c>
      <c r="E548">
        <v>3161069.08</v>
      </c>
      <c r="F548">
        <v>0</v>
      </c>
      <c r="G548">
        <v>3161069.08</v>
      </c>
      <c r="H548">
        <v>39499.51</v>
      </c>
      <c r="I548">
        <v>335960.02</v>
      </c>
      <c r="J548">
        <v>1.0169999999999999</v>
      </c>
      <c r="K548">
        <v>65611.899999999994</v>
      </c>
      <c r="L548">
        <v>0</v>
      </c>
      <c r="M548">
        <v>15513.7</v>
      </c>
      <c r="N548">
        <v>2025</v>
      </c>
      <c r="O548">
        <v>3</v>
      </c>
    </row>
    <row r="549" spans="1:15" x14ac:dyDescent="0.3">
      <c r="A549">
        <v>41576</v>
      </c>
      <c r="B549">
        <v>3200169</v>
      </c>
      <c r="C549" t="s">
        <v>16</v>
      </c>
      <c r="D549">
        <v>0.309</v>
      </c>
      <c r="E549">
        <v>1455693.54</v>
      </c>
      <c r="F549">
        <v>0</v>
      </c>
      <c r="G549">
        <v>1455693.54</v>
      </c>
      <c r="H549">
        <v>18189.79</v>
      </c>
      <c r="I549">
        <v>85565.93</v>
      </c>
      <c r="J549">
        <v>0.46500000000000002</v>
      </c>
      <c r="K549">
        <v>30214.720000000001</v>
      </c>
      <c r="L549">
        <v>0</v>
      </c>
      <c r="M549">
        <v>7144.16</v>
      </c>
      <c r="N549">
        <v>2025</v>
      </c>
      <c r="O549">
        <v>3</v>
      </c>
    </row>
    <row r="550" spans="1:15" x14ac:dyDescent="0.3">
      <c r="A550">
        <v>41577</v>
      </c>
      <c r="B550">
        <v>3200136</v>
      </c>
      <c r="C550" t="s">
        <v>17</v>
      </c>
      <c r="D550">
        <v>0.51900000000000002</v>
      </c>
      <c r="E550">
        <v>2444999.79</v>
      </c>
      <c r="F550">
        <v>0</v>
      </c>
      <c r="G550">
        <v>2444999.79</v>
      </c>
      <c r="H550">
        <v>30551.78</v>
      </c>
      <c r="I550">
        <v>101786.13</v>
      </c>
      <c r="J550">
        <v>0.35799999999999998</v>
      </c>
      <c r="K550">
        <v>50749</v>
      </c>
      <c r="L550">
        <v>0</v>
      </c>
      <c r="M550">
        <v>11999.42</v>
      </c>
      <c r="N550">
        <v>2025</v>
      </c>
      <c r="O550">
        <v>3</v>
      </c>
    </row>
    <row r="551" spans="1:15" x14ac:dyDescent="0.3">
      <c r="A551">
        <v>41578</v>
      </c>
      <c r="B551">
        <v>3200201</v>
      </c>
      <c r="C551" t="s">
        <v>18</v>
      </c>
      <c r="D551">
        <v>0.41799999999999998</v>
      </c>
      <c r="E551">
        <v>1969190.58</v>
      </c>
      <c r="F551">
        <v>0</v>
      </c>
      <c r="G551">
        <v>1969190.58</v>
      </c>
      <c r="H551">
        <v>24606.25</v>
      </c>
      <c r="I551">
        <v>236549.84</v>
      </c>
      <c r="J551">
        <v>0.98699999999999999</v>
      </c>
      <c r="K551">
        <v>40872.99</v>
      </c>
      <c r="L551">
        <v>0</v>
      </c>
      <c r="M551">
        <v>9664.27</v>
      </c>
      <c r="N551">
        <v>2025</v>
      </c>
      <c r="O551">
        <v>3</v>
      </c>
    </row>
    <row r="552" spans="1:15" x14ac:dyDescent="0.3">
      <c r="A552">
        <v>41579</v>
      </c>
      <c r="B552">
        <v>3200300</v>
      </c>
      <c r="C552" t="s">
        <v>19</v>
      </c>
      <c r="D552">
        <v>0.442</v>
      </c>
      <c r="E552">
        <v>2082254.17</v>
      </c>
      <c r="F552">
        <v>0</v>
      </c>
      <c r="G552">
        <v>2082254.17</v>
      </c>
      <c r="H552">
        <v>26019.05</v>
      </c>
      <c r="I552">
        <v>320917.82</v>
      </c>
      <c r="J552">
        <v>0.56599999999999995</v>
      </c>
      <c r="K552">
        <v>43219.76</v>
      </c>
      <c r="L552">
        <v>0</v>
      </c>
      <c r="M552">
        <v>10219.16</v>
      </c>
      <c r="N552">
        <v>2025</v>
      </c>
      <c r="O552">
        <v>3</v>
      </c>
    </row>
    <row r="553" spans="1:15" x14ac:dyDescent="0.3">
      <c r="A553">
        <v>41580</v>
      </c>
      <c r="B553">
        <v>3200359</v>
      </c>
      <c r="C553" t="s">
        <v>20</v>
      </c>
      <c r="D553">
        <v>0.25800000000000001</v>
      </c>
      <c r="E553">
        <v>1215433.4099999999</v>
      </c>
      <c r="F553">
        <v>0</v>
      </c>
      <c r="G553">
        <v>1215433.4099999999</v>
      </c>
      <c r="H553">
        <v>15187.59</v>
      </c>
      <c r="I553">
        <v>51187.14</v>
      </c>
      <c r="J553">
        <v>0.32800000000000001</v>
      </c>
      <c r="K553">
        <v>25227.83</v>
      </c>
      <c r="L553">
        <v>0</v>
      </c>
      <c r="M553">
        <v>5965.03</v>
      </c>
      <c r="N553">
        <v>2025</v>
      </c>
      <c r="O553">
        <v>3</v>
      </c>
    </row>
    <row r="554" spans="1:15" x14ac:dyDescent="0.3">
      <c r="A554">
        <v>41581</v>
      </c>
      <c r="B554">
        <v>3200409</v>
      </c>
      <c r="C554" t="s">
        <v>21</v>
      </c>
      <c r="D554">
        <v>3.4780000000000002</v>
      </c>
      <c r="E554">
        <v>16384796.300000001</v>
      </c>
      <c r="F554">
        <v>0</v>
      </c>
      <c r="G554">
        <v>16384796.300000001</v>
      </c>
      <c r="H554">
        <v>204738.13</v>
      </c>
      <c r="I554">
        <v>340711.5</v>
      </c>
      <c r="J554">
        <v>0.93</v>
      </c>
      <c r="K554">
        <v>340086.72</v>
      </c>
      <c r="L554">
        <v>0</v>
      </c>
      <c r="M554">
        <v>80412.28</v>
      </c>
      <c r="N554">
        <v>2025</v>
      </c>
      <c r="O554">
        <v>3</v>
      </c>
    </row>
    <row r="555" spans="1:15" x14ac:dyDescent="0.3">
      <c r="A555">
        <v>41582</v>
      </c>
      <c r="B555">
        <v>3200508</v>
      </c>
      <c r="C555" t="s">
        <v>22</v>
      </c>
      <c r="D555">
        <v>0.23799999999999999</v>
      </c>
      <c r="E555">
        <v>1121213.78</v>
      </c>
      <c r="F555">
        <v>0</v>
      </c>
      <c r="G555">
        <v>1121213.78</v>
      </c>
      <c r="H555">
        <v>14010.26</v>
      </c>
      <c r="I555">
        <v>156890.51</v>
      </c>
      <c r="J555">
        <v>0.32500000000000001</v>
      </c>
      <c r="K555">
        <v>23272.18</v>
      </c>
      <c r="L555">
        <v>0</v>
      </c>
      <c r="M555">
        <v>5502.62</v>
      </c>
      <c r="N555">
        <v>2025</v>
      </c>
      <c r="O555">
        <v>3</v>
      </c>
    </row>
    <row r="556" spans="1:15" x14ac:dyDescent="0.3">
      <c r="A556">
        <v>41583</v>
      </c>
      <c r="B556">
        <v>3200607</v>
      </c>
      <c r="C556" t="s">
        <v>23</v>
      </c>
      <c r="D556">
        <v>4.4800000000000004</v>
      </c>
      <c r="E556">
        <v>21105200.5</v>
      </c>
      <c r="F556">
        <v>0</v>
      </c>
      <c r="G556">
        <v>21105200.5</v>
      </c>
      <c r="H556">
        <v>263722.49</v>
      </c>
      <c r="I556">
        <v>1194349.03</v>
      </c>
      <c r="J556">
        <v>2.456</v>
      </c>
      <c r="K556">
        <v>438064.55</v>
      </c>
      <c r="L556">
        <v>0</v>
      </c>
      <c r="M556">
        <v>103578.78</v>
      </c>
      <c r="N556">
        <v>2025</v>
      </c>
      <c r="O556">
        <v>3</v>
      </c>
    </row>
    <row r="557" spans="1:15" x14ac:dyDescent="0.3">
      <c r="A557">
        <v>41584</v>
      </c>
      <c r="B557">
        <v>3200706</v>
      </c>
      <c r="C557" t="s">
        <v>24</v>
      </c>
      <c r="D557">
        <v>0.39500000000000002</v>
      </c>
      <c r="E557">
        <v>1860837.98</v>
      </c>
      <c r="F557">
        <v>0</v>
      </c>
      <c r="G557">
        <v>1860837.98</v>
      </c>
      <c r="H557">
        <v>23252.32</v>
      </c>
      <c r="I557">
        <v>59562.06</v>
      </c>
      <c r="J557">
        <v>0.44600000000000001</v>
      </c>
      <c r="K557">
        <v>38623.99</v>
      </c>
      <c r="L557">
        <v>0</v>
      </c>
      <c r="M557">
        <v>9132.5</v>
      </c>
      <c r="N557">
        <v>2025</v>
      </c>
      <c r="O557">
        <v>3</v>
      </c>
    </row>
    <row r="558" spans="1:15" x14ac:dyDescent="0.3">
      <c r="A558">
        <v>41585</v>
      </c>
      <c r="B558">
        <v>3200805</v>
      </c>
      <c r="C558" t="s">
        <v>25</v>
      </c>
      <c r="D558">
        <v>0.54</v>
      </c>
      <c r="E558">
        <v>2543930.4300000002</v>
      </c>
      <c r="F558">
        <v>0</v>
      </c>
      <c r="G558">
        <v>2543930.4300000002</v>
      </c>
      <c r="H558">
        <v>31787.98</v>
      </c>
      <c r="I558">
        <v>421288.69</v>
      </c>
      <c r="J558">
        <v>1.016</v>
      </c>
      <c r="K558">
        <v>52802.42</v>
      </c>
      <c r="L558">
        <v>0</v>
      </c>
      <c r="M558">
        <v>12484.94</v>
      </c>
      <c r="N558">
        <v>2025</v>
      </c>
      <c r="O558">
        <v>3</v>
      </c>
    </row>
    <row r="559" spans="1:15" x14ac:dyDescent="0.3">
      <c r="A559">
        <v>41586</v>
      </c>
      <c r="B559">
        <v>3200904</v>
      </c>
      <c r="C559" t="s">
        <v>26</v>
      </c>
      <c r="D559">
        <v>0.81299999999999994</v>
      </c>
      <c r="E559">
        <v>3830028.59</v>
      </c>
      <c r="F559">
        <v>0</v>
      </c>
      <c r="G559">
        <v>3830028.59</v>
      </c>
      <c r="H559">
        <v>47858.57</v>
      </c>
      <c r="I559">
        <v>669582.44999999995</v>
      </c>
      <c r="J559">
        <v>1.3140000000000001</v>
      </c>
      <c r="K559">
        <v>79496.98</v>
      </c>
      <c r="L559">
        <v>0</v>
      </c>
      <c r="M559">
        <v>18796.77</v>
      </c>
      <c r="N559">
        <v>2025</v>
      </c>
      <c r="O559">
        <v>3</v>
      </c>
    </row>
    <row r="560" spans="1:15" x14ac:dyDescent="0.3">
      <c r="A560">
        <v>41587</v>
      </c>
      <c r="B560">
        <v>3107109</v>
      </c>
      <c r="C560" t="s">
        <v>27</v>
      </c>
      <c r="D560">
        <v>0.48699999999999999</v>
      </c>
      <c r="E560">
        <v>2294248.35</v>
      </c>
      <c r="F560">
        <v>0</v>
      </c>
      <c r="G560">
        <v>2294248.35</v>
      </c>
      <c r="H560">
        <v>28668.05</v>
      </c>
      <c r="I560">
        <v>136870.87</v>
      </c>
      <c r="J560">
        <v>0.56299999999999994</v>
      </c>
      <c r="K560">
        <v>47619.96</v>
      </c>
      <c r="L560">
        <v>0</v>
      </c>
      <c r="M560">
        <v>11259.57</v>
      </c>
      <c r="N560">
        <v>2025</v>
      </c>
      <c r="O560">
        <v>3</v>
      </c>
    </row>
    <row r="561" spans="1:15" x14ac:dyDescent="0.3">
      <c r="A561">
        <v>41588</v>
      </c>
      <c r="B561">
        <v>3201100</v>
      </c>
      <c r="C561" t="s">
        <v>28</v>
      </c>
      <c r="D561">
        <v>0.247</v>
      </c>
      <c r="E561">
        <v>1163612.6100000001</v>
      </c>
      <c r="F561">
        <v>0</v>
      </c>
      <c r="G561">
        <v>1163612.6100000001</v>
      </c>
      <c r="H561">
        <v>14540.06</v>
      </c>
      <c r="I561">
        <v>470014.51</v>
      </c>
      <c r="J561">
        <v>0.442</v>
      </c>
      <c r="K561">
        <v>24152.22</v>
      </c>
      <c r="L561">
        <v>0</v>
      </c>
      <c r="M561">
        <v>5710.71</v>
      </c>
      <c r="N561">
        <v>2025</v>
      </c>
      <c r="O561">
        <v>3</v>
      </c>
    </row>
    <row r="562" spans="1:15" x14ac:dyDescent="0.3">
      <c r="A562">
        <v>41589</v>
      </c>
      <c r="B562">
        <v>3201159</v>
      </c>
      <c r="C562" t="s">
        <v>29</v>
      </c>
      <c r="D562">
        <v>0.40699999999999997</v>
      </c>
      <c r="E562">
        <v>1917369.75</v>
      </c>
      <c r="F562">
        <v>0</v>
      </c>
      <c r="G562">
        <v>1917369.75</v>
      </c>
      <c r="H562">
        <v>23958.720000000001</v>
      </c>
      <c r="I562">
        <v>142600.43</v>
      </c>
      <c r="J562">
        <v>0.47799999999999998</v>
      </c>
      <c r="K562">
        <v>39797.379999999997</v>
      </c>
      <c r="L562">
        <v>0</v>
      </c>
      <c r="M562">
        <v>9409.9500000000007</v>
      </c>
      <c r="N562">
        <v>2025</v>
      </c>
      <c r="O562">
        <v>3</v>
      </c>
    </row>
    <row r="563" spans="1:15" x14ac:dyDescent="0.3">
      <c r="A563">
        <v>41590</v>
      </c>
      <c r="B563">
        <v>3201209</v>
      </c>
      <c r="C563" t="s">
        <v>30</v>
      </c>
      <c r="D563">
        <v>2.5920000000000001</v>
      </c>
      <c r="E563">
        <v>12210866.01</v>
      </c>
      <c r="F563">
        <v>0</v>
      </c>
      <c r="G563">
        <v>12210866.01</v>
      </c>
      <c r="H563">
        <v>152582.29999999999</v>
      </c>
      <c r="I563">
        <v>2097062.89</v>
      </c>
      <c r="J563">
        <v>4.3239999999999998</v>
      </c>
      <c r="K563">
        <v>253451.64</v>
      </c>
      <c r="L563">
        <v>0</v>
      </c>
      <c r="M563">
        <v>59927.72</v>
      </c>
      <c r="N563">
        <v>2025</v>
      </c>
      <c r="O563">
        <v>3</v>
      </c>
    </row>
    <row r="564" spans="1:15" x14ac:dyDescent="0.3">
      <c r="A564">
        <v>41591</v>
      </c>
      <c r="B564">
        <v>3201308</v>
      </c>
      <c r="C564" t="s">
        <v>31</v>
      </c>
      <c r="D564">
        <v>8.3239999999999998</v>
      </c>
      <c r="E564">
        <v>39214216.299999997</v>
      </c>
      <c r="F564">
        <v>0</v>
      </c>
      <c r="G564">
        <v>39214216.299999997</v>
      </c>
      <c r="H564">
        <v>490005.8</v>
      </c>
      <c r="I564">
        <v>5523254.0499999998</v>
      </c>
      <c r="J564">
        <v>6.5110000000000001</v>
      </c>
      <c r="K564">
        <v>813939.57</v>
      </c>
      <c r="L564">
        <v>0</v>
      </c>
      <c r="M564">
        <v>192453.07</v>
      </c>
      <c r="N564">
        <v>2025</v>
      </c>
      <c r="O564">
        <v>3</v>
      </c>
    </row>
    <row r="565" spans="1:15" x14ac:dyDescent="0.3">
      <c r="A565">
        <v>41592</v>
      </c>
      <c r="B565">
        <v>3201407</v>
      </c>
      <c r="C565" t="s">
        <v>32</v>
      </c>
      <c r="D565">
        <v>0.80700000000000005</v>
      </c>
      <c r="E565">
        <v>3801762.67</v>
      </c>
      <c r="F565">
        <v>0</v>
      </c>
      <c r="G565">
        <v>3801762.67</v>
      </c>
      <c r="H565">
        <v>47505.37</v>
      </c>
      <c r="I565">
        <v>1173534.79</v>
      </c>
      <c r="J565">
        <v>1.165</v>
      </c>
      <c r="K565">
        <v>78910.289999999994</v>
      </c>
      <c r="L565">
        <v>0</v>
      </c>
      <c r="M565">
        <v>18658.05</v>
      </c>
      <c r="N565">
        <v>2025</v>
      </c>
      <c r="O565">
        <v>3</v>
      </c>
    </row>
    <row r="566" spans="1:15" x14ac:dyDescent="0.3">
      <c r="A566">
        <v>41593</v>
      </c>
      <c r="B566">
        <v>3201506</v>
      </c>
      <c r="C566" t="s">
        <v>33</v>
      </c>
      <c r="D566">
        <v>2.0139999999999998</v>
      </c>
      <c r="E566">
        <v>9487918.2699999996</v>
      </c>
      <c r="F566">
        <v>0</v>
      </c>
      <c r="G566">
        <v>9487918.2699999996</v>
      </c>
      <c r="H566">
        <v>118557.39</v>
      </c>
      <c r="I566">
        <v>1416406</v>
      </c>
      <c r="J566">
        <v>2.875</v>
      </c>
      <c r="K566">
        <v>196933.48</v>
      </c>
      <c r="L566">
        <v>0</v>
      </c>
      <c r="M566">
        <v>46564.21</v>
      </c>
      <c r="N566">
        <v>2025</v>
      </c>
      <c r="O566">
        <v>3</v>
      </c>
    </row>
    <row r="567" spans="1:15" x14ac:dyDescent="0.3">
      <c r="A567">
        <v>41594</v>
      </c>
      <c r="B567">
        <v>3201605</v>
      </c>
      <c r="C567" t="s">
        <v>34</v>
      </c>
      <c r="D567">
        <v>0.60099999999999998</v>
      </c>
      <c r="E567">
        <v>2831300.33</v>
      </c>
      <c r="F567">
        <v>0</v>
      </c>
      <c r="G567">
        <v>2831300.33</v>
      </c>
      <c r="H567">
        <v>35378.839999999997</v>
      </c>
      <c r="I567">
        <v>150466.62</v>
      </c>
      <c r="J567">
        <v>0.96399999999999997</v>
      </c>
      <c r="K567">
        <v>58767.14</v>
      </c>
      <c r="L567">
        <v>0</v>
      </c>
      <c r="M567">
        <v>13895.28</v>
      </c>
      <c r="N567">
        <v>2025</v>
      </c>
      <c r="O567">
        <v>3</v>
      </c>
    </row>
    <row r="568" spans="1:15" x14ac:dyDescent="0.3">
      <c r="A568">
        <v>41595</v>
      </c>
      <c r="B568">
        <v>3201704</v>
      </c>
      <c r="C568" t="s">
        <v>35</v>
      </c>
      <c r="D568">
        <v>0.371</v>
      </c>
      <c r="E568">
        <v>1747774.42</v>
      </c>
      <c r="F568">
        <v>0</v>
      </c>
      <c r="G568">
        <v>1747774.42</v>
      </c>
      <c r="H568">
        <v>21839.52</v>
      </c>
      <c r="I568">
        <v>136579.62</v>
      </c>
      <c r="J568">
        <v>0.46400000000000002</v>
      </c>
      <c r="K568">
        <v>36277.22</v>
      </c>
      <c r="L568">
        <v>0</v>
      </c>
      <c r="M568">
        <v>8577.6200000000008</v>
      </c>
      <c r="N568">
        <v>2025</v>
      </c>
      <c r="O568">
        <v>3</v>
      </c>
    </row>
    <row r="569" spans="1:15" x14ac:dyDescent="0.3">
      <c r="A569">
        <v>41596</v>
      </c>
      <c r="B569">
        <v>3201803</v>
      </c>
      <c r="C569" t="s">
        <v>36</v>
      </c>
      <c r="D569">
        <v>0.187</v>
      </c>
      <c r="E569">
        <v>880953.65</v>
      </c>
      <c r="F569">
        <v>0</v>
      </c>
      <c r="G569">
        <v>880953.65</v>
      </c>
      <c r="H569">
        <v>11008.06</v>
      </c>
      <c r="I569">
        <v>33015.050000000003</v>
      </c>
      <c r="J569">
        <v>0.29699999999999999</v>
      </c>
      <c r="K569">
        <v>18285.29</v>
      </c>
      <c r="L569">
        <v>0</v>
      </c>
      <c r="M569">
        <v>4323.49</v>
      </c>
      <c r="N569">
        <v>2025</v>
      </c>
      <c r="O569">
        <v>3</v>
      </c>
    </row>
    <row r="570" spans="1:15" x14ac:dyDescent="0.3">
      <c r="A570">
        <v>41597</v>
      </c>
      <c r="B570">
        <v>3201902</v>
      </c>
      <c r="C570" t="s">
        <v>37</v>
      </c>
      <c r="D570">
        <v>1.0620000000000001</v>
      </c>
      <c r="E570">
        <v>5003063.16</v>
      </c>
      <c r="F570">
        <v>0</v>
      </c>
      <c r="G570">
        <v>5003063.16</v>
      </c>
      <c r="H570">
        <v>62516.36</v>
      </c>
      <c r="I570">
        <v>569423.03</v>
      </c>
      <c r="J570">
        <v>1.0780000000000001</v>
      </c>
      <c r="K570">
        <v>103844.77</v>
      </c>
      <c r="L570">
        <v>0</v>
      </c>
      <c r="M570">
        <v>24553.72</v>
      </c>
      <c r="N570">
        <v>2025</v>
      </c>
      <c r="O570">
        <v>3</v>
      </c>
    </row>
    <row r="571" spans="1:15" x14ac:dyDescent="0.3">
      <c r="A571">
        <v>41598</v>
      </c>
      <c r="B571">
        <v>3202009</v>
      </c>
      <c r="C571" t="s">
        <v>38</v>
      </c>
      <c r="D571">
        <v>0.34899999999999998</v>
      </c>
      <c r="E571">
        <v>1644132.79</v>
      </c>
      <c r="F571">
        <v>0</v>
      </c>
      <c r="G571">
        <v>1644132.79</v>
      </c>
      <c r="H571">
        <v>20544.45</v>
      </c>
      <c r="I571">
        <v>219293.03</v>
      </c>
      <c r="J571">
        <v>0.317</v>
      </c>
      <c r="K571">
        <v>34126.01</v>
      </c>
      <c r="L571">
        <v>0</v>
      </c>
      <c r="M571">
        <v>8068.97</v>
      </c>
      <c r="N571">
        <v>2025</v>
      </c>
      <c r="O571">
        <v>3</v>
      </c>
    </row>
    <row r="572" spans="1:15" x14ac:dyDescent="0.3">
      <c r="A572">
        <v>41599</v>
      </c>
      <c r="B572">
        <v>3202108</v>
      </c>
      <c r="C572" t="s">
        <v>39</v>
      </c>
      <c r="D572">
        <v>0.57099999999999995</v>
      </c>
      <c r="E572">
        <v>2689970.88</v>
      </c>
      <c r="F572">
        <v>0</v>
      </c>
      <c r="G572">
        <v>2689970.88</v>
      </c>
      <c r="H572">
        <v>33612.839999999997</v>
      </c>
      <c r="I572">
        <v>142821.29</v>
      </c>
      <c r="J572">
        <v>0.81599999999999995</v>
      </c>
      <c r="K572">
        <v>55833.67</v>
      </c>
      <c r="L572">
        <v>0</v>
      </c>
      <c r="M572">
        <v>13201.67</v>
      </c>
      <c r="N572">
        <v>2025</v>
      </c>
      <c r="O572">
        <v>3</v>
      </c>
    </row>
    <row r="573" spans="1:15" x14ac:dyDescent="0.3">
      <c r="A573">
        <v>41600</v>
      </c>
      <c r="B573">
        <v>3202207</v>
      </c>
      <c r="C573" t="s">
        <v>40</v>
      </c>
      <c r="D573">
        <v>0.36799999999999999</v>
      </c>
      <c r="E573">
        <v>1733641.48</v>
      </c>
      <c r="F573">
        <v>0</v>
      </c>
      <c r="G573">
        <v>1733641.48</v>
      </c>
      <c r="H573">
        <v>21662.92</v>
      </c>
      <c r="I573">
        <v>175623.09</v>
      </c>
      <c r="J573">
        <v>0.69699999999999995</v>
      </c>
      <c r="K573">
        <v>35983.870000000003</v>
      </c>
      <c r="L573">
        <v>0</v>
      </c>
      <c r="M573">
        <v>8508.26</v>
      </c>
      <c r="N573">
        <v>2025</v>
      </c>
      <c r="O573">
        <v>3</v>
      </c>
    </row>
    <row r="574" spans="1:15" x14ac:dyDescent="0.3">
      <c r="A574">
        <v>41601</v>
      </c>
      <c r="B574">
        <v>3202256</v>
      </c>
      <c r="C574" t="s">
        <v>41</v>
      </c>
      <c r="D574">
        <v>0.53100000000000003</v>
      </c>
      <c r="E574">
        <v>2501531.5699999998</v>
      </c>
      <c r="F574">
        <v>0</v>
      </c>
      <c r="G574">
        <v>2501531.5699999998</v>
      </c>
      <c r="H574">
        <v>31258.18</v>
      </c>
      <c r="I574">
        <v>165032.49</v>
      </c>
      <c r="J574">
        <v>0.45200000000000001</v>
      </c>
      <c r="K574">
        <v>51922.38</v>
      </c>
      <c r="L574">
        <v>0</v>
      </c>
      <c r="M574">
        <v>12276.86</v>
      </c>
      <c r="N574">
        <v>2025</v>
      </c>
      <c r="O574">
        <v>3</v>
      </c>
    </row>
    <row r="575" spans="1:15" x14ac:dyDescent="0.3">
      <c r="A575">
        <v>41602</v>
      </c>
      <c r="B575">
        <v>3202306</v>
      </c>
      <c r="C575" t="s">
        <v>42</v>
      </c>
      <c r="D575">
        <v>0.36699999999999999</v>
      </c>
      <c r="E575">
        <v>1728930.5</v>
      </c>
      <c r="F575">
        <v>0</v>
      </c>
      <c r="G575">
        <v>1728930.5</v>
      </c>
      <c r="H575">
        <v>21604.05</v>
      </c>
      <c r="I575">
        <v>459971.77</v>
      </c>
      <c r="J575">
        <v>0.98899999999999999</v>
      </c>
      <c r="K575">
        <v>35886.089999999997</v>
      </c>
      <c r="L575">
        <v>0</v>
      </c>
      <c r="M575">
        <v>8485.14</v>
      </c>
      <c r="N575">
        <v>2025</v>
      </c>
      <c r="O575">
        <v>3</v>
      </c>
    </row>
    <row r="576" spans="1:15" x14ac:dyDescent="0.3">
      <c r="A576">
        <v>41603</v>
      </c>
      <c r="B576">
        <v>3202405</v>
      </c>
      <c r="C576" t="s">
        <v>43</v>
      </c>
      <c r="D576">
        <v>0.79</v>
      </c>
      <c r="E576">
        <v>3721675.99</v>
      </c>
      <c r="F576">
        <v>0</v>
      </c>
      <c r="G576">
        <v>3721675.99</v>
      </c>
      <c r="H576">
        <v>46504.639999999999</v>
      </c>
      <c r="I576">
        <v>2515206.36</v>
      </c>
      <c r="J576">
        <v>2.9359999999999999</v>
      </c>
      <c r="K576">
        <v>77247.990000000005</v>
      </c>
      <c r="L576">
        <v>0</v>
      </c>
      <c r="M576">
        <v>18265.009999999998</v>
      </c>
      <c r="N576">
        <v>2025</v>
      </c>
      <c r="O576">
        <v>3</v>
      </c>
    </row>
    <row r="577" spans="1:15" x14ac:dyDescent="0.3">
      <c r="A577">
        <v>41604</v>
      </c>
      <c r="B577">
        <v>3202454</v>
      </c>
      <c r="C577" t="s">
        <v>44</v>
      </c>
      <c r="D577">
        <v>0.33900000000000002</v>
      </c>
      <c r="E577">
        <v>1597023</v>
      </c>
      <c r="F577">
        <v>0</v>
      </c>
      <c r="G577">
        <v>1597023</v>
      </c>
      <c r="H577">
        <v>19955.79</v>
      </c>
      <c r="I577">
        <v>511895.05</v>
      </c>
      <c r="J577">
        <v>0.87</v>
      </c>
      <c r="K577">
        <v>33148.19</v>
      </c>
      <c r="L577">
        <v>0</v>
      </c>
      <c r="M577">
        <v>7837.77</v>
      </c>
      <c r="N577">
        <v>2025</v>
      </c>
      <c r="O577">
        <v>3</v>
      </c>
    </row>
    <row r="578" spans="1:15" x14ac:dyDescent="0.3">
      <c r="A578">
        <v>41605</v>
      </c>
      <c r="B578">
        <v>3202504</v>
      </c>
      <c r="C578" t="s">
        <v>45</v>
      </c>
      <c r="D578">
        <v>0.307</v>
      </c>
      <c r="E578">
        <v>1446271.54</v>
      </c>
      <c r="F578">
        <v>0</v>
      </c>
      <c r="G578">
        <v>1446271.54</v>
      </c>
      <c r="H578">
        <v>18072.05</v>
      </c>
      <c r="I578">
        <v>163625.73000000001</v>
      </c>
      <c r="J578">
        <v>0.46100000000000002</v>
      </c>
      <c r="K578">
        <v>30019.16</v>
      </c>
      <c r="L578">
        <v>0</v>
      </c>
      <c r="M578">
        <v>7097.92</v>
      </c>
      <c r="N578">
        <v>2025</v>
      </c>
      <c r="O578">
        <v>3</v>
      </c>
    </row>
    <row r="579" spans="1:15" x14ac:dyDescent="0.3">
      <c r="A579">
        <v>41606</v>
      </c>
      <c r="B579">
        <v>3202553</v>
      </c>
      <c r="C579" t="s">
        <v>46</v>
      </c>
      <c r="D579">
        <v>0.28399999999999997</v>
      </c>
      <c r="E579">
        <v>1337918.97</v>
      </c>
      <c r="F579">
        <v>0</v>
      </c>
      <c r="G579">
        <v>1337918.97</v>
      </c>
      <c r="H579">
        <v>16718.12</v>
      </c>
      <c r="I579">
        <v>78439.19</v>
      </c>
      <c r="J579">
        <v>0.35499999999999998</v>
      </c>
      <c r="K579">
        <v>27770.16</v>
      </c>
      <c r="L579">
        <v>0</v>
      </c>
      <c r="M579">
        <v>6566.15</v>
      </c>
      <c r="N579">
        <v>2025</v>
      </c>
      <c r="O579">
        <v>3</v>
      </c>
    </row>
    <row r="580" spans="1:15" x14ac:dyDescent="0.3">
      <c r="A580">
        <v>41607</v>
      </c>
      <c r="B580">
        <v>3202603</v>
      </c>
      <c r="C580" t="s">
        <v>47</v>
      </c>
      <c r="D580">
        <v>0.314</v>
      </c>
      <c r="E580">
        <v>1479248.43</v>
      </c>
      <c r="F580">
        <v>0</v>
      </c>
      <c r="G580">
        <v>1479248.43</v>
      </c>
      <c r="H580">
        <v>18484.12</v>
      </c>
      <c r="I580">
        <v>209425.49</v>
      </c>
      <c r="J580">
        <v>0.53700000000000003</v>
      </c>
      <c r="K580">
        <v>30703.64</v>
      </c>
      <c r="L580">
        <v>0</v>
      </c>
      <c r="M580">
        <v>7259.76</v>
      </c>
      <c r="N580">
        <v>2025</v>
      </c>
      <c r="O580">
        <v>3</v>
      </c>
    </row>
    <row r="581" spans="1:15" x14ac:dyDescent="0.3">
      <c r="A581">
        <v>41608</v>
      </c>
      <c r="B581">
        <v>3202652</v>
      </c>
      <c r="C581" t="s">
        <v>48</v>
      </c>
      <c r="D581">
        <v>0.316</v>
      </c>
      <c r="E581">
        <v>1488670.4</v>
      </c>
      <c r="F581">
        <v>0</v>
      </c>
      <c r="G581">
        <v>1488670.4</v>
      </c>
      <c r="H581">
        <v>18601.849999999999</v>
      </c>
      <c r="I581">
        <v>229627.97</v>
      </c>
      <c r="J581">
        <v>0.56399999999999995</v>
      </c>
      <c r="K581">
        <v>30899.200000000001</v>
      </c>
      <c r="L581">
        <v>0</v>
      </c>
      <c r="M581">
        <v>7306</v>
      </c>
      <c r="N581">
        <v>2025</v>
      </c>
      <c r="O581">
        <v>3</v>
      </c>
    </row>
    <row r="582" spans="1:15" x14ac:dyDescent="0.3">
      <c r="A582">
        <v>41609</v>
      </c>
      <c r="B582">
        <v>3202702</v>
      </c>
      <c r="C582" t="s">
        <v>49</v>
      </c>
      <c r="D582">
        <v>0.40400000000000003</v>
      </c>
      <c r="E582">
        <v>1903236.81</v>
      </c>
      <c r="F582">
        <v>0</v>
      </c>
      <c r="G582">
        <v>1903236.81</v>
      </c>
      <c r="H582">
        <v>23782.12</v>
      </c>
      <c r="I582">
        <v>127369.62</v>
      </c>
      <c r="J582">
        <v>0.56200000000000006</v>
      </c>
      <c r="K582">
        <v>39504.04</v>
      </c>
      <c r="L582">
        <v>0</v>
      </c>
      <c r="M582">
        <v>9340.59</v>
      </c>
      <c r="N582">
        <v>2025</v>
      </c>
      <c r="O582">
        <v>3</v>
      </c>
    </row>
    <row r="583" spans="1:15" x14ac:dyDescent="0.3">
      <c r="A583">
        <v>41610</v>
      </c>
      <c r="B583">
        <v>3202801</v>
      </c>
      <c r="C583" t="s">
        <v>50</v>
      </c>
      <c r="D583">
        <v>3.4060000000000001</v>
      </c>
      <c r="E583">
        <v>16045605.550000001</v>
      </c>
      <c r="F583">
        <v>0</v>
      </c>
      <c r="G583">
        <v>16045605.550000001</v>
      </c>
      <c r="H583">
        <v>200499.73</v>
      </c>
      <c r="I583">
        <v>355984.78</v>
      </c>
      <c r="J583">
        <v>1.2130000000000001</v>
      </c>
      <c r="K583">
        <v>333046.39</v>
      </c>
      <c r="L583">
        <v>0</v>
      </c>
      <c r="M583">
        <v>78747.62</v>
      </c>
      <c r="N583">
        <v>2025</v>
      </c>
      <c r="O583">
        <v>3</v>
      </c>
    </row>
    <row r="584" spans="1:15" x14ac:dyDescent="0.3">
      <c r="A584">
        <v>41611</v>
      </c>
      <c r="B584">
        <v>3202900</v>
      </c>
      <c r="C584" t="s">
        <v>51</v>
      </c>
      <c r="D584">
        <v>0.39200000000000002</v>
      </c>
      <c r="E584">
        <v>1846705.06</v>
      </c>
      <c r="F584">
        <v>0</v>
      </c>
      <c r="G584">
        <v>1846705.06</v>
      </c>
      <c r="H584">
        <v>23075.72</v>
      </c>
      <c r="I584">
        <v>178950.3</v>
      </c>
      <c r="J584">
        <v>0.44600000000000001</v>
      </c>
      <c r="K584">
        <v>38330.65</v>
      </c>
      <c r="L584">
        <v>0</v>
      </c>
      <c r="M584">
        <v>9063.14</v>
      </c>
      <c r="N584">
        <v>2025</v>
      </c>
      <c r="O584">
        <v>3</v>
      </c>
    </row>
    <row r="585" spans="1:15" x14ac:dyDescent="0.3">
      <c r="A585">
        <v>41612</v>
      </c>
      <c r="B585">
        <v>3203007</v>
      </c>
      <c r="C585" t="s">
        <v>52</v>
      </c>
      <c r="D585">
        <v>0.5</v>
      </c>
      <c r="E585">
        <v>2355491.14</v>
      </c>
      <c r="F585">
        <v>0</v>
      </c>
      <c r="G585">
        <v>2355491.14</v>
      </c>
      <c r="H585">
        <v>29433.31</v>
      </c>
      <c r="I585">
        <v>339451.22</v>
      </c>
      <c r="J585">
        <v>0.91200000000000003</v>
      </c>
      <c r="K585">
        <v>48891.13</v>
      </c>
      <c r="L585">
        <v>0</v>
      </c>
      <c r="M585">
        <v>11560.13</v>
      </c>
      <c r="N585">
        <v>2025</v>
      </c>
      <c r="O585">
        <v>3</v>
      </c>
    </row>
    <row r="586" spans="1:15" x14ac:dyDescent="0.3">
      <c r="A586">
        <v>41613</v>
      </c>
      <c r="B586">
        <v>3203056</v>
      </c>
      <c r="C586" t="s">
        <v>53</v>
      </c>
      <c r="D586">
        <v>1.109</v>
      </c>
      <c r="E586">
        <v>5224479.33</v>
      </c>
      <c r="F586">
        <v>0</v>
      </c>
      <c r="G586">
        <v>5224479.33</v>
      </c>
      <c r="H586">
        <v>65283.09</v>
      </c>
      <c r="I586">
        <v>391591.26</v>
      </c>
      <c r="J586">
        <v>0.98399999999999999</v>
      </c>
      <c r="K586">
        <v>108440.53</v>
      </c>
      <c r="L586">
        <v>0</v>
      </c>
      <c r="M586">
        <v>25640.37</v>
      </c>
      <c r="N586">
        <v>2025</v>
      </c>
      <c r="O586">
        <v>3</v>
      </c>
    </row>
    <row r="587" spans="1:15" x14ac:dyDescent="0.3">
      <c r="A587">
        <v>41614</v>
      </c>
      <c r="B587">
        <v>3203106</v>
      </c>
      <c r="C587" t="s">
        <v>54</v>
      </c>
      <c r="D587">
        <v>0.216</v>
      </c>
      <c r="E587">
        <v>1017572.16</v>
      </c>
      <c r="F587">
        <v>0</v>
      </c>
      <c r="G587">
        <v>1017572.16</v>
      </c>
      <c r="H587">
        <v>12715.19</v>
      </c>
      <c r="I587">
        <v>59282.93</v>
      </c>
      <c r="J587">
        <v>0.45900000000000002</v>
      </c>
      <c r="K587">
        <v>21120.97</v>
      </c>
      <c r="L587">
        <v>0</v>
      </c>
      <c r="M587">
        <v>4993.9799999999996</v>
      </c>
      <c r="N587">
        <v>2025</v>
      </c>
      <c r="O587">
        <v>3</v>
      </c>
    </row>
    <row r="588" spans="1:15" x14ac:dyDescent="0.3">
      <c r="A588">
        <v>41615</v>
      </c>
      <c r="B588">
        <v>3203130</v>
      </c>
      <c r="C588" t="s">
        <v>55</v>
      </c>
      <c r="D588">
        <v>0.376</v>
      </c>
      <c r="E588">
        <v>1771329.33</v>
      </c>
      <c r="F588">
        <v>0</v>
      </c>
      <c r="G588">
        <v>1771329.33</v>
      </c>
      <c r="H588">
        <v>22133.85</v>
      </c>
      <c r="I588">
        <v>158386.88</v>
      </c>
      <c r="J588">
        <v>0.63600000000000001</v>
      </c>
      <c r="K588">
        <v>36766.129999999997</v>
      </c>
      <c r="L588">
        <v>0</v>
      </c>
      <c r="M588">
        <v>8693.2199999999993</v>
      </c>
      <c r="N588">
        <v>2025</v>
      </c>
      <c r="O588">
        <v>3</v>
      </c>
    </row>
    <row r="589" spans="1:15" x14ac:dyDescent="0.3">
      <c r="A589">
        <v>41616</v>
      </c>
      <c r="B589">
        <v>3203163</v>
      </c>
      <c r="C589" t="s">
        <v>56</v>
      </c>
      <c r="D589">
        <v>0.42799999999999999</v>
      </c>
      <c r="E589">
        <v>2016300.4</v>
      </c>
      <c r="F589">
        <v>0</v>
      </c>
      <c r="G589">
        <v>2016300.4</v>
      </c>
      <c r="H589">
        <v>25194.92</v>
      </c>
      <c r="I589">
        <v>142525.19</v>
      </c>
      <c r="J589">
        <v>0.45300000000000001</v>
      </c>
      <c r="K589">
        <v>41850.81</v>
      </c>
      <c r="L589">
        <v>0</v>
      </c>
      <c r="M589">
        <v>9895.4699999999993</v>
      </c>
      <c r="N589">
        <v>2025</v>
      </c>
      <c r="O589">
        <v>3</v>
      </c>
    </row>
    <row r="590" spans="1:15" x14ac:dyDescent="0.3">
      <c r="A590">
        <v>41617</v>
      </c>
      <c r="B590">
        <v>3203205</v>
      </c>
      <c r="C590" t="s">
        <v>57</v>
      </c>
      <c r="D590">
        <v>4.431</v>
      </c>
      <c r="E590">
        <v>20874362.379999999</v>
      </c>
      <c r="F590">
        <v>0</v>
      </c>
      <c r="G590">
        <v>20874362.379999999</v>
      </c>
      <c r="H590">
        <v>260838.02</v>
      </c>
      <c r="I590">
        <v>1765392.17</v>
      </c>
      <c r="J590">
        <v>4.0759999999999996</v>
      </c>
      <c r="K590">
        <v>433273.22</v>
      </c>
      <c r="L590">
        <v>0</v>
      </c>
      <c r="M590">
        <v>102445.89</v>
      </c>
      <c r="N590">
        <v>2025</v>
      </c>
      <c r="O590">
        <v>3</v>
      </c>
    </row>
    <row r="591" spans="1:15" x14ac:dyDescent="0.3">
      <c r="A591">
        <v>41618</v>
      </c>
      <c r="B591">
        <v>3203304</v>
      </c>
      <c r="C591" t="s">
        <v>58</v>
      </c>
      <c r="D591">
        <v>0.314</v>
      </c>
      <c r="E591">
        <v>1479248.43</v>
      </c>
      <c r="F591">
        <v>0</v>
      </c>
      <c r="G591">
        <v>1479248.43</v>
      </c>
      <c r="H591">
        <v>18484.12</v>
      </c>
      <c r="I591">
        <v>153514.45000000001</v>
      </c>
      <c r="J591">
        <v>0.54300000000000004</v>
      </c>
      <c r="K591">
        <v>30703.64</v>
      </c>
      <c r="L591">
        <v>0</v>
      </c>
      <c r="M591">
        <v>7259.76</v>
      </c>
      <c r="N591">
        <v>2025</v>
      </c>
      <c r="O591">
        <v>3</v>
      </c>
    </row>
    <row r="592" spans="1:15" x14ac:dyDescent="0.3">
      <c r="A592">
        <v>41619</v>
      </c>
      <c r="B592">
        <v>3203320</v>
      </c>
      <c r="C592" t="s">
        <v>59</v>
      </c>
      <c r="D592">
        <v>0.58499999999999996</v>
      </c>
      <c r="E592">
        <v>2755924.64</v>
      </c>
      <c r="F592">
        <v>0</v>
      </c>
      <c r="G592">
        <v>2755924.64</v>
      </c>
      <c r="H592">
        <v>34436.980000000003</v>
      </c>
      <c r="I592">
        <v>430230.88</v>
      </c>
      <c r="J592">
        <v>1.24</v>
      </c>
      <c r="K592">
        <v>57202.62</v>
      </c>
      <c r="L592">
        <v>0</v>
      </c>
      <c r="M592">
        <v>13525.35</v>
      </c>
      <c r="N592">
        <v>2025</v>
      </c>
      <c r="O592">
        <v>3</v>
      </c>
    </row>
    <row r="593" spans="1:15" x14ac:dyDescent="0.3">
      <c r="A593">
        <v>41620</v>
      </c>
      <c r="B593">
        <v>3203346</v>
      </c>
      <c r="C593" t="s">
        <v>60</v>
      </c>
      <c r="D593">
        <v>0.55500000000000005</v>
      </c>
      <c r="E593">
        <v>2614595.14</v>
      </c>
      <c r="F593">
        <v>0</v>
      </c>
      <c r="G593">
        <v>2614595.14</v>
      </c>
      <c r="H593">
        <v>32670.98</v>
      </c>
      <c r="I593">
        <v>313609.31</v>
      </c>
      <c r="J593">
        <v>0.69199999999999995</v>
      </c>
      <c r="K593">
        <v>54269.16</v>
      </c>
      <c r="L593">
        <v>0</v>
      </c>
      <c r="M593">
        <v>12831.75</v>
      </c>
      <c r="N593">
        <v>2025</v>
      </c>
      <c r="O593">
        <v>3</v>
      </c>
    </row>
    <row r="594" spans="1:15" x14ac:dyDescent="0.3">
      <c r="A594">
        <v>41621</v>
      </c>
      <c r="B594">
        <v>3203353</v>
      </c>
      <c r="C594" t="s">
        <v>61</v>
      </c>
      <c r="D594">
        <v>0.505</v>
      </c>
      <c r="E594">
        <v>2379046.04</v>
      </c>
      <c r="F594">
        <v>0</v>
      </c>
      <c r="G594">
        <v>2379046.04</v>
      </c>
      <c r="H594">
        <v>29727.65</v>
      </c>
      <c r="I594">
        <v>231603.61</v>
      </c>
      <c r="J594">
        <v>0.47</v>
      </c>
      <c r="K594">
        <v>49380.05</v>
      </c>
      <c r="L594">
        <v>0</v>
      </c>
      <c r="M594">
        <v>11675.73</v>
      </c>
      <c r="N594">
        <v>2025</v>
      </c>
      <c r="O594">
        <v>3</v>
      </c>
    </row>
    <row r="595" spans="1:15" x14ac:dyDescent="0.3">
      <c r="A595">
        <v>41622</v>
      </c>
      <c r="B595">
        <v>3203403</v>
      </c>
      <c r="C595" t="s">
        <v>62</v>
      </c>
      <c r="D595">
        <v>0.46899999999999997</v>
      </c>
      <c r="E595">
        <v>2209450.65</v>
      </c>
      <c r="F595">
        <v>0</v>
      </c>
      <c r="G595">
        <v>2209450.65</v>
      </c>
      <c r="H595">
        <v>27608.45</v>
      </c>
      <c r="I595">
        <v>219560.64</v>
      </c>
      <c r="J595">
        <v>0.85899999999999999</v>
      </c>
      <c r="K595">
        <v>45859.88</v>
      </c>
      <c r="L595">
        <v>0</v>
      </c>
      <c r="M595">
        <v>10843.4</v>
      </c>
      <c r="N595">
        <v>2025</v>
      </c>
      <c r="O595">
        <v>3</v>
      </c>
    </row>
    <row r="596" spans="1:15" x14ac:dyDescent="0.3">
      <c r="A596">
        <v>41623</v>
      </c>
      <c r="B596">
        <v>3203502</v>
      </c>
      <c r="C596" t="s">
        <v>63</v>
      </c>
      <c r="D596">
        <v>0.51500000000000001</v>
      </c>
      <c r="E596">
        <v>2426155.86</v>
      </c>
      <c r="F596">
        <v>0</v>
      </c>
      <c r="G596">
        <v>2426155.86</v>
      </c>
      <c r="H596">
        <v>30316.31</v>
      </c>
      <c r="I596">
        <v>183215.92</v>
      </c>
      <c r="J596">
        <v>0.70899999999999996</v>
      </c>
      <c r="K596">
        <v>50357.86</v>
      </c>
      <c r="L596">
        <v>0</v>
      </c>
      <c r="M596">
        <v>11906.94</v>
      </c>
      <c r="N596">
        <v>2025</v>
      </c>
      <c r="O596">
        <v>3</v>
      </c>
    </row>
    <row r="597" spans="1:15" x14ac:dyDescent="0.3">
      <c r="A597">
        <v>41624</v>
      </c>
      <c r="B597">
        <v>3203601</v>
      </c>
      <c r="C597" t="s">
        <v>64</v>
      </c>
      <c r="D597">
        <v>0.30599999999999999</v>
      </c>
      <c r="E597">
        <v>1441560.57</v>
      </c>
      <c r="F597">
        <v>0</v>
      </c>
      <c r="G597">
        <v>1441560.57</v>
      </c>
      <c r="H597">
        <v>18013.189999999999</v>
      </c>
      <c r="I597">
        <v>56670.26</v>
      </c>
      <c r="J597">
        <v>0.30199999999999999</v>
      </c>
      <c r="K597">
        <v>29921.37</v>
      </c>
      <c r="L597">
        <v>0</v>
      </c>
      <c r="M597">
        <v>7074.8</v>
      </c>
      <c r="N597">
        <v>2025</v>
      </c>
      <c r="O597">
        <v>3</v>
      </c>
    </row>
    <row r="598" spans="1:15" x14ac:dyDescent="0.3">
      <c r="A598">
        <v>41625</v>
      </c>
      <c r="B598">
        <v>3203700</v>
      </c>
      <c r="C598" t="s">
        <v>65</v>
      </c>
      <c r="D598">
        <v>0.505</v>
      </c>
      <c r="E598">
        <v>2379046.04</v>
      </c>
      <c r="F598">
        <v>0</v>
      </c>
      <c r="G598">
        <v>2379046.04</v>
      </c>
      <c r="H598">
        <v>29727.65</v>
      </c>
      <c r="I598">
        <v>135502.91</v>
      </c>
      <c r="J598">
        <v>0.69899999999999995</v>
      </c>
      <c r="K598">
        <v>49380.05</v>
      </c>
      <c r="L598">
        <v>0</v>
      </c>
      <c r="M598">
        <v>11675.73</v>
      </c>
      <c r="N598">
        <v>2025</v>
      </c>
      <c r="O598">
        <v>3</v>
      </c>
    </row>
    <row r="599" spans="1:15" x14ac:dyDescent="0.3">
      <c r="A599">
        <v>41626</v>
      </c>
      <c r="B599">
        <v>3203809</v>
      </c>
      <c r="C599" t="s">
        <v>66</v>
      </c>
      <c r="D599">
        <v>0.32</v>
      </c>
      <c r="E599">
        <v>1507514.31</v>
      </c>
      <c r="F599">
        <v>0</v>
      </c>
      <c r="G599">
        <v>1507514.31</v>
      </c>
      <c r="H599">
        <v>18837.32</v>
      </c>
      <c r="I599">
        <v>92401.94</v>
      </c>
      <c r="J599">
        <v>0.56499999999999995</v>
      </c>
      <c r="K599">
        <v>31290.33</v>
      </c>
      <c r="L599">
        <v>0</v>
      </c>
      <c r="M599">
        <v>7398.48</v>
      </c>
      <c r="N599">
        <v>2025</v>
      </c>
      <c r="O599">
        <v>3</v>
      </c>
    </row>
    <row r="600" spans="1:15" x14ac:dyDescent="0.3">
      <c r="A600">
        <v>41627</v>
      </c>
      <c r="B600">
        <v>3203908</v>
      </c>
      <c r="C600" t="s">
        <v>67</v>
      </c>
      <c r="D600">
        <v>1.2250000000000001</v>
      </c>
      <c r="E600">
        <v>5770953.2699999996</v>
      </c>
      <c r="F600">
        <v>0</v>
      </c>
      <c r="G600">
        <v>5770953.2699999996</v>
      </c>
      <c r="H600">
        <v>72111.62</v>
      </c>
      <c r="I600">
        <v>476677.89</v>
      </c>
      <c r="J600">
        <v>1.476</v>
      </c>
      <c r="K600">
        <v>119783.28</v>
      </c>
      <c r="L600">
        <v>0</v>
      </c>
      <c r="M600">
        <v>28322.32</v>
      </c>
      <c r="N600">
        <v>2025</v>
      </c>
      <c r="O600">
        <v>3</v>
      </c>
    </row>
    <row r="601" spans="1:15" x14ac:dyDescent="0.3">
      <c r="A601">
        <v>41628</v>
      </c>
      <c r="B601">
        <v>3204005</v>
      </c>
      <c r="C601" t="s">
        <v>68</v>
      </c>
      <c r="D601">
        <v>0.435</v>
      </c>
      <c r="E601">
        <v>2049277.29</v>
      </c>
      <c r="F601">
        <v>0</v>
      </c>
      <c r="G601">
        <v>2049277.29</v>
      </c>
      <c r="H601">
        <v>25606.98</v>
      </c>
      <c r="I601">
        <v>158482.79</v>
      </c>
      <c r="J601">
        <v>0.70899999999999996</v>
      </c>
      <c r="K601">
        <v>42535.29</v>
      </c>
      <c r="L601">
        <v>0</v>
      </c>
      <c r="M601">
        <v>10057.31</v>
      </c>
      <c r="N601">
        <v>2025</v>
      </c>
      <c r="O601">
        <v>3</v>
      </c>
    </row>
    <row r="602" spans="1:15" x14ac:dyDescent="0.3">
      <c r="A602">
        <v>41629</v>
      </c>
      <c r="B602">
        <v>3204054</v>
      </c>
      <c r="C602" t="s">
        <v>69</v>
      </c>
      <c r="D602">
        <v>0.33400000000000002</v>
      </c>
      <c r="E602">
        <v>1573468.07</v>
      </c>
      <c r="F602">
        <v>0</v>
      </c>
      <c r="G602">
        <v>1573468.07</v>
      </c>
      <c r="H602">
        <v>19661.45</v>
      </c>
      <c r="I602">
        <v>141474.85999999999</v>
      </c>
      <c r="J602">
        <v>0.81</v>
      </c>
      <c r="K602">
        <v>32659.279999999999</v>
      </c>
      <c r="L602">
        <v>0</v>
      </c>
      <c r="M602">
        <v>7722.17</v>
      </c>
      <c r="N602">
        <v>2025</v>
      </c>
      <c r="O602">
        <v>3</v>
      </c>
    </row>
    <row r="603" spans="1:15" x14ac:dyDescent="0.3">
      <c r="A603">
        <v>41630</v>
      </c>
      <c r="B603">
        <v>3204104</v>
      </c>
      <c r="C603" t="s">
        <v>70</v>
      </c>
      <c r="D603">
        <v>0.755</v>
      </c>
      <c r="E603">
        <v>3556791.6</v>
      </c>
      <c r="F603">
        <v>0</v>
      </c>
      <c r="G603">
        <v>3556791.6</v>
      </c>
      <c r="H603">
        <v>44444.3</v>
      </c>
      <c r="I603">
        <v>124005.97</v>
      </c>
      <c r="J603">
        <v>0.85099999999999998</v>
      </c>
      <c r="K603">
        <v>73825.61</v>
      </c>
      <c r="L603">
        <v>0</v>
      </c>
      <c r="M603">
        <v>17455.8</v>
      </c>
      <c r="N603">
        <v>2025</v>
      </c>
      <c r="O603">
        <v>3</v>
      </c>
    </row>
    <row r="604" spans="1:15" x14ac:dyDescent="0.3">
      <c r="A604">
        <v>41631</v>
      </c>
      <c r="B604">
        <v>3204203</v>
      </c>
      <c r="C604" t="s">
        <v>71</v>
      </c>
      <c r="D604">
        <v>0.36499999999999999</v>
      </c>
      <c r="E604">
        <v>1719508.54</v>
      </c>
      <c r="F604">
        <v>0</v>
      </c>
      <c r="G604">
        <v>1719508.54</v>
      </c>
      <c r="H604">
        <v>21486.32</v>
      </c>
      <c r="I604">
        <v>431571.62</v>
      </c>
      <c r="J604">
        <v>0.753</v>
      </c>
      <c r="K604">
        <v>35690.53</v>
      </c>
      <c r="L604">
        <v>0</v>
      </c>
      <c r="M604">
        <v>8438.9</v>
      </c>
      <c r="N604">
        <v>2025</v>
      </c>
      <c r="O604">
        <v>3</v>
      </c>
    </row>
    <row r="605" spans="1:15" x14ac:dyDescent="0.3">
      <c r="A605">
        <v>41632</v>
      </c>
      <c r="B605">
        <v>3204252</v>
      </c>
      <c r="C605" t="s">
        <v>72</v>
      </c>
      <c r="D605">
        <v>0.27</v>
      </c>
      <c r="E605">
        <v>1271965.22</v>
      </c>
      <c r="F605">
        <v>0</v>
      </c>
      <c r="G605">
        <v>1271965.22</v>
      </c>
      <c r="H605">
        <v>15893.99</v>
      </c>
      <c r="I605">
        <v>31729.53</v>
      </c>
      <c r="J605">
        <v>0.316</v>
      </c>
      <c r="K605">
        <v>26401.22</v>
      </c>
      <c r="L605">
        <v>0</v>
      </c>
      <c r="M605">
        <v>6242.47</v>
      </c>
      <c r="N605">
        <v>2025</v>
      </c>
      <c r="O605">
        <v>3</v>
      </c>
    </row>
    <row r="606" spans="1:15" x14ac:dyDescent="0.3">
      <c r="A606">
        <v>41633</v>
      </c>
      <c r="B606">
        <v>1718402</v>
      </c>
      <c r="C606" t="s">
        <v>73</v>
      </c>
      <c r="D606">
        <v>0.39100000000000001</v>
      </c>
      <c r="E606">
        <v>1841994.08</v>
      </c>
      <c r="F606">
        <v>0</v>
      </c>
      <c r="G606">
        <v>1841994.08</v>
      </c>
      <c r="H606">
        <v>23016.85</v>
      </c>
      <c r="I606">
        <v>210253.78</v>
      </c>
      <c r="J606">
        <v>0.56399999999999995</v>
      </c>
      <c r="K606">
        <v>38232.870000000003</v>
      </c>
      <c r="L606">
        <v>0</v>
      </c>
      <c r="M606">
        <v>9040.02</v>
      </c>
      <c r="N606">
        <v>2025</v>
      </c>
      <c r="O606">
        <v>3</v>
      </c>
    </row>
    <row r="607" spans="1:15" x14ac:dyDescent="0.3">
      <c r="A607">
        <v>41634</v>
      </c>
      <c r="B607">
        <v>3204351</v>
      </c>
      <c r="C607" t="s">
        <v>74</v>
      </c>
      <c r="D607">
        <v>0.88200000000000001</v>
      </c>
      <c r="E607">
        <v>4155086.35</v>
      </c>
      <c r="F607">
        <v>0</v>
      </c>
      <c r="G607">
        <v>4155086.35</v>
      </c>
      <c r="H607">
        <v>51920.36</v>
      </c>
      <c r="I607">
        <v>501245.12</v>
      </c>
      <c r="J607">
        <v>0.71399999999999997</v>
      </c>
      <c r="K607">
        <v>86243.95</v>
      </c>
      <c r="L607">
        <v>0</v>
      </c>
      <c r="M607">
        <v>20392.07</v>
      </c>
      <c r="N607">
        <v>2025</v>
      </c>
      <c r="O607">
        <v>3</v>
      </c>
    </row>
    <row r="608" spans="1:15" x14ac:dyDescent="0.3">
      <c r="A608">
        <v>41635</v>
      </c>
      <c r="B608">
        <v>3204401</v>
      </c>
      <c r="C608" t="s">
        <v>75</v>
      </c>
      <c r="D608">
        <v>0.312</v>
      </c>
      <c r="E608">
        <v>1469826.46</v>
      </c>
      <c r="F608">
        <v>0</v>
      </c>
      <c r="G608">
        <v>1469826.46</v>
      </c>
      <c r="H608">
        <v>18366.39</v>
      </c>
      <c r="I608">
        <v>101114</v>
      </c>
      <c r="J608">
        <v>0.45300000000000001</v>
      </c>
      <c r="K608">
        <v>30508.06</v>
      </c>
      <c r="L608">
        <v>0</v>
      </c>
      <c r="M608">
        <v>7213.52</v>
      </c>
      <c r="N608">
        <v>2025</v>
      </c>
      <c r="O608">
        <v>3</v>
      </c>
    </row>
    <row r="609" spans="1:15" x14ac:dyDescent="0.3">
      <c r="A609">
        <v>41636</v>
      </c>
      <c r="B609">
        <v>3204500</v>
      </c>
      <c r="C609" t="s">
        <v>76</v>
      </c>
      <c r="D609">
        <v>0.51800000000000002</v>
      </c>
      <c r="E609">
        <v>2440288.81</v>
      </c>
      <c r="F609">
        <v>0</v>
      </c>
      <c r="G609">
        <v>2440288.81</v>
      </c>
      <c r="H609">
        <v>30492.91</v>
      </c>
      <c r="I609">
        <v>151502.89000000001</v>
      </c>
      <c r="J609">
        <v>0.47899999999999998</v>
      </c>
      <c r="K609">
        <v>50651.21</v>
      </c>
      <c r="L609">
        <v>0</v>
      </c>
      <c r="M609">
        <v>11976.3</v>
      </c>
      <c r="N609">
        <v>2025</v>
      </c>
      <c r="O609">
        <v>3</v>
      </c>
    </row>
    <row r="610" spans="1:15" x14ac:dyDescent="0.3">
      <c r="A610">
        <v>41637</v>
      </c>
      <c r="B610">
        <v>3204559</v>
      </c>
      <c r="C610" t="s">
        <v>77</v>
      </c>
      <c r="D610">
        <v>2.1909999999999998</v>
      </c>
      <c r="E610">
        <v>10321762.130000001</v>
      </c>
      <c r="F610">
        <v>0</v>
      </c>
      <c r="G610">
        <v>10321762.130000001</v>
      </c>
      <c r="H610">
        <v>128976.78</v>
      </c>
      <c r="I610">
        <v>1115029.23</v>
      </c>
      <c r="J610">
        <v>1.236</v>
      </c>
      <c r="K610">
        <v>214240.94</v>
      </c>
      <c r="L610">
        <v>0</v>
      </c>
      <c r="M610">
        <v>50656.5</v>
      </c>
      <c r="N610">
        <v>2025</v>
      </c>
      <c r="O610">
        <v>3</v>
      </c>
    </row>
    <row r="611" spans="1:15" x14ac:dyDescent="0.3">
      <c r="A611">
        <v>41638</v>
      </c>
      <c r="B611">
        <v>3204609</v>
      </c>
      <c r="C611" t="s">
        <v>78</v>
      </c>
      <c r="D611">
        <v>0.66</v>
      </c>
      <c r="E611">
        <v>3109248.27</v>
      </c>
      <c r="F611">
        <v>0</v>
      </c>
      <c r="G611">
        <v>3109248.27</v>
      </c>
      <c r="H611">
        <v>38851.97</v>
      </c>
      <c r="I611">
        <v>334949.17</v>
      </c>
      <c r="J611">
        <v>0.82699999999999996</v>
      </c>
      <c r="K611">
        <v>64536.29</v>
      </c>
      <c r="L611">
        <v>0</v>
      </c>
      <c r="M611">
        <v>15259.37</v>
      </c>
      <c r="N611">
        <v>2025</v>
      </c>
      <c r="O611">
        <v>3</v>
      </c>
    </row>
    <row r="612" spans="1:15" x14ac:dyDescent="0.3">
      <c r="A612">
        <v>41639</v>
      </c>
      <c r="B612">
        <v>3204658</v>
      </c>
      <c r="C612" t="s">
        <v>79</v>
      </c>
      <c r="D612">
        <v>0.42099999999999999</v>
      </c>
      <c r="E612">
        <v>1983323.56</v>
      </c>
      <c r="F612">
        <v>0</v>
      </c>
      <c r="G612">
        <v>1983323.56</v>
      </c>
      <c r="H612">
        <v>24782.85</v>
      </c>
      <c r="I612">
        <v>140187.59</v>
      </c>
      <c r="J612">
        <v>0.34300000000000003</v>
      </c>
      <c r="K612">
        <v>41166.339999999997</v>
      </c>
      <c r="L612">
        <v>0</v>
      </c>
      <c r="M612">
        <v>9733.6299999999992</v>
      </c>
      <c r="N612">
        <v>2025</v>
      </c>
      <c r="O612">
        <v>3</v>
      </c>
    </row>
    <row r="613" spans="1:15" x14ac:dyDescent="0.3">
      <c r="A613">
        <v>41640</v>
      </c>
      <c r="B613">
        <v>3204708</v>
      </c>
      <c r="C613" t="s">
        <v>80</v>
      </c>
      <c r="D613">
        <v>0.72299999999999998</v>
      </c>
      <c r="E613">
        <v>3406040.15</v>
      </c>
      <c r="F613">
        <v>0</v>
      </c>
      <c r="G613">
        <v>3406040.15</v>
      </c>
      <c r="H613">
        <v>42560.57</v>
      </c>
      <c r="I613">
        <v>349179.38</v>
      </c>
      <c r="J613">
        <v>1.1040000000000001</v>
      </c>
      <c r="K613">
        <v>70696.58</v>
      </c>
      <c r="L613">
        <v>0</v>
      </c>
      <c r="M613">
        <v>16715.95</v>
      </c>
      <c r="N613">
        <v>2025</v>
      </c>
      <c r="O613">
        <v>3</v>
      </c>
    </row>
    <row r="614" spans="1:15" x14ac:dyDescent="0.3">
      <c r="A614">
        <v>41641</v>
      </c>
      <c r="B614">
        <v>3204807</v>
      </c>
      <c r="C614" t="s">
        <v>81</v>
      </c>
      <c r="D614">
        <v>0.28599999999999998</v>
      </c>
      <c r="E614">
        <v>1347340.93</v>
      </c>
      <c r="F614">
        <v>0</v>
      </c>
      <c r="G614">
        <v>1347340.93</v>
      </c>
      <c r="H614">
        <v>16835.86</v>
      </c>
      <c r="I614">
        <v>133854.97</v>
      </c>
      <c r="J614">
        <v>0.45</v>
      </c>
      <c r="K614">
        <v>27965.73</v>
      </c>
      <c r="L614">
        <v>0</v>
      </c>
      <c r="M614">
        <v>6612.4</v>
      </c>
      <c r="N614">
        <v>2025</v>
      </c>
      <c r="O614">
        <v>3</v>
      </c>
    </row>
    <row r="615" spans="1:15" x14ac:dyDescent="0.3">
      <c r="A615">
        <v>41642</v>
      </c>
      <c r="B615">
        <v>3204906</v>
      </c>
      <c r="C615" t="s">
        <v>82</v>
      </c>
      <c r="D615">
        <v>1.998</v>
      </c>
      <c r="E615">
        <v>9412542.5199999996</v>
      </c>
      <c r="F615">
        <v>0</v>
      </c>
      <c r="G615">
        <v>9412542.5199999996</v>
      </c>
      <c r="H615">
        <v>117615.52</v>
      </c>
      <c r="I615">
        <v>1298321.1499999999</v>
      </c>
      <c r="J615">
        <v>2.9870000000000001</v>
      </c>
      <c r="K615">
        <v>195368.97</v>
      </c>
      <c r="L615">
        <v>0</v>
      </c>
      <c r="M615">
        <v>46194.29</v>
      </c>
      <c r="N615">
        <v>2025</v>
      </c>
      <c r="O615">
        <v>3</v>
      </c>
    </row>
    <row r="616" spans="1:15" x14ac:dyDescent="0.3">
      <c r="A616">
        <v>41643</v>
      </c>
      <c r="B616">
        <v>3204955</v>
      </c>
      <c r="C616" t="s">
        <v>83</v>
      </c>
      <c r="D616">
        <v>0.3</v>
      </c>
      <c r="E616">
        <v>1413294.67</v>
      </c>
      <c r="F616">
        <v>0</v>
      </c>
      <c r="G616">
        <v>1413294.67</v>
      </c>
      <c r="H616">
        <v>17659.990000000002</v>
      </c>
      <c r="I616">
        <v>132899.26</v>
      </c>
      <c r="J616">
        <v>0.45</v>
      </c>
      <c r="K616">
        <v>29334.68</v>
      </c>
      <c r="L616">
        <v>0</v>
      </c>
      <c r="M616">
        <v>6936.08</v>
      </c>
      <c r="N616">
        <v>2025</v>
      </c>
      <c r="O616">
        <v>3</v>
      </c>
    </row>
    <row r="617" spans="1:15" x14ac:dyDescent="0.3">
      <c r="A617">
        <v>41644</v>
      </c>
      <c r="B617">
        <v>3205002</v>
      </c>
      <c r="C617" t="s">
        <v>84</v>
      </c>
      <c r="D617">
        <v>14.551</v>
      </c>
      <c r="E617">
        <v>68549502.810000002</v>
      </c>
      <c r="F617">
        <v>0</v>
      </c>
      <c r="G617">
        <v>68549502.810000002</v>
      </c>
      <c r="H617">
        <v>856568.29</v>
      </c>
      <c r="I617">
        <v>4643548.51</v>
      </c>
      <c r="J617">
        <v>8.6910000000000007</v>
      </c>
      <c r="K617">
        <v>1422829.74</v>
      </c>
      <c r="L617">
        <v>0</v>
      </c>
      <c r="M617">
        <v>336422.95</v>
      </c>
      <c r="N617">
        <v>2025</v>
      </c>
      <c r="O617">
        <v>3</v>
      </c>
    </row>
    <row r="618" spans="1:15" x14ac:dyDescent="0.3">
      <c r="A618">
        <v>41645</v>
      </c>
      <c r="B618">
        <v>3205010</v>
      </c>
      <c r="C618" t="s">
        <v>85</v>
      </c>
      <c r="D618">
        <v>0.78200000000000003</v>
      </c>
      <c r="E618">
        <v>3683988.14</v>
      </c>
      <c r="F618">
        <v>0</v>
      </c>
      <c r="G618">
        <v>3683988.14</v>
      </c>
      <c r="H618">
        <v>46033.7</v>
      </c>
      <c r="I618">
        <v>202667.74</v>
      </c>
      <c r="J618">
        <v>0.95199999999999996</v>
      </c>
      <c r="K618">
        <v>76465.740000000005</v>
      </c>
      <c r="L618">
        <v>0</v>
      </c>
      <c r="M618">
        <v>18080.05</v>
      </c>
      <c r="N618">
        <v>2025</v>
      </c>
      <c r="O618">
        <v>3</v>
      </c>
    </row>
    <row r="619" spans="1:15" x14ac:dyDescent="0.3">
      <c r="A619">
        <v>41646</v>
      </c>
      <c r="B619">
        <v>3205036</v>
      </c>
      <c r="C619" t="s">
        <v>86</v>
      </c>
      <c r="D619">
        <v>0.45700000000000002</v>
      </c>
      <c r="E619">
        <v>2152918.88</v>
      </c>
      <c r="F619">
        <v>0</v>
      </c>
      <c r="G619">
        <v>2152918.88</v>
      </c>
      <c r="H619">
        <v>26902.05</v>
      </c>
      <c r="I619">
        <v>238019.85</v>
      </c>
      <c r="J619">
        <v>0.71699999999999997</v>
      </c>
      <c r="K619">
        <v>44686.49</v>
      </c>
      <c r="L619">
        <v>0</v>
      </c>
      <c r="M619">
        <v>10565.96</v>
      </c>
      <c r="N619">
        <v>2025</v>
      </c>
      <c r="O619">
        <v>3</v>
      </c>
    </row>
    <row r="620" spans="1:15" x14ac:dyDescent="0.3">
      <c r="A620">
        <v>41647</v>
      </c>
      <c r="B620">
        <v>3205069</v>
      </c>
      <c r="C620" t="s">
        <v>87</v>
      </c>
      <c r="D620">
        <v>0.67</v>
      </c>
      <c r="E620">
        <v>3156358.13</v>
      </c>
      <c r="F620">
        <v>0</v>
      </c>
      <c r="G620">
        <v>3156358.13</v>
      </c>
      <c r="H620">
        <v>39440.639999999999</v>
      </c>
      <c r="I620">
        <v>536358.61</v>
      </c>
      <c r="J620">
        <v>0.85</v>
      </c>
      <c r="K620">
        <v>65514.12</v>
      </c>
      <c r="L620">
        <v>0</v>
      </c>
      <c r="M620">
        <v>15490.58</v>
      </c>
      <c r="N620">
        <v>2025</v>
      </c>
      <c r="O620">
        <v>3</v>
      </c>
    </row>
    <row r="621" spans="1:15" x14ac:dyDescent="0.3">
      <c r="A621">
        <v>41648</v>
      </c>
      <c r="B621">
        <v>2112803</v>
      </c>
      <c r="C621" t="s">
        <v>88</v>
      </c>
      <c r="D621">
        <v>3.3740000000000001</v>
      </c>
      <c r="E621">
        <v>15894854.119999999</v>
      </c>
      <c r="F621">
        <v>0</v>
      </c>
      <c r="G621">
        <v>15894854.119999999</v>
      </c>
      <c r="H621">
        <v>198616</v>
      </c>
      <c r="I621">
        <v>481149.27</v>
      </c>
      <c r="J621">
        <v>1.9590000000000001</v>
      </c>
      <c r="K621">
        <v>329917.36</v>
      </c>
      <c r="L621">
        <v>0</v>
      </c>
      <c r="M621">
        <v>78007.77</v>
      </c>
      <c r="N621">
        <v>2025</v>
      </c>
      <c r="O621">
        <v>3</v>
      </c>
    </row>
    <row r="622" spans="1:15" x14ac:dyDescent="0.3">
      <c r="A622">
        <v>41649</v>
      </c>
      <c r="B622">
        <v>3205150</v>
      </c>
      <c r="C622" t="s">
        <v>89</v>
      </c>
      <c r="D622">
        <v>0.36799999999999999</v>
      </c>
      <c r="E622">
        <v>1733641.48</v>
      </c>
      <c r="F622">
        <v>0</v>
      </c>
      <c r="G622">
        <v>1733641.48</v>
      </c>
      <c r="H622">
        <v>21662.92</v>
      </c>
      <c r="I622">
        <v>99266.66</v>
      </c>
      <c r="J622">
        <v>0.34699999999999998</v>
      </c>
      <c r="K622">
        <v>35983.870000000003</v>
      </c>
      <c r="L622">
        <v>0</v>
      </c>
      <c r="M622">
        <v>8508.26</v>
      </c>
      <c r="N622">
        <v>2025</v>
      </c>
      <c r="O622">
        <v>3</v>
      </c>
    </row>
    <row r="623" spans="1:15" x14ac:dyDescent="0.3">
      <c r="A623">
        <v>41650</v>
      </c>
      <c r="B623">
        <v>3205176</v>
      </c>
      <c r="C623" t="s">
        <v>90</v>
      </c>
      <c r="D623">
        <v>0.7</v>
      </c>
      <c r="E623">
        <v>3297687.58</v>
      </c>
      <c r="F623">
        <v>0</v>
      </c>
      <c r="G623">
        <v>3297687.58</v>
      </c>
      <c r="H623">
        <v>41206.639999999999</v>
      </c>
      <c r="I623">
        <v>261159.17</v>
      </c>
      <c r="J623">
        <v>0.56399999999999995</v>
      </c>
      <c r="K623">
        <v>68447.59</v>
      </c>
      <c r="L623">
        <v>0</v>
      </c>
      <c r="M623">
        <v>16184.18</v>
      </c>
      <c r="N623">
        <v>2025</v>
      </c>
      <c r="O623">
        <v>3</v>
      </c>
    </row>
    <row r="624" spans="1:15" x14ac:dyDescent="0.3">
      <c r="A624">
        <v>41651</v>
      </c>
      <c r="B624">
        <v>3205200</v>
      </c>
      <c r="C624" t="s">
        <v>91</v>
      </c>
      <c r="D624">
        <v>6.6219999999999999</v>
      </c>
      <c r="E624">
        <v>31196124.510000002</v>
      </c>
      <c r="F624">
        <v>0</v>
      </c>
      <c r="G624">
        <v>31196124.510000002</v>
      </c>
      <c r="H624">
        <v>389814.8</v>
      </c>
      <c r="I624">
        <v>5273982.97</v>
      </c>
      <c r="J624">
        <v>8.0009999999999994</v>
      </c>
      <c r="K624">
        <v>647514.16</v>
      </c>
      <c r="L624">
        <v>0</v>
      </c>
      <c r="M624">
        <v>153102.38</v>
      </c>
      <c r="N624">
        <v>2025</v>
      </c>
      <c r="O624">
        <v>3</v>
      </c>
    </row>
    <row r="625" spans="1:15" x14ac:dyDescent="0.3">
      <c r="A625">
        <v>41652</v>
      </c>
      <c r="B625">
        <v>3205309</v>
      </c>
      <c r="C625" t="s">
        <v>92</v>
      </c>
      <c r="D625">
        <v>10.878</v>
      </c>
      <c r="E625">
        <v>51246065.100000001</v>
      </c>
      <c r="F625">
        <v>0</v>
      </c>
      <c r="G625">
        <v>51246065.100000001</v>
      </c>
      <c r="H625">
        <v>640351.17000000004</v>
      </c>
      <c r="I625">
        <v>6991060.5099999998</v>
      </c>
      <c r="J625">
        <v>9.2110000000000003</v>
      </c>
      <c r="K625">
        <v>1063675.44</v>
      </c>
      <c r="L625">
        <v>0</v>
      </c>
      <c r="M625">
        <v>251502.21</v>
      </c>
      <c r="N625">
        <v>2025</v>
      </c>
      <c r="O625">
        <v>3</v>
      </c>
    </row>
    <row r="626" spans="1:15" x14ac:dyDescent="0.3">
      <c r="A626">
        <v>41653</v>
      </c>
      <c r="B626">
        <v>3200102</v>
      </c>
      <c r="C626" t="s">
        <v>15</v>
      </c>
      <c r="D626">
        <v>0.67100000000000004</v>
      </c>
      <c r="E626">
        <v>2986755.73</v>
      </c>
      <c r="F626">
        <v>0</v>
      </c>
      <c r="G626">
        <v>2986755.73</v>
      </c>
      <c r="H626">
        <v>37085.46</v>
      </c>
      <c r="I626">
        <v>1295308.76</v>
      </c>
      <c r="J626">
        <v>1.0169999999999999</v>
      </c>
      <c r="K626">
        <v>48919.56</v>
      </c>
      <c r="L626">
        <v>11113.34</v>
      </c>
      <c r="M626">
        <v>15626.48</v>
      </c>
      <c r="N626">
        <v>2025</v>
      </c>
      <c r="O626">
        <v>4</v>
      </c>
    </row>
    <row r="627" spans="1:15" x14ac:dyDescent="0.3">
      <c r="A627">
        <v>41654</v>
      </c>
      <c r="B627">
        <v>3200169</v>
      </c>
      <c r="C627" t="s">
        <v>16</v>
      </c>
      <c r="D627">
        <v>0.309</v>
      </c>
      <c r="E627">
        <v>1375421.06</v>
      </c>
      <c r="F627">
        <v>0</v>
      </c>
      <c r="G627">
        <v>1375421.06</v>
      </c>
      <c r="H627">
        <v>17078.099999999999</v>
      </c>
      <c r="I627">
        <v>412876.83</v>
      </c>
      <c r="J627">
        <v>0.46500000000000002</v>
      </c>
      <c r="K627">
        <v>22527.78</v>
      </c>
      <c r="L627">
        <v>5062.17</v>
      </c>
      <c r="M627">
        <v>7196.1</v>
      </c>
      <c r="N627">
        <v>2025</v>
      </c>
      <c r="O627">
        <v>4</v>
      </c>
    </row>
    <row r="628" spans="1:15" x14ac:dyDescent="0.3">
      <c r="A628">
        <v>41655</v>
      </c>
      <c r="B628">
        <v>3200136</v>
      </c>
      <c r="C628" t="s">
        <v>17</v>
      </c>
      <c r="D628">
        <v>0.51900000000000002</v>
      </c>
      <c r="E628">
        <v>2310173.23</v>
      </c>
      <c r="F628">
        <v>0</v>
      </c>
      <c r="G628">
        <v>2310173.23</v>
      </c>
      <c r="H628">
        <v>28684.58</v>
      </c>
      <c r="I628">
        <v>548384.29</v>
      </c>
      <c r="J628">
        <v>0.35799999999999998</v>
      </c>
      <c r="K628">
        <v>37837.93</v>
      </c>
      <c r="L628">
        <v>3891.74</v>
      </c>
      <c r="M628">
        <v>12086.65</v>
      </c>
      <c r="N628">
        <v>2025</v>
      </c>
      <c r="O628">
        <v>4</v>
      </c>
    </row>
    <row r="629" spans="1:15" x14ac:dyDescent="0.3">
      <c r="A629">
        <v>41656</v>
      </c>
      <c r="B629">
        <v>3200201</v>
      </c>
      <c r="C629" t="s">
        <v>18</v>
      </c>
      <c r="D629">
        <v>0.41799999999999998</v>
      </c>
      <c r="E629">
        <v>1860601.95</v>
      </c>
      <c r="F629">
        <v>0</v>
      </c>
      <c r="G629">
        <v>1860601.95</v>
      </c>
      <c r="H629">
        <v>23102.42</v>
      </c>
      <c r="I629">
        <v>1145094.53</v>
      </c>
      <c r="J629">
        <v>0.98699999999999999</v>
      </c>
      <c r="K629">
        <v>30474.48</v>
      </c>
      <c r="L629">
        <v>10883.64</v>
      </c>
      <c r="M629">
        <v>9734.5300000000007</v>
      </c>
      <c r="N629">
        <v>2025</v>
      </c>
      <c r="O629">
        <v>4</v>
      </c>
    </row>
    <row r="630" spans="1:15" x14ac:dyDescent="0.3">
      <c r="A630">
        <v>41657</v>
      </c>
      <c r="B630">
        <v>3200300</v>
      </c>
      <c r="C630" t="s">
        <v>19</v>
      </c>
      <c r="D630">
        <v>0.442</v>
      </c>
      <c r="E630">
        <v>1967430.75</v>
      </c>
      <c r="F630">
        <v>0</v>
      </c>
      <c r="G630">
        <v>1967430.75</v>
      </c>
      <c r="H630">
        <v>24428.87</v>
      </c>
      <c r="I630">
        <v>1320311.26</v>
      </c>
      <c r="J630">
        <v>0.56599999999999995</v>
      </c>
      <c r="K630">
        <v>32224.21</v>
      </c>
      <c r="L630">
        <v>6148.78</v>
      </c>
      <c r="M630">
        <v>10293.450000000001</v>
      </c>
      <c r="N630">
        <v>2025</v>
      </c>
      <c r="O630">
        <v>4</v>
      </c>
    </row>
    <row r="631" spans="1:15" x14ac:dyDescent="0.3">
      <c r="A631">
        <v>41658</v>
      </c>
      <c r="B631">
        <v>3200359</v>
      </c>
      <c r="C631" t="s">
        <v>20</v>
      </c>
      <c r="D631">
        <v>0.25800000000000001</v>
      </c>
      <c r="E631">
        <v>1148409.82</v>
      </c>
      <c r="F631">
        <v>0</v>
      </c>
      <c r="G631">
        <v>1148409.82</v>
      </c>
      <c r="H631">
        <v>14259.38</v>
      </c>
      <c r="I631">
        <v>217559.57</v>
      </c>
      <c r="J631">
        <v>0.32800000000000001</v>
      </c>
      <c r="K631">
        <v>18809.599999999999</v>
      </c>
      <c r="L631">
        <v>3570.93</v>
      </c>
      <c r="M631">
        <v>6008.39</v>
      </c>
      <c r="N631">
        <v>2025</v>
      </c>
      <c r="O631">
        <v>4</v>
      </c>
    </row>
    <row r="632" spans="1:15" x14ac:dyDescent="0.3">
      <c r="A632">
        <v>41659</v>
      </c>
      <c r="B632">
        <v>3200409</v>
      </c>
      <c r="C632" t="s">
        <v>21</v>
      </c>
      <c r="D632">
        <v>3.4780000000000002</v>
      </c>
      <c r="E632">
        <v>15481276.439999999</v>
      </c>
      <c r="F632">
        <v>0</v>
      </c>
      <c r="G632">
        <v>15481276.439999999</v>
      </c>
      <c r="H632">
        <v>192225.36</v>
      </c>
      <c r="I632">
        <v>1813514.84</v>
      </c>
      <c r="J632">
        <v>0.93</v>
      </c>
      <c r="K632">
        <v>253565.17</v>
      </c>
      <c r="L632">
        <v>11131.96</v>
      </c>
      <c r="M632">
        <v>80996.87</v>
      </c>
      <c r="N632">
        <v>2025</v>
      </c>
      <c r="O632">
        <v>4</v>
      </c>
    </row>
    <row r="633" spans="1:15" x14ac:dyDescent="0.3">
      <c r="A633">
        <v>41660</v>
      </c>
      <c r="B633">
        <v>3200508</v>
      </c>
      <c r="C633" t="s">
        <v>22</v>
      </c>
      <c r="D633">
        <v>0.23799999999999999</v>
      </c>
      <c r="E633">
        <v>1059385.8</v>
      </c>
      <c r="F633">
        <v>0</v>
      </c>
      <c r="G633">
        <v>1059385.8</v>
      </c>
      <c r="H633">
        <v>13154.01</v>
      </c>
      <c r="I633">
        <v>486008.47</v>
      </c>
      <c r="J633">
        <v>0.32500000000000001</v>
      </c>
      <c r="K633">
        <v>17351.5</v>
      </c>
      <c r="L633">
        <v>3534.09</v>
      </c>
      <c r="M633">
        <v>5542.63</v>
      </c>
      <c r="N633">
        <v>2025</v>
      </c>
      <c r="O633">
        <v>4</v>
      </c>
    </row>
    <row r="634" spans="1:15" x14ac:dyDescent="0.3">
      <c r="A634">
        <v>41661</v>
      </c>
      <c r="B634">
        <v>3200607</v>
      </c>
      <c r="C634" t="s">
        <v>23</v>
      </c>
      <c r="D634">
        <v>4.4800000000000004</v>
      </c>
      <c r="E634">
        <v>19941379.649999999</v>
      </c>
      <c r="F634">
        <v>0</v>
      </c>
      <c r="G634">
        <v>19941379.649999999</v>
      </c>
      <c r="H634">
        <v>247604.83</v>
      </c>
      <c r="I634">
        <v>4428229.3499999996</v>
      </c>
      <c r="J634">
        <v>2.456</v>
      </c>
      <c r="K634">
        <v>326616.44</v>
      </c>
      <c r="L634">
        <v>27290.17</v>
      </c>
      <c r="M634">
        <v>104331.8</v>
      </c>
      <c r="N634">
        <v>2025</v>
      </c>
      <c r="O634">
        <v>4</v>
      </c>
    </row>
    <row r="635" spans="1:15" x14ac:dyDescent="0.3">
      <c r="A635">
        <v>41662</v>
      </c>
      <c r="B635">
        <v>3200706</v>
      </c>
      <c r="C635" t="s">
        <v>24</v>
      </c>
      <c r="D635">
        <v>0.39500000000000002</v>
      </c>
      <c r="E635">
        <v>1758224.31</v>
      </c>
      <c r="F635">
        <v>0</v>
      </c>
      <c r="G635">
        <v>1758224.31</v>
      </c>
      <c r="H635">
        <v>21831.23</v>
      </c>
      <c r="I635">
        <v>363628.95</v>
      </c>
      <c r="J635">
        <v>0.44600000000000001</v>
      </c>
      <c r="K635">
        <v>28797.66</v>
      </c>
      <c r="L635">
        <v>4853.5200000000004</v>
      </c>
      <c r="M635">
        <v>9198.9</v>
      </c>
      <c r="N635">
        <v>2025</v>
      </c>
      <c r="O635">
        <v>4</v>
      </c>
    </row>
    <row r="636" spans="1:15" x14ac:dyDescent="0.3">
      <c r="A636">
        <v>41663</v>
      </c>
      <c r="B636">
        <v>3200805</v>
      </c>
      <c r="C636" t="s">
        <v>25</v>
      </c>
      <c r="D636">
        <v>0.54</v>
      </c>
      <c r="E636">
        <v>2403648.44</v>
      </c>
      <c r="F636">
        <v>0</v>
      </c>
      <c r="G636">
        <v>2403648.44</v>
      </c>
      <c r="H636">
        <v>29845.22</v>
      </c>
      <c r="I636">
        <v>1873037.29</v>
      </c>
      <c r="J636">
        <v>1.016</v>
      </c>
      <c r="K636">
        <v>39368.949999999997</v>
      </c>
      <c r="L636">
        <v>11146.81</v>
      </c>
      <c r="M636">
        <v>12575.71</v>
      </c>
      <c r="N636">
        <v>2025</v>
      </c>
      <c r="O636">
        <v>4</v>
      </c>
    </row>
    <row r="637" spans="1:15" x14ac:dyDescent="0.3">
      <c r="A637">
        <v>41664</v>
      </c>
      <c r="B637">
        <v>3200904</v>
      </c>
      <c r="C637" t="s">
        <v>26</v>
      </c>
      <c r="D637">
        <v>0.81299999999999994</v>
      </c>
      <c r="E637">
        <v>3618826.25</v>
      </c>
      <c r="F637">
        <v>0</v>
      </c>
      <c r="G637">
        <v>3618826.25</v>
      </c>
      <c r="H637">
        <v>44933.64</v>
      </c>
      <c r="I637">
        <v>2311605.11</v>
      </c>
      <c r="J637">
        <v>1.3140000000000001</v>
      </c>
      <c r="K637">
        <v>59272.13</v>
      </c>
      <c r="L637">
        <v>14524.98</v>
      </c>
      <c r="M637">
        <v>18933.43</v>
      </c>
      <c r="N637">
        <v>2025</v>
      </c>
      <c r="O637">
        <v>4</v>
      </c>
    </row>
    <row r="638" spans="1:15" x14ac:dyDescent="0.3">
      <c r="A638">
        <v>41665</v>
      </c>
      <c r="B638">
        <v>3107109</v>
      </c>
      <c r="C638" t="s">
        <v>27</v>
      </c>
      <c r="D638">
        <v>0.48699999999999999</v>
      </c>
      <c r="E638">
        <v>2167734.79</v>
      </c>
      <c r="F638">
        <v>0</v>
      </c>
      <c r="G638">
        <v>2167734.79</v>
      </c>
      <c r="H638">
        <v>26915.97</v>
      </c>
      <c r="I638">
        <v>480951.38</v>
      </c>
      <c r="J638">
        <v>0.56299999999999994</v>
      </c>
      <c r="K638">
        <v>35504.949999999997</v>
      </c>
      <c r="L638">
        <v>6109.11</v>
      </c>
      <c r="M638">
        <v>11341.43</v>
      </c>
      <c r="N638">
        <v>2025</v>
      </c>
      <c r="O638">
        <v>4</v>
      </c>
    </row>
    <row r="639" spans="1:15" x14ac:dyDescent="0.3">
      <c r="A639">
        <v>41666</v>
      </c>
      <c r="B639">
        <v>3201100</v>
      </c>
      <c r="C639" t="s">
        <v>28</v>
      </c>
      <c r="D639">
        <v>0.247</v>
      </c>
      <c r="E639">
        <v>1099446.5900000001</v>
      </c>
      <c r="F639">
        <v>0</v>
      </c>
      <c r="G639">
        <v>1099446.5900000001</v>
      </c>
      <c r="H639">
        <v>13651.43</v>
      </c>
      <c r="I639">
        <v>1757068.8</v>
      </c>
      <c r="J639">
        <v>0.442</v>
      </c>
      <c r="K639">
        <v>18007.650000000001</v>
      </c>
      <c r="L639">
        <v>4819.91</v>
      </c>
      <c r="M639">
        <v>5752.22</v>
      </c>
      <c r="N639">
        <v>2025</v>
      </c>
      <c r="O639">
        <v>4</v>
      </c>
    </row>
    <row r="640" spans="1:15" x14ac:dyDescent="0.3">
      <c r="A640">
        <v>41667</v>
      </c>
      <c r="B640">
        <v>3201159</v>
      </c>
      <c r="C640" t="s">
        <v>29</v>
      </c>
      <c r="D640">
        <v>0.40699999999999997</v>
      </c>
      <c r="E640">
        <v>1811638.76</v>
      </c>
      <c r="F640">
        <v>0</v>
      </c>
      <c r="G640">
        <v>1811638.76</v>
      </c>
      <c r="H640">
        <v>22494.46</v>
      </c>
      <c r="I640">
        <v>521947.55</v>
      </c>
      <c r="J640">
        <v>0.47799999999999998</v>
      </c>
      <c r="K640">
        <v>29672.52</v>
      </c>
      <c r="L640">
        <v>6050.13</v>
      </c>
      <c r="M640">
        <v>9478.36</v>
      </c>
      <c r="N640">
        <v>2025</v>
      </c>
      <c r="O640">
        <v>4</v>
      </c>
    </row>
    <row r="641" spans="1:15" x14ac:dyDescent="0.3">
      <c r="A641">
        <v>41668</v>
      </c>
      <c r="B641">
        <v>3201209</v>
      </c>
      <c r="C641" t="s">
        <v>30</v>
      </c>
      <c r="D641">
        <v>2.5920000000000001</v>
      </c>
      <c r="E641">
        <v>11537512.51</v>
      </c>
      <c r="F641">
        <v>0</v>
      </c>
      <c r="G641">
        <v>11537512.51</v>
      </c>
      <c r="H641">
        <v>143257.07999999999</v>
      </c>
      <c r="I641">
        <v>9992611.9399999995</v>
      </c>
      <c r="J641">
        <v>4.3239999999999998</v>
      </c>
      <c r="K641">
        <v>188970.94</v>
      </c>
      <c r="L641">
        <v>47588.11</v>
      </c>
      <c r="M641">
        <v>60363.4</v>
      </c>
      <c r="N641">
        <v>2025</v>
      </c>
      <c r="O641">
        <v>4</v>
      </c>
    </row>
    <row r="642" spans="1:15" x14ac:dyDescent="0.3">
      <c r="A642">
        <v>41669</v>
      </c>
      <c r="B642">
        <v>3201308</v>
      </c>
      <c r="C642" t="s">
        <v>31</v>
      </c>
      <c r="D642">
        <v>8.3239999999999998</v>
      </c>
      <c r="E642">
        <v>37051795.600000001</v>
      </c>
      <c r="F642">
        <v>0</v>
      </c>
      <c r="G642">
        <v>37051795.600000001</v>
      </c>
      <c r="H642">
        <v>460058.61</v>
      </c>
      <c r="I642">
        <v>19163994.329999998</v>
      </c>
      <c r="J642">
        <v>6.5110000000000001</v>
      </c>
      <c r="K642">
        <v>606865.02</v>
      </c>
      <c r="L642">
        <v>71498.23</v>
      </c>
      <c r="M642">
        <v>193852.21</v>
      </c>
      <c r="N642">
        <v>2025</v>
      </c>
      <c r="O642">
        <v>4</v>
      </c>
    </row>
    <row r="643" spans="1:15" x14ac:dyDescent="0.3">
      <c r="A643">
        <v>41670</v>
      </c>
      <c r="B643">
        <v>3201407</v>
      </c>
      <c r="C643" t="s">
        <v>32</v>
      </c>
      <c r="D643">
        <v>0.80700000000000005</v>
      </c>
      <c r="E643">
        <v>3592119.06</v>
      </c>
      <c r="F643">
        <v>0</v>
      </c>
      <c r="G643">
        <v>3592119.06</v>
      </c>
      <c r="H643">
        <v>44602.03</v>
      </c>
      <c r="I643">
        <v>3048074.79</v>
      </c>
      <c r="J643">
        <v>1.165</v>
      </c>
      <c r="K643">
        <v>58834.7</v>
      </c>
      <c r="L643">
        <v>12893.12</v>
      </c>
      <c r="M643">
        <v>18793.7</v>
      </c>
      <c r="N643">
        <v>2025</v>
      </c>
      <c r="O643">
        <v>4</v>
      </c>
    </row>
    <row r="644" spans="1:15" x14ac:dyDescent="0.3">
      <c r="A644">
        <v>41671</v>
      </c>
      <c r="B644">
        <v>3201506</v>
      </c>
      <c r="C644" t="s">
        <v>33</v>
      </c>
      <c r="D644">
        <v>2.0139999999999998</v>
      </c>
      <c r="E644">
        <v>8964718.4600000009</v>
      </c>
      <c r="F644">
        <v>0</v>
      </c>
      <c r="G644">
        <v>8964718.4600000009</v>
      </c>
      <c r="H644">
        <v>111311.64</v>
      </c>
      <c r="I644">
        <v>7109125.4900000002</v>
      </c>
      <c r="J644">
        <v>2.875</v>
      </c>
      <c r="K644">
        <v>146831.59</v>
      </c>
      <c r="L644">
        <v>31669.58</v>
      </c>
      <c r="M644">
        <v>46902.73</v>
      </c>
      <c r="N644">
        <v>2025</v>
      </c>
      <c r="O644">
        <v>4</v>
      </c>
    </row>
    <row r="645" spans="1:15" x14ac:dyDescent="0.3">
      <c r="A645">
        <v>41672</v>
      </c>
      <c r="B645">
        <v>3201605</v>
      </c>
      <c r="C645" t="s">
        <v>34</v>
      </c>
      <c r="D645">
        <v>0.60099999999999998</v>
      </c>
      <c r="E645">
        <v>2675171.69</v>
      </c>
      <c r="F645">
        <v>0</v>
      </c>
      <c r="G645">
        <v>2675171.69</v>
      </c>
      <c r="H645">
        <v>33216.629999999997</v>
      </c>
      <c r="I645">
        <v>648849.84</v>
      </c>
      <c r="J645">
        <v>0.96399999999999997</v>
      </c>
      <c r="K645">
        <v>43816.18</v>
      </c>
      <c r="L645">
        <v>10453.219999999999</v>
      </c>
      <c r="M645">
        <v>13996.3</v>
      </c>
      <c r="N645">
        <v>2025</v>
      </c>
      <c r="O645">
        <v>4</v>
      </c>
    </row>
    <row r="646" spans="1:15" x14ac:dyDescent="0.3">
      <c r="A646">
        <v>41673</v>
      </c>
      <c r="B646">
        <v>3201704</v>
      </c>
      <c r="C646" t="s">
        <v>35</v>
      </c>
      <c r="D646">
        <v>0.371</v>
      </c>
      <c r="E646">
        <v>1651395.51</v>
      </c>
      <c r="F646">
        <v>0</v>
      </c>
      <c r="G646">
        <v>1651395.51</v>
      </c>
      <c r="H646">
        <v>20504.78</v>
      </c>
      <c r="I646">
        <v>552293.15</v>
      </c>
      <c r="J646">
        <v>0.46400000000000002</v>
      </c>
      <c r="K646">
        <v>27047.93</v>
      </c>
      <c r="L646">
        <v>5047.1899999999996</v>
      </c>
      <c r="M646">
        <v>8639.98</v>
      </c>
      <c r="N646">
        <v>2025</v>
      </c>
      <c r="O646">
        <v>4</v>
      </c>
    </row>
    <row r="647" spans="1:15" x14ac:dyDescent="0.3">
      <c r="A647">
        <v>41674</v>
      </c>
      <c r="B647">
        <v>3201803</v>
      </c>
      <c r="C647" t="s">
        <v>36</v>
      </c>
      <c r="D647">
        <v>0.187</v>
      </c>
      <c r="E647">
        <v>832374.53</v>
      </c>
      <c r="F647">
        <v>0</v>
      </c>
      <c r="G647">
        <v>832374.53</v>
      </c>
      <c r="H647">
        <v>10335.290000000001</v>
      </c>
      <c r="I647">
        <v>162088.04</v>
      </c>
      <c r="J647">
        <v>0.29699999999999999</v>
      </c>
      <c r="K647">
        <v>13633.32</v>
      </c>
      <c r="L647">
        <v>3248.65</v>
      </c>
      <c r="M647">
        <v>4354.92</v>
      </c>
      <c r="N647">
        <v>2025</v>
      </c>
      <c r="O647">
        <v>4</v>
      </c>
    </row>
    <row r="648" spans="1:15" x14ac:dyDescent="0.3">
      <c r="A648">
        <v>41675</v>
      </c>
      <c r="B648">
        <v>3201902</v>
      </c>
      <c r="C648" t="s">
        <v>37</v>
      </c>
      <c r="D648">
        <v>1.0620000000000001</v>
      </c>
      <c r="E648">
        <v>4727175.25</v>
      </c>
      <c r="F648">
        <v>0</v>
      </c>
      <c r="G648">
        <v>4727175.25</v>
      </c>
      <c r="H648">
        <v>58695.61</v>
      </c>
      <c r="I648">
        <v>2250340.73</v>
      </c>
      <c r="J648">
        <v>1.0780000000000001</v>
      </c>
      <c r="K648">
        <v>77425.600000000006</v>
      </c>
      <c r="L648">
        <v>12700.93</v>
      </c>
      <c r="M648">
        <v>24732.23</v>
      </c>
      <c r="N648">
        <v>2025</v>
      </c>
      <c r="O648">
        <v>4</v>
      </c>
    </row>
    <row r="649" spans="1:15" x14ac:dyDescent="0.3">
      <c r="A649">
        <v>41676</v>
      </c>
      <c r="B649">
        <v>3202009</v>
      </c>
      <c r="C649" t="s">
        <v>38</v>
      </c>
      <c r="D649">
        <v>0.34899999999999998</v>
      </c>
      <c r="E649">
        <v>1553469.05</v>
      </c>
      <c r="F649">
        <v>0</v>
      </c>
      <c r="G649">
        <v>1553469.05</v>
      </c>
      <c r="H649">
        <v>19288.86</v>
      </c>
      <c r="I649">
        <v>755710.54</v>
      </c>
      <c r="J649">
        <v>0.317</v>
      </c>
      <c r="K649">
        <v>25444.01</v>
      </c>
      <c r="L649">
        <v>3454.6</v>
      </c>
      <c r="M649">
        <v>8127.63</v>
      </c>
      <c r="N649">
        <v>2025</v>
      </c>
      <c r="O649">
        <v>4</v>
      </c>
    </row>
    <row r="650" spans="1:15" x14ac:dyDescent="0.3">
      <c r="A650">
        <v>41677</v>
      </c>
      <c r="B650">
        <v>3202108</v>
      </c>
      <c r="C650" t="s">
        <v>39</v>
      </c>
      <c r="D650">
        <v>0.57099999999999995</v>
      </c>
      <c r="E650">
        <v>2541635.67</v>
      </c>
      <c r="F650">
        <v>0</v>
      </c>
      <c r="G650">
        <v>2541635.67</v>
      </c>
      <c r="H650">
        <v>31558.560000000001</v>
      </c>
      <c r="I650">
        <v>645514.75</v>
      </c>
      <c r="J650">
        <v>0.81599999999999995</v>
      </c>
      <c r="K650">
        <v>41629.01</v>
      </c>
      <c r="L650">
        <v>8766.06</v>
      </c>
      <c r="M650">
        <v>13297.65</v>
      </c>
      <c r="N650">
        <v>2025</v>
      </c>
      <c r="O650">
        <v>4</v>
      </c>
    </row>
    <row r="651" spans="1:15" x14ac:dyDescent="0.3">
      <c r="A651">
        <v>41678</v>
      </c>
      <c r="B651">
        <v>3202207</v>
      </c>
      <c r="C651" t="s">
        <v>40</v>
      </c>
      <c r="D651">
        <v>0.36799999999999999</v>
      </c>
      <c r="E651">
        <v>1638041.91</v>
      </c>
      <c r="F651">
        <v>0</v>
      </c>
      <c r="G651">
        <v>1638041.91</v>
      </c>
      <c r="H651">
        <v>20338.97</v>
      </c>
      <c r="I651">
        <v>655728.06000000006</v>
      </c>
      <c r="J651">
        <v>0.69699999999999995</v>
      </c>
      <c r="K651">
        <v>26829.21</v>
      </c>
      <c r="L651">
        <v>7591.29</v>
      </c>
      <c r="M651">
        <v>8570.11</v>
      </c>
      <c r="N651">
        <v>2025</v>
      </c>
      <c r="O651">
        <v>4</v>
      </c>
    </row>
    <row r="652" spans="1:15" x14ac:dyDescent="0.3">
      <c r="A652">
        <v>41679</v>
      </c>
      <c r="B652">
        <v>3202256</v>
      </c>
      <c r="C652" t="s">
        <v>41</v>
      </c>
      <c r="D652">
        <v>0.53100000000000003</v>
      </c>
      <c r="E652">
        <v>2363587.63</v>
      </c>
      <c r="F652">
        <v>0</v>
      </c>
      <c r="G652">
        <v>2363587.63</v>
      </c>
      <c r="H652">
        <v>29347.8</v>
      </c>
      <c r="I652">
        <v>722111.73</v>
      </c>
      <c r="J652">
        <v>0.45200000000000001</v>
      </c>
      <c r="K652">
        <v>38712.800000000003</v>
      </c>
      <c r="L652">
        <v>4914.79</v>
      </c>
      <c r="M652">
        <v>12366.11</v>
      </c>
      <c r="N652">
        <v>2025</v>
      </c>
      <c r="O652">
        <v>4</v>
      </c>
    </row>
    <row r="653" spans="1:15" x14ac:dyDescent="0.3">
      <c r="A653">
        <v>41680</v>
      </c>
      <c r="B653">
        <v>3202306</v>
      </c>
      <c r="C653" t="s">
        <v>42</v>
      </c>
      <c r="D653">
        <v>0.36699999999999999</v>
      </c>
      <c r="E653">
        <v>1633590.7</v>
      </c>
      <c r="F653">
        <v>0</v>
      </c>
      <c r="G653">
        <v>1633590.7</v>
      </c>
      <c r="H653">
        <v>20283.7</v>
      </c>
      <c r="I653">
        <v>1897245.54</v>
      </c>
      <c r="J653">
        <v>0.98899999999999999</v>
      </c>
      <c r="K653">
        <v>26756.3</v>
      </c>
      <c r="L653">
        <v>10957.32</v>
      </c>
      <c r="M653">
        <v>8546.82</v>
      </c>
      <c r="N653">
        <v>2025</v>
      </c>
      <c r="O653">
        <v>4</v>
      </c>
    </row>
    <row r="654" spans="1:15" x14ac:dyDescent="0.3">
      <c r="A654">
        <v>41681</v>
      </c>
      <c r="B654">
        <v>3202405</v>
      </c>
      <c r="C654" t="s">
        <v>43</v>
      </c>
      <c r="D654">
        <v>0.79</v>
      </c>
      <c r="E654">
        <v>3516448.66</v>
      </c>
      <c r="F654">
        <v>0</v>
      </c>
      <c r="G654">
        <v>3516448.66</v>
      </c>
      <c r="H654">
        <v>43662.46</v>
      </c>
      <c r="I654">
        <v>11555350.99</v>
      </c>
      <c r="J654">
        <v>2.9359999999999999</v>
      </c>
      <c r="K654">
        <v>57595.31</v>
      </c>
      <c r="L654">
        <v>33364.620000000003</v>
      </c>
      <c r="M654">
        <v>18397.79</v>
      </c>
      <c r="N654">
        <v>2025</v>
      </c>
      <c r="O654">
        <v>4</v>
      </c>
    </row>
    <row r="655" spans="1:15" x14ac:dyDescent="0.3">
      <c r="A655">
        <v>41682</v>
      </c>
      <c r="B655">
        <v>3202454</v>
      </c>
      <c r="C655" t="s">
        <v>44</v>
      </c>
      <c r="D655">
        <v>0.33900000000000002</v>
      </c>
      <c r="E655">
        <v>1508957.09</v>
      </c>
      <c r="F655">
        <v>0</v>
      </c>
      <c r="G655">
        <v>1508957.09</v>
      </c>
      <c r="H655">
        <v>18736.169999999998</v>
      </c>
      <c r="I655">
        <v>1701863.67</v>
      </c>
      <c r="J655">
        <v>0.87</v>
      </c>
      <c r="K655">
        <v>24714.95</v>
      </c>
      <c r="L655">
        <v>9578.11</v>
      </c>
      <c r="M655">
        <v>7894.75</v>
      </c>
      <c r="N655">
        <v>2025</v>
      </c>
      <c r="O655">
        <v>4</v>
      </c>
    </row>
    <row r="656" spans="1:15" x14ac:dyDescent="0.3">
      <c r="A656">
        <v>41683</v>
      </c>
      <c r="B656">
        <v>3202504</v>
      </c>
      <c r="C656" t="s">
        <v>45</v>
      </c>
      <c r="D656">
        <v>0.307</v>
      </c>
      <c r="E656">
        <v>1366518.66</v>
      </c>
      <c r="F656">
        <v>0</v>
      </c>
      <c r="G656">
        <v>1366518.66</v>
      </c>
      <c r="H656">
        <v>16967.560000000001</v>
      </c>
      <c r="I656">
        <v>823764.57</v>
      </c>
      <c r="J656">
        <v>0.46100000000000002</v>
      </c>
      <c r="K656">
        <v>22381.98</v>
      </c>
      <c r="L656">
        <v>5021.96</v>
      </c>
      <c r="M656">
        <v>7149.52</v>
      </c>
      <c r="N656">
        <v>2025</v>
      </c>
      <c r="O656">
        <v>4</v>
      </c>
    </row>
    <row r="657" spans="1:15" x14ac:dyDescent="0.3">
      <c r="A657">
        <v>41684</v>
      </c>
      <c r="B657">
        <v>3202553</v>
      </c>
      <c r="C657" t="s">
        <v>46</v>
      </c>
      <c r="D657">
        <v>0.28399999999999997</v>
      </c>
      <c r="E657">
        <v>1264141.04</v>
      </c>
      <c r="F657">
        <v>0</v>
      </c>
      <c r="G657">
        <v>1264141.04</v>
      </c>
      <c r="H657">
        <v>15696.38</v>
      </c>
      <c r="I657">
        <v>307745.2</v>
      </c>
      <c r="J657">
        <v>0.35499999999999998</v>
      </c>
      <c r="K657">
        <v>20705.150000000001</v>
      </c>
      <c r="L657">
        <v>3871.37</v>
      </c>
      <c r="M657">
        <v>6613.89</v>
      </c>
      <c r="N657">
        <v>2025</v>
      </c>
      <c r="O657">
        <v>4</v>
      </c>
    </row>
    <row r="658" spans="1:15" x14ac:dyDescent="0.3">
      <c r="A658">
        <v>41685</v>
      </c>
      <c r="B658">
        <v>3202603</v>
      </c>
      <c r="C658" t="s">
        <v>47</v>
      </c>
      <c r="D658">
        <v>0.314</v>
      </c>
      <c r="E658">
        <v>1397677.04</v>
      </c>
      <c r="F658">
        <v>0</v>
      </c>
      <c r="G658">
        <v>1397677.04</v>
      </c>
      <c r="H658">
        <v>17354.45</v>
      </c>
      <c r="I658">
        <v>1640072.17</v>
      </c>
      <c r="J658">
        <v>0.53700000000000003</v>
      </c>
      <c r="K658">
        <v>22892.31</v>
      </c>
      <c r="L658">
        <v>5754.67</v>
      </c>
      <c r="M658">
        <v>7312.54</v>
      </c>
      <c r="N658">
        <v>2025</v>
      </c>
      <c r="O658">
        <v>4</v>
      </c>
    </row>
    <row r="659" spans="1:15" x14ac:dyDescent="0.3">
      <c r="A659">
        <v>41686</v>
      </c>
      <c r="B659">
        <v>3202652</v>
      </c>
      <c r="C659" t="s">
        <v>48</v>
      </c>
      <c r="D659">
        <v>0.316</v>
      </c>
      <c r="E659">
        <v>1406579.46</v>
      </c>
      <c r="F659">
        <v>0</v>
      </c>
      <c r="G659">
        <v>1406579.46</v>
      </c>
      <c r="H659">
        <v>17464.98</v>
      </c>
      <c r="I659">
        <v>732997.85</v>
      </c>
      <c r="J659">
        <v>0.56399999999999995</v>
      </c>
      <c r="K659">
        <v>23038.13</v>
      </c>
      <c r="L659">
        <v>6167.68</v>
      </c>
      <c r="M659">
        <v>7359.12</v>
      </c>
      <c r="N659">
        <v>2025</v>
      </c>
      <c r="O659">
        <v>4</v>
      </c>
    </row>
    <row r="660" spans="1:15" x14ac:dyDescent="0.3">
      <c r="A660">
        <v>41687</v>
      </c>
      <c r="B660">
        <v>3202702</v>
      </c>
      <c r="C660" t="s">
        <v>49</v>
      </c>
      <c r="D660">
        <v>0.40400000000000003</v>
      </c>
      <c r="E660">
        <v>1798285.11</v>
      </c>
      <c r="F660">
        <v>0</v>
      </c>
      <c r="G660">
        <v>1798285.11</v>
      </c>
      <c r="H660">
        <v>22328.65</v>
      </c>
      <c r="I660">
        <v>521600.49</v>
      </c>
      <c r="J660">
        <v>0.56200000000000006</v>
      </c>
      <c r="K660">
        <v>29453.81</v>
      </c>
      <c r="L660">
        <v>6107.22</v>
      </c>
      <c r="M660">
        <v>9408.49</v>
      </c>
      <c r="N660">
        <v>2025</v>
      </c>
      <c r="O660">
        <v>4</v>
      </c>
    </row>
    <row r="661" spans="1:15" x14ac:dyDescent="0.3">
      <c r="A661">
        <v>41688</v>
      </c>
      <c r="B661">
        <v>3202801</v>
      </c>
      <c r="C661" t="s">
        <v>50</v>
      </c>
      <c r="D661">
        <v>3.4060000000000001</v>
      </c>
      <c r="E661">
        <v>15160789.98</v>
      </c>
      <c r="F661">
        <v>0</v>
      </c>
      <c r="G661">
        <v>15160789.98</v>
      </c>
      <c r="H661">
        <v>188245.99</v>
      </c>
      <c r="I661">
        <v>1152058.32</v>
      </c>
      <c r="J661">
        <v>1.2130000000000001</v>
      </c>
      <c r="K661">
        <v>248315.99</v>
      </c>
      <c r="L661">
        <v>13428.38</v>
      </c>
      <c r="M661">
        <v>79320.11</v>
      </c>
      <c r="N661">
        <v>2025</v>
      </c>
      <c r="O661">
        <v>4</v>
      </c>
    </row>
    <row r="662" spans="1:15" x14ac:dyDescent="0.3">
      <c r="A662">
        <v>41689</v>
      </c>
      <c r="B662">
        <v>3202900</v>
      </c>
      <c r="C662" t="s">
        <v>51</v>
      </c>
      <c r="D662">
        <v>0.39200000000000002</v>
      </c>
      <c r="E662">
        <v>1744870.74</v>
      </c>
      <c r="F662">
        <v>0</v>
      </c>
      <c r="G662">
        <v>1744870.74</v>
      </c>
      <c r="H662">
        <v>21665.42</v>
      </c>
      <c r="I662">
        <v>664115.6</v>
      </c>
      <c r="J662">
        <v>0.44600000000000001</v>
      </c>
      <c r="K662">
        <v>28578.94</v>
      </c>
      <c r="L662">
        <v>4849.6099999999997</v>
      </c>
      <c r="M662">
        <v>9129.0300000000007</v>
      </c>
      <c r="N662">
        <v>2025</v>
      </c>
      <c r="O662">
        <v>4</v>
      </c>
    </row>
    <row r="663" spans="1:15" x14ac:dyDescent="0.3">
      <c r="A663">
        <v>41690</v>
      </c>
      <c r="B663">
        <v>3203007</v>
      </c>
      <c r="C663" t="s">
        <v>52</v>
      </c>
      <c r="D663">
        <v>0.5</v>
      </c>
      <c r="E663">
        <v>2225600.41</v>
      </c>
      <c r="F663">
        <v>0</v>
      </c>
      <c r="G663">
        <v>2225600.41</v>
      </c>
      <c r="H663">
        <v>27634.47</v>
      </c>
      <c r="I663">
        <v>1280628.6499999999</v>
      </c>
      <c r="J663">
        <v>0.91200000000000003</v>
      </c>
      <c r="K663">
        <v>36452.730000000003</v>
      </c>
      <c r="L663">
        <v>10001.35</v>
      </c>
      <c r="M663">
        <v>11644.17</v>
      </c>
      <c r="N663">
        <v>2025</v>
      </c>
      <c r="O663">
        <v>4</v>
      </c>
    </row>
    <row r="664" spans="1:15" x14ac:dyDescent="0.3">
      <c r="A664">
        <v>41691</v>
      </c>
      <c r="B664">
        <v>3203056</v>
      </c>
      <c r="C664" t="s">
        <v>53</v>
      </c>
      <c r="D664">
        <v>1.109</v>
      </c>
      <c r="E664">
        <v>4936381.71</v>
      </c>
      <c r="F664">
        <v>0</v>
      </c>
      <c r="G664">
        <v>4936381.71</v>
      </c>
      <c r="H664">
        <v>61293.25</v>
      </c>
      <c r="I664">
        <v>1618795.31</v>
      </c>
      <c r="J664">
        <v>0.98399999999999999</v>
      </c>
      <c r="K664">
        <v>80852.149999999994</v>
      </c>
      <c r="L664">
        <v>10949.5</v>
      </c>
      <c r="M664">
        <v>25826.78</v>
      </c>
      <c r="N664">
        <v>2025</v>
      </c>
      <c r="O664">
        <v>4</v>
      </c>
    </row>
    <row r="665" spans="1:15" x14ac:dyDescent="0.3">
      <c r="A665">
        <v>41692</v>
      </c>
      <c r="B665">
        <v>3203106</v>
      </c>
      <c r="C665" t="s">
        <v>54</v>
      </c>
      <c r="D665">
        <v>0.216</v>
      </c>
      <c r="E665">
        <v>961459.38</v>
      </c>
      <c r="F665">
        <v>0</v>
      </c>
      <c r="G665">
        <v>961459.38</v>
      </c>
      <c r="H665">
        <v>11938.09</v>
      </c>
      <c r="I665">
        <v>339391.36</v>
      </c>
      <c r="J665">
        <v>0.45900000000000002</v>
      </c>
      <c r="K665">
        <v>15747.58</v>
      </c>
      <c r="L665">
        <v>4997.38</v>
      </c>
      <c r="M665">
        <v>5030.28</v>
      </c>
      <c r="N665">
        <v>2025</v>
      </c>
      <c r="O665">
        <v>4</v>
      </c>
    </row>
    <row r="666" spans="1:15" x14ac:dyDescent="0.3">
      <c r="A666">
        <v>41693</v>
      </c>
      <c r="B666">
        <v>3203130</v>
      </c>
      <c r="C666" t="s">
        <v>55</v>
      </c>
      <c r="D666">
        <v>0.376</v>
      </c>
      <c r="E666">
        <v>1673651.48</v>
      </c>
      <c r="F666">
        <v>0</v>
      </c>
      <c r="G666">
        <v>1673651.48</v>
      </c>
      <c r="H666">
        <v>20781.12</v>
      </c>
      <c r="I666">
        <v>890654.73</v>
      </c>
      <c r="J666">
        <v>0.63600000000000001</v>
      </c>
      <c r="K666">
        <v>27412.45</v>
      </c>
      <c r="L666">
        <v>6809.53</v>
      </c>
      <c r="M666">
        <v>8756.42</v>
      </c>
      <c r="N666">
        <v>2025</v>
      </c>
      <c r="O666">
        <v>4</v>
      </c>
    </row>
    <row r="667" spans="1:15" x14ac:dyDescent="0.3">
      <c r="A667">
        <v>41694</v>
      </c>
      <c r="B667">
        <v>3203163</v>
      </c>
      <c r="C667" t="s">
        <v>56</v>
      </c>
      <c r="D667">
        <v>0.42799999999999999</v>
      </c>
      <c r="E667">
        <v>1905113.94</v>
      </c>
      <c r="F667">
        <v>0</v>
      </c>
      <c r="G667">
        <v>1905113.94</v>
      </c>
      <c r="H667">
        <v>23655.1</v>
      </c>
      <c r="I667">
        <v>485261.15</v>
      </c>
      <c r="J667">
        <v>0.45300000000000001</v>
      </c>
      <c r="K667">
        <v>31203.54</v>
      </c>
      <c r="L667">
        <v>4928.97</v>
      </c>
      <c r="M667">
        <v>9967.41</v>
      </c>
      <c r="N667">
        <v>2025</v>
      </c>
      <c r="O667">
        <v>4</v>
      </c>
    </row>
    <row r="668" spans="1:15" x14ac:dyDescent="0.3">
      <c r="A668">
        <v>41695</v>
      </c>
      <c r="B668">
        <v>3203205</v>
      </c>
      <c r="C668" t="s">
        <v>57</v>
      </c>
      <c r="D668">
        <v>4.431</v>
      </c>
      <c r="E668">
        <v>19723270.800000001</v>
      </c>
      <c r="F668">
        <v>0</v>
      </c>
      <c r="G668">
        <v>19723270.800000001</v>
      </c>
      <c r="H668">
        <v>244896.65</v>
      </c>
      <c r="I668">
        <v>9496438.6899999995</v>
      </c>
      <c r="J668">
        <v>4.0759999999999996</v>
      </c>
      <c r="K668">
        <v>323044.08</v>
      </c>
      <c r="L668">
        <v>45373.24</v>
      </c>
      <c r="M668">
        <v>103190.67</v>
      </c>
      <c r="N668">
        <v>2025</v>
      </c>
      <c r="O668">
        <v>4</v>
      </c>
    </row>
    <row r="669" spans="1:15" x14ac:dyDescent="0.3">
      <c r="A669">
        <v>41696</v>
      </c>
      <c r="B669">
        <v>3203304</v>
      </c>
      <c r="C669" t="s">
        <v>58</v>
      </c>
      <c r="D669">
        <v>0.314</v>
      </c>
      <c r="E669">
        <v>1397677.04</v>
      </c>
      <c r="F669">
        <v>0</v>
      </c>
      <c r="G669">
        <v>1397677.04</v>
      </c>
      <c r="H669">
        <v>17354.45</v>
      </c>
      <c r="I669">
        <v>667599.6</v>
      </c>
      <c r="J669">
        <v>0.54300000000000004</v>
      </c>
      <c r="K669">
        <v>22892.31</v>
      </c>
      <c r="L669">
        <v>5805.95</v>
      </c>
      <c r="M669">
        <v>7312.54</v>
      </c>
      <c r="N669">
        <v>2025</v>
      </c>
      <c r="O669">
        <v>4</v>
      </c>
    </row>
    <row r="670" spans="1:15" x14ac:dyDescent="0.3">
      <c r="A670">
        <v>41697</v>
      </c>
      <c r="B670">
        <v>3203320</v>
      </c>
      <c r="C670" t="s">
        <v>59</v>
      </c>
      <c r="D670">
        <v>0.58499999999999996</v>
      </c>
      <c r="E670">
        <v>2603952.46</v>
      </c>
      <c r="F670">
        <v>0</v>
      </c>
      <c r="G670">
        <v>2603952.46</v>
      </c>
      <c r="H670">
        <v>32332.33</v>
      </c>
      <c r="I670">
        <v>1593649.1</v>
      </c>
      <c r="J670">
        <v>1.24</v>
      </c>
      <c r="K670">
        <v>42649.69</v>
      </c>
      <c r="L670">
        <v>14547.66</v>
      </c>
      <c r="M670">
        <v>13623.68</v>
      </c>
      <c r="N670">
        <v>2025</v>
      </c>
      <c r="O670">
        <v>4</v>
      </c>
    </row>
    <row r="671" spans="1:15" x14ac:dyDescent="0.3">
      <c r="A671">
        <v>41698</v>
      </c>
      <c r="B671">
        <v>3203346</v>
      </c>
      <c r="C671" t="s">
        <v>60</v>
      </c>
      <c r="D671">
        <v>0.55500000000000005</v>
      </c>
      <c r="E671">
        <v>2470416.44</v>
      </c>
      <c r="F671">
        <v>0</v>
      </c>
      <c r="G671">
        <v>2470416.44</v>
      </c>
      <c r="H671">
        <v>30674.26</v>
      </c>
      <c r="I671">
        <v>1133415.73</v>
      </c>
      <c r="J671">
        <v>0.69199999999999995</v>
      </c>
      <c r="K671">
        <v>40462.53</v>
      </c>
      <c r="L671">
        <v>7580.36</v>
      </c>
      <c r="M671">
        <v>12925.03</v>
      </c>
      <c r="N671">
        <v>2025</v>
      </c>
      <c r="O671">
        <v>4</v>
      </c>
    </row>
    <row r="672" spans="1:15" x14ac:dyDescent="0.3">
      <c r="A672">
        <v>41699</v>
      </c>
      <c r="B672">
        <v>3203353</v>
      </c>
      <c r="C672" t="s">
        <v>61</v>
      </c>
      <c r="D672">
        <v>0.505</v>
      </c>
      <c r="E672">
        <v>2247856.42</v>
      </c>
      <c r="F672">
        <v>0</v>
      </c>
      <c r="G672">
        <v>2247856.42</v>
      </c>
      <c r="H672">
        <v>27910.81</v>
      </c>
      <c r="I672">
        <v>901238.5</v>
      </c>
      <c r="J672">
        <v>0.47</v>
      </c>
      <c r="K672">
        <v>36817.25</v>
      </c>
      <c r="L672">
        <v>5123.58</v>
      </c>
      <c r="M672">
        <v>11760.62</v>
      </c>
      <c r="N672">
        <v>2025</v>
      </c>
      <c r="O672">
        <v>4</v>
      </c>
    </row>
    <row r="673" spans="1:15" x14ac:dyDescent="0.3">
      <c r="A673">
        <v>41700</v>
      </c>
      <c r="B673">
        <v>3203403</v>
      </c>
      <c r="C673" t="s">
        <v>62</v>
      </c>
      <c r="D673">
        <v>0.46899999999999997</v>
      </c>
      <c r="E673">
        <v>2087613.2</v>
      </c>
      <c r="F673">
        <v>0</v>
      </c>
      <c r="G673">
        <v>2087613.2</v>
      </c>
      <c r="H673">
        <v>25921.13</v>
      </c>
      <c r="I673">
        <v>891747.7</v>
      </c>
      <c r="J673">
        <v>0.85899999999999999</v>
      </c>
      <c r="K673">
        <v>34192.660000000003</v>
      </c>
      <c r="L673">
        <v>9290.77</v>
      </c>
      <c r="M673">
        <v>10922.24</v>
      </c>
      <c r="N673">
        <v>2025</v>
      </c>
      <c r="O673">
        <v>4</v>
      </c>
    </row>
    <row r="674" spans="1:15" x14ac:dyDescent="0.3">
      <c r="A674">
        <v>41701</v>
      </c>
      <c r="B674">
        <v>3203502</v>
      </c>
      <c r="C674" t="s">
        <v>63</v>
      </c>
      <c r="D674">
        <v>0.51500000000000001</v>
      </c>
      <c r="E674">
        <v>2292368.4500000002</v>
      </c>
      <c r="F674">
        <v>0</v>
      </c>
      <c r="G674">
        <v>2292368.4500000002</v>
      </c>
      <c r="H674">
        <v>28463.5</v>
      </c>
      <c r="I674">
        <v>832286.44</v>
      </c>
      <c r="J674">
        <v>0.70899999999999996</v>
      </c>
      <c r="K674">
        <v>37546.300000000003</v>
      </c>
      <c r="L674">
        <v>7716.54</v>
      </c>
      <c r="M674">
        <v>11993.5</v>
      </c>
      <c r="N674">
        <v>2025</v>
      </c>
      <c r="O674">
        <v>4</v>
      </c>
    </row>
    <row r="675" spans="1:15" x14ac:dyDescent="0.3">
      <c r="A675">
        <v>41702</v>
      </c>
      <c r="B675">
        <v>3203601</v>
      </c>
      <c r="C675" t="s">
        <v>64</v>
      </c>
      <c r="D675">
        <v>0.30599999999999999</v>
      </c>
      <c r="E675">
        <v>1362067.45</v>
      </c>
      <c r="F675">
        <v>0</v>
      </c>
      <c r="G675">
        <v>1362067.45</v>
      </c>
      <c r="H675">
        <v>16912.29</v>
      </c>
      <c r="I675">
        <v>211880.07</v>
      </c>
      <c r="J675">
        <v>0.30199999999999999</v>
      </c>
      <c r="K675">
        <v>22309.07</v>
      </c>
      <c r="L675">
        <v>3289.27</v>
      </c>
      <c r="M675">
        <v>7126.23</v>
      </c>
      <c r="N675">
        <v>2025</v>
      </c>
      <c r="O675">
        <v>4</v>
      </c>
    </row>
    <row r="676" spans="1:15" x14ac:dyDescent="0.3">
      <c r="A676">
        <v>41703</v>
      </c>
      <c r="B676">
        <v>3203700</v>
      </c>
      <c r="C676" t="s">
        <v>65</v>
      </c>
      <c r="D676">
        <v>0.505</v>
      </c>
      <c r="E676">
        <v>2247856.42</v>
      </c>
      <c r="F676">
        <v>0</v>
      </c>
      <c r="G676">
        <v>2247856.42</v>
      </c>
      <c r="H676">
        <v>27910.81</v>
      </c>
      <c r="I676">
        <v>618603.89</v>
      </c>
      <c r="J676">
        <v>0.69899999999999995</v>
      </c>
      <c r="K676">
        <v>36817.25</v>
      </c>
      <c r="L676">
        <v>7589.54</v>
      </c>
      <c r="M676">
        <v>11760.62</v>
      </c>
      <c r="N676">
        <v>2025</v>
      </c>
      <c r="O676">
        <v>4</v>
      </c>
    </row>
    <row r="677" spans="1:15" x14ac:dyDescent="0.3">
      <c r="A677">
        <v>41704</v>
      </c>
      <c r="B677">
        <v>3203809</v>
      </c>
      <c r="C677" t="s">
        <v>66</v>
      </c>
      <c r="D677">
        <v>0.32</v>
      </c>
      <c r="E677">
        <v>1424384.28</v>
      </c>
      <c r="F677">
        <v>0</v>
      </c>
      <c r="G677">
        <v>1424384.28</v>
      </c>
      <c r="H677">
        <v>17686.060000000001</v>
      </c>
      <c r="I677">
        <v>412075.77</v>
      </c>
      <c r="J677">
        <v>0.56499999999999995</v>
      </c>
      <c r="K677">
        <v>23329.75</v>
      </c>
      <c r="L677">
        <v>6127.19</v>
      </c>
      <c r="M677">
        <v>7452.27</v>
      </c>
      <c r="N677">
        <v>2025</v>
      </c>
      <c r="O677">
        <v>4</v>
      </c>
    </row>
    <row r="678" spans="1:15" x14ac:dyDescent="0.3">
      <c r="A678">
        <v>41705</v>
      </c>
      <c r="B678">
        <v>3203908</v>
      </c>
      <c r="C678" t="s">
        <v>67</v>
      </c>
      <c r="D678">
        <v>1.2250000000000001</v>
      </c>
      <c r="E678">
        <v>5452721.0099999998</v>
      </c>
      <c r="F678">
        <v>0</v>
      </c>
      <c r="G678">
        <v>5452721.0099999998</v>
      </c>
      <c r="H678">
        <v>67704.45</v>
      </c>
      <c r="I678">
        <v>2408953.5099999998</v>
      </c>
      <c r="J678">
        <v>1.476</v>
      </c>
      <c r="K678">
        <v>89309.19</v>
      </c>
      <c r="L678">
        <v>16289.1</v>
      </c>
      <c r="M678">
        <v>28528.23</v>
      </c>
      <c r="N678">
        <v>2025</v>
      </c>
      <c r="O678">
        <v>4</v>
      </c>
    </row>
    <row r="679" spans="1:15" x14ac:dyDescent="0.3">
      <c r="A679">
        <v>41706</v>
      </c>
      <c r="B679">
        <v>3204005</v>
      </c>
      <c r="C679" t="s">
        <v>68</v>
      </c>
      <c r="D679">
        <v>0.435</v>
      </c>
      <c r="E679">
        <v>1936272.34</v>
      </c>
      <c r="F679">
        <v>0</v>
      </c>
      <c r="G679">
        <v>1936272.34</v>
      </c>
      <c r="H679">
        <v>24041.99</v>
      </c>
      <c r="I679">
        <v>616943.34</v>
      </c>
      <c r="J679">
        <v>0.70899999999999996</v>
      </c>
      <c r="K679">
        <v>31713.87</v>
      </c>
      <c r="L679">
        <v>7651.49</v>
      </c>
      <c r="M679">
        <v>10130.43</v>
      </c>
      <c r="N679">
        <v>2025</v>
      </c>
      <c r="O679">
        <v>4</v>
      </c>
    </row>
    <row r="680" spans="1:15" x14ac:dyDescent="0.3">
      <c r="A680">
        <v>41707</v>
      </c>
      <c r="B680">
        <v>3204054</v>
      </c>
      <c r="C680" t="s">
        <v>69</v>
      </c>
      <c r="D680">
        <v>0.33400000000000002</v>
      </c>
      <c r="E680">
        <v>1486701.07</v>
      </c>
      <c r="F680">
        <v>0</v>
      </c>
      <c r="G680">
        <v>1486701.07</v>
      </c>
      <c r="H680">
        <v>18459.82</v>
      </c>
      <c r="I680">
        <v>848672.34</v>
      </c>
      <c r="J680">
        <v>0.81</v>
      </c>
      <c r="K680">
        <v>24350.43</v>
      </c>
      <c r="L680">
        <v>8682.1200000000008</v>
      </c>
      <c r="M680">
        <v>7778.31</v>
      </c>
      <c r="N680">
        <v>2025</v>
      </c>
      <c r="O680">
        <v>4</v>
      </c>
    </row>
    <row r="681" spans="1:15" x14ac:dyDescent="0.3">
      <c r="A681">
        <v>41708</v>
      </c>
      <c r="B681">
        <v>3204104</v>
      </c>
      <c r="C681" t="s">
        <v>70</v>
      </c>
      <c r="D681">
        <v>0.755</v>
      </c>
      <c r="E681">
        <v>3360656.63</v>
      </c>
      <c r="F681">
        <v>0</v>
      </c>
      <c r="G681">
        <v>3360656.63</v>
      </c>
      <c r="H681">
        <v>41728.050000000003</v>
      </c>
      <c r="I681">
        <v>765220.14</v>
      </c>
      <c r="J681">
        <v>0.85099999999999998</v>
      </c>
      <c r="K681">
        <v>55043.62</v>
      </c>
      <c r="L681">
        <v>9243.01</v>
      </c>
      <c r="M681">
        <v>17582.7</v>
      </c>
      <c r="N681">
        <v>2025</v>
      </c>
      <c r="O681">
        <v>4</v>
      </c>
    </row>
    <row r="682" spans="1:15" x14ac:dyDescent="0.3">
      <c r="A682">
        <v>41709</v>
      </c>
      <c r="B682">
        <v>3204203</v>
      </c>
      <c r="C682" t="s">
        <v>71</v>
      </c>
      <c r="D682">
        <v>0.36499999999999999</v>
      </c>
      <c r="E682">
        <v>1624688.31</v>
      </c>
      <c r="F682">
        <v>0</v>
      </c>
      <c r="G682">
        <v>1624688.31</v>
      </c>
      <c r="H682">
        <v>20173.16</v>
      </c>
      <c r="I682">
        <v>1659392.15</v>
      </c>
      <c r="J682">
        <v>0.753</v>
      </c>
      <c r="K682">
        <v>26610.49</v>
      </c>
      <c r="L682">
        <v>8246.9500000000007</v>
      </c>
      <c r="M682">
        <v>8500.25</v>
      </c>
      <c r="N682">
        <v>2025</v>
      </c>
      <c r="O682">
        <v>4</v>
      </c>
    </row>
    <row r="683" spans="1:15" x14ac:dyDescent="0.3">
      <c r="A683">
        <v>41710</v>
      </c>
      <c r="B683">
        <v>3204252</v>
      </c>
      <c r="C683" t="s">
        <v>72</v>
      </c>
      <c r="D683">
        <v>0.27</v>
      </c>
      <c r="E683">
        <v>1201824.22</v>
      </c>
      <c r="F683">
        <v>0</v>
      </c>
      <c r="G683">
        <v>1201824.22</v>
      </c>
      <c r="H683">
        <v>14922.61</v>
      </c>
      <c r="I683">
        <v>185840.14</v>
      </c>
      <c r="J683">
        <v>0.316</v>
      </c>
      <c r="K683">
        <v>19684.47</v>
      </c>
      <c r="L683">
        <v>3429.09</v>
      </c>
      <c r="M683">
        <v>6287.85</v>
      </c>
      <c r="N683">
        <v>2025</v>
      </c>
      <c r="O683">
        <v>4</v>
      </c>
    </row>
    <row r="684" spans="1:15" x14ac:dyDescent="0.3">
      <c r="A684">
        <v>41711</v>
      </c>
      <c r="B684">
        <v>1718402</v>
      </c>
      <c r="C684" t="s">
        <v>73</v>
      </c>
      <c r="D684">
        <v>0.39100000000000001</v>
      </c>
      <c r="E684">
        <v>1740419.5</v>
      </c>
      <c r="F684">
        <v>0</v>
      </c>
      <c r="G684">
        <v>1740419.5</v>
      </c>
      <c r="H684">
        <v>21610.15</v>
      </c>
      <c r="I684">
        <v>726350.59</v>
      </c>
      <c r="J684">
        <v>0.56399999999999995</v>
      </c>
      <c r="K684">
        <v>28506.03</v>
      </c>
      <c r="L684">
        <v>6185.77</v>
      </c>
      <c r="M684">
        <v>9105.74</v>
      </c>
      <c r="N684">
        <v>2025</v>
      </c>
      <c r="O684">
        <v>4</v>
      </c>
    </row>
    <row r="685" spans="1:15" x14ac:dyDescent="0.3">
      <c r="A685">
        <v>41712</v>
      </c>
      <c r="B685">
        <v>3204351</v>
      </c>
      <c r="C685" t="s">
        <v>74</v>
      </c>
      <c r="D685">
        <v>0.88200000000000001</v>
      </c>
      <c r="E685">
        <v>3925959.11</v>
      </c>
      <c r="F685">
        <v>0</v>
      </c>
      <c r="G685">
        <v>3925959.11</v>
      </c>
      <c r="H685">
        <v>48747.199999999997</v>
      </c>
      <c r="I685">
        <v>1834129.38</v>
      </c>
      <c r="J685">
        <v>0.71399999999999997</v>
      </c>
      <c r="K685">
        <v>64302.61</v>
      </c>
      <c r="L685">
        <v>7780.92</v>
      </c>
      <c r="M685">
        <v>20540.32</v>
      </c>
      <c r="N685">
        <v>2025</v>
      </c>
      <c r="O685">
        <v>4</v>
      </c>
    </row>
    <row r="686" spans="1:15" x14ac:dyDescent="0.3">
      <c r="A686">
        <v>41713</v>
      </c>
      <c r="B686">
        <v>3204401</v>
      </c>
      <c r="C686" t="s">
        <v>75</v>
      </c>
      <c r="D686">
        <v>0.312</v>
      </c>
      <c r="E686">
        <v>1388774.67</v>
      </c>
      <c r="F686">
        <v>0</v>
      </c>
      <c r="G686">
        <v>1388774.67</v>
      </c>
      <c r="H686">
        <v>17243.91</v>
      </c>
      <c r="I686">
        <v>496364.33</v>
      </c>
      <c r="J686">
        <v>0.45300000000000001</v>
      </c>
      <c r="K686">
        <v>22746.5</v>
      </c>
      <c r="L686">
        <v>4916.41</v>
      </c>
      <c r="M686">
        <v>7265.96</v>
      </c>
      <c r="N686">
        <v>2025</v>
      </c>
      <c r="O686">
        <v>4</v>
      </c>
    </row>
    <row r="687" spans="1:15" x14ac:dyDescent="0.3">
      <c r="A687">
        <v>41714</v>
      </c>
      <c r="B687">
        <v>3204500</v>
      </c>
      <c r="C687" t="s">
        <v>76</v>
      </c>
      <c r="D687">
        <v>0.51800000000000002</v>
      </c>
      <c r="E687">
        <v>2305722.02</v>
      </c>
      <c r="F687">
        <v>0</v>
      </c>
      <c r="G687">
        <v>2305722.02</v>
      </c>
      <c r="H687">
        <v>28629.31</v>
      </c>
      <c r="I687">
        <v>422466.42</v>
      </c>
      <c r="J687">
        <v>0.47899999999999998</v>
      </c>
      <c r="K687">
        <v>37765.019999999997</v>
      </c>
      <c r="L687">
        <v>6064.3</v>
      </c>
      <c r="M687">
        <v>12063.36</v>
      </c>
      <c r="N687">
        <v>2025</v>
      </c>
      <c r="O687">
        <v>4</v>
      </c>
    </row>
    <row r="688" spans="1:15" x14ac:dyDescent="0.3">
      <c r="A688">
        <v>41715</v>
      </c>
      <c r="B688">
        <v>3204559</v>
      </c>
      <c r="C688" t="s">
        <v>77</v>
      </c>
      <c r="D688">
        <v>2.1909999999999998</v>
      </c>
      <c r="E688">
        <v>9752581</v>
      </c>
      <c r="F688">
        <v>0</v>
      </c>
      <c r="G688">
        <v>9752581</v>
      </c>
      <c r="H688">
        <v>121094.24</v>
      </c>
      <c r="I688">
        <v>2965768.85</v>
      </c>
      <c r="J688">
        <v>1.236</v>
      </c>
      <c r="K688">
        <v>159735.85</v>
      </c>
      <c r="L688">
        <v>14499.61</v>
      </c>
      <c r="M688">
        <v>51024.77</v>
      </c>
      <c r="N688">
        <v>2025</v>
      </c>
      <c r="O688">
        <v>4</v>
      </c>
    </row>
    <row r="689" spans="1:15" x14ac:dyDescent="0.3">
      <c r="A689">
        <v>41716</v>
      </c>
      <c r="B689">
        <v>3204609</v>
      </c>
      <c r="C689" t="s">
        <v>78</v>
      </c>
      <c r="D689">
        <v>0.66</v>
      </c>
      <c r="E689">
        <v>2937792.54</v>
      </c>
      <c r="F689">
        <v>0</v>
      </c>
      <c r="G689">
        <v>2937792.54</v>
      </c>
      <c r="H689">
        <v>36477.5</v>
      </c>
      <c r="I689">
        <v>1568155.83</v>
      </c>
      <c r="J689">
        <v>0.82699999999999996</v>
      </c>
      <c r="K689">
        <v>48117.599999999999</v>
      </c>
      <c r="L689">
        <v>9104.1200000000008</v>
      </c>
      <c r="M689">
        <v>15370.31</v>
      </c>
      <c r="N689">
        <v>2025</v>
      </c>
      <c r="O689">
        <v>4</v>
      </c>
    </row>
    <row r="690" spans="1:15" x14ac:dyDescent="0.3">
      <c r="A690">
        <v>41717</v>
      </c>
      <c r="B690">
        <v>3204658</v>
      </c>
      <c r="C690" t="s">
        <v>79</v>
      </c>
      <c r="D690">
        <v>0.42099999999999999</v>
      </c>
      <c r="E690">
        <v>1873955.55</v>
      </c>
      <c r="F690">
        <v>0</v>
      </c>
      <c r="G690">
        <v>1873955.55</v>
      </c>
      <c r="H690">
        <v>23268.22</v>
      </c>
      <c r="I690">
        <v>523108.15</v>
      </c>
      <c r="J690">
        <v>0.34300000000000003</v>
      </c>
      <c r="K690">
        <v>30693.19</v>
      </c>
      <c r="L690">
        <v>3741.12</v>
      </c>
      <c r="M690">
        <v>9804.39</v>
      </c>
      <c r="N690">
        <v>2025</v>
      </c>
      <c r="O690">
        <v>4</v>
      </c>
    </row>
    <row r="691" spans="1:15" x14ac:dyDescent="0.3">
      <c r="A691">
        <v>41718</v>
      </c>
      <c r="B691">
        <v>3204708</v>
      </c>
      <c r="C691" t="s">
        <v>80</v>
      </c>
      <c r="D691">
        <v>0.72299999999999998</v>
      </c>
      <c r="E691">
        <v>3218218.17</v>
      </c>
      <c r="F691">
        <v>0</v>
      </c>
      <c r="G691">
        <v>3218218.17</v>
      </c>
      <c r="H691">
        <v>39959.440000000002</v>
      </c>
      <c r="I691">
        <v>1997946.75</v>
      </c>
      <c r="J691">
        <v>1.1040000000000001</v>
      </c>
      <c r="K691">
        <v>52710.64</v>
      </c>
      <c r="L691">
        <v>12001.9</v>
      </c>
      <c r="M691">
        <v>16837.48</v>
      </c>
      <c r="N691">
        <v>2025</v>
      </c>
      <c r="O691">
        <v>4</v>
      </c>
    </row>
    <row r="692" spans="1:15" x14ac:dyDescent="0.3">
      <c r="A692">
        <v>41719</v>
      </c>
      <c r="B692">
        <v>3204807</v>
      </c>
      <c r="C692" t="s">
        <v>81</v>
      </c>
      <c r="D692">
        <v>0.28599999999999998</v>
      </c>
      <c r="E692">
        <v>1273043.42</v>
      </c>
      <c r="F692">
        <v>0</v>
      </c>
      <c r="G692">
        <v>1273043.42</v>
      </c>
      <c r="H692">
        <v>15806.92</v>
      </c>
      <c r="I692">
        <v>479202.42</v>
      </c>
      <c r="J692">
        <v>0.45</v>
      </c>
      <c r="K692">
        <v>20850.96</v>
      </c>
      <c r="L692">
        <v>4902.1000000000004</v>
      </c>
      <c r="M692">
        <v>6660.47</v>
      </c>
      <c r="N692">
        <v>2025</v>
      </c>
      <c r="O692">
        <v>4</v>
      </c>
    </row>
    <row r="693" spans="1:15" x14ac:dyDescent="0.3">
      <c r="A693">
        <v>41720</v>
      </c>
      <c r="B693">
        <v>3204906</v>
      </c>
      <c r="C693" t="s">
        <v>82</v>
      </c>
      <c r="D693">
        <v>1.998</v>
      </c>
      <c r="E693">
        <v>8893499.2200000007</v>
      </c>
      <c r="F693">
        <v>0</v>
      </c>
      <c r="G693">
        <v>8893499.2200000007</v>
      </c>
      <c r="H693">
        <v>110427.33</v>
      </c>
      <c r="I693">
        <v>5057823.67</v>
      </c>
      <c r="J693">
        <v>2.9870000000000001</v>
      </c>
      <c r="K693">
        <v>145665.1</v>
      </c>
      <c r="L693">
        <v>33150.699999999997</v>
      </c>
      <c r="M693">
        <v>46530.12</v>
      </c>
      <c r="N693">
        <v>2025</v>
      </c>
      <c r="O693">
        <v>4</v>
      </c>
    </row>
    <row r="694" spans="1:15" x14ac:dyDescent="0.3">
      <c r="A694">
        <v>41721</v>
      </c>
      <c r="B694">
        <v>3204955</v>
      </c>
      <c r="C694" t="s">
        <v>83</v>
      </c>
      <c r="D694">
        <v>0.3</v>
      </c>
      <c r="E694">
        <v>1335360.24</v>
      </c>
      <c r="F694">
        <v>0</v>
      </c>
      <c r="G694">
        <v>1335360.24</v>
      </c>
      <c r="H694">
        <v>16580.68</v>
      </c>
      <c r="I694">
        <v>533948.44999999995</v>
      </c>
      <c r="J694">
        <v>0.45</v>
      </c>
      <c r="K694">
        <v>21871.63</v>
      </c>
      <c r="L694">
        <v>4888.34</v>
      </c>
      <c r="M694">
        <v>6986.5</v>
      </c>
      <c r="N694">
        <v>2025</v>
      </c>
      <c r="O694">
        <v>4</v>
      </c>
    </row>
    <row r="695" spans="1:15" x14ac:dyDescent="0.3">
      <c r="A695">
        <v>41722</v>
      </c>
      <c r="B695">
        <v>3205002</v>
      </c>
      <c r="C695" t="s">
        <v>84</v>
      </c>
      <c r="D695">
        <v>14.551</v>
      </c>
      <c r="E695">
        <v>64769423.060000002</v>
      </c>
      <c r="F695">
        <v>0</v>
      </c>
      <c r="G695">
        <v>64769423.060000002</v>
      </c>
      <c r="H695">
        <v>804218.27</v>
      </c>
      <c r="I695">
        <v>20195645.600000001</v>
      </c>
      <c r="J695">
        <v>8.6910000000000007</v>
      </c>
      <c r="K695">
        <v>1060847.28</v>
      </c>
      <c r="L695">
        <v>98057.24</v>
      </c>
      <c r="M695">
        <v>338868.75</v>
      </c>
      <c r="N695">
        <v>2025</v>
      </c>
      <c r="O695">
        <v>4</v>
      </c>
    </row>
    <row r="696" spans="1:15" x14ac:dyDescent="0.3">
      <c r="A696">
        <v>41723</v>
      </c>
      <c r="B696">
        <v>3205010</v>
      </c>
      <c r="C696" t="s">
        <v>85</v>
      </c>
      <c r="D696">
        <v>0.78200000000000003</v>
      </c>
      <c r="E696">
        <v>3480839.04</v>
      </c>
      <c r="F696">
        <v>0</v>
      </c>
      <c r="G696">
        <v>3480839.04</v>
      </c>
      <c r="H696">
        <v>43220.31</v>
      </c>
      <c r="I696">
        <v>776908.80000000005</v>
      </c>
      <c r="J696">
        <v>0.95199999999999996</v>
      </c>
      <c r="K696">
        <v>57012.07</v>
      </c>
      <c r="L696">
        <v>10385.74</v>
      </c>
      <c r="M696">
        <v>18211.490000000002</v>
      </c>
      <c r="N696">
        <v>2025</v>
      </c>
      <c r="O696">
        <v>4</v>
      </c>
    </row>
    <row r="697" spans="1:15" x14ac:dyDescent="0.3">
      <c r="A697">
        <v>41724</v>
      </c>
      <c r="B697">
        <v>3205036</v>
      </c>
      <c r="C697" t="s">
        <v>86</v>
      </c>
      <c r="D697">
        <v>0.45700000000000002</v>
      </c>
      <c r="E697">
        <v>2034198.76</v>
      </c>
      <c r="F697">
        <v>0</v>
      </c>
      <c r="G697">
        <v>2034198.76</v>
      </c>
      <c r="H697">
        <v>25257.9</v>
      </c>
      <c r="I697">
        <v>1118444.8799999999</v>
      </c>
      <c r="J697">
        <v>0.71699999999999997</v>
      </c>
      <c r="K697">
        <v>33317.79</v>
      </c>
      <c r="L697">
        <v>7797.65</v>
      </c>
      <c r="M697">
        <v>10642.77</v>
      </c>
      <c r="N697">
        <v>2025</v>
      </c>
      <c r="O697">
        <v>4</v>
      </c>
    </row>
    <row r="698" spans="1:15" x14ac:dyDescent="0.3">
      <c r="A698">
        <v>41725</v>
      </c>
      <c r="B698">
        <v>3205069</v>
      </c>
      <c r="C698" t="s">
        <v>87</v>
      </c>
      <c r="D698">
        <v>0.67</v>
      </c>
      <c r="E698">
        <v>2982304.55</v>
      </c>
      <c r="F698">
        <v>0</v>
      </c>
      <c r="G698">
        <v>2982304.55</v>
      </c>
      <c r="H698">
        <v>37030.19</v>
      </c>
      <c r="I698">
        <v>2373406.75</v>
      </c>
      <c r="J698">
        <v>0.85</v>
      </c>
      <c r="K698">
        <v>48846.66</v>
      </c>
      <c r="L698">
        <v>9289.2900000000009</v>
      </c>
      <c r="M698">
        <v>15603.19</v>
      </c>
      <c r="N698">
        <v>2025</v>
      </c>
      <c r="O698">
        <v>4</v>
      </c>
    </row>
    <row r="699" spans="1:15" x14ac:dyDescent="0.3">
      <c r="A699">
        <v>41726</v>
      </c>
      <c r="B699">
        <v>2112803</v>
      </c>
      <c r="C699" t="s">
        <v>88</v>
      </c>
      <c r="D699">
        <v>3.3740000000000001</v>
      </c>
      <c r="E699">
        <v>15018351.550000001</v>
      </c>
      <c r="F699">
        <v>0</v>
      </c>
      <c r="G699">
        <v>15018351.550000001</v>
      </c>
      <c r="H699">
        <v>186477.39</v>
      </c>
      <c r="I699">
        <v>5366749.68</v>
      </c>
      <c r="J699">
        <v>1.9590000000000001</v>
      </c>
      <c r="K699">
        <v>245983.01</v>
      </c>
      <c r="L699">
        <v>21530.02</v>
      </c>
      <c r="M699">
        <v>78574.89</v>
      </c>
      <c r="N699">
        <v>2025</v>
      </c>
      <c r="O699">
        <v>4</v>
      </c>
    </row>
    <row r="700" spans="1:15" x14ac:dyDescent="0.3">
      <c r="A700">
        <v>41727</v>
      </c>
      <c r="B700">
        <v>3205150</v>
      </c>
      <c r="C700" t="s">
        <v>89</v>
      </c>
      <c r="D700">
        <v>0.36799999999999999</v>
      </c>
      <c r="E700">
        <v>1638041.91</v>
      </c>
      <c r="F700">
        <v>0</v>
      </c>
      <c r="G700">
        <v>1638041.91</v>
      </c>
      <c r="H700">
        <v>20338.97</v>
      </c>
      <c r="I700">
        <v>370986.36</v>
      </c>
      <c r="J700">
        <v>0.34699999999999998</v>
      </c>
      <c r="K700">
        <v>26829.21</v>
      </c>
      <c r="L700">
        <v>3780.26</v>
      </c>
      <c r="M700">
        <v>8570.11</v>
      </c>
      <c r="N700">
        <v>2025</v>
      </c>
      <c r="O700">
        <v>4</v>
      </c>
    </row>
    <row r="701" spans="1:15" x14ac:dyDescent="0.3">
      <c r="A701">
        <v>41728</v>
      </c>
      <c r="B701">
        <v>3205176</v>
      </c>
      <c r="C701" t="s">
        <v>90</v>
      </c>
      <c r="D701">
        <v>0.7</v>
      </c>
      <c r="E701">
        <v>3115840.56</v>
      </c>
      <c r="F701">
        <v>0</v>
      </c>
      <c r="G701">
        <v>3115840.56</v>
      </c>
      <c r="H701">
        <v>38688.25</v>
      </c>
      <c r="I701">
        <v>1177251.75</v>
      </c>
      <c r="J701">
        <v>0.56399999999999995</v>
      </c>
      <c r="K701">
        <v>51033.82</v>
      </c>
      <c r="L701">
        <v>6133.93</v>
      </c>
      <c r="M701">
        <v>16301.84</v>
      </c>
      <c r="N701">
        <v>2025</v>
      </c>
      <c r="O701">
        <v>4</v>
      </c>
    </row>
    <row r="702" spans="1:15" x14ac:dyDescent="0.3">
      <c r="A702">
        <v>41729</v>
      </c>
      <c r="B702">
        <v>3205200</v>
      </c>
      <c r="C702" t="s">
        <v>91</v>
      </c>
      <c r="D702">
        <v>6.6219999999999999</v>
      </c>
      <c r="E702">
        <v>29475851.789999999</v>
      </c>
      <c r="F702">
        <v>0</v>
      </c>
      <c r="G702">
        <v>29475851.789999999</v>
      </c>
      <c r="H702">
        <v>365990.89</v>
      </c>
      <c r="I702">
        <v>26308102.16</v>
      </c>
      <c r="J702">
        <v>8.0009999999999994</v>
      </c>
      <c r="K702">
        <v>482779.93</v>
      </c>
      <c r="L702">
        <v>88694.26</v>
      </c>
      <c r="M702">
        <v>154215.44</v>
      </c>
      <c r="N702">
        <v>2025</v>
      </c>
      <c r="O702">
        <v>4</v>
      </c>
    </row>
    <row r="703" spans="1:15" x14ac:dyDescent="0.3">
      <c r="A703">
        <v>41730</v>
      </c>
      <c r="B703">
        <v>3205309</v>
      </c>
      <c r="C703" t="s">
        <v>92</v>
      </c>
      <c r="D703">
        <v>10.878</v>
      </c>
      <c r="E703">
        <v>48420162.539999999</v>
      </c>
      <c r="F703">
        <v>0</v>
      </c>
      <c r="G703">
        <v>48420162.539999999</v>
      </c>
      <c r="H703">
        <v>601215.47</v>
      </c>
      <c r="I703">
        <v>29327015.760000002</v>
      </c>
      <c r="J703">
        <v>9.2110000000000003</v>
      </c>
      <c r="K703">
        <v>793065.54</v>
      </c>
      <c r="L703">
        <v>101628.05</v>
      </c>
      <c r="M703">
        <v>253330.68</v>
      </c>
      <c r="N703">
        <v>2025</v>
      </c>
      <c r="O703">
        <v>4</v>
      </c>
    </row>
    <row r="704" spans="1:15" x14ac:dyDescent="0.3">
      <c r="A704">
        <v>41731</v>
      </c>
      <c r="B704">
        <v>3200102</v>
      </c>
      <c r="C704" t="s">
        <v>15</v>
      </c>
      <c r="D704">
        <v>0.67100000000000004</v>
      </c>
      <c r="E704">
        <v>3185277.44</v>
      </c>
      <c r="F704">
        <v>0</v>
      </c>
      <c r="G704">
        <v>3185277.44</v>
      </c>
      <c r="H704">
        <v>36029.25</v>
      </c>
      <c r="I704">
        <v>361473.49</v>
      </c>
      <c r="J704">
        <v>1.0169999999999999</v>
      </c>
      <c r="K704">
        <v>51808.75</v>
      </c>
      <c r="L704">
        <v>0</v>
      </c>
      <c r="M704">
        <v>0</v>
      </c>
      <c r="N704">
        <v>2025</v>
      </c>
      <c r="O704">
        <v>5</v>
      </c>
    </row>
    <row r="705" spans="1:15" x14ac:dyDescent="0.3">
      <c r="A705">
        <v>41732</v>
      </c>
      <c r="B705">
        <v>3200169</v>
      </c>
      <c r="C705" t="s">
        <v>16</v>
      </c>
      <c r="D705">
        <v>0.309</v>
      </c>
      <c r="E705">
        <v>1466841.63</v>
      </c>
      <c r="F705">
        <v>0</v>
      </c>
      <c r="G705">
        <v>1466841.63</v>
      </c>
      <c r="H705">
        <v>16591.71</v>
      </c>
      <c r="I705">
        <v>169964.79</v>
      </c>
      <c r="J705">
        <v>0.46500000000000002</v>
      </c>
      <c r="K705">
        <v>23858.28</v>
      </c>
      <c r="L705">
        <v>0</v>
      </c>
      <c r="M705">
        <v>0</v>
      </c>
      <c r="N705">
        <v>2025</v>
      </c>
      <c r="O705">
        <v>5</v>
      </c>
    </row>
    <row r="706" spans="1:15" x14ac:dyDescent="0.3">
      <c r="A706">
        <v>41733</v>
      </c>
      <c r="B706">
        <v>3200136</v>
      </c>
      <c r="C706" t="s">
        <v>17</v>
      </c>
      <c r="D706">
        <v>0.51900000000000002</v>
      </c>
      <c r="E706">
        <v>2463724.27</v>
      </c>
      <c r="F706">
        <v>0</v>
      </c>
      <c r="G706">
        <v>2463724.27</v>
      </c>
      <c r="H706">
        <v>27867.63</v>
      </c>
      <c r="I706">
        <v>178322.48</v>
      </c>
      <c r="J706">
        <v>0.35799999999999998</v>
      </c>
      <c r="K706">
        <v>40072.639999999999</v>
      </c>
      <c r="L706">
        <v>0</v>
      </c>
      <c r="M706">
        <v>0</v>
      </c>
      <c r="N706">
        <v>2025</v>
      </c>
      <c r="O706">
        <v>5</v>
      </c>
    </row>
    <row r="707" spans="1:15" x14ac:dyDescent="0.3">
      <c r="A707">
        <v>41734</v>
      </c>
      <c r="B707">
        <v>3200201</v>
      </c>
      <c r="C707" t="s">
        <v>18</v>
      </c>
      <c r="D707">
        <v>0.41799999999999998</v>
      </c>
      <c r="E707">
        <v>1984271.19</v>
      </c>
      <c r="F707">
        <v>0</v>
      </c>
      <c r="G707">
        <v>1984271.19</v>
      </c>
      <c r="H707">
        <v>22444.45</v>
      </c>
      <c r="I707">
        <v>322968.57</v>
      </c>
      <c r="J707">
        <v>0.98699999999999999</v>
      </c>
      <c r="K707">
        <v>32274.31</v>
      </c>
      <c r="L707">
        <v>0</v>
      </c>
      <c r="M707">
        <v>0</v>
      </c>
      <c r="N707">
        <v>2025</v>
      </c>
      <c r="O707">
        <v>5</v>
      </c>
    </row>
    <row r="708" spans="1:15" x14ac:dyDescent="0.3">
      <c r="A708">
        <v>41735</v>
      </c>
      <c r="B708">
        <v>3200300</v>
      </c>
      <c r="C708" t="s">
        <v>19</v>
      </c>
      <c r="D708">
        <v>0.442</v>
      </c>
      <c r="E708">
        <v>2098200.65</v>
      </c>
      <c r="F708">
        <v>0</v>
      </c>
      <c r="G708">
        <v>2098200.65</v>
      </c>
      <c r="H708">
        <v>23733.13</v>
      </c>
      <c r="I708">
        <v>276066.64</v>
      </c>
      <c r="J708">
        <v>0.56599999999999995</v>
      </c>
      <c r="K708">
        <v>34127.379999999997</v>
      </c>
      <c r="L708">
        <v>0</v>
      </c>
      <c r="M708">
        <v>0</v>
      </c>
      <c r="N708">
        <v>2025</v>
      </c>
      <c r="O708">
        <v>5</v>
      </c>
    </row>
    <row r="709" spans="1:15" x14ac:dyDescent="0.3">
      <c r="A709">
        <v>41736</v>
      </c>
      <c r="B709">
        <v>3200359</v>
      </c>
      <c r="C709" t="s">
        <v>20</v>
      </c>
      <c r="D709">
        <v>0.25800000000000001</v>
      </c>
      <c r="E709">
        <v>1224741.54</v>
      </c>
      <c r="F709">
        <v>0</v>
      </c>
      <c r="G709">
        <v>1224741.54</v>
      </c>
      <c r="H709">
        <v>13853.27</v>
      </c>
      <c r="I709">
        <v>109598.56</v>
      </c>
      <c r="J709">
        <v>0.32800000000000001</v>
      </c>
      <c r="K709">
        <v>19920.5</v>
      </c>
      <c r="L709">
        <v>0</v>
      </c>
      <c r="M709">
        <v>0</v>
      </c>
      <c r="N709">
        <v>2025</v>
      </c>
      <c r="O709">
        <v>5</v>
      </c>
    </row>
    <row r="710" spans="1:15" x14ac:dyDescent="0.3">
      <c r="A710">
        <v>41737</v>
      </c>
      <c r="B710">
        <v>3200409</v>
      </c>
      <c r="C710" t="s">
        <v>21</v>
      </c>
      <c r="D710">
        <v>3.4780000000000002</v>
      </c>
      <c r="E710">
        <v>16510275.57</v>
      </c>
      <c r="F710">
        <v>0</v>
      </c>
      <c r="G710">
        <v>16510275.57</v>
      </c>
      <c r="H710">
        <v>186750.73</v>
      </c>
      <c r="I710">
        <v>485571.76</v>
      </c>
      <c r="J710">
        <v>0.93</v>
      </c>
      <c r="K710">
        <v>268540.75</v>
      </c>
      <c r="L710">
        <v>0</v>
      </c>
      <c r="M710">
        <v>0</v>
      </c>
      <c r="N710">
        <v>2025</v>
      </c>
      <c r="O710">
        <v>5</v>
      </c>
    </row>
    <row r="711" spans="1:15" x14ac:dyDescent="0.3">
      <c r="A711">
        <v>41738</v>
      </c>
      <c r="B711">
        <v>3200508</v>
      </c>
      <c r="C711" t="s">
        <v>22</v>
      </c>
      <c r="D711">
        <v>0.23799999999999999</v>
      </c>
      <c r="E711">
        <v>1129800.3400000001</v>
      </c>
      <c r="F711">
        <v>0</v>
      </c>
      <c r="G711">
        <v>1129800.3400000001</v>
      </c>
      <c r="H711">
        <v>12779.38</v>
      </c>
      <c r="I711">
        <v>171871.27</v>
      </c>
      <c r="J711">
        <v>0.32500000000000001</v>
      </c>
      <c r="K711">
        <v>18376.28</v>
      </c>
      <c r="L711">
        <v>0</v>
      </c>
      <c r="M711">
        <v>0</v>
      </c>
      <c r="N711">
        <v>2025</v>
      </c>
      <c r="O711">
        <v>5</v>
      </c>
    </row>
    <row r="712" spans="1:15" x14ac:dyDescent="0.3">
      <c r="A712">
        <v>41739</v>
      </c>
      <c r="B712">
        <v>3200607</v>
      </c>
      <c r="C712" t="s">
        <v>23</v>
      </c>
      <c r="D712">
        <v>4.4800000000000004</v>
      </c>
      <c r="E712">
        <v>21266829.949999999</v>
      </c>
      <c r="F712">
        <v>0</v>
      </c>
      <c r="G712">
        <v>21266829.949999999</v>
      </c>
      <c r="H712">
        <v>240552.98</v>
      </c>
      <c r="I712">
        <v>1443255.45</v>
      </c>
      <c r="J712">
        <v>2.456</v>
      </c>
      <c r="K712">
        <v>345906.43</v>
      </c>
      <c r="L712">
        <v>0</v>
      </c>
      <c r="M712">
        <v>0</v>
      </c>
      <c r="N712">
        <v>2025</v>
      </c>
      <c r="O712">
        <v>5</v>
      </c>
    </row>
    <row r="713" spans="1:15" x14ac:dyDescent="0.3">
      <c r="A713">
        <v>41740</v>
      </c>
      <c r="B713">
        <v>3200706</v>
      </c>
      <c r="C713" t="s">
        <v>24</v>
      </c>
      <c r="D713">
        <v>0.39500000000000002</v>
      </c>
      <c r="E713">
        <v>1875088.82</v>
      </c>
      <c r="F713">
        <v>0</v>
      </c>
      <c r="G713">
        <v>1875088.82</v>
      </c>
      <c r="H713">
        <v>21209.47</v>
      </c>
      <c r="I713">
        <v>122584.48</v>
      </c>
      <c r="J713">
        <v>0.44600000000000001</v>
      </c>
      <c r="K713">
        <v>30498.45</v>
      </c>
      <c r="L713">
        <v>0</v>
      </c>
      <c r="M713">
        <v>0</v>
      </c>
      <c r="N713">
        <v>2025</v>
      </c>
      <c r="O713">
        <v>5</v>
      </c>
    </row>
    <row r="714" spans="1:15" x14ac:dyDescent="0.3">
      <c r="A714">
        <v>41741</v>
      </c>
      <c r="B714">
        <v>3200805</v>
      </c>
      <c r="C714" t="s">
        <v>25</v>
      </c>
      <c r="D714">
        <v>0.54</v>
      </c>
      <c r="E714">
        <v>2563412.5499999998</v>
      </c>
      <c r="F714">
        <v>0</v>
      </c>
      <c r="G714">
        <v>2563412.5499999998</v>
      </c>
      <c r="H714">
        <v>28995.23</v>
      </c>
      <c r="I714">
        <v>768547.05</v>
      </c>
      <c r="J714">
        <v>1.016</v>
      </c>
      <c r="K714">
        <v>41694.080000000002</v>
      </c>
      <c r="L714">
        <v>0</v>
      </c>
      <c r="M714">
        <v>0</v>
      </c>
      <c r="N714">
        <v>2025</v>
      </c>
      <c r="O714">
        <v>5</v>
      </c>
    </row>
    <row r="715" spans="1:15" x14ac:dyDescent="0.3">
      <c r="A715">
        <v>41742</v>
      </c>
      <c r="B715">
        <v>3200904</v>
      </c>
      <c r="C715" t="s">
        <v>26</v>
      </c>
      <c r="D715">
        <v>0.81299999999999994</v>
      </c>
      <c r="E715">
        <v>3859359.99</v>
      </c>
      <c r="F715">
        <v>0</v>
      </c>
      <c r="G715">
        <v>3859359.99</v>
      </c>
      <c r="H715">
        <v>43653.919999999998</v>
      </c>
      <c r="I715">
        <v>820353.23</v>
      </c>
      <c r="J715">
        <v>1.3140000000000001</v>
      </c>
      <c r="K715">
        <v>62772.76</v>
      </c>
      <c r="L715">
        <v>0</v>
      </c>
      <c r="M715">
        <v>0</v>
      </c>
      <c r="N715">
        <v>2025</v>
      </c>
      <c r="O715">
        <v>5</v>
      </c>
    </row>
    <row r="716" spans="1:15" x14ac:dyDescent="0.3">
      <c r="A716">
        <v>41743</v>
      </c>
      <c r="B716">
        <v>3107109</v>
      </c>
      <c r="C716" t="s">
        <v>27</v>
      </c>
      <c r="D716">
        <v>0.48699999999999999</v>
      </c>
      <c r="E716">
        <v>2311818.35</v>
      </c>
      <c r="F716">
        <v>0</v>
      </c>
      <c r="G716">
        <v>2311818.35</v>
      </c>
      <c r="H716">
        <v>26149.4</v>
      </c>
      <c r="I716">
        <v>274335.15999999997</v>
      </c>
      <c r="J716">
        <v>0.56299999999999994</v>
      </c>
      <c r="K716">
        <v>37601.89</v>
      </c>
      <c r="L716">
        <v>0</v>
      </c>
      <c r="M716">
        <v>0</v>
      </c>
      <c r="N716">
        <v>2025</v>
      </c>
      <c r="O716">
        <v>5</v>
      </c>
    </row>
    <row r="717" spans="1:15" x14ac:dyDescent="0.3">
      <c r="A717">
        <v>41744</v>
      </c>
      <c r="B717">
        <v>3201100</v>
      </c>
      <c r="C717" t="s">
        <v>28</v>
      </c>
      <c r="D717">
        <v>0.247</v>
      </c>
      <c r="E717">
        <v>1172523.8600000001</v>
      </c>
      <c r="F717">
        <v>0</v>
      </c>
      <c r="G717">
        <v>1172523.8600000001</v>
      </c>
      <c r="H717">
        <v>13262.63</v>
      </c>
      <c r="I717">
        <v>475282.98</v>
      </c>
      <c r="J717">
        <v>0.442</v>
      </c>
      <c r="K717">
        <v>19071.18</v>
      </c>
      <c r="L717">
        <v>0</v>
      </c>
      <c r="M717">
        <v>0</v>
      </c>
      <c r="N717">
        <v>2025</v>
      </c>
      <c r="O717">
        <v>5</v>
      </c>
    </row>
    <row r="718" spans="1:15" x14ac:dyDescent="0.3">
      <c r="A718">
        <v>41745</v>
      </c>
      <c r="B718">
        <v>3201159</v>
      </c>
      <c r="C718" t="s">
        <v>29</v>
      </c>
      <c r="D718">
        <v>0.40699999999999997</v>
      </c>
      <c r="E718">
        <v>1932053.54</v>
      </c>
      <c r="F718">
        <v>0</v>
      </c>
      <c r="G718">
        <v>1932053.54</v>
      </c>
      <c r="H718">
        <v>21853.81</v>
      </c>
      <c r="I718">
        <v>222666.99</v>
      </c>
      <c r="J718">
        <v>0.47799999999999998</v>
      </c>
      <c r="K718">
        <v>31424.98</v>
      </c>
      <c r="L718">
        <v>0</v>
      </c>
      <c r="M718">
        <v>0</v>
      </c>
      <c r="N718">
        <v>2025</v>
      </c>
      <c r="O718">
        <v>5</v>
      </c>
    </row>
    <row r="719" spans="1:15" x14ac:dyDescent="0.3">
      <c r="A719">
        <v>41746</v>
      </c>
      <c r="B719">
        <v>3201209</v>
      </c>
      <c r="C719" t="s">
        <v>30</v>
      </c>
      <c r="D719">
        <v>2.5920000000000001</v>
      </c>
      <c r="E719">
        <v>12304380.199999999</v>
      </c>
      <c r="F719">
        <v>0</v>
      </c>
      <c r="G719">
        <v>12304380.199999999</v>
      </c>
      <c r="H719">
        <v>139177.07999999999</v>
      </c>
      <c r="I719">
        <v>2906886.65</v>
      </c>
      <c r="J719">
        <v>4.3239999999999998</v>
      </c>
      <c r="K719">
        <v>200131.58</v>
      </c>
      <c r="L719">
        <v>0</v>
      </c>
      <c r="M719">
        <v>0</v>
      </c>
      <c r="N719">
        <v>2025</v>
      </c>
      <c r="O719">
        <v>5</v>
      </c>
    </row>
    <row r="720" spans="1:15" x14ac:dyDescent="0.3">
      <c r="A720">
        <v>41747</v>
      </c>
      <c r="B720">
        <v>3201308</v>
      </c>
      <c r="C720" t="s">
        <v>31</v>
      </c>
      <c r="D720">
        <v>8.3239999999999998</v>
      </c>
      <c r="E720">
        <v>39514529.579999998</v>
      </c>
      <c r="F720">
        <v>0</v>
      </c>
      <c r="G720">
        <v>39514529.579999998</v>
      </c>
      <c r="H720">
        <v>446956.03</v>
      </c>
      <c r="I720">
        <v>4071641.09</v>
      </c>
      <c r="J720">
        <v>6.5110000000000001</v>
      </c>
      <c r="K720">
        <v>642706.5</v>
      </c>
      <c r="L720">
        <v>0</v>
      </c>
      <c r="M720">
        <v>0</v>
      </c>
      <c r="N720">
        <v>2025</v>
      </c>
      <c r="O720">
        <v>5</v>
      </c>
    </row>
    <row r="721" spans="1:15" x14ac:dyDescent="0.3">
      <c r="A721">
        <v>41748</v>
      </c>
      <c r="B721">
        <v>3201407</v>
      </c>
      <c r="C721" t="s">
        <v>32</v>
      </c>
      <c r="D721">
        <v>0.80700000000000005</v>
      </c>
      <c r="E721">
        <v>3830877.62</v>
      </c>
      <c r="F721">
        <v>0</v>
      </c>
      <c r="G721">
        <v>3830877.62</v>
      </c>
      <c r="H721">
        <v>43331.75</v>
      </c>
      <c r="I721">
        <v>640544.81999999995</v>
      </c>
      <c r="J721">
        <v>1.165</v>
      </c>
      <c r="K721">
        <v>62309.48</v>
      </c>
      <c r="L721">
        <v>0</v>
      </c>
      <c r="M721">
        <v>0</v>
      </c>
      <c r="N721">
        <v>2025</v>
      </c>
      <c r="O721">
        <v>5</v>
      </c>
    </row>
    <row r="722" spans="1:15" x14ac:dyDescent="0.3">
      <c r="A722">
        <v>41749</v>
      </c>
      <c r="B722">
        <v>3201506</v>
      </c>
      <c r="C722" t="s">
        <v>33</v>
      </c>
      <c r="D722">
        <v>2.0139999999999998</v>
      </c>
      <c r="E722">
        <v>9560579.3399999999</v>
      </c>
      <c r="F722">
        <v>0</v>
      </c>
      <c r="G722">
        <v>9560579.3399999999</v>
      </c>
      <c r="H722">
        <v>108141.45</v>
      </c>
      <c r="I722">
        <v>2119373.5299999998</v>
      </c>
      <c r="J722">
        <v>2.875</v>
      </c>
      <c r="K722">
        <v>155503.47</v>
      </c>
      <c r="L722">
        <v>0</v>
      </c>
      <c r="M722">
        <v>0</v>
      </c>
      <c r="N722">
        <v>2025</v>
      </c>
      <c r="O722">
        <v>5</v>
      </c>
    </row>
    <row r="723" spans="1:15" x14ac:dyDescent="0.3">
      <c r="A723">
        <v>41750</v>
      </c>
      <c r="B723">
        <v>3201605</v>
      </c>
      <c r="C723" t="s">
        <v>34</v>
      </c>
      <c r="D723">
        <v>0.60099999999999998</v>
      </c>
      <c r="E723">
        <v>2852983.23</v>
      </c>
      <c r="F723">
        <v>0</v>
      </c>
      <c r="G723">
        <v>2852983.23</v>
      </c>
      <c r="H723">
        <v>32270.61</v>
      </c>
      <c r="I723">
        <v>299357.13</v>
      </c>
      <c r="J723">
        <v>0.96399999999999997</v>
      </c>
      <c r="K723">
        <v>46403.97</v>
      </c>
      <c r="L723">
        <v>0</v>
      </c>
      <c r="M723">
        <v>0</v>
      </c>
      <c r="N723">
        <v>2025</v>
      </c>
      <c r="O723">
        <v>5</v>
      </c>
    </row>
    <row r="724" spans="1:15" x14ac:dyDescent="0.3">
      <c r="A724">
        <v>41751</v>
      </c>
      <c r="B724">
        <v>3201704</v>
      </c>
      <c r="C724" t="s">
        <v>35</v>
      </c>
      <c r="D724">
        <v>0.371</v>
      </c>
      <c r="E724">
        <v>1761159.37</v>
      </c>
      <c r="F724">
        <v>0</v>
      </c>
      <c r="G724">
        <v>1761159.37</v>
      </c>
      <c r="H724">
        <v>19920.79</v>
      </c>
      <c r="I724">
        <v>178223.48</v>
      </c>
      <c r="J724">
        <v>0.46400000000000002</v>
      </c>
      <c r="K724">
        <v>28645.38</v>
      </c>
      <c r="L724">
        <v>0</v>
      </c>
      <c r="M724">
        <v>0</v>
      </c>
      <c r="N724">
        <v>2025</v>
      </c>
      <c r="O724">
        <v>5</v>
      </c>
    </row>
    <row r="725" spans="1:15" x14ac:dyDescent="0.3">
      <c r="A725">
        <v>41752</v>
      </c>
      <c r="B725">
        <v>3201803</v>
      </c>
      <c r="C725" t="s">
        <v>36</v>
      </c>
      <c r="D725">
        <v>0.187</v>
      </c>
      <c r="E725">
        <v>887700.28</v>
      </c>
      <c r="F725">
        <v>0</v>
      </c>
      <c r="G725">
        <v>887700.28</v>
      </c>
      <c r="H725">
        <v>10040.94</v>
      </c>
      <c r="I725">
        <v>45245.760000000002</v>
      </c>
      <c r="J725">
        <v>0.29699999999999999</v>
      </c>
      <c r="K725">
        <v>14438.51</v>
      </c>
      <c r="L725">
        <v>0</v>
      </c>
      <c r="M725">
        <v>0</v>
      </c>
      <c r="N725">
        <v>2025</v>
      </c>
      <c r="O725">
        <v>5</v>
      </c>
    </row>
    <row r="726" spans="1:15" x14ac:dyDescent="0.3">
      <c r="A726">
        <v>41753</v>
      </c>
      <c r="B726">
        <v>3201902</v>
      </c>
      <c r="C726" t="s">
        <v>37</v>
      </c>
      <c r="D726">
        <v>1.0620000000000001</v>
      </c>
      <c r="E726">
        <v>5041377.99</v>
      </c>
      <c r="F726">
        <v>0</v>
      </c>
      <c r="G726">
        <v>5041377.99</v>
      </c>
      <c r="H726">
        <v>57023.94</v>
      </c>
      <c r="I726">
        <v>661999.04</v>
      </c>
      <c r="J726">
        <v>1.0780000000000001</v>
      </c>
      <c r="K726">
        <v>81998.350000000006</v>
      </c>
      <c r="L726">
        <v>0</v>
      </c>
      <c r="M726">
        <v>0</v>
      </c>
      <c r="N726">
        <v>2025</v>
      </c>
      <c r="O726">
        <v>5</v>
      </c>
    </row>
    <row r="727" spans="1:15" x14ac:dyDescent="0.3">
      <c r="A727">
        <v>41754</v>
      </c>
      <c r="B727">
        <v>3202009</v>
      </c>
      <c r="C727" t="s">
        <v>38</v>
      </c>
      <c r="D727">
        <v>0.34899999999999998</v>
      </c>
      <c r="E727">
        <v>1656724.05</v>
      </c>
      <c r="F727">
        <v>0</v>
      </c>
      <c r="G727">
        <v>1656724.05</v>
      </c>
      <c r="H727">
        <v>18739.509999999998</v>
      </c>
      <c r="I727">
        <v>199180.99</v>
      </c>
      <c r="J727">
        <v>0.317</v>
      </c>
      <c r="K727">
        <v>26946.73</v>
      </c>
      <c r="L727">
        <v>0</v>
      </c>
      <c r="M727">
        <v>0</v>
      </c>
      <c r="N727">
        <v>2025</v>
      </c>
      <c r="O727">
        <v>5</v>
      </c>
    </row>
    <row r="728" spans="1:15" x14ac:dyDescent="0.3">
      <c r="A728">
        <v>41755</v>
      </c>
      <c r="B728">
        <v>3202108</v>
      </c>
      <c r="C728" t="s">
        <v>39</v>
      </c>
      <c r="D728">
        <v>0.57099999999999995</v>
      </c>
      <c r="E728">
        <v>2710571.41</v>
      </c>
      <c r="F728">
        <v>0</v>
      </c>
      <c r="G728">
        <v>2710571.41</v>
      </c>
      <c r="H728">
        <v>30659.77</v>
      </c>
      <c r="I728">
        <v>296980.84000000003</v>
      </c>
      <c r="J728">
        <v>0.81599999999999995</v>
      </c>
      <c r="K728">
        <v>44087.63</v>
      </c>
      <c r="L728">
        <v>0</v>
      </c>
      <c r="M728">
        <v>0</v>
      </c>
      <c r="N728">
        <v>2025</v>
      </c>
      <c r="O728">
        <v>5</v>
      </c>
    </row>
    <row r="729" spans="1:15" x14ac:dyDescent="0.3">
      <c r="A729">
        <v>41756</v>
      </c>
      <c r="B729">
        <v>3202207</v>
      </c>
      <c r="C729" t="s">
        <v>40</v>
      </c>
      <c r="D729">
        <v>0.36799999999999999</v>
      </c>
      <c r="E729">
        <v>1746918.16</v>
      </c>
      <c r="F729">
        <v>0</v>
      </c>
      <c r="G729">
        <v>1746918.16</v>
      </c>
      <c r="H729">
        <v>19759.71</v>
      </c>
      <c r="I729">
        <v>226530.28</v>
      </c>
      <c r="J729">
        <v>0.69699999999999995</v>
      </c>
      <c r="K729">
        <v>28413.75</v>
      </c>
      <c r="L729">
        <v>0</v>
      </c>
      <c r="M729">
        <v>0</v>
      </c>
      <c r="N729">
        <v>2025</v>
      </c>
      <c r="O729">
        <v>5</v>
      </c>
    </row>
    <row r="730" spans="1:15" x14ac:dyDescent="0.3">
      <c r="A730">
        <v>41757</v>
      </c>
      <c r="B730">
        <v>3202256</v>
      </c>
      <c r="C730" t="s">
        <v>41</v>
      </c>
      <c r="D730">
        <v>0.53100000000000003</v>
      </c>
      <c r="E730">
        <v>2520689.0299999998</v>
      </c>
      <c r="F730">
        <v>0</v>
      </c>
      <c r="G730">
        <v>2520689.0299999998</v>
      </c>
      <c r="H730">
        <v>28511.97</v>
      </c>
      <c r="I730">
        <v>277841.07</v>
      </c>
      <c r="J730">
        <v>0.45200000000000001</v>
      </c>
      <c r="K730">
        <v>40999.18</v>
      </c>
      <c r="L730">
        <v>0</v>
      </c>
      <c r="M730">
        <v>0</v>
      </c>
      <c r="N730">
        <v>2025</v>
      </c>
      <c r="O730">
        <v>5</v>
      </c>
    </row>
    <row r="731" spans="1:15" x14ac:dyDescent="0.3">
      <c r="A731">
        <v>41758</v>
      </c>
      <c r="B731">
        <v>3202306</v>
      </c>
      <c r="C731" t="s">
        <v>42</v>
      </c>
      <c r="D731">
        <v>0.36699999999999999</v>
      </c>
      <c r="E731">
        <v>1742171.11</v>
      </c>
      <c r="F731">
        <v>0</v>
      </c>
      <c r="G731">
        <v>1742171.11</v>
      </c>
      <c r="H731">
        <v>19706.009999999998</v>
      </c>
      <c r="I731">
        <v>524127.39</v>
      </c>
      <c r="J731">
        <v>0.98899999999999999</v>
      </c>
      <c r="K731">
        <v>28336.53</v>
      </c>
      <c r="L731">
        <v>0</v>
      </c>
      <c r="M731">
        <v>0</v>
      </c>
      <c r="N731">
        <v>2025</v>
      </c>
      <c r="O731">
        <v>5</v>
      </c>
    </row>
    <row r="732" spans="1:15" x14ac:dyDescent="0.3">
      <c r="A732">
        <v>41759</v>
      </c>
      <c r="B732">
        <v>3202405</v>
      </c>
      <c r="C732" t="s">
        <v>43</v>
      </c>
      <c r="D732">
        <v>0.79</v>
      </c>
      <c r="E732">
        <v>3750177.6</v>
      </c>
      <c r="F732">
        <v>0</v>
      </c>
      <c r="G732">
        <v>3750177.6</v>
      </c>
      <c r="H732">
        <v>42418.94</v>
      </c>
      <c r="I732">
        <v>3014979.34</v>
      </c>
      <c r="J732">
        <v>2.9359999999999999</v>
      </c>
      <c r="K732">
        <v>60996.89</v>
      </c>
      <c r="L732">
        <v>0</v>
      </c>
      <c r="M732">
        <v>0</v>
      </c>
      <c r="N732">
        <v>2025</v>
      </c>
      <c r="O732">
        <v>5</v>
      </c>
    </row>
    <row r="733" spans="1:15" x14ac:dyDescent="0.3">
      <c r="A733">
        <v>41760</v>
      </c>
      <c r="B733">
        <v>3202454</v>
      </c>
      <c r="C733" t="s">
        <v>44</v>
      </c>
      <c r="D733">
        <v>0.33900000000000002</v>
      </c>
      <c r="E733">
        <v>1609253.42</v>
      </c>
      <c r="F733">
        <v>0</v>
      </c>
      <c r="G733">
        <v>1609253.42</v>
      </c>
      <c r="H733">
        <v>18202.560000000001</v>
      </c>
      <c r="I733">
        <v>575865.84</v>
      </c>
      <c r="J733">
        <v>0.87</v>
      </c>
      <c r="K733">
        <v>26174.61</v>
      </c>
      <c r="L733">
        <v>0</v>
      </c>
      <c r="M733">
        <v>0</v>
      </c>
      <c r="N733">
        <v>2025</v>
      </c>
      <c r="O733">
        <v>5</v>
      </c>
    </row>
    <row r="734" spans="1:15" x14ac:dyDescent="0.3">
      <c r="A734">
        <v>41761</v>
      </c>
      <c r="B734">
        <v>3202504</v>
      </c>
      <c r="C734" t="s">
        <v>45</v>
      </c>
      <c r="D734">
        <v>0.307</v>
      </c>
      <c r="E734">
        <v>1457347.48</v>
      </c>
      <c r="F734">
        <v>0</v>
      </c>
      <c r="G734">
        <v>1457347.48</v>
      </c>
      <c r="H734">
        <v>16484.32</v>
      </c>
      <c r="I734">
        <v>161602.89000000001</v>
      </c>
      <c r="J734">
        <v>0.46100000000000002</v>
      </c>
      <c r="K734">
        <v>23703.86</v>
      </c>
      <c r="L734">
        <v>0</v>
      </c>
      <c r="M734">
        <v>0</v>
      </c>
      <c r="N734">
        <v>2025</v>
      </c>
      <c r="O734">
        <v>5</v>
      </c>
    </row>
    <row r="735" spans="1:15" x14ac:dyDescent="0.3">
      <c r="A735">
        <v>41762</v>
      </c>
      <c r="B735">
        <v>3202553</v>
      </c>
      <c r="C735" t="s">
        <v>46</v>
      </c>
      <c r="D735">
        <v>0.28399999999999997</v>
      </c>
      <c r="E735">
        <v>1348165.11</v>
      </c>
      <c r="F735">
        <v>0</v>
      </c>
      <c r="G735">
        <v>1348165.11</v>
      </c>
      <c r="H735">
        <v>15249.34</v>
      </c>
      <c r="I735">
        <v>114736.41</v>
      </c>
      <c r="J735">
        <v>0.35499999999999998</v>
      </c>
      <c r="K735">
        <v>21927.99</v>
      </c>
      <c r="L735">
        <v>0</v>
      </c>
      <c r="M735">
        <v>0</v>
      </c>
      <c r="N735">
        <v>2025</v>
      </c>
      <c r="O735">
        <v>5</v>
      </c>
    </row>
    <row r="736" spans="1:15" x14ac:dyDescent="0.3">
      <c r="A736">
        <v>41763</v>
      </c>
      <c r="B736">
        <v>3202603</v>
      </c>
      <c r="C736" t="s">
        <v>47</v>
      </c>
      <c r="D736">
        <v>0.314</v>
      </c>
      <c r="E736">
        <v>1490576.93</v>
      </c>
      <c r="F736">
        <v>0</v>
      </c>
      <c r="G736">
        <v>1490576.93</v>
      </c>
      <c r="H736">
        <v>16860.189999999999</v>
      </c>
      <c r="I736">
        <v>296014.93</v>
      </c>
      <c r="J736">
        <v>0.53700000000000003</v>
      </c>
      <c r="K736">
        <v>24244.34</v>
      </c>
      <c r="L736">
        <v>0</v>
      </c>
      <c r="M736">
        <v>0</v>
      </c>
      <c r="N736">
        <v>2025</v>
      </c>
      <c r="O736">
        <v>5</v>
      </c>
    </row>
    <row r="737" spans="1:15" x14ac:dyDescent="0.3">
      <c r="A737">
        <v>41764</v>
      </c>
      <c r="B737">
        <v>3202652</v>
      </c>
      <c r="C737" t="s">
        <v>48</v>
      </c>
      <c r="D737">
        <v>0.316</v>
      </c>
      <c r="E737">
        <v>1500071.06</v>
      </c>
      <c r="F737">
        <v>0</v>
      </c>
      <c r="G737">
        <v>1500071.06</v>
      </c>
      <c r="H737">
        <v>16967.580000000002</v>
      </c>
      <c r="I737">
        <v>234613.67</v>
      </c>
      <c r="J737">
        <v>0.56399999999999995</v>
      </c>
      <c r="K737">
        <v>24398.76</v>
      </c>
      <c r="L737">
        <v>0</v>
      </c>
      <c r="M737">
        <v>0</v>
      </c>
      <c r="N737">
        <v>2025</v>
      </c>
      <c r="O737">
        <v>5</v>
      </c>
    </row>
    <row r="738" spans="1:15" x14ac:dyDescent="0.3">
      <c r="A738">
        <v>41765</v>
      </c>
      <c r="B738">
        <v>3202702</v>
      </c>
      <c r="C738" t="s">
        <v>49</v>
      </c>
      <c r="D738">
        <v>0.40400000000000003</v>
      </c>
      <c r="E738">
        <v>1917812.34</v>
      </c>
      <c r="F738">
        <v>0</v>
      </c>
      <c r="G738">
        <v>1917812.34</v>
      </c>
      <c r="H738">
        <v>21692.720000000001</v>
      </c>
      <c r="I738">
        <v>178214.69</v>
      </c>
      <c r="J738">
        <v>0.56200000000000006</v>
      </c>
      <c r="K738">
        <v>31193.35</v>
      </c>
      <c r="L738">
        <v>0</v>
      </c>
      <c r="M738">
        <v>0</v>
      </c>
      <c r="N738">
        <v>2025</v>
      </c>
      <c r="O738">
        <v>5</v>
      </c>
    </row>
    <row r="739" spans="1:15" x14ac:dyDescent="0.3">
      <c r="A739">
        <v>41766</v>
      </c>
      <c r="B739">
        <v>3202801</v>
      </c>
      <c r="C739" t="s">
        <v>50</v>
      </c>
      <c r="D739">
        <v>3.4060000000000001</v>
      </c>
      <c r="E739">
        <v>16168487.23</v>
      </c>
      <c r="F739">
        <v>0</v>
      </c>
      <c r="G739">
        <v>16168487.23</v>
      </c>
      <c r="H739">
        <v>182884.7</v>
      </c>
      <c r="I739">
        <v>469522.84</v>
      </c>
      <c r="J739">
        <v>1.2130000000000001</v>
      </c>
      <c r="K739">
        <v>262981.53999999998</v>
      </c>
      <c r="L739">
        <v>0</v>
      </c>
      <c r="M739">
        <v>0</v>
      </c>
      <c r="N739">
        <v>2025</v>
      </c>
      <c r="O739">
        <v>5</v>
      </c>
    </row>
    <row r="740" spans="1:15" x14ac:dyDescent="0.3">
      <c r="A740">
        <v>41767</v>
      </c>
      <c r="B740">
        <v>3202900</v>
      </c>
      <c r="C740" t="s">
        <v>51</v>
      </c>
      <c r="D740">
        <v>0.39200000000000002</v>
      </c>
      <c r="E740">
        <v>1860847.63</v>
      </c>
      <c r="F740">
        <v>0</v>
      </c>
      <c r="G740">
        <v>1860847.63</v>
      </c>
      <c r="H740">
        <v>21048.39</v>
      </c>
      <c r="I740">
        <v>189483.47</v>
      </c>
      <c r="J740">
        <v>0.44600000000000001</v>
      </c>
      <c r="K740">
        <v>30266.82</v>
      </c>
      <c r="L740">
        <v>0</v>
      </c>
      <c r="M740">
        <v>0</v>
      </c>
      <c r="N740">
        <v>2025</v>
      </c>
      <c r="O740">
        <v>5</v>
      </c>
    </row>
    <row r="741" spans="1:15" x14ac:dyDescent="0.3">
      <c r="A741">
        <v>41768</v>
      </c>
      <c r="B741">
        <v>3203007</v>
      </c>
      <c r="C741" t="s">
        <v>52</v>
      </c>
      <c r="D741">
        <v>0.5</v>
      </c>
      <c r="E741">
        <v>2373530.12</v>
      </c>
      <c r="F741">
        <v>0</v>
      </c>
      <c r="G741">
        <v>2373530.12</v>
      </c>
      <c r="H741">
        <v>26847.43</v>
      </c>
      <c r="I741">
        <v>427871.73</v>
      </c>
      <c r="J741">
        <v>0.91200000000000003</v>
      </c>
      <c r="K741">
        <v>38605.629999999997</v>
      </c>
      <c r="L741">
        <v>0</v>
      </c>
      <c r="M741">
        <v>0</v>
      </c>
      <c r="N741">
        <v>2025</v>
      </c>
      <c r="O741">
        <v>5</v>
      </c>
    </row>
    <row r="742" spans="1:15" x14ac:dyDescent="0.3">
      <c r="A742">
        <v>41769</v>
      </c>
      <c r="B742">
        <v>3203056</v>
      </c>
      <c r="C742" t="s">
        <v>53</v>
      </c>
      <c r="D742">
        <v>1.109</v>
      </c>
      <c r="E742">
        <v>5264489.8099999996</v>
      </c>
      <c r="F742">
        <v>0</v>
      </c>
      <c r="G742">
        <v>5264489.8099999996</v>
      </c>
      <c r="H742">
        <v>59547.6</v>
      </c>
      <c r="I742">
        <v>562236.48</v>
      </c>
      <c r="J742">
        <v>0.98399999999999999</v>
      </c>
      <c r="K742">
        <v>85627.28</v>
      </c>
      <c r="L742">
        <v>0</v>
      </c>
      <c r="M742">
        <v>0</v>
      </c>
      <c r="N742">
        <v>2025</v>
      </c>
      <c r="O742">
        <v>5</v>
      </c>
    </row>
    <row r="743" spans="1:15" x14ac:dyDescent="0.3">
      <c r="A743">
        <v>41770</v>
      </c>
      <c r="B743">
        <v>3203106</v>
      </c>
      <c r="C743" t="s">
        <v>54</v>
      </c>
      <c r="D743">
        <v>0.216</v>
      </c>
      <c r="E743">
        <v>1025365</v>
      </c>
      <c r="F743">
        <v>0</v>
      </c>
      <c r="G743">
        <v>1025365</v>
      </c>
      <c r="H743">
        <v>11598.09</v>
      </c>
      <c r="I743">
        <v>126270.19</v>
      </c>
      <c r="J743">
        <v>0.45900000000000002</v>
      </c>
      <c r="K743">
        <v>16677.63</v>
      </c>
      <c r="L743">
        <v>0</v>
      </c>
      <c r="M743">
        <v>0</v>
      </c>
      <c r="N743">
        <v>2025</v>
      </c>
      <c r="O743">
        <v>5</v>
      </c>
    </row>
    <row r="744" spans="1:15" x14ac:dyDescent="0.3">
      <c r="A744">
        <v>41771</v>
      </c>
      <c r="B744">
        <v>3203130</v>
      </c>
      <c r="C744" t="s">
        <v>55</v>
      </c>
      <c r="D744">
        <v>0.376</v>
      </c>
      <c r="E744">
        <v>1784894.68</v>
      </c>
      <c r="F744">
        <v>0</v>
      </c>
      <c r="G744">
        <v>1784894.68</v>
      </c>
      <c r="H744">
        <v>20189.27</v>
      </c>
      <c r="I744">
        <v>228356.04</v>
      </c>
      <c r="J744">
        <v>0.63600000000000001</v>
      </c>
      <c r="K744">
        <v>29031.43</v>
      </c>
      <c r="L744">
        <v>0</v>
      </c>
      <c r="M744">
        <v>0</v>
      </c>
      <c r="N744">
        <v>2025</v>
      </c>
      <c r="O744">
        <v>5</v>
      </c>
    </row>
    <row r="745" spans="1:15" x14ac:dyDescent="0.3">
      <c r="A745">
        <v>41772</v>
      </c>
      <c r="B745">
        <v>3203163</v>
      </c>
      <c r="C745" t="s">
        <v>56</v>
      </c>
      <c r="D745">
        <v>0.42799999999999999</v>
      </c>
      <c r="E745">
        <v>2031741.77</v>
      </c>
      <c r="F745">
        <v>0</v>
      </c>
      <c r="G745">
        <v>2031741.77</v>
      </c>
      <c r="H745">
        <v>22981.4</v>
      </c>
      <c r="I745">
        <v>119545.78</v>
      </c>
      <c r="J745">
        <v>0.45300000000000001</v>
      </c>
      <c r="K745">
        <v>33046.42</v>
      </c>
      <c r="L745">
        <v>0</v>
      </c>
      <c r="M745">
        <v>0</v>
      </c>
      <c r="N745">
        <v>2025</v>
      </c>
      <c r="O745">
        <v>5</v>
      </c>
    </row>
    <row r="746" spans="1:15" x14ac:dyDescent="0.3">
      <c r="A746">
        <v>41773</v>
      </c>
      <c r="B746">
        <v>3203205</v>
      </c>
      <c r="C746" t="s">
        <v>57</v>
      </c>
      <c r="D746">
        <v>4.431</v>
      </c>
      <c r="E746">
        <v>21034223.989999998</v>
      </c>
      <c r="F746">
        <v>0</v>
      </c>
      <c r="G746">
        <v>21034223.989999998</v>
      </c>
      <c r="H746">
        <v>237921.93</v>
      </c>
      <c r="I746">
        <v>2991560.48</v>
      </c>
      <c r="J746">
        <v>4.0759999999999996</v>
      </c>
      <c r="K746">
        <v>342123.08</v>
      </c>
      <c r="L746">
        <v>0</v>
      </c>
      <c r="M746">
        <v>0</v>
      </c>
      <c r="N746">
        <v>2025</v>
      </c>
      <c r="O746">
        <v>5</v>
      </c>
    </row>
    <row r="747" spans="1:15" x14ac:dyDescent="0.3">
      <c r="A747">
        <v>41774</v>
      </c>
      <c r="B747">
        <v>3203304</v>
      </c>
      <c r="C747" t="s">
        <v>58</v>
      </c>
      <c r="D747">
        <v>0.314</v>
      </c>
      <c r="E747">
        <v>1490576.93</v>
      </c>
      <c r="F747">
        <v>0</v>
      </c>
      <c r="G747">
        <v>1490576.93</v>
      </c>
      <c r="H747">
        <v>16860.189999999999</v>
      </c>
      <c r="I747">
        <v>264233.27</v>
      </c>
      <c r="J747">
        <v>0.54300000000000004</v>
      </c>
      <c r="K747">
        <v>24244.34</v>
      </c>
      <c r="L747">
        <v>0</v>
      </c>
      <c r="M747">
        <v>0</v>
      </c>
      <c r="N747">
        <v>2025</v>
      </c>
      <c r="O747">
        <v>5</v>
      </c>
    </row>
    <row r="748" spans="1:15" x14ac:dyDescent="0.3">
      <c r="A748">
        <v>41775</v>
      </c>
      <c r="B748">
        <v>3203320</v>
      </c>
      <c r="C748" t="s">
        <v>59</v>
      </c>
      <c r="D748">
        <v>0.58499999999999996</v>
      </c>
      <c r="E748">
        <v>2777030.25</v>
      </c>
      <c r="F748">
        <v>0</v>
      </c>
      <c r="G748">
        <v>2777030.25</v>
      </c>
      <c r="H748">
        <v>31411.49</v>
      </c>
      <c r="I748">
        <v>639253.06999999995</v>
      </c>
      <c r="J748">
        <v>1.24</v>
      </c>
      <c r="K748">
        <v>45168.59</v>
      </c>
      <c r="L748">
        <v>0</v>
      </c>
      <c r="M748">
        <v>0</v>
      </c>
      <c r="N748">
        <v>2025</v>
      </c>
      <c r="O748">
        <v>5</v>
      </c>
    </row>
    <row r="749" spans="1:15" x14ac:dyDescent="0.3">
      <c r="A749">
        <v>41776</v>
      </c>
      <c r="B749">
        <v>3203346</v>
      </c>
      <c r="C749" t="s">
        <v>60</v>
      </c>
      <c r="D749">
        <v>0.55500000000000005</v>
      </c>
      <c r="E749">
        <v>2634618.44</v>
      </c>
      <c r="F749">
        <v>0</v>
      </c>
      <c r="G749">
        <v>2634618.44</v>
      </c>
      <c r="H749">
        <v>29800.65</v>
      </c>
      <c r="I749">
        <v>274869.95</v>
      </c>
      <c r="J749">
        <v>0.69199999999999995</v>
      </c>
      <c r="K749">
        <v>42852.25</v>
      </c>
      <c r="L749">
        <v>0</v>
      </c>
      <c r="M749">
        <v>0</v>
      </c>
      <c r="N749">
        <v>2025</v>
      </c>
      <c r="O749">
        <v>5</v>
      </c>
    </row>
    <row r="750" spans="1:15" x14ac:dyDescent="0.3">
      <c r="A750">
        <v>41777</v>
      </c>
      <c r="B750">
        <v>3203353</v>
      </c>
      <c r="C750" t="s">
        <v>61</v>
      </c>
      <c r="D750">
        <v>0.505</v>
      </c>
      <c r="E750">
        <v>2397265.41</v>
      </c>
      <c r="F750">
        <v>0</v>
      </c>
      <c r="G750">
        <v>2397265.41</v>
      </c>
      <c r="H750">
        <v>27115.9</v>
      </c>
      <c r="I750">
        <v>227552.11</v>
      </c>
      <c r="J750">
        <v>0.47</v>
      </c>
      <c r="K750">
        <v>38991.68</v>
      </c>
      <c r="L750">
        <v>0</v>
      </c>
      <c r="M750">
        <v>0</v>
      </c>
      <c r="N750">
        <v>2025</v>
      </c>
      <c r="O750">
        <v>5</v>
      </c>
    </row>
    <row r="751" spans="1:15" x14ac:dyDescent="0.3">
      <c r="A751">
        <v>41778</v>
      </c>
      <c r="B751">
        <v>3203403</v>
      </c>
      <c r="C751" t="s">
        <v>62</v>
      </c>
      <c r="D751">
        <v>0.46899999999999997</v>
      </c>
      <c r="E751">
        <v>2226371.25</v>
      </c>
      <c r="F751">
        <v>0</v>
      </c>
      <c r="G751">
        <v>2226371.25</v>
      </c>
      <c r="H751">
        <v>25182.89</v>
      </c>
      <c r="I751">
        <v>295214.94</v>
      </c>
      <c r="J751">
        <v>0.85899999999999999</v>
      </c>
      <c r="K751">
        <v>36212.080000000002</v>
      </c>
      <c r="L751">
        <v>0</v>
      </c>
      <c r="M751">
        <v>0</v>
      </c>
      <c r="N751">
        <v>2025</v>
      </c>
      <c r="O751">
        <v>5</v>
      </c>
    </row>
    <row r="752" spans="1:15" x14ac:dyDescent="0.3">
      <c r="A752">
        <v>41779</v>
      </c>
      <c r="B752">
        <v>3203502</v>
      </c>
      <c r="C752" t="s">
        <v>63</v>
      </c>
      <c r="D752">
        <v>0.51500000000000001</v>
      </c>
      <c r="E752">
        <v>2444736.0299999998</v>
      </c>
      <c r="F752">
        <v>0</v>
      </c>
      <c r="G752">
        <v>2444736.0299999998</v>
      </c>
      <c r="H752">
        <v>27652.85</v>
      </c>
      <c r="I752">
        <v>338698.09</v>
      </c>
      <c r="J752">
        <v>0.70899999999999996</v>
      </c>
      <c r="K752">
        <v>39763.79</v>
      </c>
      <c r="L752">
        <v>0</v>
      </c>
      <c r="M752">
        <v>0</v>
      </c>
      <c r="N752">
        <v>2025</v>
      </c>
      <c r="O752">
        <v>5</v>
      </c>
    </row>
    <row r="753" spans="1:15" x14ac:dyDescent="0.3">
      <c r="A753">
        <v>41780</v>
      </c>
      <c r="B753">
        <v>3203601</v>
      </c>
      <c r="C753" t="s">
        <v>64</v>
      </c>
      <c r="D753">
        <v>0.30599999999999999</v>
      </c>
      <c r="E753">
        <v>1452600.45</v>
      </c>
      <c r="F753">
        <v>0</v>
      </c>
      <c r="G753">
        <v>1452600.45</v>
      </c>
      <c r="H753">
        <v>16430.63</v>
      </c>
      <c r="I753">
        <v>69643.23</v>
      </c>
      <c r="J753">
        <v>0.30199999999999999</v>
      </c>
      <c r="K753">
        <v>23626.65</v>
      </c>
      <c r="L753">
        <v>0</v>
      </c>
      <c r="M753">
        <v>0</v>
      </c>
      <c r="N753">
        <v>2025</v>
      </c>
      <c r="O753">
        <v>5</v>
      </c>
    </row>
    <row r="754" spans="1:15" x14ac:dyDescent="0.3">
      <c r="A754">
        <v>41781</v>
      </c>
      <c r="B754">
        <v>3203700</v>
      </c>
      <c r="C754" t="s">
        <v>65</v>
      </c>
      <c r="D754">
        <v>0.505</v>
      </c>
      <c r="E754">
        <v>2397265.41</v>
      </c>
      <c r="F754">
        <v>0</v>
      </c>
      <c r="G754">
        <v>2397265.41</v>
      </c>
      <c r="H754">
        <v>27115.9</v>
      </c>
      <c r="I754">
        <v>217025.55</v>
      </c>
      <c r="J754">
        <v>0.69899999999999995</v>
      </c>
      <c r="K754">
        <v>38991.68</v>
      </c>
      <c r="L754">
        <v>0</v>
      </c>
      <c r="M754">
        <v>0</v>
      </c>
      <c r="N754">
        <v>2025</v>
      </c>
      <c r="O754">
        <v>5</v>
      </c>
    </row>
    <row r="755" spans="1:15" x14ac:dyDescent="0.3">
      <c r="A755">
        <v>41782</v>
      </c>
      <c r="B755">
        <v>3203809</v>
      </c>
      <c r="C755" t="s">
        <v>66</v>
      </c>
      <c r="D755">
        <v>0.32</v>
      </c>
      <c r="E755">
        <v>1519059.28</v>
      </c>
      <c r="F755">
        <v>0</v>
      </c>
      <c r="G755">
        <v>1519059.28</v>
      </c>
      <c r="H755">
        <v>17182.36</v>
      </c>
      <c r="I755">
        <v>126585.26</v>
      </c>
      <c r="J755">
        <v>0.56499999999999995</v>
      </c>
      <c r="K755">
        <v>24707.599999999999</v>
      </c>
      <c r="L755">
        <v>0</v>
      </c>
      <c r="M755">
        <v>0</v>
      </c>
      <c r="N755">
        <v>2025</v>
      </c>
      <c r="O755">
        <v>5</v>
      </c>
    </row>
    <row r="756" spans="1:15" x14ac:dyDescent="0.3">
      <c r="A756">
        <v>41783</v>
      </c>
      <c r="B756">
        <v>3203908</v>
      </c>
      <c r="C756" t="s">
        <v>67</v>
      </c>
      <c r="D756">
        <v>1.2250000000000001</v>
      </c>
      <c r="E756">
        <v>5815148.8200000003</v>
      </c>
      <c r="F756">
        <v>0</v>
      </c>
      <c r="G756">
        <v>5815148.8200000003</v>
      </c>
      <c r="H756">
        <v>65776.210000000006</v>
      </c>
      <c r="I756">
        <v>897012.69</v>
      </c>
      <c r="J756">
        <v>1.476</v>
      </c>
      <c r="K756">
        <v>94583.79</v>
      </c>
      <c r="L756">
        <v>0</v>
      </c>
      <c r="M756">
        <v>0</v>
      </c>
      <c r="N756">
        <v>2025</v>
      </c>
      <c r="O756">
        <v>5</v>
      </c>
    </row>
    <row r="757" spans="1:15" x14ac:dyDescent="0.3">
      <c r="A757">
        <v>41784</v>
      </c>
      <c r="B757">
        <v>3204005</v>
      </c>
      <c r="C757" t="s">
        <v>68</v>
      </c>
      <c r="D757">
        <v>0.435</v>
      </c>
      <c r="E757">
        <v>2064971.2</v>
      </c>
      <c r="F757">
        <v>0</v>
      </c>
      <c r="G757">
        <v>2064971.2</v>
      </c>
      <c r="H757">
        <v>23357.26</v>
      </c>
      <c r="I757">
        <v>261498.2</v>
      </c>
      <c r="J757">
        <v>0.70899999999999996</v>
      </c>
      <c r="K757">
        <v>33586.9</v>
      </c>
      <c r="L757">
        <v>0</v>
      </c>
      <c r="M757">
        <v>0</v>
      </c>
      <c r="N757">
        <v>2025</v>
      </c>
      <c r="O757">
        <v>5</v>
      </c>
    </row>
    <row r="758" spans="1:15" x14ac:dyDescent="0.3">
      <c r="A758">
        <v>41785</v>
      </c>
      <c r="B758">
        <v>3204054</v>
      </c>
      <c r="C758" t="s">
        <v>69</v>
      </c>
      <c r="D758">
        <v>0.33400000000000002</v>
      </c>
      <c r="E758">
        <v>1585518.12</v>
      </c>
      <c r="F758">
        <v>0</v>
      </c>
      <c r="G758">
        <v>1585518.12</v>
      </c>
      <c r="H758">
        <v>17934.080000000002</v>
      </c>
      <c r="I758">
        <v>251427.66</v>
      </c>
      <c r="J758">
        <v>0.81</v>
      </c>
      <c r="K758">
        <v>25788.560000000001</v>
      </c>
      <c r="L758">
        <v>0</v>
      </c>
      <c r="M758">
        <v>0</v>
      </c>
      <c r="N758">
        <v>2025</v>
      </c>
      <c r="O758">
        <v>5</v>
      </c>
    </row>
    <row r="759" spans="1:15" x14ac:dyDescent="0.3">
      <c r="A759">
        <v>41786</v>
      </c>
      <c r="B759">
        <v>3204104</v>
      </c>
      <c r="C759" t="s">
        <v>70</v>
      </c>
      <c r="D759">
        <v>0.755</v>
      </c>
      <c r="E759">
        <v>3584030.49</v>
      </c>
      <c r="F759">
        <v>0</v>
      </c>
      <c r="G759">
        <v>3584030.49</v>
      </c>
      <c r="H759">
        <v>40539.620000000003</v>
      </c>
      <c r="I759">
        <v>259049.97</v>
      </c>
      <c r="J759">
        <v>0.85099999999999998</v>
      </c>
      <c r="K759">
        <v>58294.5</v>
      </c>
      <c r="L759">
        <v>0</v>
      </c>
      <c r="M759">
        <v>0</v>
      </c>
      <c r="N759">
        <v>2025</v>
      </c>
      <c r="O759">
        <v>5</v>
      </c>
    </row>
    <row r="760" spans="1:15" x14ac:dyDescent="0.3">
      <c r="A760">
        <v>41787</v>
      </c>
      <c r="B760">
        <v>3204203</v>
      </c>
      <c r="C760" t="s">
        <v>71</v>
      </c>
      <c r="D760">
        <v>0.36499999999999999</v>
      </c>
      <c r="E760">
        <v>1732676.98</v>
      </c>
      <c r="F760">
        <v>0</v>
      </c>
      <c r="G760">
        <v>1732676.98</v>
      </c>
      <c r="H760">
        <v>19598.62</v>
      </c>
      <c r="I760">
        <v>432229.88</v>
      </c>
      <c r="J760">
        <v>0.753</v>
      </c>
      <c r="K760">
        <v>28182.11</v>
      </c>
      <c r="L760">
        <v>0</v>
      </c>
      <c r="M760">
        <v>0</v>
      </c>
      <c r="N760">
        <v>2025</v>
      </c>
      <c r="O760">
        <v>5</v>
      </c>
    </row>
    <row r="761" spans="1:15" x14ac:dyDescent="0.3">
      <c r="A761">
        <v>41788</v>
      </c>
      <c r="B761">
        <v>3204252</v>
      </c>
      <c r="C761" t="s">
        <v>72</v>
      </c>
      <c r="D761">
        <v>0.27</v>
      </c>
      <c r="E761">
        <v>1281706.26</v>
      </c>
      <c r="F761">
        <v>0</v>
      </c>
      <c r="G761">
        <v>1281706.26</v>
      </c>
      <c r="H761">
        <v>14497.61</v>
      </c>
      <c r="I761">
        <v>77614.539999999994</v>
      </c>
      <c r="J761">
        <v>0.316</v>
      </c>
      <c r="K761">
        <v>20847.03</v>
      </c>
      <c r="L761">
        <v>0</v>
      </c>
      <c r="M761">
        <v>0</v>
      </c>
      <c r="N761">
        <v>2025</v>
      </c>
      <c r="O761">
        <v>5</v>
      </c>
    </row>
    <row r="762" spans="1:15" x14ac:dyDescent="0.3">
      <c r="A762">
        <v>41789</v>
      </c>
      <c r="B762">
        <v>1718402</v>
      </c>
      <c r="C762" t="s">
        <v>73</v>
      </c>
      <c r="D762">
        <v>0.39100000000000001</v>
      </c>
      <c r="E762">
        <v>1856100.58</v>
      </c>
      <c r="F762">
        <v>0</v>
      </c>
      <c r="G762">
        <v>1856100.58</v>
      </c>
      <c r="H762">
        <v>20994.69</v>
      </c>
      <c r="I762">
        <v>266928.08</v>
      </c>
      <c r="J762">
        <v>0.56399999999999995</v>
      </c>
      <c r="K762">
        <v>30189.599999999999</v>
      </c>
      <c r="L762">
        <v>0</v>
      </c>
      <c r="M762">
        <v>0</v>
      </c>
      <c r="N762">
        <v>2025</v>
      </c>
      <c r="O762">
        <v>5</v>
      </c>
    </row>
    <row r="763" spans="1:15" x14ac:dyDescent="0.3">
      <c r="A763">
        <v>41790</v>
      </c>
      <c r="B763">
        <v>3204351</v>
      </c>
      <c r="C763" t="s">
        <v>74</v>
      </c>
      <c r="D763">
        <v>0.88200000000000001</v>
      </c>
      <c r="E763">
        <v>4186907.12</v>
      </c>
      <c r="F763">
        <v>0</v>
      </c>
      <c r="G763">
        <v>4186907.12</v>
      </c>
      <c r="H763">
        <v>47358.87</v>
      </c>
      <c r="I763">
        <v>476579.78</v>
      </c>
      <c r="J763">
        <v>0.71399999999999997</v>
      </c>
      <c r="K763">
        <v>68100.33</v>
      </c>
      <c r="L763">
        <v>0</v>
      </c>
      <c r="M763">
        <v>0</v>
      </c>
      <c r="N763">
        <v>2025</v>
      </c>
      <c r="O763">
        <v>5</v>
      </c>
    </row>
    <row r="764" spans="1:15" x14ac:dyDescent="0.3">
      <c r="A764">
        <v>41791</v>
      </c>
      <c r="B764">
        <v>3204401</v>
      </c>
      <c r="C764" t="s">
        <v>75</v>
      </c>
      <c r="D764">
        <v>0.312</v>
      </c>
      <c r="E764">
        <v>1481082.8</v>
      </c>
      <c r="F764">
        <v>0</v>
      </c>
      <c r="G764">
        <v>1481082.8</v>
      </c>
      <c r="H764">
        <v>16752.8</v>
      </c>
      <c r="I764">
        <v>178503.13</v>
      </c>
      <c r="J764">
        <v>0.45300000000000001</v>
      </c>
      <c r="K764">
        <v>24089.91</v>
      </c>
      <c r="L764">
        <v>0</v>
      </c>
      <c r="M764">
        <v>0</v>
      </c>
      <c r="N764">
        <v>2025</v>
      </c>
      <c r="O764">
        <v>5</v>
      </c>
    </row>
    <row r="765" spans="1:15" x14ac:dyDescent="0.3">
      <c r="A765">
        <v>41792</v>
      </c>
      <c r="B765">
        <v>3204500</v>
      </c>
      <c r="C765" t="s">
        <v>76</v>
      </c>
      <c r="D765">
        <v>0.51800000000000002</v>
      </c>
      <c r="E765">
        <v>2458977.21</v>
      </c>
      <c r="F765">
        <v>0</v>
      </c>
      <c r="G765">
        <v>2458977.21</v>
      </c>
      <c r="H765">
        <v>27813.94</v>
      </c>
      <c r="I765">
        <v>151176.45000000001</v>
      </c>
      <c r="J765">
        <v>0.47899999999999998</v>
      </c>
      <c r="K765">
        <v>39995.43</v>
      </c>
      <c r="L765">
        <v>0</v>
      </c>
      <c r="M765">
        <v>0</v>
      </c>
      <c r="N765">
        <v>2025</v>
      </c>
      <c r="O765">
        <v>5</v>
      </c>
    </row>
    <row r="766" spans="1:15" x14ac:dyDescent="0.3">
      <c r="A766">
        <v>41793</v>
      </c>
      <c r="B766">
        <v>3204559</v>
      </c>
      <c r="C766" t="s">
        <v>77</v>
      </c>
      <c r="D766">
        <v>2.1909999999999998</v>
      </c>
      <c r="E766">
        <v>10400809.02</v>
      </c>
      <c r="F766">
        <v>0</v>
      </c>
      <c r="G766">
        <v>10400809.02</v>
      </c>
      <c r="H766">
        <v>117645.44</v>
      </c>
      <c r="I766">
        <v>1064466.3600000001</v>
      </c>
      <c r="J766">
        <v>1.236</v>
      </c>
      <c r="K766">
        <v>169169.87</v>
      </c>
      <c r="L766">
        <v>0</v>
      </c>
      <c r="M766">
        <v>0</v>
      </c>
      <c r="N766">
        <v>2025</v>
      </c>
      <c r="O766">
        <v>5</v>
      </c>
    </row>
    <row r="767" spans="1:15" x14ac:dyDescent="0.3">
      <c r="A767">
        <v>41794</v>
      </c>
      <c r="B767">
        <v>3204609</v>
      </c>
      <c r="C767" t="s">
        <v>78</v>
      </c>
      <c r="D767">
        <v>0.66</v>
      </c>
      <c r="E767">
        <v>3133059.77</v>
      </c>
      <c r="F767">
        <v>0</v>
      </c>
      <c r="G767">
        <v>3133059.77</v>
      </c>
      <c r="H767">
        <v>35438.61</v>
      </c>
      <c r="I767">
        <v>462254.38</v>
      </c>
      <c r="J767">
        <v>0.82699999999999996</v>
      </c>
      <c r="K767">
        <v>50959.43</v>
      </c>
      <c r="L767">
        <v>0</v>
      </c>
      <c r="M767">
        <v>0</v>
      </c>
      <c r="N767">
        <v>2025</v>
      </c>
      <c r="O767">
        <v>5</v>
      </c>
    </row>
    <row r="768" spans="1:15" x14ac:dyDescent="0.3">
      <c r="A768">
        <v>41795</v>
      </c>
      <c r="B768">
        <v>3204658</v>
      </c>
      <c r="C768" t="s">
        <v>79</v>
      </c>
      <c r="D768">
        <v>0.42099999999999999</v>
      </c>
      <c r="E768">
        <v>1998512.36</v>
      </c>
      <c r="F768">
        <v>0</v>
      </c>
      <c r="G768">
        <v>1998512.36</v>
      </c>
      <c r="H768">
        <v>22605.54</v>
      </c>
      <c r="I768">
        <v>167791.13</v>
      </c>
      <c r="J768">
        <v>0.34300000000000003</v>
      </c>
      <c r="K768">
        <v>32505.94</v>
      </c>
      <c r="L768">
        <v>0</v>
      </c>
      <c r="M768">
        <v>0</v>
      </c>
      <c r="N768">
        <v>2025</v>
      </c>
      <c r="O768">
        <v>5</v>
      </c>
    </row>
    <row r="769" spans="1:15" x14ac:dyDescent="0.3">
      <c r="A769">
        <v>41796</v>
      </c>
      <c r="B769">
        <v>3204708</v>
      </c>
      <c r="C769" t="s">
        <v>80</v>
      </c>
      <c r="D769">
        <v>0.72299999999999998</v>
      </c>
      <c r="E769">
        <v>3432124.58</v>
      </c>
      <c r="F769">
        <v>0</v>
      </c>
      <c r="G769">
        <v>3432124.58</v>
      </c>
      <c r="H769">
        <v>38821.379999999997</v>
      </c>
      <c r="I769">
        <v>594493.68999999994</v>
      </c>
      <c r="J769">
        <v>1.1040000000000001</v>
      </c>
      <c r="K769">
        <v>55823.74</v>
      </c>
      <c r="L769">
        <v>0</v>
      </c>
      <c r="M769">
        <v>0</v>
      </c>
      <c r="N769">
        <v>2025</v>
      </c>
      <c r="O769">
        <v>5</v>
      </c>
    </row>
    <row r="770" spans="1:15" x14ac:dyDescent="0.3">
      <c r="A770">
        <v>41797</v>
      </c>
      <c r="B770">
        <v>3204807</v>
      </c>
      <c r="C770" t="s">
        <v>81</v>
      </c>
      <c r="D770">
        <v>0.28599999999999998</v>
      </c>
      <c r="E770">
        <v>1357659.22</v>
      </c>
      <c r="F770">
        <v>0</v>
      </c>
      <c r="G770">
        <v>1357659.22</v>
      </c>
      <c r="H770">
        <v>15356.73</v>
      </c>
      <c r="I770">
        <v>138045.82</v>
      </c>
      <c r="J770">
        <v>0.45</v>
      </c>
      <c r="K770">
        <v>22082.42</v>
      </c>
      <c r="L770">
        <v>0</v>
      </c>
      <c r="M770">
        <v>0</v>
      </c>
      <c r="N770">
        <v>2025</v>
      </c>
      <c r="O770">
        <v>5</v>
      </c>
    </row>
    <row r="771" spans="1:15" x14ac:dyDescent="0.3">
      <c r="A771">
        <v>41798</v>
      </c>
      <c r="B771">
        <v>3204906</v>
      </c>
      <c r="C771" t="s">
        <v>82</v>
      </c>
      <c r="D771">
        <v>1.998</v>
      </c>
      <c r="E771">
        <v>9484626.3800000008</v>
      </c>
      <c r="F771">
        <v>0</v>
      </c>
      <c r="G771">
        <v>9484626.3800000008</v>
      </c>
      <c r="H771">
        <v>107282.33</v>
      </c>
      <c r="I771">
        <v>1959168.5</v>
      </c>
      <c r="J771">
        <v>2.9870000000000001</v>
      </c>
      <c r="K771">
        <v>154268.09</v>
      </c>
      <c r="L771">
        <v>0</v>
      </c>
      <c r="M771">
        <v>0</v>
      </c>
      <c r="N771">
        <v>2025</v>
      </c>
      <c r="O771">
        <v>5</v>
      </c>
    </row>
    <row r="772" spans="1:15" x14ac:dyDescent="0.3">
      <c r="A772">
        <v>41799</v>
      </c>
      <c r="B772">
        <v>3204955</v>
      </c>
      <c r="C772" t="s">
        <v>83</v>
      </c>
      <c r="D772">
        <v>0.3</v>
      </c>
      <c r="E772">
        <v>1424118.09</v>
      </c>
      <c r="F772">
        <v>0</v>
      </c>
      <c r="G772">
        <v>1424118.09</v>
      </c>
      <c r="H772">
        <v>16108.46</v>
      </c>
      <c r="I772">
        <v>161287.85999999999</v>
      </c>
      <c r="J772">
        <v>0.45</v>
      </c>
      <c r="K772">
        <v>23163.38</v>
      </c>
      <c r="L772">
        <v>0</v>
      </c>
      <c r="M772">
        <v>0</v>
      </c>
      <c r="N772">
        <v>2025</v>
      </c>
      <c r="O772">
        <v>5</v>
      </c>
    </row>
    <row r="773" spans="1:15" x14ac:dyDescent="0.3">
      <c r="A773">
        <v>41800</v>
      </c>
      <c r="B773">
        <v>3205002</v>
      </c>
      <c r="C773" t="s">
        <v>84</v>
      </c>
      <c r="D773">
        <v>14.551</v>
      </c>
      <c r="E773">
        <v>69074473.790000007</v>
      </c>
      <c r="F773">
        <v>0</v>
      </c>
      <c r="G773">
        <v>69074473.790000007</v>
      </c>
      <c r="H773">
        <v>781313.94</v>
      </c>
      <c r="I773">
        <v>6774877.7000000002</v>
      </c>
      <c r="J773">
        <v>8.6910000000000007</v>
      </c>
      <c r="K773">
        <v>1123501</v>
      </c>
      <c r="L773">
        <v>0</v>
      </c>
      <c r="M773">
        <v>0</v>
      </c>
      <c r="N773">
        <v>2025</v>
      </c>
      <c r="O773">
        <v>5</v>
      </c>
    </row>
    <row r="774" spans="1:15" x14ac:dyDescent="0.3">
      <c r="A774">
        <v>41801</v>
      </c>
      <c r="B774">
        <v>3205010</v>
      </c>
      <c r="C774" t="s">
        <v>85</v>
      </c>
      <c r="D774">
        <v>0.78200000000000003</v>
      </c>
      <c r="E774">
        <v>3712201.11</v>
      </c>
      <c r="F774">
        <v>0</v>
      </c>
      <c r="G774">
        <v>3712201.11</v>
      </c>
      <c r="H774">
        <v>41989.38</v>
      </c>
      <c r="I774">
        <v>351063.93</v>
      </c>
      <c r="J774">
        <v>0.95199999999999996</v>
      </c>
      <c r="K774">
        <v>60379.21</v>
      </c>
      <c r="L774">
        <v>0</v>
      </c>
      <c r="M774">
        <v>0</v>
      </c>
      <c r="N774">
        <v>2025</v>
      </c>
      <c r="O774">
        <v>5</v>
      </c>
    </row>
    <row r="775" spans="1:15" x14ac:dyDescent="0.3">
      <c r="A775">
        <v>41802</v>
      </c>
      <c r="B775">
        <v>3205036</v>
      </c>
      <c r="C775" t="s">
        <v>86</v>
      </c>
      <c r="D775">
        <v>0.45700000000000002</v>
      </c>
      <c r="E775">
        <v>2169406.5299999998</v>
      </c>
      <c r="F775">
        <v>0</v>
      </c>
      <c r="G775">
        <v>2169406.5299999998</v>
      </c>
      <c r="H775">
        <v>24538.55</v>
      </c>
      <c r="I775">
        <v>281056.71000000002</v>
      </c>
      <c r="J775">
        <v>0.71699999999999997</v>
      </c>
      <c r="K775">
        <v>35285.54</v>
      </c>
      <c r="L775">
        <v>0</v>
      </c>
      <c r="M775">
        <v>0</v>
      </c>
      <c r="N775">
        <v>2025</v>
      </c>
      <c r="O775">
        <v>5</v>
      </c>
    </row>
    <row r="776" spans="1:15" x14ac:dyDescent="0.3">
      <c r="A776">
        <v>41803</v>
      </c>
      <c r="B776">
        <v>3205069</v>
      </c>
      <c r="C776" t="s">
        <v>87</v>
      </c>
      <c r="D776">
        <v>0.67</v>
      </c>
      <c r="E776">
        <v>3180530.36</v>
      </c>
      <c r="F776">
        <v>0</v>
      </c>
      <c r="G776">
        <v>3180530.36</v>
      </c>
      <c r="H776">
        <v>35975.56</v>
      </c>
      <c r="I776">
        <v>515525.2</v>
      </c>
      <c r="J776">
        <v>0.85</v>
      </c>
      <c r="K776">
        <v>51731.55</v>
      </c>
      <c r="L776">
        <v>0</v>
      </c>
      <c r="M776">
        <v>0</v>
      </c>
      <c r="N776">
        <v>2025</v>
      </c>
      <c r="O776">
        <v>5</v>
      </c>
    </row>
    <row r="777" spans="1:15" x14ac:dyDescent="0.3">
      <c r="A777">
        <v>41804</v>
      </c>
      <c r="B777">
        <v>2112803</v>
      </c>
      <c r="C777" t="s">
        <v>88</v>
      </c>
      <c r="D777">
        <v>3.3740000000000001</v>
      </c>
      <c r="E777">
        <v>16016581.279999999</v>
      </c>
      <c r="F777">
        <v>0</v>
      </c>
      <c r="G777">
        <v>16016581.279999999</v>
      </c>
      <c r="H777">
        <v>181166.46</v>
      </c>
      <c r="I777">
        <v>867583.36</v>
      </c>
      <c r="J777">
        <v>1.9590000000000001</v>
      </c>
      <c r="K777">
        <v>260510.79</v>
      </c>
      <c r="L777">
        <v>0</v>
      </c>
      <c r="M777">
        <v>0</v>
      </c>
      <c r="N777">
        <v>2025</v>
      </c>
      <c r="O777">
        <v>5</v>
      </c>
    </row>
    <row r="778" spans="1:15" x14ac:dyDescent="0.3">
      <c r="A778">
        <v>41805</v>
      </c>
      <c r="B778">
        <v>3205150</v>
      </c>
      <c r="C778" t="s">
        <v>89</v>
      </c>
      <c r="D778">
        <v>0.36799999999999999</v>
      </c>
      <c r="E778">
        <v>1746918.16</v>
      </c>
      <c r="F778">
        <v>0</v>
      </c>
      <c r="G778">
        <v>1746918.16</v>
      </c>
      <c r="H778">
        <v>19759.71</v>
      </c>
      <c r="I778">
        <v>116460.18</v>
      </c>
      <c r="J778">
        <v>0.34699999999999998</v>
      </c>
      <c r="K778">
        <v>28413.75</v>
      </c>
      <c r="L778">
        <v>0</v>
      </c>
      <c r="M778">
        <v>0</v>
      </c>
      <c r="N778">
        <v>2025</v>
      </c>
      <c r="O778">
        <v>5</v>
      </c>
    </row>
    <row r="779" spans="1:15" x14ac:dyDescent="0.3">
      <c r="A779">
        <v>41806</v>
      </c>
      <c r="B779">
        <v>3205176</v>
      </c>
      <c r="C779" t="s">
        <v>90</v>
      </c>
      <c r="D779">
        <v>0.7</v>
      </c>
      <c r="E779">
        <v>3322942.18</v>
      </c>
      <c r="F779">
        <v>0</v>
      </c>
      <c r="G779">
        <v>3322942.18</v>
      </c>
      <c r="H779">
        <v>37586.400000000001</v>
      </c>
      <c r="I779">
        <v>421787.96</v>
      </c>
      <c r="J779">
        <v>0.56399999999999995</v>
      </c>
      <c r="K779">
        <v>54047.88</v>
      </c>
      <c r="L779">
        <v>0</v>
      </c>
      <c r="M779">
        <v>0</v>
      </c>
      <c r="N779">
        <v>2025</v>
      </c>
      <c r="O779">
        <v>5</v>
      </c>
    </row>
    <row r="780" spans="1:15" x14ac:dyDescent="0.3">
      <c r="A780">
        <v>41807</v>
      </c>
      <c r="B780">
        <v>3205200</v>
      </c>
      <c r="C780" t="s">
        <v>91</v>
      </c>
      <c r="D780">
        <v>6.6219999999999999</v>
      </c>
      <c r="E780">
        <v>31435033.030000001</v>
      </c>
      <c r="F780">
        <v>0</v>
      </c>
      <c r="G780">
        <v>31435033.030000001</v>
      </c>
      <c r="H780">
        <v>355567.38</v>
      </c>
      <c r="I780">
        <v>7686529.25</v>
      </c>
      <c r="J780">
        <v>8.0009999999999994</v>
      </c>
      <c r="K780">
        <v>511292.94</v>
      </c>
      <c r="L780">
        <v>0</v>
      </c>
      <c r="M780">
        <v>0</v>
      </c>
      <c r="N780">
        <v>2025</v>
      </c>
      <c r="O780">
        <v>5</v>
      </c>
    </row>
    <row r="781" spans="1:15" x14ac:dyDescent="0.3">
      <c r="A781">
        <v>41808</v>
      </c>
      <c r="B781">
        <v>3205309</v>
      </c>
      <c r="C781" t="s">
        <v>92</v>
      </c>
      <c r="D781">
        <v>10.878</v>
      </c>
      <c r="E781">
        <v>51638521.469999999</v>
      </c>
      <c r="F781">
        <v>0</v>
      </c>
      <c r="G781">
        <v>51638521.469999999</v>
      </c>
      <c r="H781">
        <v>584092.71</v>
      </c>
      <c r="I781">
        <v>7554893.2699999996</v>
      </c>
      <c r="J781">
        <v>9.2110000000000003</v>
      </c>
      <c r="K781">
        <v>839904.01</v>
      </c>
      <c r="L781">
        <v>0</v>
      </c>
      <c r="M781">
        <v>0</v>
      </c>
      <c r="N781">
        <v>2025</v>
      </c>
      <c r="O781">
        <v>5</v>
      </c>
    </row>
    <row r="782" spans="1:15" x14ac:dyDescent="0.3">
      <c r="A782">
        <v>41809</v>
      </c>
      <c r="B782">
        <v>3200102</v>
      </c>
      <c r="C782" t="s">
        <v>15</v>
      </c>
      <c r="D782">
        <v>0.67100000000000004</v>
      </c>
      <c r="E782">
        <v>3208756.01</v>
      </c>
      <c r="F782">
        <v>0</v>
      </c>
      <c r="G782">
        <v>3208756.01</v>
      </c>
      <c r="H782">
        <v>39073.660000000003</v>
      </c>
      <c r="I782">
        <v>95331.24</v>
      </c>
      <c r="J782">
        <v>1.004</v>
      </c>
      <c r="K782">
        <v>67442.95</v>
      </c>
      <c r="L782">
        <v>0</v>
      </c>
      <c r="M782">
        <v>16662.22</v>
      </c>
      <c r="N782">
        <v>2025</v>
      </c>
      <c r="O782">
        <v>11</v>
      </c>
    </row>
    <row r="783" spans="1:15" x14ac:dyDescent="0.3">
      <c r="A783">
        <v>41810</v>
      </c>
      <c r="B783">
        <v>3200169</v>
      </c>
      <c r="C783" t="s">
        <v>16</v>
      </c>
      <c r="D783">
        <v>0.309</v>
      </c>
      <c r="E783">
        <v>1477653.65</v>
      </c>
      <c r="F783">
        <v>0</v>
      </c>
      <c r="G783">
        <v>1477653.65</v>
      </c>
      <c r="H783">
        <v>17993.68</v>
      </c>
      <c r="I783">
        <v>29851.25</v>
      </c>
      <c r="J783">
        <v>0.45700000000000002</v>
      </c>
      <c r="K783">
        <v>31057.93</v>
      </c>
      <c r="L783">
        <v>0</v>
      </c>
      <c r="M783">
        <v>7673.07</v>
      </c>
      <c r="N783">
        <v>2025</v>
      </c>
      <c r="O783">
        <v>11</v>
      </c>
    </row>
    <row r="784" spans="1:15" x14ac:dyDescent="0.3">
      <c r="A784">
        <v>41811</v>
      </c>
      <c r="B784">
        <v>3200136</v>
      </c>
      <c r="C784" t="s">
        <v>17</v>
      </c>
      <c r="D784">
        <v>0.51900000000000002</v>
      </c>
      <c r="E784">
        <v>2481884.2999999998</v>
      </c>
      <c r="F784">
        <v>0</v>
      </c>
      <c r="G784">
        <v>2481884.2999999998</v>
      </c>
      <c r="H784">
        <v>30222.400000000001</v>
      </c>
      <c r="I784">
        <v>35749.07</v>
      </c>
      <c r="J784">
        <v>0.35099999999999998</v>
      </c>
      <c r="K784">
        <v>52165.27</v>
      </c>
      <c r="L784">
        <v>0</v>
      </c>
      <c r="M784">
        <v>12887.77</v>
      </c>
      <c r="N784">
        <v>2025</v>
      </c>
      <c r="O784">
        <v>11</v>
      </c>
    </row>
    <row r="785" spans="1:15" x14ac:dyDescent="0.3">
      <c r="A785">
        <v>41812</v>
      </c>
      <c r="B785">
        <v>3200201</v>
      </c>
      <c r="C785" t="s">
        <v>18</v>
      </c>
      <c r="D785">
        <v>0.41799999999999998</v>
      </c>
      <c r="E785">
        <v>1998897.19</v>
      </c>
      <c r="F785">
        <v>0</v>
      </c>
      <c r="G785">
        <v>1998897.19</v>
      </c>
      <c r="H785">
        <v>24340.97</v>
      </c>
      <c r="I785">
        <v>86920.95</v>
      </c>
      <c r="J785">
        <v>0.98299999999999998</v>
      </c>
      <c r="K785">
        <v>42013.64</v>
      </c>
      <c r="L785">
        <v>0</v>
      </c>
      <c r="M785">
        <v>10379.75</v>
      </c>
      <c r="N785">
        <v>2025</v>
      </c>
      <c r="O785">
        <v>11</v>
      </c>
    </row>
    <row r="786" spans="1:15" x14ac:dyDescent="0.3">
      <c r="A786">
        <v>41813</v>
      </c>
      <c r="B786">
        <v>3200300</v>
      </c>
      <c r="C786" t="s">
        <v>19</v>
      </c>
      <c r="D786">
        <v>0.442</v>
      </c>
      <c r="E786">
        <v>2113666.42</v>
      </c>
      <c r="F786">
        <v>0</v>
      </c>
      <c r="G786">
        <v>2113666.42</v>
      </c>
      <c r="H786">
        <v>25738.53</v>
      </c>
      <c r="I786">
        <v>47549.61</v>
      </c>
      <c r="J786">
        <v>0.55500000000000005</v>
      </c>
      <c r="K786">
        <v>44425.91</v>
      </c>
      <c r="L786">
        <v>0</v>
      </c>
      <c r="M786">
        <v>10975.71</v>
      </c>
      <c r="N786">
        <v>2025</v>
      </c>
      <c r="O786">
        <v>11</v>
      </c>
    </row>
    <row r="787" spans="1:15" x14ac:dyDescent="0.3">
      <c r="A787">
        <v>41814</v>
      </c>
      <c r="B787">
        <v>3200359</v>
      </c>
      <c r="C787" t="s">
        <v>20</v>
      </c>
      <c r="D787">
        <v>0.25800000000000001</v>
      </c>
      <c r="E787">
        <v>1233769.06</v>
      </c>
      <c r="F787">
        <v>0</v>
      </c>
      <c r="G787">
        <v>1233769.06</v>
      </c>
      <c r="H787">
        <v>15023.85</v>
      </c>
      <c r="I787">
        <v>22128.9</v>
      </c>
      <c r="J787">
        <v>0.32300000000000001</v>
      </c>
      <c r="K787">
        <v>25931.87</v>
      </c>
      <c r="L787">
        <v>0</v>
      </c>
      <c r="M787">
        <v>6406.64</v>
      </c>
      <c r="N787">
        <v>2025</v>
      </c>
      <c r="O787">
        <v>11</v>
      </c>
    </row>
    <row r="788" spans="1:15" x14ac:dyDescent="0.3">
      <c r="A788">
        <v>41815</v>
      </c>
      <c r="B788">
        <v>3200409</v>
      </c>
      <c r="C788" t="s">
        <v>21</v>
      </c>
      <c r="D788">
        <v>3.4780000000000002</v>
      </c>
      <c r="E788">
        <v>16631972.300000001</v>
      </c>
      <c r="F788">
        <v>0</v>
      </c>
      <c r="G788">
        <v>16631972.300000001</v>
      </c>
      <c r="H788">
        <v>202530.81</v>
      </c>
      <c r="I788">
        <v>113146.01</v>
      </c>
      <c r="J788">
        <v>1.0049999999999999</v>
      </c>
      <c r="K788">
        <v>349577.64</v>
      </c>
      <c r="L788">
        <v>0</v>
      </c>
      <c r="M788">
        <v>86365.45</v>
      </c>
      <c r="N788">
        <v>2025</v>
      </c>
      <c r="O788">
        <v>11</v>
      </c>
    </row>
    <row r="789" spans="1:15" x14ac:dyDescent="0.3">
      <c r="A789">
        <v>41816</v>
      </c>
      <c r="B789">
        <v>3200508</v>
      </c>
      <c r="C789" t="s">
        <v>22</v>
      </c>
      <c r="D789">
        <v>0.23799999999999999</v>
      </c>
      <c r="E789">
        <v>1138128.06</v>
      </c>
      <c r="F789">
        <v>0</v>
      </c>
      <c r="G789">
        <v>1138128.06</v>
      </c>
      <c r="H789">
        <v>13859.21</v>
      </c>
      <c r="I789">
        <v>51958.01</v>
      </c>
      <c r="J789">
        <v>0.31900000000000001</v>
      </c>
      <c r="K789">
        <v>23921.64</v>
      </c>
      <c r="L789">
        <v>0</v>
      </c>
      <c r="M789">
        <v>5910</v>
      </c>
      <c r="N789">
        <v>2025</v>
      </c>
      <c r="O789">
        <v>11</v>
      </c>
    </row>
    <row r="790" spans="1:15" x14ac:dyDescent="0.3">
      <c r="A790">
        <v>41817</v>
      </c>
      <c r="B790">
        <v>3200607</v>
      </c>
      <c r="C790" t="s">
        <v>23</v>
      </c>
      <c r="D790">
        <v>4.4800000000000004</v>
      </c>
      <c r="E790">
        <v>21423587.079999998</v>
      </c>
      <c r="F790">
        <v>0</v>
      </c>
      <c r="G790">
        <v>21423587.079999998</v>
      </c>
      <c r="H790">
        <v>260879.25</v>
      </c>
      <c r="I790">
        <v>468100.5</v>
      </c>
      <c r="J790">
        <v>2.4649999999999999</v>
      </c>
      <c r="K790">
        <v>450289.79</v>
      </c>
      <c r="L790">
        <v>0</v>
      </c>
      <c r="M790">
        <v>111247.05</v>
      </c>
      <c r="N790">
        <v>2025</v>
      </c>
      <c r="O790">
        <v>11</v>
      </c>
    </row>
    <row r="791" spans="1:15" x14ac:dyDescent="0.3">
      <c r="A791">
        <v>41818</v>
      </c>
      <c r="B791">
        <v>3200706</v>
      </c>
      <c r="C791" t="s">
        <v>24</v>
      </c>
      <c r="D791">
        <v>0.39500000000000002</v>
      </c>
      <c r="E791">
        <v>1888910.04</v>
      </c>
      <c r="F791">
        <v>0</v>
      </c>
      <c r="G791">
        <v>1888910.04</v>
      </c>
      <c r="H791">
        <v>23001.63</v>
      </c>
      <c r="I791">
        <v>21115.45</v>
      </c>
      <c r="J791">
        <v>0.438</v>
      </c>
      <c r="K791">
        <v>39701.89</v>
      </c>
      <c r="L791">
        <v>0</v>
      </c>
      <c r="M791">
        <v>9808.61</v>
      </c>
      <c r="N791">
        <v>2025</v>
      </c>
      <c r="O791">
        <v>11</v>
      </c>
    </row>
    <row r="792" spans="1:15" x14ac:dyDescent="0.3">
      <c r="A792">
        <v>41819</v>
      </c>
      <c r="B792">
        <v>3200805</v>
      </c>
      <c r="C792" t="s">
        <v>25</v>
      </c>
      <c r="D792">
        <v>0.54</v>
      </c>
      <c r="E792">
        <v>2582307.37</v>
      </c>
      <c r="F792">
        <v>0</v>
      </c>
      <c r="G792">
        <v>2582307.37</v>
      </c>
      <c r="H792">
        <v>31445.27</v>
      </c>
      <c r="I792">
        <v>125562.48</v>
      </c>
      <c r="J792">
        <v>1.0069999999999999</v>
      </c>
      <c r="K792">
        <v>54276</v>
      </c>
      <c r="L792">
        <v>0</v>
      </c>
      <c r="M792">
        <v>13409.24</v>
      </c>
      <c r="N792">
        <v>2025</v>
      </c>
      <c r="O792">
        <v>11</v>
      </c>
    </row>
    <row r="793" spans="1:15" x14ac:dyDescent="0.3">
      <c r="A793">
        <v>41820</v>
      </c>
      <c r="B793">
        <v>3200904</v>
      </c>
      <c r="C793" t="s">
        <v>26</v>
      </c>
      <c r="D793">
        <v>0.81299999999999994</v>
      </c>
      <c r="E793">
        <v>3887807.23</v>
      </c>
      <c r="F793">
        <v>0</v>
      </c>
      <c r="G793">
        <v>3887807.23</v>
      </c>
      <c r="H793">
        <v>47342.6</v>
      </c>
      <c r="I793">
        <v>176188.92</v>
      </c>
      <c r="J793">
        <v>1.3120000000000001</v>
      </c>
      <c r="K793">
        <v>81715.539999999994</v>
      </c>
      <c r="L793">
        <v>0</v>
      </c>
      <c r="M793">
        <v>20188.36</v>
      </c>
      <c r="N793">
        <v>2025</v>
      </c>
      <c r="O793">
        <v>11</v>
      </c>
    </row>
    <row r="794" spans="1:15" x14ac:dyDescent="0.3">
      <c r="A794">
        <v>41821</v>
      </c>
      <c r="B794">
        <v>3107109</v>
      </c>
      <c r="C794" t="s">
        <v>27</v>
      </c>
      <c r="D794">
        <v>0.48699999999999999</v>
      </c>
      <c r="E794">
        <v>2328858.67</v>
      </c>
      <c r="F794">
        <v>0</v>
      </c>
      <c r="G794">
        <v>2328858.67</v>
      </c>
      <c r="H794">
        <v>28358.97</v>
      </c>
      <c r="I794">
        <v>51458.83</v>
      </c>
      <c r="J794">
        <v>0.55200000000000005</v>
      </c>
      <c r="K794">
        <v>48948.91</v>
      </c>
      <c r="L794">
        <v>0</v>
      </c>
      <c r="M794">
        <v>12093.15</v>
      </c>
      <c r="N794">
        <v>2025</v>
      </c>
      <c r="O794">
        <v>11</v>
      </c>
    </row>
    <row r="795" spans="1:15" x14ac:dyDescent="0.3">
      <c r="A795">
        <v>41822</v>
      </c>
      <c r="B795">
        <v>3201100</v>
      </c>
      <c r="C795" t="s">
        <v>28</v>
      </c>
      <c r="D795">
        <v>0.247</v>
      </c>
      <c r="E795">
        <v>1181166.54</v>
      </c>
      <c r="F795">
        <v>0</v>
      </c>
      <c r="G795">
        <v>1181166.54</v>
      </c>
      <c r="H795">
        <v>14383.3</v>
      </c>
      <c r="I795">
        <v>131488.1</v>
      </c>
      <c r="J795">
        <v>0.435</v>
      </c>
      <c r="K795">
        <v>24826.240000000002</v>
      </c>
      <c r="L795">
        <v>0</v>
      </c>
      <c r="M795">
        <v>6133.49</v>
      </c>
      <c r="N795">
        <v>2025</v>
      </c>
      <c r="O795">
        <v>11</v>
      </c>
    </row>
    <row r="796" spans="1:15" x14ac:dyDescent="0.3">
      <c r="A796">
        <v>41823</v>
      </c>
      <c r="B796">
        <v>3201159</v>
      </c>
      <c r="C796" t="s">
        <v>29</v>
      </c>
      <c r="D796">
        <v>0.40699999999999997</v>
      </c>
      <c r="E796">
        <v>1946294.63</v>
      </c>
      <c r="F796">
        <v>0</v>
      </c>
      <c r="G796">
        <v>1946294.63</v>
      </c>
      <c r="H796">
        <v>23700.41</v>
      </c>
      <c r="I796">
        <v>39018.050000000003</v>
      </c>
      <c r="J796">
        <v>0.54600000000000004</v>
      </c>
      <c r="K796">
        <v>40908.019999999997</v>
      </c>
      <c r="L796">
        <v>0</v>
      </c>
      <c r="M796">
        <v>10106.6</v>
      </c>
      <c r="N796">
        <v>2025</v>
      </c>
      <c r="O796">
        <v>11</v>
      </c>
    </row>
    <row r="797" spans="1:15" x14ac:dyDescent="0.3">
      <c r="A797">
        <v>41824</v>
      </c>
      <c r="B797">
        <v>3201209</v>
      </c>
      <c r="C797" t="s">
        <v>30</v>
      </c>
      <c r="D797">
        <v>2.5920000000000001</v>
      </c>
      <c r="E797">
        <v>12395075.390000001</v>
      </c>
      <c r="F797">
        <v>0</v>
      </c>
      <c r="G797">
        <v>12395075.390000001</v>
      </c>
      <c r="H797">
        <v>150937.28</v>
      </c>
      <c r="I797">
        <v>997561.07</v>
      </c>
      <c r="J797">
        <v>4.298</v>
      </c>
      <c r="K797">
        <v>260524.81</v>
      </c>
      <c r="L797">
        <v>0</v>
      </c>
      <c r="M797">
        <v>64364.36</v>
      </c>
      <c r="N797">
        <v>2025</v>
      </c>
      <c r="O797">
        <v>11</v>
      </c>
    </row>
    <row r="798" spans="1:15" x14ac:dyDescent="0.3">
      <c r="A798">
        <v>41825</v>
      </c>
      <c r="B798">
        <v>3201308</v>
      </c>
      <c r="C798" t="s">
        <v>31</v>
      </c>
      <c r="D798">
        <v>8.3239999999999998</v>
      </c>
      <c r="E798">
        <v>39805789.909999996</v>
      </c>
      <c r="F798">
        <v>0</v>
      </c>
      <c r="G798">
        <v>39805789.909999996</v>
      </c>
      <c r="H798">
        <v>484722.97</v>
      </c>
      <c r="I798">
        <v>1125116.8400000001</v>
      </c>
      <c r="J798">
        <v>6.4569999999999999</v>
      </c>
      <c r="K798">
        <v>836654.49</v>
      </c>
      <c r="L798">
        <v>0</v>
      </c>
      <c r="M798">
        <v>206700.98</v>
      </c>
      <c r="N798">
        <v>2025</v>
      </c>
      <c r="O798">
        <v>11</v>
      </c>
    </row>
    <row r="799" spans="1:15" x14ac:dyDescent="0.3">
      <c r="A799">
        <v>41826</v>
      </c>
      <c r="B799">
        <v>3201407</v>
      </c>
      <c r="C799" t="s">
        <v>32</v>
      </c>
      <c r="D799">
        <v>0.80700000000000005</v>
      </c>
      <c r="E799">
        <v>3859114.91</v>
      </c>
      <c r="F799">
        <v>0</v>
      </c>
      <c r="G799">
        <v>3859114.91</v>
      </c>
      <c r="H799">
        <v>46993.2</v>
      </c>
      <c r="I799">
        <v>365945.77</v>
      </c>
      <c r="J799">
        <v>1.1639999999999999</v>
      </c>
      <c r="K799">
        <v>81112.47</v>
      </c>
      <c r="L799">
        <v>0</v>
      </c>
      <c r="M799">
        <v>20039.37</v>
      </c>
      <c r="N799">
        <v>2025</v>
      </c>
      <c r="O799">
        <v>11</v>
      </c>
    </row>
    <row r="800" spans="1:15" x14ac:dyDescent="0.3">
      <c r="A800">
        <v>41827</v>
      </c>
      <c r="B800">
        <v>3201506</v>
      </c>
      <c r="C800" t="s">
        <v>33</v>
      </c>
      <c r="D800">
        <v>2.0139999999999998</v>
      </c>
      <c r="E800">
        <v>9631050.0700000003</v>
      </c>
      <c r="F800">
        <v>0</v>
      </c>
      <c r="G800">
        <v>9631050.0700000003</v>
      </c>
      <c r="H800">
        <v>117279.2</v>
      </c>
      <c r="I800">
        <v>524176.4</v>
      </c>
      <c r="J800">
        <v>2.86</v>
      </c>
      <c r="K800">
        <v>202429.38</v>
      </c>
      <c r="L800">
        <v>0</v>
      </c>
      <c r="M800">
        <v>50011.51</v>
      </c>
      <c r="N800">
        <v>2025</v>
      </c>
      <c r="O800">
        <v>11</v>
      </c>
    </row>
    <row r="801" spans="1:15" x14ac:dyDescent="0.3">
      <c r="A801">
        <v>41828</v>
      </c>
      <c r="B801">
        <v>3201605</v>
      </c>
      <c r="C801" t="s">
        <v>34</v>
      </c>
      <c r="D801">
        <v>0.60099999999999998</v>
      </c>
      <c r="E801">
        <v>2874012.45</v>
      </c>
      <c r="F801">
        <v>0</v>
      </c>
      <c r="G801">
        <v>2874012.45</v>
      </c>
      <c r="H801">
        <v>34997.42</v>
      </c>
      <c r="I801">
        <v>71980.92</v>
      </c>
      <c r="J801">
        <v>0.94399999999999995</v>
      </c>
      <c r="K801">
        <v>60407.17</v>
      </c>
      <c r="L801">
        <v>0</v>
      </c>
      <c r="M801">
        <v>14923.99</v>
      </c>
      <c r="N801">
        <v>2025</v>
      </c>
      <c r="O801">
        <v>11</v>
      </c>
    </row>
    <row r="802" spans="1:15" x14ac:dyDescent="0.3">
      <c r="A802">
        <v>41829</v>
      </c>
      <c r="B802">
        <v>3201704</v>
      </c>
      <c r="C802" t="s">
        <v>35</v>
      </c>
      <c r="D802">
        <v>0.371</v>
      </c>
      <c r="E802">
        <v>1774140.81</v>
      </c>
      <c r="F802">
        <v>0</v>
      </c>
      <c r="G802">
        <v>1774140.81</v>
      </c>
      <c r="H802">
        <v>21604.06</v>
      </c>
      <c r="I802">
        <v>32519.35</v>
      </c>
      <c r="J802">
        <v>0.45600000000000002</v>
      </c>
      <c r="K802">
        <v>37289.620000000003</v>
      </c>
      <c r="L802">
        <v>0</v>
      </c>
      <c r="M802">
        <v>9212.65</v>
      </c>
      <c r="N802">
        <v>2025</v>
      </c>
      <c r="O802">
        <v>11</v>
      </c>
    </row>
    <row r="803" spans="1:15" x14ac:dyDescent="0.3">
      <c r="A803">
        <v>41830</v>
      </c>
      <c r="B803">
        <v>3201803</v>
      </c>
      <c r="C803" t="s">
        <v>36</v>
      </c>
      <c r="D803">
        <v>0.187</v>
      </c>
      <c r="E803">
        <v>894243.47</v>
      </c>
      <c r="F803">
        <v>0</v>
      </c>
      <c r="G803">
        <v>894243.47</v>
      </c>
      <c r="H803">
        <v>10889.38</v>
      </c>
      <c r="I803">
        <v>14822.91</v>
      </c>
      <c r="J803">
        <v>0.29299999999999998</v>
      </c>
      <c r="K803">
        <v>18795.580000000002</v>
      </c>
      <c r="L803">
        <v>0</v>
      </c>
      <c r="M803">
        <v>4643.57</v>
      </c>
      <c r="N803">
        <v>2025</v>
      </c>
      <c r="O803">
        <v>11</v>
      </c>
    </row>
    <row r="804" spans="1:15" x14ac:dyDescent="0.3">
      <c r="A804">
        <v>41831</v>
      </c>
      <c r="B804">
        <v>3201902</v>
      </c>
      <c r="C804" t="s">
        <v>37</v>
      </c>
      <c r="D804">
        <v>1.0620000000000001</v>
      </c>
      <c r="E804">
        <v>5078537.87</v>
      </c>
      <c r="F804">
        <v>0</v>
      </c>
      <c r="G804">
        <v>5078537.87</v>
      </c>
      <c r="H804">
        <v>61842.36</v>
      </c>
      <c r="I804">
        <v>139837.60999999999</v>
      </c>
      <c r="J804">
        <v>1.147</v>
      </c>
      <c r="K804">
        <v>106742.8</v>
      </c>
      <c r="L804">
        <v>0</v>
      </c>
      <c r="M804">
        <v>26371.51</v>
      </c>
      <c r="N804">
        <v>2025</v>
      </c>
      <c r="O804">
        <v>11</v>
      </c>
    </row>
    <row r="805" spans="1:15" x14ac:dyDescent="0.3">
      <c r="A805">
        <v>41832</v>
      </c>
      <c r="B805">
        <v>3202009</v>
      </c>
      <c r="C805" t="s">
        <v>38</v>
      </c>
      <c r="D805">
        <v>0.34899999999999998</v>
      </c>
      <c r="E805">
        <v>1668935.67</v>
      </c>
      <c r="F805">
        <v>0</v>
      </c>
      <c r="G805">
        <v>1668935.67</v>
      </c>
      <c r="H805">
        <v>20322.96</v>
      </c>
      <c r="I805">
        <v>39813.120000000003</v>
      </c>
      <c r="J805">
        <v>0.312</v>
      </c>
      <c r="K805">
        <v>35078.379999999997</v>
      </c>
      <c r="L805">
        <v>0</v>
      </c>
      <c r="M805">
        <v>8666.34</v>
      </c>
      <c r="N805">
        <v>2025</v>
      </c>
      <c r="O805">
        <v>11</v>
      </c>
    </row>
    <row r="806" spans="1:15" x14ac:dyDescent="0.3">
      <c r="A806">
        <v>41833</v>
      </c>
      <c r="B806">
        <v>3202108</v>
      </c>
      <c r="C806" t="s">
        <v>39</v>
      </c>
      <c r="D806">
        <v>0.57099999999999995</v>
      </c>
      <c r="E806">
        <v>2730550.94</v>
      </c>
      <c r="F806">
        <v>0</v>
      </c>
      <c r="G806">
        <v>2730550.94</v>
      </c>
      <c r="H806">
        <v>33250.46</v>
      </c>
      <c r="I806">
        <v>70381.960000000006</v>
      </c>
      <c r="J806">
        <v>0.79200000000000004</v>
      </c>
      <c r="K806">
        <v>57391.839999999997</v>
      </c>
      <c r="L806">
        <v>0</v>
      </c>
      <c r="M806">
        <v>14179.03</v>
      </c>
      <c r="N806">
        <v>2025</v>
      </c>
      <c r="O806">
        <v>11</v>
      </c>
    </row>
    <row r="807" spans="1:15" x14ac:dyDescent="0.3">
      <c r="A807">
        <v>41834</v>
      </c>
      <c r="B807">
        <v>3202207</v>
      </c>
      <c r="C807" t="s">
        <v>40</v>
      </c>
      <c r="D807">
        <v>0.36799999999999999</v>
      </c>
      <c r="E807">
        <v>1759794.64</v>
      </c>
      <c r="F807">
        <v>0</v>
      </c>
      <c r="G807">
        <v>1759794.64</v>
      </c>
      <c r="H807">
        <v>21429.37</v>
      </c>
      <c r="I807">
        <v>63179.01</v>
      </c>
      <c r="J807">
        <v>0.68600000000000005</v>
      </c>
      <c r="K807">
        <v>36988.089999999997</v>
      </c>
      <c r="L807">
        <v>0</v>
      </c>
      <c r="M807">
        <v>9138.15</v>
      </c>
      <c r="N807">
        <v>2025</v>
      </c>
      <c r="O807">
        <v>11</v>
      </c>
    </row>
    <row r="808" spans="1:15" x14ac:dyDescent="0.3">
      <c r="A808">
        <v>41835</v>
      </c>
      <c r="B808">
        <v>3202256</v>
      </c>
      <c r="C808" t="s">
        <v>41</v>
      </c>
      <c r="D808">
        <v>0.53100000000000003</v>
      </c>
      <c r="E808">
        <v>2539268.91</v>
      </c>
      <c r="F808">
        <v>0</v>
      </c>
      <c r="G808">
        <v>2539268.91</v>
      </c>
      <c r="H808">
        <v>30921.18</v>
      </c>
      <c r="I808">
        <v>45616.160000000003</v>
      </c>
      <c r="J808">
        <v>0.44400000000000001</v>
      </c>
      <c r="K808">
        <v>53371.4</v>
      </c>
      <c r="L808">
        <v>0</v>
      </c>
      <c r="M808">
        <v>13185.75</v>
      </c>
      <c r="N808">
        <v>2025</v>
      </c>
      <c r="O808">
        <v>11</v>
      </c>
    </row>
    <row r="809" spans="1:15" x14ac:dyDescent="0.3">
      <c r="A809">
        <v>41836</v>
      </c>
      <c r="B809">
        <v>3202306</v>
      </c>
      <c r="C809" t="s">
        <v>42</v>
      </c>
      <c r="D809">
        <v>0.36699999999999999</v>
      </c>
      <c r="E809">
        <v>1755012.58</v>
      </c>
      <c r="F809">
        <v>0</v>
      </c>
      <c r="G809">
        <v>1755012.58</v>
      </c>
      <c r="H809">
        <v>21371.14</v>
      </c>
      <c r="I809">
        <v>121840.32000000001</v>
      </c>
      <c r="J809">
        <v>0.99</v>
      </c>
      <c r="K809">
        <v>36887.57</v>
      </c>
      <c r="L809">
        <v>0</v>
      </c>
      <c r="M809">
        <v>9113.32</v>
      </c>
      <c r="N809">
        <v>2025</v>
      </c>
      <c r="O809">
        <v>11</v>
      </c>
    </row>
    <row r="810" spans="1:15" x14ac:dyDescent="0.3">
      <c r="A810">
        <v>41837</v>
      </c>
      <c r="B810">
        <v>3202405</v>
      </c>
      <c r="C810" t="s">
        <v>43</v>
      </c>
      <c r="D810">
        <v>0.79</v>
      </c>
      <c r="E810">
        <v>3777820.04</v>
      </c>
      <c r="F810">
        <v>0</v>
      </c>
      <c r="G810">
        <v>3777820.04</v>
      </c>
      <c r="H810">
        <v>46003.26</v>
      </c>
      <c r="I810">
        <v>854114.56</v>
      </c>
      <c r="J810">
        <v>3.0129999999999999</v>
      </c>
      <c r="K810">
        <v>79403.77</v>
      </c>
      <c r="L810">
        <v>0</v>
      </c>
      <c r="M810">
        <v>19617.22</v>
      </c>
      <c r="N810">
        <v>2025</v>
      </c>
      <c r="O810">
        <v>11</v>
      </c>
    </row>
    <row r="811" spans="1:15" x14ac:dyDescent="0.3">
      <c r="A811">
        <v>41838</v>
      </c>
      <c r="B811">
        <v>3202454</v>
      </c>
      <c r="C811" t="s">
        <v>44</v>
      </c>
      <c r="D811">
        <v>0.33900000000000002</v>
      </c>
      <c r="E811">
        <v>1621115.19</v>
      </c>
      <c r="F811">
        <v>0</v>
      </c>
      <c r="G811">
        <v>1621115.19</v>
      </c>
      <c r="H811">
        <v>19740.64</v>
      </c>
      <c r="I811">
        <v>110508.03</v>
      </c>
      <c r="J811">
        <v>0.86499999999999999</v>
      </c>
      <c r="K811">
        <v>34073.269999999997</v>
      </c>
      <c r="L811">
        <v>0</v>
      </c>
      <c r="M811">
        <v>8418.02</v>
      </c>
      <c r="N811">
        <v>2025</v>
      </c>
      <c r="O811">
        <v>11</v>
      </c>
    </row>
    <row r="812" spans="1:15" x14ac:dyDescent="0.3">
      <c r="A812">
        <v>41839</v>
      </c>
      <c r="B812">
        <v>3202504</v>
      </c>
      <c r="C812" t="s">
        <v>45</v>
      </c>
      <c r="D812">
        <v>0.307</v>
      </c>
      <c r="E812">
        <v>1468089.56</v>
      </c>
      <c r="F812">
        <v>0</v>
      </c>
      <c r="G812">
        <v>1468089.56</v>
      </c>
      <c r="H812">
        <v>17877.22</v>
      </c>
      <c r="I812">
        <v>40491.71</v>
      </c>
      <c r="J812">
        <v>0.45400000000000001</v>
      </c>
      <c r="K812">
        <v>30856.91</v>
      </c>
      <c r="L812">
        <v>0</v>
      </c>
      <c r="M812">
        <v>7623.4</v>
      </c>
      <c r="N812">
        <v>2025</v>
      </c>
      <c r="O812">
        <v>11</v>
      </c>
    </row>
    <row r="813" spans="1:15" x14ac:dyDescent="0.3">
      <c r="A813">
        <v>41840</v>
      </c>
      <c r="B813">
        <v>3202553</v>
      </c>
      <c r="C813" t="s">
        <v>46</v>
      </c>
      <c r="D813">
        <v>0.28399999999999997</v>
      </c>
      <c r="E813">
        <v>1358102.4</v>
      </c>
      <c r="F813">
        <v>0</v>
      </c>
      <c r="G813">
        <v>1358102.4</v>
      </c>
      <c r="H813">
        <v>16537.88</v>
      </c>
      <c r="I813">
        <v>37619.89</v>
      </c>
      <c r="J813">
        <v>0.35</v>
      </c>
      <c r="K813">
        <v>28545.16</v>
      </c>
      <c r="L813">
        <v>0</v>
      </c>
      <c r="M813">
        <v>7052.27</v>
      </c>
      <c r="N813">
        <v>2025</v>
      </c>
      <c r="O813">
        <v>11</v>
      </c>
    </row>
    <row r="814" spans="1:15" x14ac:dyDescent="0.3">
      <c r="A814">
        <v>41841</v>
      </c>
      <c r="B814">
        <v>3202603</v>
      </c>
      <c r="C814" t="s">
        <v>47</v>
      </c>
      <c r="D814">
        <v>0.314</v>
      </c>
      <c r="E814">
        <v>1501563.93</v>
      </c>
      <c r="F814">
        <v>0</v>
      </c>
      <c r="G814">
        <v>1501563.93</v>
      </c>
      <c r="H814">
        <v>18284.84</v>
      </c>
      <c r="I814">
        <v>57552.63</v>
      </c>
      <c r="J814">
        <v>0.52</v>
      </c>
      <c r="K814">
        <v>31560.49</v>
      </c>
      <c r="L814">
        <v>0</v>
      </c>
      <c r="M814">
        <v>7797.23</v>
      </c>
      <c r="N814">
        <v>2025</v>
      </c>
      <c r="O814">
        <v>11</v>
      </c>
    </row>
    <row r="815" spans="1:15" x14ac:dyDescent="0.3">
      <c r="A815">
        <v>41842</v>
      </c>
      <c r="B815">
        <v>3202652</v>
      </c>
      <c r="C815" t="s">
        <v>48</v>
      </c>
      <c r="D815">
        <v>0.316</v>
      </c>
      <c r="E815">
        <v>1511128.02</v>
      </c>
      <c r="F815">
        <v>0</v>
      </c>
      <c r="G815">
        <v>1511128.02</v>
      </c>
      <c r="H815">
        <v>18401.3</v>
      </c>
      <c r="I815">
        <v>57886.87</v>
      </c>
      <c r="J815">
        <v>0.55700000000000005</v>
      </c>
      <c r="K815">
        <v>31761.52</v>
      </c>
      <c r="L815">
        <v>0</v>
      </c>
      <c r="M815">
        <v>7846.89</v>
      </c>
      <c r="N815">
        <v>2025</v>
      </c>
      <c r="O815">
        <v>11</v>
      </c>
    </row>
    <row r="816" spans="1:15" x14ac:dyDescent="0.3">
      <c r="A816">
        <v>41843</v>
      </c>
      <c r="B816">
        <v>3202702</v>
      </c>
      <c r="C816" t="s">
        <v>49</v>
      </c>
      <c r="D816">
        <v>0.40400000000000003</v>
      </c>
      <c r="E816">
        <v>1931948.47</v>
      </c>
      <c r="F816">
        <v>0</v>
      </c>
      <c r="G816">
        <v>1931948.47</v>
      </c>
      <c r="H816">
        <v>23525.72</v>
      </c>
      <c r="I816">
        <v>45957.5</v>
      </c>
      <c r="J816">
        <v>0.55200000000000005</v>
      </c>
      <c r="K816">
        <v>40606.49</v>
      </c>
      <c r="L816">
        <v>0</v>
      </c>
      <c r="M816">
        <v>10032.1</v>
      </c>
      <c r="N816">
        <v>2025</v>
      </c>
      <c r="O816">
        <v>11</v>
      </c>
    </row>
    <row r="817" spans="1:15" x14ac:dyDescent="0.3">
      <c r="A817">
        <v>41844</v>
      </c>
      <c r="B817">
        <v>3202801</v>
      </c>
      <c r="C817" t="s">
        <v>50</v>
      </c>
      <c r="D817">
        <v>3.4060000000000001</v>
      </c>
      <c r="E817">
        <v>16287664.65</v>
      </c>
      <c r="F817">
        <v>0</v>
      </c>
      <c r="G817">
        <v>16287664.65</v>
      </c>
      <c r="H817">
        <v>198338.11</v>
      </c>
      <c r="I817">
        <v>150419.84</v>
      </c>
      <c r="J817">
        <v>1.2130000000000001</v>
      </c>
      <c r="K817">
        <v>342340.85</v>
      </c>
      <c r="L817">
        <v>0</v>
      </c>
      <c r="M817">
        <v>84577.55</v>
      </c>
      <c r="N817">
        <v>2025</v>
      </c>
      <c r="O817">
        <v>11</v>
      </c>
    </row>
    <row r="818" spans="1:15" x14ac:dyDescent="0.3">
      <c r="A818">
        <v>41845</v>
      </c>
      <c r="B818">
        <v>3202900</v>
      </c>
      <c r="C818" t="s">
        <v>51</v>
      </c>
      <c r="D818">
        <v>0.39200000000000002</v>
      </c>
      <c r="E818">
        <v>1874563.86</v>
      </c>
      <c r="F818">
        <v>0</v>
      </c>
      <c r="G818">
        <v>1874563.86</v>
      </c>
      <c r="H818">
        <v>22826.94</v>
      </c>
      <c r="I818">
        <v>27105.55</v>
      </c>
      <c r="J818">
        <v>0.438</v>
      </c>
      <c r="K818">
        <v>39400.35</v>
      </c>
      <c r="L818">
        <v>0</v>
      </c>
      <c r="M818">
        <v>9734.1200000000008</v>
      </c>
      <c r="N818">
        <v>2025</v>
      </c>
      <c r="O818">
        <v>11</v>
      </c>
    </row>
    <row r="819" spans="1:15" x14ac:dyDescent="0.3">
      <c r="A819">
        <v>41846</v>
      </c>
      <c r="B819">
        <v>3203007</v>
      </c>
      <c r="C819" t="s">
        <v>52</v>
      </c>
      <c r="D819">
        <v>0.5</v>
      </c>
      <c r="E819">
        <v>2391025.35</v>
      </c>
      <c r="F819">
        <v>0</v>
      </c>
      <c r="G819">
        <v>2391025.35</v>
      </c>
      <c r="H819">
        <v>29115.99</v>
      </c>
      <c r="I819">
        <v>89380.17</v>
      </c>
      <c r="J819">
        <v>0.90300000000000002</v>
      </c>
      <c r="K819">
        <v>50255.55</v>
      </c>
      <c r="L819">
        <v>0</v>
      </c>
      <c r="M819">
        <v>12415.96</v>
      </c>
      <c r="N819">
        <v>2025</v>
      </c>
      <c r="O819">
        <v>11</v>
      </c>
    </row>
    <row r="820" spans="1:15" x14ac:dyDescent="0.3">
      <c r="A820">
        <v>41847</v>
      </c>
      <c r="B820">
        <v>3203056</v>
      </c>
      <c r="C820" t="s">
        <v>53</v>
      </c>
      <c r="D820">
        <v>1.109</v>
      </c>
      <c r="E820">
        <v>5303294.2</v>
      </c>
      <c r="F820">
        <v>0</v>
      </c>
      <c r="G820">
        <v>5303294.2</v>
      </c>
      <c r="H820">
        <v>64579.26</v>
      </c>
      <c r="I820">
        <v>125829.3</v>
      </c>
      <c r="J820">
        <v>0.98899999999999999</v>
      </c>
      <c r="K820">
        <v>111466.82</v>
      </c>
      <c r="L820">
        <v>0</v>
      </c>
      <c r="M820">
        <v>27538.61</v>
      </c>
      <c r="N820">
        <v>2025</v>
      </c>
      <c r="O820">
        <v>11</v>
      </c>
    </row>
    <row r="821" spans="1:15" x14ac:dyDescent="0.3">
      <c r="A821">
        <v>41848</v>
      </c>
      <c r="B821">
        <v>3203106</v>
      </c>
      <c r="C821" t="s">
        <v>54</v>
      </c>
      <c r="D821">
        <v>0.216</v>
      </c>
      <c r="E821">
        <v>1032922.97</v>
      </c>
      <c r="F821">
        <v>0</v>
      </c>
      <c r="G821">
        <v>1032922.97</v>
      </c>
      <c r="H821">
        <v>12578.11</v>
      </c>
      <c r="I821">
        <v>30502.560000000001</v>
      </c>
      <c r="J821">
        <v>0.45100000000000001</v>
      </c>
      <c r="K821">
        <v>21710.400000000001</v>
      </c>
      <c r="L821">
        <v>0</v>
      </c>
      <c r="M821">
        <v>5363.7</v>
      </c>
      <c r="N821">
        <v>2025</v>
      </c>
      <c r="O821">
        <v>11</v>
      </c>
    </row>
    <row r="822" spans="1:15" x14ac:dyDescent="0.3">
      <c r="A822">
        <v>41849</v>
      </c>
      <c r="B822">
        <v>3203130</v>
      </c>
      <c r="C822" t="s">
        <v>55</v>
      </c>
      <c r="D822">
        <v>0.376</v>
      </c>
      <c r="E822">
        <v>1798051.04</v>
      </c>
      <c r="F822">
        <v>0</v>
      </c>
      <c r="G822">
        <v>1798051.04</v>
      </c>
      <c r="H822">
        <v>21895.22</v>
      </c>
      <c r="I822">
        <v>71146.679999999993</v>
      </c>
      <c r="J822">
        <v>0.61499999999999999</v>
      </c>
      <c r="K822">
        <v>37792.18</v>
      </c>
      <c r="L822">
        <v>0</v>
      </c>
      <c r="M822">
        <v>9336.81</v>
      </c>
      <c r="N822">
        <v>2025</v>
      </c>
      <c r="O822">
        <v>11</v>
      </c>
    </row>
    <row r="823" spans="1:15" x14ac:dyDescent="0.3">
      <c r="A823">
        <v>41850</v>
      </c>
      <c r="B823">
        <v>3203163</v>
      </c>
      <c r="C823" t="s">
        <v>56</v>
      </c>
      <c r="D823">
        <v>0.42799999999999999</v>
      </c>
      <c r="E823">
        <v>2046717.69</v>
      </c>
      <c r="F823">
        <v>0</v>
      </c>
      <c r="G823">
        <v>2046717.69</v>
      </c>
      <c r="H823">
        <v>24923.29</v>
      </c>
      <c r="I823">
        <v>24349.8</v>
      </c>
      <c r="J823">
        <v>0.44500000000000001</v>
      </c>
      <c r="K823">
        <v>43018.76</v>
      </c>
      <c r="L823">
        <v>0</v>
      </c>
      <c r="M823">
        <v>10628.07</v>
      </c>
      <c r="N823">
        <v>2025</v>
      </c>
      <c r="O823">
        <v>11</v>
      </c>
    </row>
    <row r="824" spans="1:15" x14ac:dyDescent="0.3">
      <c r="A824">
        <v>41851</v>
      </c>
      <c r="B824">
        <v>3203205</v>
      </c>
      <c r="C824" t="s">
        <v>57</v>
      </c>
      <c r="D824">
        <v>4.431</v>
      </c>
      <c r="E824">
        <v>21189266.600000001</v>
      </c>
      <c r="F824">
        <v>0</v>
      </c>
      <c r="G824">
        <v>21189266.600000001</v>
      </c>
      <c r="H824">
        <v>258025.89</v>
      </c>
      <c r="I824">
        <v>785807.31</v>
      </c>
      <c r="J824">
        <v>4.0979999999999999</v>
      </c>
      <c r="K824">
        <v>445364.74</v>
      </c>
      <c r="L824">
        <v>0</v>
      </c>
      <c r="M824">
        <v>110030.28</v>
      </c>
      <c r="N824">
        <v>2025</v>
      </c>
      <c r="O824">
        <v>11</v>
      </c>
    </row>
    <row r="825" spans="1:15" x14ac:dyDescent="0.3">
      <c r="A825">
        <v>41852</v>
      </c>
      <c r="B825">
        <v>3203304</v>
      </c>
      <c r="C825" t="s">
        <v>58</v>
      </c>
      <c r="D825">
        <v>0.314</v>
      </c>
      <c r="E825">
        <v>1501563.93</v>
      </c>
      <c r="F825">
        <v>0</v>
      </c>
      <c r="G825">
        <v>1501563.93</v>
      </c>
      <c r="H825">
        <v>18284.84</v>
      </c>
      <c r="I825">
        <v>68218.649999999994</v>
      </c>
      <c r="J825">
        <v>0.52400000000000002</v>
      </c>
      <c r="K825">
        <v>31560.49</v>
      </c>
      <c r="L825">
        <v>0</v>
      </c>
      <c r="M825">
        <v>7797.23</v>
      </c>
      <c r="N825">
        <v>2025</v>
      </c>
      <c r="O825">
        <v>11</v>
      </c>
    </row>
    <row r="826" spans="1:15" x14ac:dyDescent="0.3">
      <c r="A826">
        <v>41853</v>
      </c>
      <c r="B826">
        <v>3203320</v>
      </c>
      <c r="C826" t="s">
        <v>59</v>
      </c>
      <c r="D826">
        <v>0.58499999999999996</v>
      </c>
      <c r="E826">
        <v>2797499.66</v>
      </c>
      <c r="F826">
        <v>0</v>
      </c>
      <c r="G826">
        <v>2797499.66</v>
      </c>
      <c r="H826">
        <v>34065.71</v>
      </c>
      <c r="I826">
        <v>241835.42</v>
      </c>
      <c r="J826">
        <v>1.3140000000000001</v>
      </c>
      <c r="K826">
        <v>58799</v>
      </c>
      <c r="L826">
        <v>0</v>
      </c>
      <c r="M826">
        <v>14526.68</v>
      </c>
      <c r="N826">
        <v>2025</v>
      </c>
      <c r="O826">
        <v>11</v>
      </c>
    </row>
    <row r="827" spans="1:15" x14ac:dyDescent="0.3">
      <c r="A827">
        <v>41854</v>
      </c>
      <c r="B827">
        <v>3203346</v>
      </c>
      <c r="C827" t="s">
        <v>60</v>
      </c>
      <c r="D827">
        <v>0.55500000000000005</v>
      </c>
      <c r="E827">
        <v>2654038.12</v>
      </c>
      <c r="F827">
        <v>0</v>
      </c>
      <c r="G827">
        <v>2654038.12</v>
      </c>
      <c r="H827">
        <v>32318.75</v>
      </c>
      <c r="I827">
        <v>43911.61</v>
      </c>
      <c r="J827">
        <v>0.68500000000000005</v>
      </c>
      <c r="K827">
        <v>55783.67</v>
      </c>
      <c r="L827">
        <v>0</v>
      </c>
      <c r="M827">
        <v>13781.72</v>
      </c>
      <c r="N827">
        <v>2025</v>
      </c>
      <c r="O827">
        <v>11</v>
      </c>
    </row>
    <row r="828" spans="1:15" x14ac:dyDescent="0.3">
      <c r="A828">
        <v>41855</v>
      </c>
      <c r="B828">
        <v>3203353</v>
      </c>
      <c r="C828" t="s">
        <v>61</v>
      </c>
      <c r="D828">
        <v>0.505</v>
      </c>
      <c r="E828">
        <v>2414935.61</v>
      </c>
      <c r="F828">
        <v>0</v>
      </c>
      <c r="G828">
        <v>2414935.61</v>
      </c>
      <c r="H828">
        <v>29407.15</v>
      </c>
      <c r="I828">
        <v>34573.72</v>
      </c>
      <c r="J828">
        <v>0.46300000000000002</v>
      </c>
      <c r="K828">
        <v>50758.12</v>
      </c>
      <c r="L828">
        <v>0</v>
      </c>
      <c r="M828">
        <v>12540.12</v>
      </c>
      <c r="N828">
        <v>2025</v>
      </c>
      <c r="O828">
        <v>11</v>
      </c>
    </row>
    <row r="829" spans="1:15" x14ac:dyDescent="0.3">
      <c r="A829">
        <v>41856</v>
      </c>
      <c r="B829">
        <v>3203403</v>
      </c>
      <c r="C829" t="s">
        <v>62</v>
      </c>
      <c r="D829">
        <v>0.46899999999999997</v>
      </c>
      <c r="E829">
        <v>2242781.7799999998</v>
      </c>
      <c r="F829">
        <v>0</v>
      </c>
      <c r="G829">
        <v>2242781.7799999998</v>
      </c>
      <c r="H829">
        <v>27310.799999999999</v>
      </c>
      <c r="I829">
        <v>90305.52</v>
      </c>
      <c r="J829">
        <v>0.83899999999999997</v>
      </c>
      <c r="K829">
        <v>47139.71</v>
      </c>
      <c r="L829">
        <v>0</v>
      </c>
      <c r="M829">
        <v>11646.18</v>
      </c>
      <c r="N829">
        <v>2025</v>
      </c>
      <c r="O829">
        <v>11</v>
      </c>
    </row>
    <row r="830" spans="1:15" x14ac:dyDescent="0.3">
      <c r="A830">
        <v>41857</v>
      </c>
      <c r="B830">
        <v>3203502</v>
      </c>
      <c r="C830" t="s">
        <v>63</v>
      </c>
      <c r="D830">
        <v>0.51500000000000001</v>
      </c>
      <c r="E830">
        <v>2462756.1</v>
      </c>
      <c r="F830">
        <v>0</v>
      </c>
      <c r="G830">
        <v>2462756.1</v>
      </c>
      <c r="H830">
        <v>29989.47</v>
      </c>
      <c r="I830">
        <v>76784.490000000005</v>
      </c>
      <c r="J830">
        <v>0.69699999999999995</v>
      </c>
      <c r="K830">
        <v>51763.22</v>
      </c>
      <c r="L830">
        <v>0</v>
      </c>
      <c r="M830">
        <v>12788.44</v>
      </c>
      <c r="N830">
        <v>2025</v>
      </c>
      <c r="O830">
        <v>11</v>
      </c>
    </row>
    <row r="831" spans="1:15" x14ac:dyDescent="0.3">
      <c r="A831">
        <v>41858</v>
      </c>
      <c r="B831">
        <v>3203601</v>
      </c>
      <c r="C831" t="s">
        <v>64</v>
      </c>
      <c r="D831">
        <v>0.30599999999999999</v>
      </c>
      <c r="E831">
        <v>1463307.52</v>
      </c>
      <c r="F831">
        <v>0</v>
      </c>
      <c r="G831">
        <v>1463307.52</v>
      </c>
      <c r="H831">
        <v>17818.98</v>
      </c>
      <c r="I831">
        <v>19399.64</v>
      </c>
      <c r="J831">
        <v>0.29699999999999999</v>
      </c>
      <c r="K831">
        <v>30756.400000000001</v>
      </c>
      <c r="L831">
        <v>0</v>
      </c>
      <c r="M831">
        <v>7598.57</v>
      </c>
      <c r="N831">
        <v>2025</v>
      </c>
      <c r="O831">
        <v>11</v>
      </c>
    </row>
    <row r="832" spans="1:15" x14ac:dyDescent="0.3">
      <c r="A832">
        <v>41859</v>
      </c>
      <c r="B832">
        <v>3203700</v>
      </c>
      <c r="C832" t="s">
        <v>65</v>
      </c>
      <c r="D832">
        <v>0.505</v>
      </c>
      <c r="E832">
        <v>2414935.61</v>
      </c>
      <c r="F832">
        <v>0</v>
      </c>
      <c r="G832">
        <v>2414935.61</v>
      </c>
      <c r="H832">
        <v>29407.15</v>
      </c>
      <c r="I832">
        <v>57243.21</v>
      </c>
      <c r="J832">
        <v>0.68500000000000005</v>
      </c>
      <c r="K832">
        <v>50758.12</v>
      </c>
      <c r="L832">
        <v>0</v>
      </c>
      <c r="M832">
        <v>12540.12</v>
      </c>
      <c r="N832">
        <v>2025</v>
      </c>
      <c r="O832">
        <v>11</v>
      </c>
    </row>
    <row r="833" spans="1:15" x14ac:dyDescent="0.3">
      <c r="A833">
        <v>41860</v>
      </c>
      <c r="B833">
        <v>3203809</v>
      </c>
      <c r="C833" t="s">
        <v>66</v>
      </c>
      <c r="D833">
        <v>0.32</v>
      </c>
      <c r="E833">
        <v>1530256.2</v>
      </c>
      <c r="F833">
        <v>0</v>
      </c>
      <c r="G833">
        <v>1530256.2</v>
      </c>
      <c r="H833">
        <v>18634.23</v>
      </c>
      <c r="I833">
        <v>59827.56</v>
      </c>
      <c r="J833">
        <v>0.55300000000000005</v>
      </c>
      <c r="K833">
        <v>32163.56</v>
      </c>
      <c r="L833">
        <v>0</v>
      </c>
      <c r="M833">
        <v>7946.22</v>
      </c>
      <c r="N833">
        <v>2025</v>
      </c>
      <c r="O833">
        <v>11</v>
      </c>
    </row>
    <row r="834" spans="1:15" x14ac:dyDescent="0.3">
      <c r="A834">
        <v>41861</v>
      </c>
      <c r="B834">
        <v>3203908</v>
      </c>
      <c r="C834" t="s">
        <v>67</v>
      </c>
      <c r="D834">
        <v>1.2250000000000001</v>
      </c>
      <c r="E834">
        <v>5858012.0700000003</v>
      </c>
      <c r="F834">
        <v>0</v>
      </c>
      <c r="G834">
        <v>5858012.0700000003</v>
      </c>
      <c r="H834">
        <v>71334.17</v>
      </c>
      <c r="I834">
        <v>230947.81</v>
      </c>
      <c r="J834">
        <v>1.4710000000000001</v>
      </c>
      <c r="K834">
        <v>123126.11</v>
      </c>
      <c r="L834">
        <v>0</v>
      </c>
      <c r="M834">
        <v>30419.11</v>
      </c>
      <c r="N834">
        <v>2025</v>
      </c>
      <c r="O834">
        <v>11</v>
      </c>
    </row>
    <row r="835" spans="1:15" x14ac:dyDescent="0.3">
      <c r="A835">
        <v>41862</v>
      </c>
      <c r="B835">
        <v>3204005</v>
      </c>
      <c r="C835" t="s">
        <v>68</v>
      </c>
      <c r="D835">
        <v>0.435</v>
      </c>
      <c r="E835">
        <v>2080192.03</v>
      </c>
      <c r="F835">
        <v>0</v>
      </c>
      <c r="G835">
        <v>2080192.03</v>
      </c>
      <c r="H835">
        <v>25330.91</v>
      </c>
      <c r="I835">
        <v>66504.53</v>
      </c>
      <c r="J835">
        <v>0.69099999999999995</v>
      </c>
      <c r="K835">
        <v>43722.34</v>
      </c>
      <c r="L835">
        <v>0</v>
      </c>
      <c r="M835">
        <v>10801.89</v>
      </c>
      <c r="N835">
        <v>2025</v>
      </c>
      <c r="O835">
        <v>11</v>
      </c>
    </row>
    <row r="836" spans="1:15" x14ac:dyDescent="0.3">
      <c r="A836">
        <v>41863</v>
      </c>
      <c r="B836">
        <v>3204054</v>
      </c>
      <c r="C836" t="s">
        <v>69</v>
      </c>
      <c r="D836">
        <v>0.33400000000000002</v>
      </c>
      <c r="E836">
        <v>1597204.95</v>
      </c>
      <c r="F836">
        <v>0</v>
      </c>
      <c r="G836">
        <v>1597204.95</v>
      </c>
      <c r="H836">
        <v>19449.48</v>
      </c>
      <c r="I836">
        <v>92599.23</v>
      </c>
      <c r="J836">
        <v>0.78400000000000003</v>
      </c>
      <c r="K836">
        <v>33570.71</v>
      </c>
      <c r="L836">
        <v>0</v>
      </c>
      <c r="M836">
        <v>8293.86</v>
      </c>
      <c r="N836">
        <v>2025</v>
      </c>
      <c r="O836">
        <v>11</v>
      </c>
    </row>
    <row r="837" spans="1:15" x14ac:dyDescent="0.3">
      <c r="A837">
        <v>41864</v>
      </c>
      <c r="B837">
        <v>3204104</v>
      </c>
      <c r="C837" t="s">
        <v>70</v>
      </c>
      <c r="D837">
        <v>0.755</v>
      </c>
      <c r="E837">
        <v>3610448.29</v>
      </c>
      <c r="F837">
        <v>0</v>
      </c>
      <c r="G837">
        <v>3610448.29</v>
      </c>
      <c r="H837">
        <v>43965.14</v>
      </c>
      <c r="I837">
        <v>94998.56</v>
      </c>
      <c r="J837">
        <v>0.83499999999999996</v>
      </c>
      <c r="K837">
        <v>75885.899999999994</v>
      </c>
      <c r="L837">
        <v>0</v>
      </c>
      <c r="M837">
        <v>18748.11</v>
      </c>
      <c r="N837">
        <v>2025</v>
      </c>
      <c r="O837">
        <v>11</v>
      </c>
    </row>
    <row r="838" spans="1:15" x14ac:dyDescent="0.3">
      <c r="A838">
        <v>41865</v>
      </c>
      <c r="B838">
        <v>3204203</v>
      </c>
      <c r="C838" t="s">
        <v>71</v>
      </c>
      <c r="D838">
        <v>0.36499999999999999</v>
      </c>
      <c r="E838">
        <v>1745448.5</v>
      </c>
      <c r="F838">
        <v>0</v>
      </c>
      <c r="G838">
        <v>1745448.5</v>
      </c>
      <c r="H838">
        <v>21254.67</v>
      </c>
      <c r="I838">
        <v>100309.53</v>
      </c>
      <c r="J838">
        <v>0.745</v>
      </c>
      <c r="K838">
        <v>36686.559999999998</v>
      </c>
      <c r="L838">
        <v>0</v>
      </c>
      <c r="M838">
        <v>9063.65</v>
      </c>
      <c r="N838">
        <v>2025</v>
      </c>
      <c r="O838">
        <v>11</v>
      </c>
    </row>
    <row r="839" spans="1:15" x14ac:dyDescent="0.3">
      <c r="A839">
        <v>41866</v>
      </c>
      <c r="B839">
        <v>3204252</v>
      </c>
      <c r="C839" t="s">
        <v>72</v>
      </c>
      <c r="D839">
        <v>0.27</v>
      </c>
      <c r="E839">
        <v>1291153.69</v>
      </c>
      <c r="F839">
        <v>0</v>
      </c>
      <c r="G839">
        <v>1291153.69</v>
      </c>
      <c r="H839">
        <v>15722.63</v>
      </c>
      <c r="I839">
        <v>22900.82</v>
      </c>
      <c r="J839">
        <v>0.31</v>
      </c>
      <c r="K839">
        <v>27137.99</v>
      </c>
      <c r="L839">
        <v>0</v>
      </c>
      <c r="M839">
        <v>6704.62</v>
      </c>
      <c r="N839">
        <v>2025</v>
      </c>
      <c r="O839">
        <v>11</v>
      </c>
    </row>
    <row r="840" spans="1:15" x14ac:dyDescent="0.3">
      <c r="A840">
        <v>41867</v>
      </c>
      <c r="B840">
        <v>1718402</v>
      </c>
      <c r="C840" t="s">
        <v>73</v>
      </c>
      <c r="D840">
        <v>0.39100000000000001</v>
      </c>
      <c r="E840">
        <v>1869781.81</v>
      </c>
      <c r="F840">
        <v>0</v>
      </c>
      <c r="G840">
        <v>1869781.81</v>
      </c>
      <c r="H840">
        <v>22768.7</v>
      </c>
      <c r="I840">
        <v>114429.91</v>
      </c>
      <c r="J840">
        <v>0.55900000000000005</v>
      </c>
      <c r="K840">
        <v>39299.85</v>
      </c>
      <c r="L840">
        <v>0</v>
      </c>
      <c r="M840">
        <v>9709.2800000000007</v>
      </c>
      <c r="N840">
        <v>2025</v>
      </c>
      <c r="O840">
        <v>11</v>
      </c>
    </row>
    <row r="841" spans="1:15" x14ac:dyDescent="0.3">
      <c r="A841">
        <v>41868</v>
      </c>
      <c r="B841">
        <v>3204351</v>
      </c>
      <c r="C841" t="s">
        <v>74</v>
      </c>
      <c r="D841">
        <v>0.88200000000000001</v>
      </c>
      <c r="E841">
        <v>4217768.71</v>
      </c>
      <c r="F841">
        <v>0</v>
      </c>
      <c r="G841">
        <v>4217768.71</v>
      </c>
      <c r="H841">
        <v>51360.6</v>
      </c>
      <c r="I841">
        <v>99456.75</v>
      </c>
      <c r="J841">
        <v>0.70299999999999996</v>
      </c>
      <c r="K841">
        <v>88650.79</v>
      </c>
      <c r="L841">
        <v>0</v>
      </c>
      <c r="M841">
        <v>21901.759999999998</v>
      </c>
      <c r="N841">
        <v>2025</v>
      </c>
      <c r="O841">
        <v>11</v>
      </c>
    </row>
    <row r="842" spans="1:15" x14ac:dyDescent="0.3">
      <c r="A842">
        <v>41869</v>
      </c>
      <c r="B842">
        <v>3204401</v>
      </c>
      <c r="C842" t="s">
        <v>75</v>
      </c>
      <c r="D842">
        <v>0.312</v>
      </c>
      <c r="E842">
        <v>1491999.84</v>
      </c>
      <c r="F842">
        <v>0</v>
      </c>
      <c r="G842">
        <v>1491999.84</v>
      </c>
      <c r="H842">
        <v>18168.38</v>
      </c>
      <c r="I842">
        <v>44061.1</v>
      </c>
      <c r="J842">
        <v>0.44400000000000001</v>
      </c>
      <c r="K842">
        <v>31359.46</v>
      </c>
      <c r="L842">
        <v>0</v>
      </c>
      <c r="M842">
        <v>7747.56</v>
      </c>
      <c r="N842">
        <v>2025</v>
      </c>
      <c r="O842">
        <v>11</v>
      </c>
    </row>
    <row r="843" spans="1:15" x14ac:dyDescent="0.3">
      <c r="A843">
        <v>41870</v>
      </c>
      <c r="B843">
        <v>3204500</v>
      </c>
      <c r="C843" t="s">
        <v>76</v>
      </c>
      <c r="D843">
        <v>0.51800000000000002</v>
      </c>
      <c r="E843">
        <v>2477102.25</v>
      </c>
      <c r="F843">
        <v>0</v>
      </c>
      <c r="G843">
        <v>2477102.25</v>
      </c>
      <c r="H843">
        <v>30164.16</v>
      </c>
      <c r="I843">
        <v>25297.02</v>
      </c>
      <c r="J843">
        <v>0.54800000000000004</v>
      </c>
      <c r="K843">
        <v>52064.76</v>
      </c>
      <c r="L843">
        <v>0</v>
      </c>
      <c r="M843">
        <v>12862.94</v>
      </c>
      <c r="N843">
        <v>2025</v>
      </c>
      <c r="O843">
        <v>11</v>
      </c>
    </row>
    <row r="844" spans="1:15" x14ac:dyDescent="0.3">
      <c r="A844">
        <v>41871</v>
      </c>
      <c r="B844">
        <v>3204559</v>
      </c>
      <c r="C844" t="s">
        <v>77</v>
      </c>
      <c r="D844">
        <v>2.1909999999999998</v>
      </c>
      <c r="E844">
        <v>10477473.050000001</v>
      </c>
      <c r="F844">
        <v>0</v>
      </c>
      <c r="G844">
        <v>10477473.050000001</v>
      </c>
      <c r="H844">
        <v>127586.26</v>
      </c>
      <c r="I844">
        <v>455645.67</v>
      </c>
      <c r="J844">
        <v>1.31</v>
      </c>
      <c r="K844">
        <v>220219.85</v>
      </c>
      <c r="L844">
        <v>0</v>
      </c>
      <c r="M844">
        <v>54406.76</v>
      </c>
      <c r="N844">
        <v>2025</v>
      </c>
      <c r="O844">
        <v>11</v>
      </c>
    </row>
    <row r="845" spans="1:15" x14ac:dyDescent="0.3">
      <c r="A845">
        <v>41872</v>
      </c>
      <c r="B845">
        <v>3204609</v>
      </c>
      <c r="C845" t="s">
        <v>78</v>
      </c>
      <c r="D845">
        <v>0.66</v>
      </c>
      <c r="E845">
        <v>3156153.43</v>
      </c>
      <c r="F845">
        <v>0</v>
      </c>
      <c r="G845">
        <v>3156153.43</v>
      </c>
      <c r="H845">
        <v>38433.1</v>
      </c>
      <c r="I845">
        <v>105433.17</v>
      </c>
      <c r="J845">
        <v>0.82199999999999995</v>
      </c>
      <c r="K845">
        <v>66337.33</v>
      </c>
      <c r="L845">
        <v>0</v>
      </c>
      <c r="M845">
        <v>16389.07</v>
      </c>
      <c r="N845">
        <v>2025</v>
      </c>
      <c r="O845">
        <v>11</v>
      </c>
    </row>
    <row r="846" spans="1:15" x14ac:dyDescent="0.3">
      <c r="A846">
        <v>41873</v>
      </c>
      <c r="B846">
        <v>3204658</v>
      </c>
      <c r="C846" t="s">
        <v>79</v>
      </c>
      <c r="D846">
        <v>0.42099999999999999</v>
      </c>
      <c r="E846">
        <v>2013243.34</v>
      </c>
      <c r="F846">
        <v>0</v>
      </c>
      <c r="G846">
        <v>2013243.34</v>
      </c>
      <c r="H846">
        <v>24515.66</v>
      </c>
      <c r="I846">
        <v>38215.18</v>
      </c>
      <c r="J846">
        <v>0.33800000000000002</v>
      </c>
      <c r="K846">
        <v>42315.18</v>
      </c>
      <c r="L846">
        <v>0</v>
      </c>
      <c r="M846">
        <v>10454.24</v>
      </c>
      <c r="N846">
        <v>2025</v>
      </c>
      <c r="O846">
        <v>11</v>
      </c>
    </row>
    <row r="847" spans="1:15" x14ac:dyDescent="0.3">
      <c r="A847">
        <v>41874</v>
      </c>
      <c r="B847">
        <v>3204708</v>
      </c>
      <c r="C847" t="s">
        <v>80</v>
      </c>
      <c r="D847">
        <v>0.72299999999999998</v>
      </c>
      <c r="E847">
        <v>3457422.66</v>
      </c>
      <c r="F847">
        <v>0</v>
      </c>
      <c r="G847">
        <v>3457422.66</v>
      </c>
      <c r="H847">
        <v>42101.72</v>
      </c>
      <c r="I847">
        <v>157427.21</v>
      </c>
      <c r="J847">
        <v>1.0840000000000001</v>
      </c>
      <c r="K847">
        <v>72669.539999999994</v>
      </c>
      <c r="L847">
        <v>0</v>
      </c>
      <c r="M847">
        <v>17953.490000000002</v>
      </c>
      <c r="N847">
        <v>2025</v>
      </c>
      <c r="O847">
        <v>11</v>
      </c>
    </row>
    <row r="848" spans="1:15" x14ac:dyDescent="0.3">
      <c r="A848">
        <v>41875</v>
      </c>
      <c r="B848">
        <v>3204807</v>
      </c>
      <c r="C848" t="s">
        <v>81</v>
      </c>
      <c r="D848">
        <v>0.28599999999999998</v>
      </c>
      <c r="E848">
        <v>1367666.5</v>
      </c>
      <c r="F848">
        <v>0</v>
      </c>
      <c r="G848">
        <v>1367666.5</v>
      </c>
      <c r="H848">
        <v>16654.34</v>
      </c>
      <c r="I848">
        <v>43537.99</v>
      </c>
      <c r="J848">
        <v>0.443</v>
      </c>
      <c r="K848">
        <v>28746.18</v>
      </c>
      <c r="L848">
        <v>0</v>
      </c>
      <c r="M848">
        <v>7101.93</v>
      </c>
      <c r="N848">
        <v>2025</v>
      </c>
      <c r="O848">
        <v>11</v>
      </c>
    </row>
    <row r="849" spans="1:15" x14ac:dyDescent="0.3">
      <c r="A849">
        <v>41876</v>
      </c>
      <c r="B849">
        <v>3204906</v>
      </c>
      <c r="C849" t="s">
        <v>82</v>
      </c>
      <c r="D849">
        <v>1.998</v>
      </c>
      <c r="E849">
        <v>9554537.2799999993</v>
      </c>
      <c r="F849">
        <v>0</v>
      </c>
      <c r="G849">
        <v>9554537.2799999993</v>
      </c>
      <c r="H849">
        <v>116347.49</v>
      </c>
      <c r="I849">
        <v>533540.85</v>
      </c>
      <c r="J849">
        <v>2.9940000000000002</v>
      </c>
      <c r="K849">
        <v>200821.2</v>
      </c>
      <c r="L849">
        <v>0</v>
      </c>
      <c r="M849">
        <v>49614.2</v>
      </c>
      <c r="N849">
        <v>2025</v>
      </c>
      <c r="O849">
        <v>11</v>
      </c>
    </row>
    <row r="850" spans="1:15" x14ac:dyDescent="0.3">
      <c r="A850">
        <v>41877</v>
      </c>
      <c r="B850">
        <v>3204955</v>
      </c>
      <c r="C850" t="s">
        <v>83</v>
      </c>
      <c r="D850">
        <v>0.3</v>
      </c>
      <c r="E850">
        <v>1434615.21</v>
      </c>
      <c r="F850">
        <v>0</v>
      </c>
      <c r="G850">
        <v>1434615.21</v>
      </c>
      <c r="H850">
        <v>17469.59</v>
      </c>
      <c r="I850">
        <v>35385.58</v>
      </c>
      <c r="J850">
        <v>0.441</v>
      </c>
      <c r="K850">
        <v>30153.34</v>
      </c>
      <c r="L850">
        <v>0</v>
      </c>
      <c r="M850">
        <v>7449.58</v>
      </c>
      <c r="N850">
        <v>2025</v>
      </c>
      <c r="O850">
        <v>11</v>
      </c>
    </row>
    <row r="851" spans="1:15" x14ac:dyDescent="0.3">
      <c r="A851">
        <v>41878</v>
      </c>
      <c r="B851">
        <v>3205002</v>
      </c>
      <c r="C851" t="s">
        <v>84</v>
      </c>
      <c r="D851">
        <v>14.551</v>
      </c>
      <c r="E851">
        <v>69583619.579999998</v>
      </c>
      <c r="F851">
        <v>0</v>
      </c>
      <c r="G851">
        <v>69583619.579999998</v>
      </c>
      <c r="H851">
        <v>847333.48</v>
      </c>
      <c r="I851">
        <v>2023982.14</v>
      </c>
      <c r="J851">
        <v>8.8559999999999999</v>
      </c>
      <c r="K851">
        <v>1462537.18</v>
      </c>
      <c r="L851">
        <v>0</v>
      </c>
      <c r="M851">
        <v>361329.41</v>
      </c>
      <c r="N851">
        <v>2025</v>
      </c>
      <c r="O851">
        <v>11</v>
      </c>
    </row>
    <row r="852" spans="1:15" x14ac:dyDescent="0.3">
      <c r="A852">
        <v>41879</v>
      </c>
      <c r="B852">
        <v>3205010</v>
      </c>
      <c r="C852" t="s">
        <v>85</v>
      </c>
      <c r="D852">
        <v>0.78200000000000003</v>
      </c>
      <c r="E852">
        <v>3739563.65</v>
      </c>
      <c r="F852">
        <v>0</v>
      </c>
      <c r="G852">
        <v>3739563.65</v>
      </c>
      <c r="H852">
        <v>45537.4</v>
      </c>
      <c r="I852">
        <v>96038.82</v>
      </c>
      <c r="J852">
        <v>0.93799999999999994</v>
      </c>
      <c r="K852">
        <v>78599.69</v>
      </c>
      <c r="L852">
        <v>0</v>
      </c>
      <c r="M852">
        <v>19418.57</v>
      </c>
      <c r="N852">
        <v>2025</v>
      </c>
      <c r="O852">
        <v>11</v>
      </c>
    </row>
    <row r="853" spans="1:15" x14ac:dyDescent="0.3">
      <c r="A853">
        <v>41880</v>
      </c>
      <c r="B853">
        <v>3205036</v>
      </c>
      <c r="C853" t="s">
        <v>86</v>
      </c>
      <c r="D853">
        <v>0.45700000000000002</v>
      </c>
      <c r="E853">
        <v>2185397.16</v>
      </c>
      <c r="F853">
        <v>0</v>
      </c>
      <c r="G853">
        <v>2185397.16</v>
      </c>
      <c r="H853">
        <v>26612.01</v>
      </c>
      <c r="I853">
        <v>78970.19</v>
      </c>
      <c r="J853">
        <v>0.70399999999999996</v>
      </c>
      <c r="K853">
        <v>45933.58</v>
      </c>
      <c r="L853">
        <v>0</v>
      </c>
      <c r="M853">
        <v>11348.19</v>
      </c>
      <c r="N853">
        <v>2025</v>
      </c>
      <c r="O853">
        <v>11</v>
      </c>
    </row>
    <row r="854" spans="1:15" x14ac:dyDescent="0.3">
      <c r="A854">
        <v>41881</v>
      </c>
      <c r="B854">
        <v>3205069</v>
      </c>
      <c r="C854" t="s">
        <v>87</v>
      </c>
      <c r="D854">
        <v>0.67</v>
      </c>
      <c r="E854">
        <v>3203973.96</v>
      </c>
      <c r="F854">
        <v>0</v>
      </c>
      <c r="G854">
        <v>3203973.96</v>
      </c>
      <c r="H854">
        <v>39015.42</v>
      </c>
      <c r="I854">
        <v>99751.77</v>
      </c>
      <c r="J854">
        <v>0.83899999999999997</v>
      </c>
      <c r="K854">
        <v>67342.45</v>
      </c>
      <c r="L854">
        <v>0</v>
      </c>
      <c r="M854">
        <v>16637.39</v>
      </c>
      <c r="N854">
        <v>2025</v>
      </c>
      <c r="O854">
        <v>11</v>
      </c>
    </row>
    <row r="855" spans="1:15" x14ac:dyDescent="0.3">
      <c r="A855">
        <v>41882</v>
      </c>
      <c r="B855">
        <v>2112803</v>
      </c>
      <c r="C855" t="s">
        <v>88</v>
      </c>
      <c r="D855">
        <v>3.3740000000000001</v>
      </c>
      <c r="E855">
        <v>16134639.01</v>
      </c>
      <c r="F855">
        <v>0</v>
      </c>
      <c r="G855">
        <v>16134639.01</v>
      </c>
      <c r="H855">
        <v>196474.69</v>
      </c>
      <c r="I855">
        <v>213198.64</v>
      </c>
      <c r="J855">
        <v>1.944</v>
      </c>
      <c r="K855">
        <v>339124.49</v>
      </c>
      <c r="L855">
        <v>0</v>
      </c>
      <c r="M855">
        <v>83782.929999999993</v>
      </c>
      <c r="N855">
        <v>2025</v>
      </c>
      <c r="O855">
        <v>11</v>
      </c>
    </row>
    <row r="856" spans="1:15" x14ac:dyDescent="0.3">
      <c r="A856">
        <v>41883</v>
      </c>
      <c r="B856">
        <v>3205150</v>
      </c>
      <c r="C856" t="s">
        <v>89</v>
      </c>
      <c r="D856">
        <v>0.36799999999999999</v>
      </c>
      <c r="E856">
        <v>1759794.64</v>
      </c>
      <c r="F856">
        <v>0</v>
      </c>
      <c r="G856">
        <v>1759794.64</v>
      </c>
      <c r="H856">
        <v>21429.37</v>
      </c>
      <c r="I856">
        <v>32538.14</v>
      </c>
      <c r="J856">
        <v>0.34100000000000003</v>
      </c>
      <c r="K856">
        <v>36988.089999999997</v>
      </c>
      <c r="L856">
        <v>0</v>
      </c>
      <c r="M856">
        <v>9138.15</v>
      </c>
      <c r="N856">
        <v>2025</v>
      </c>
      <c r="O856">
        <v>11</v>
      </c>
    </row>
    <row r="857" spans="1:15" x14ac:dyDescent="0.3">
      <c r="A857">
        <v>41884</v>
      </c>
      <c r="B857">
        <v>3205176</v>
      </c>
      <c r="C857" t="s">
        <v>90</v>
      </c>
      <c r="D857">
        <v>0.7</v>
      </c>
      <c r="E857">
        <v>3347435.49</v>
      </c>
      <c r="F857">
        <v>0</v>
      </c>
      <c r="G857">
        <v>3347435.49</v>
      </c>
      <c r="H857">
        <v>40762.379999999997</v>
      </c>
      <c r="I857">
        <v>82683.850000000006</v>
      </c>
      <c r="J857">
        <v>0.55400000000000005</v>
      </c>
      <c r="K857">
        <v>70357.77</v>
      </c>
      <c r="L857">
        <v>0</v>
      </c>
      <c r="M857">
        <v>17382.349999999999</v>
      </c>
      <c r="N857">
        <v>2025</v>
      </c>
      <c r="O857">
        <v>11</v>
      </c>
    </row>
    <row r="858" spans="1:15" x14ac:dyDescent="0.3">
      <c r="A858">
        <v>41885</v>
      </c>
      <c r="B858">
        <v>3205200</v>
      </c>
      <c r="C858" t="s">
        <v>91</v>
      </c>
      <c r="D858">
        <v>6.6219999999999999</v>
      </c>
      <c r="E858">
        <v>31666739.649999999</v>
      </c>
      <c r="F858">
        <v>0</v>
      </c>
      <c r="G858">
        <v>31666739.649999999</v>
      </c>
      <c r="H858">
        <v>385612.14</v>
      </c>
      <c r="I858">
        <v>2158980.06</v>
      </c>
      <c r="J858">
        <v>8.01</v>
      </c>
      <c r="K858">
        <v>665584.59</v>
      </c>
      <c r="L858">
        <v>0</v>
      </c>
      <c r="M858">
        <v>164437.04</v>
      </c>
      <c r="N858">
        <v>2025</v>
      </c>
      <c r="O858">
        <v>11</v>
      </c>
    </row>
    <row r="859" spans="1:15" x14ac:dyDescent="0.3">
      <c r="A859">
        <v>41886</v>
      </c>
      <c r="B859">
        <v>3205309</v>
      </c>
      <c r="C859" t="s">
        <v>92</v>
      </c>
      <c r="D859">
        <v>10.878</v>
      </c>
      <c r="E859">
        <v>52019147.420000002</v>
      </c>
      <c r="F859">
        <v>0</v>
      </c>
      <c r="G859">
        <v>52019147.420000002</v>
      </c>
      <c r="H859">
        <v>633447.43999999994</v>
      </c>
      <c r="I859">
        <v>1952300.86</v>
      </c>
      <c r="J859">
        <v>9.1780000000000008</v>
      </c>
      <c r="K859">
        <v>1093359.8500000001</v>
      </c>
      <c r="L859">
        <v>0</v>
      </c>
      <c r="M859">
        <v>270121.75</v>
      </c>
      <c r="N859">
        <v>2025</v>
      </c>
      <c r="O859">
        <v>11</v>
      </c>
    </row>
    <row r="860" spans="1:15" x14ac:dyDescent="0.3">
      <c r="A860">
        <v>41887</v>
      </c>
      <c r="B860">
        <v>3200102</v>
      </c>
      <c r="C860" t="s">
        <v>15</v>
      </c>
      <c r="D860">
        <v>0.67100000000000004</v>
      </c>
      <c r="E860">
        <v>3642247.93</v>
      </c>
      <c r="F860">
        <v>0</v>
      </c>
      <c r="G860">
        <v>3642247.93</v>
      </c>
      <c r="H860">
        <v>47330.04</v>
      </c>
      <c r="I860">
        <v>116306.75</v>
      </c>
      <c r="J860">
        <v>1.004</v>
      </c>
      <c r="K860">
        <v>64163.68</v>
      </c>
      <c r="L860">
        <v>0</v>
      </c>
      <c r="M860">
        <v>100893.23</v>
      </c>
      <c r="N860">
        <v>2025</v>
      </c>
      <c r="O860">
        <v>12</v>
      </c>
    </row>
    <row r="861" spans="1:15" x14ac:dyDescent="0.3">
      <c r="A861">
        <v>41888</v>
      </c>
      <c r="B861">
        <v>3200169</v>
      </c>
      <c r="C861" t="s">
        <v>16</v>
      </c>
      <c r="D861">
        <v>0.309</v>
      </c>
      <c r="E861">
        <v>1677279.61</v>
      </c>
      <c r="F861">
        <v>0</v>
      </c>
      <c r="G861">
        <v>1677279.61</v>
      </c>
      <c r="H861">
        <v>21795.8</v>
      </c>
      <c r="I861">
        <v>39404.82</v>
      </c>
      <c r="J861">
        <v>0.45700000000000002</v>
      </c>
      <c r="K861">
        <v>29547.8</v>
      </c>
      <c r="L861">
        <v>0</v>
      </c>
      <c r="M861">
        <v>46462.01</v>
      </c>
      <c r="N861">
        <v>2025</v>
      </c>
      <c r="O861">
        <v>12</v>
      </c>
    </row>
    <row r="862" spans="1:15" x14ac:dyDescent="0.3">
      <c r="A862">
        <v>41889</v>
      </c>
      <c r="B862">
        <v>3200136</v>
      </c>
      <c r="C862" t="s">
        <v>17</v>
      </c>
      <c r="D862">
        <v>0.51900000000000002</v>
      </c>
      <c r="E862">
        <v>2817178.35</v>
      </c>
      <c r="F862">
        <v>0</v>
      </c>
      <c r="G862">
        <v>2817178.35</v>
      </c>
      <c r="H862">
        <v>36608.480000000003</v>
      </c>
      <c r="I862">
        <v>39715.14</v>
      </c>
      <c r="J862">
        <v>0.35099999999999998</v>
      </c>
      <c r="K862">
        <v>49628.84</v>
      </c>
      <c r="L862">
        <v>0</v>
      </c>
      <c r="M862">
        <v>78038.14</v>
      </c>
      <c r="N862">
        <v>2025</v>
      </c>
      <c r="O862">
        <v>12</v>
      </c>
    </row>
    <row r="863" spans="1:15" x14ac:dyDescent="0.3">
      <c r="A863">
        <v>41890</v>
      </c>
      <c r="B863">
        <v>3200201</v>
      </c>
      <c r="C863" t="s">
        <v>18</v>
      </c>
      <c r="D863">
        <v>0.41799999999999998</v>
      </c>
      <c r="E863">
        <v>2268941.31</v>
      </c>
      <c r="F863">
        <v>0</v>
      </c>
      <c r="G863">
        <v>2268941.31</v>
      </c>
      <c r="H863">
        <v>29484.28</v>
      </c>
      <c r="I863">
        <v>78704.87</v>
      </c>
      <c r="J863">
        <v>0.98299999999999998</v>
      </c>
      <c r="K863">
        <v>39970.82</v>
      </c>
      <c r="L863">
        <v>0</v>
      </c>
      <c r="M863">
        <v>62851.53</v>
      </c>
      <c r="N863">
        <v>2025</v>
      </c>
      <c r="O863">
        <v>12</v>
      </c>
    </row>
    <row r="864" spans="1:15" x14ac:dyDescent="0.3">
      <c r="A864">
        <v>41891</v>
      </c>
      <c r="B864">
        <v>3200300</v>
      </c>
      <c r="C864" t="s">
        <v>19</v>
      </c>
      <c r="D864">
        <v>0.442</v>
      </c>
      <c r="E864">
        <v>2399215.4700000002</v>
      </c>
      <c r="F864">
        <v>0</v>
      </c>
      <c r="G864">
        <v>2399215.4700000002</v>
      </c>
      <c r="H864">
        <v>31177.16</v>
      </c>
      <c r="I864">
        <v>59595.64</v>
      </c>
      <c r="J864">
        <v>0.55500000000000005</v>
      </c>
      <c r="K864">
        <v>42265.79</v>
      </c>
      <c r="L864">
        <v>0</v>
      </c>
      <c r="M864">
        <v>66460.23</v>
      </c>
      <c r="N864">
        <v>2025</v>
      </c>
      <c r="O864">
        <v>12</v>
      </c>
    </row>
    <row r="865" spans="1:15" x14ac:dyDescent="0.3">
      <c r="A865">
        <v>41892</v>
      </c>
      <c r="B865">
        <v>3200359</v>
      </c>
      <c r="C865" t="s">
        <v>20</v>
      </c>
      <c r="D865">
        <v>0.25800000000000001</v>
      </c>
      <c r="E865">
        <v>1400447.04</v>
      </c>
      <c r="F865">
        <v>0</v>
      </c>
      <c r="G865">
        <v>1400447.04</v>
      </c>
      <c r="H865">
        <v>18198.43</v>
      </c>
      <c r="I865">
        <v>16572.849999999999</v>
      </c>
      <c r="J865">
        <v>0.32300000000000001</v>
      </c>
      <c r="K865">
        <v>24670.99</v>
      </c>
      <c r="L865">
        <v>0</v>
      </c>
      <c r="M865">
        <v>38793.53</v>
      </c>
      <c r="N865">
        <v>2025</v>
      </c>
      <c r="O865">
        <v>12</v>
      </c>
    </row>
    <row r="866" spans="1:15" x14ac:dyDescent="0.3">
      <c r="A866">
        <v>41893</v>
      </c>
      <c r="B866">
        <v>3200409</v>
      </c>
      <c r="C866" t="s">
        <v>21</v>
      </c>
      <c r="D866">
        <v>3.4780000000000002</v>
      </c>
      <c r="E866">
        <v>18878894.579999998</v>
      </c>
      <c r="F866">
        <v>0</v>
      </c>
      <c r="G866">
        <v>18878894.579999998</v>
      </c>
      <c r="H866">
        <v>245326.18</v>
      </c>
      <c r="I866">
        <v>128691.27</v>
      </c>
      <c r="J866">
        <v>1.0049999999999999</v>
      </c>
      <c r="K866">
        <v>332580.15000000002</v>
      </c>
      <c r="L866">
        <v>0</v>
      </c>
      <c r="M866">
        <v>522960.77</v>
      </c>
      <c r="N866">
        <v>2025</v>
      </c>
      <c r="O866">
        <v>12</v>
      </c>
    </row>
    <row r="867" spans="1:15" x14ac:dyDescent="0.3">
      <c r="A867">
        <v>41894</v>
      </c>
      <c r="B867">
        <v>3200508</v>
      </c>
      <c r="C867" t="s">
        <v>22</v>
      </c>
      <c r="D867">
        <v>0.23799999999999999</v>
      </c>
      <c r="E867">
        <v>1291885.26</v>
      </c>
      <c r="F867">
        <v>0</v>
      </c>
      <c r="G867">
        <v>1291885.26</v>
      </c>
      <c r="H867">
        <v>16787.7</v>
      </c>
      <c r="I867">
        <v>58595.38</v>
      </c>
      <c r="J867">
        <v>0.31900000000000001</v>
      </c>
      <c r="K867">
        <v>22758.5</v>
      </c>
      <c r="L867">
        <v>0</v>
      </c>
      <c r="M867">
        <v>35786.269999999997</v>
      </c>
      <c r="N867">
        <v>2025</v>
      </c>
      <c r="O867">
        <v>12</v>
      </c>
    </row>
    <row r="868" spans="1:15" x14ac:dyDescent="0.3">
      <c r="A868">
        <v>41895</v>
      </c>
      <c r="B868">
        <v>3200607</v>
      </c>
      <c r="C868" t="s">
        <v>23</v>
      </c>
      <c r="D868">
        <v>4.4800000000000004</v>
      </c>
      <c r="E868">
        <v>24317840.09</v>
      </c>
      <c r="F868">
        <v>0</v>
      </c>
      <c r="G868">
        <v>24317840.09</v>
      </c>
      <c r="H868">
        <v>316003.81</v>
      </c>
      <c r="I868">
        <v>487786.6</v>
      </c>
      <c r="J868">
        <v>2.4649999999999999</v>
      </c>
      <c r="K868">
        <v>428395.37</v>
      </c>
      <c r="L868">
        <v>0</v>
      </c>
      <c r="M868">
        <v>673623.99</v>
      </c>
      <c r="N868">
        <v>2025</v>
      </c>
      <c r="O868">
        <v>12</v>
      </c>
    </row>
    <row r="869" spans="1:15" x14ac:dyDescent="0.3">
      <c r="A869">
        <v>41896</v>
      </c>
      <c r="B869">
        <v>3200706</v>
      </c>
      <c r="C869" t="s">
        <v>24</v>
      </c>
      <c r="D869">
        <v>0.39500000000000002</v>
      </c>
      <c r="E869">
        <v>2144095.2599999998</v>
      </c>
      <c r="F869">
        <v>0</v>
      </c>
      <c r="G869">
        <v>2144095.2599999998</v>
      </c>
      <c r="H869">
        <v>27861.94</v>
      </c>
      <c r="I869">
        <v>49159.69</v>
      </c>
      <c r="J869">
        <v>0.438</v>
      </c>
      <c r="K869">
        <v>37771.47</v>
      </c>
      <c r="L869">
        <v>0</v>
      </c>
      <c r="M869">
        <v>59393.18</v>
      </c>
      <c r="N869">
        <v>2025</v>
      </c>
      <c r="O869">
        <v>12</v>
      </c>
    </row>
    <row r="870" spans="1:15" x14ac:dyDescent="0.3">
      <c r="A870">
        <v>41897</v>
      </c>
      <c r="B870">
        <v>3200805</v>
      </c>
      <c r="C870" t="s">
        <v>25</v>
      </c>
      <c r="D870">
        <v>0.54</v>
      </c>
      <c r="E870">
        <v>2931168.21</v>
      </c>
      <c r="F870">
        <v>0</v>
      </c>
      <c r="G870">
        <v>2931168.21</v>
      </c>
      <c r="H870">
        <v>38089.75</v>
      </c>
      <c r="I870">
        <v>148412.79</v>
      </c>
      <c r="J870">
        <v>1.0069999999999999</v>
      </c>
      <c r="K870">
        <v>51636.93</v>
      </c>
      <c r="L870">
        <v>0</v>
      </c>
      <c r="M870">
        <v>81195.75</v>
      </c>
      <c r="N870">
        <v>2025</v>
      </c>
      <c r="O870">
        <v>12</v>
      </c>
    </row>
    <row r="871" spans="1:15" x14ac:dyDescent="0.3">
      <c r="A871">
        <v>41898</v>
      </c>
      <c r="B871">
        <v>3200904</v>
      </c>
      <c r="C871" t="s">
        <v>26</v>
      </c>
      <c r="D871">
        <v>0.81299999999999994</v>
      </c>
      <c r="E871">
        <v>4413036.59</v>
      </c>
      <c r="F871">
        <v>0</v>
      </c>
      <c r="G871">
        <v>4413036.59</v>
      </c>
      <c r="H871">
        <v>57346.23</v>
      </c>
      <c r="I871">
        <v>199907.11</v>
      </c>
      <c r="J871">
        <v>1.3120000000000001</v>
      </c>
      <c r="K871">
        <v>77742.289999999994</v>
      </c>
      <c r="L871">
        <v>0</v>
      </c>
      <c r="M871">
        <v>122244.71</v>
      </c>
      <c r="N871">
        <v>2025</v>
      </c>
      <c r="O871">
        <v>12</v>
      </c>
    </row>
    <row r="872" spans="1:15" x14ac:dyDescent="0.3">
      <c r="A872">
        <v>41899</v>
      </c>
      <c r="B872">
        <v>3107109</v>
      </c>
      <c r="C872" t="s">
        <v>27</v>
      </c>
      <c r="D872">
        <v>0.48699999999999999</v>
      </c>
      <c r="E872">
        <v>2643479.4900000002</v>
      </c>
      <c r="F872">
        <v>0</v>
      </c>
      <c r="G872">
        <v>2643479.4900000002</v>
      </c>
      <c r="H872">
        <v>34351.31</v>
      </c>
      <c r="I872">
        <v>57647.13</v>
      </c>
      <c r="J872">
        <v>0.55200000000000005</v>
      </c>
      <c r="K872">
        <v>46568.86</v>
      </c>
      <c r="L872">
        <v>0</v>
      </c>
      <c r="M872">
        <v>73226.539999999994</v>
      </c>
      <c r="N872">
        <v>2025</v>
      </c>
      <c r="O872">
        <v>12</v>
      </c>
    </row>
    <row r="873" spans="1:15" x14ac:dyDescent="0.3">
      <c r="A873">
        <v>41900</v>
      </c>
      <c r="B873">
        <v>3201100</v>
      </c>
      <c r="C873" t="s">
        <v>28</v>
      </c>
      <c r="D873">
        <v>0.247</v>
      </c>
      <c r="E873">
        <v>1340738.03</v>
      </c>
      <c r="F873">
        <v>0</v>
      </c>
      <c r="G873">
        <v>1340738.03</v>
      </c>
      <c r="H873">
        <v>17422.53</v>
      </c>
      <c r="I873">
        <v>156288.79</v>
      </c>
      <c r="J873">
        <v>0.435</v>
      </c>
      <c r="K873">
        <v>23619.119999999999</v>
      </c>
      <c r="L873">
        <v>0</v>
      </c>
      <c r="M873">
        <v>37139.53</v>
      </c>
      <c r="N873">
        <v>2025</v>
      </c>
      <c r="O873">
        <v>12</v>
      </c>
    </row>
    <row r="874" spans="1:15" x14ac:dyDescent="0.3">
      <c r="A874">
        <v>41901</v>
      </c>
      <c r="B874">
        <v>3201159</v>
      </c>
      <c r="C874" t="s">
        <v>29</v>
      </c>
      <c r="D874">
        <v>0.40699999999999997</v>
      </c>
      <c r="E874">
        <v>2209232.36</v>
      </c>
      <c r="F874">
        <v>0</v>
      </c>
      <c r="G874">
        <v>2209232.36</v>
      </c>
      <c r="H874">
        <v>28708.38</v>
      </c>
      <c r="I874">
        <v>38160.93</v>
      </c>
      <c r="J874">
        <v>0.54600000000000004</v>
      </c>
      <c r="K874">
        <v>38918.959999999999</v>
      </c>
      <c r="L874">
        <v>0</v>
      </c>
      <c r="M874">
        <v>61197.54</v>
      </c>
      <c r="N874">
        <v>2025</v>
      </c>
      <c r="O874">
        <v>12</v>
      </c>
    </row>
    <row r="875" spans="1:15" x14ac:dyDescent="0.3">
      <c r="A875">
        <v>41902</v>
      </c>
      <c r="B875">
        <v>3201209</v>
      </c>
      <c r="C875" t="s">
        <v>30</v>
      </c>
      <c r="D875">
        <v>2.5920000000000001</v>
      </c>
      <c r="E875">
        <v>14069607.48</v>
      </c>
      <c r="F875">
        <v>0</v>
      </c>
      <c r="G875">
        <v>14069607.48</v>
      </c>
      <c r="H875">
        <v>182830.78</v>
      </c>
      <c r="I875">
        <v>1306158.05</v>
      </c>
      <c r="J875">
        <v>4.298</v>
      </c>
      <c r="K875">
        <v>247857.31</v>
      </c>
      <c r="L875">
        <v>0</v>
      </c>
      <c r="M875">
        <v>389739.6</v>
      </c>
      <c r="N875">
        <v>2025</v>
      </c>
      <c r="O875">
        <v>12</v>
      </c>
    </row>
    <row r="876" spans="1:15" x14ac:dyDescent="0.3">
      <c r="A876">
        <v>41903</v>
      </c>
      <c r="B876">
        <v>3201308</v>
      </c>
      <c r="C876" t="s">
        <v>31</v>
      </c>
      <c r="D876">
        <v>8.3239999999999998</v>
      </c>
      <c r="E876">
        <v>45183415.350000001</v>
      </c>
      <c r="F876">
        <v>0</v>
      </c>
      <c r="G876">
        <v>45183415.350000001</v>
      </c>
      <c r="H876">
        <v>587146.37</v>
      </c>
      <c r="I876">
        <v>1176552.3</v>
      </c>
      <c r="J876">
        <v>6.4569999999999999</v>
      </c>
      <c r="K876">
        <v>795973.89</v>
      </c>
      <c r="L876">
        <v>0</v>
      </c>
      <c r="M876">
        <v>1251617.43</v>
      </c>
      <c r="N876">
        <v>2025</v>
      </c>
      <c r="O876">
        <v>12</v>
      </c>
    </row>
    <row r="877" spans="1:15" x14ac:dyDescent="0.3">
      <c r="A877">
        <v>41904</v>
      </c>
      <c r="B877">
        <v>3201407</v>
      </c>
      <c r="C877" t="s">
        <v>32</v>
      </c>
      <c r="D877">
        <v>0.80700000000000005</v>
      </c>
      <c r="E877">
        <v>4380468.0599999996</v>
      </c>
      <c r="F877">
        <v>0</v>
      </c>
      <c r="G877">
        <v>4380468.0599999996</v>
      </c>
      <c r="H877">
        <v>56923.01</v>
      </c>
      <c r="I877">
        <v>344783.35999999999</v>
      </c>
      <c r="J877">
        <v>1.1639999999999999</v>
      </c>
      <c r="K877">
        <v>77168.539999999994</v>
      </c>
      <c r="L877">
        <v>0</v>
      </c>
      <c r="M877">
        <v>121342.54</v>
      </c>
      <c r="N877">
        <v>2025</v>
      </c>
      <c r="O877">
        <v>12</v>
      </c>
    </row>
    <row r="878" spans="1:15" x14ac:dyDescent="0.3">
      <c r="A878">
        <v>41905</v>
      </c>
      <c r="B878">
        <v>3201506</v>
      </c>
      <c r="C878" t="s">
        <v>33</v>
      </c>
      <c r="D878">
        <v>2.0139999999999998</v>
      </c>
      <c r="E878">
        <v>10932171.880000001</v>
      </c>
      <c r="F878">
        <v>0</v>
      </c>
      <c r="G878">
        <v>10932171.880000001</v>
      </c>
      <c r="H878">
        <v>142060.64000000001</v>
      </c>
      <c r="I878">
        <v>519275.87</v>
      </c>
      <c r="J878">
        <v>2.86</v>
      </c>
      <c r="K878">
        <v>192586.67</v>
      </c>
      <c r="L878">
        <v>0</v>
      </c>
      <c r="M878">
        <v>302830.07</v>
      </c>
      <c r="N878">
        <v>2025</v>
      </c>
      <c r="O878">
        <v>12</v>
      </c>
    </row>
    <row r="879" spans="1:15" x14ac:dyDescent="0.3">
      <c r="A879">
        <v>41906</v>
      </c>
      <c r="B879">
        <v>3201605</v>
      </c>
      <c r="C879" t="s">
        <v>34</v>
      </c>
      <c r="D879">
        <v>0.60099999999999998</v>
      </c>
      <c r="E879">
        <v>3262281.68</v>
      </c>
      <c r="F879">
        <v>0</v>
      </c>
      <c r="G879">
        <v>3262281.68</v>
      </c>
      <c r="H879">
        <v>42392.480000000003</v>
      </c>
      <c r="I879">
        <v>62557.19</v>
      </c>
      <c r="J879">
        <v>0.94399999999999995</v>
      </c>
      <c r="K879">
        <v>57470</v>
      </c>
      <c r="L879">
        <v>0</v>
      </c>
      <c r="M879">
        <v>90367.86</v>
      </c>
      <c r="N879">
        <v>2025</v>
      </c>
      <c r="O879">
        <v>12</v>
      </c>
    </row>
    <row r="880" spans="1:15" x14ac:dyDescent="0.3">
      <c r="A880">
        <v>41907</v>
      </c>
      <c r="B880">
        <v>3201704</v>
      </c>
      <c r="C880" t="s">
        <v>35</v>
      </c>
      <c r="D880">
        <v>0.371</v>
      </c>
      <c r="E880">
        <v>2013821.13</v>
      </c>
      <c r="F880">
        <v>0</v>
      </c>
      <c r="G880">
        <v>2013821.13</v>
      </c>
      <c r="H880">
        <v>26169.07</v>
      </c>
      <c r="I880">
        <v>36820.79</v>
      </c>
      <c r="J880">
        <v>0.45600000000000002</v>
      </c>
      <c r="K880">
        <v>35476.49</v>
      </c>
      <c r="L880">
        <v>0</v>
      </c>
      <c r="M880">
        <v>55784.49</v>
      </c>
      <c r="N880">
        <v>2025</v>
      </c>
      <c r="O880">
        <v>12</v>
      </c>
    </row>
    <row r="881" spans="1:15" x14ac:dyDescent="0.3">
      <c r="A881">
        <v>41908</v>
      </c>
      <c r="B881">
        <v>3201803</v>
      </c>
      <c r="C881" t="s">
        <v>36</v>
      </c>
      <c r="D881">
        <v>0.187</v>
      </c>
      <c r="E881">
        <v>1015052.68</v>
      </c>
      <c r="F881">
        <v>0</v>
      </c>
      <c r="G881">
        <v>1015052.68</v>
      </c>
      <c r="H881">
        <v>13190.34</v>
      </c>
      <c r="I881">
        <v>18226.5</v>
      </c>
      <c r="J881">
        <v>0.29299999999999998</v>
      </c>
      <c r="K881">
        <v>17881.68</v>
      </c>
      <c r="L881">
        <v>0</v>
      </c>
      <c r="M881">
        <v>28117.79</v>
      </c>
      <c r="N881">
        <v>2025</v>
      </c>
      <c r="O881">
        <v>12</v>
      </c>
    </row>
    <row r="882" spans="1:15" x14ac:dyDescent="0.3">
      <c r="A882">
        <v>41909</v>
      </c>
      <c r="B882">
        <v>3201902</v>
      </c>
      <c r="C882" t="s">
        <v>37</v>
      </c>
      <c r="D882">
        <v>1.0620000000000001</v>
      </c>
      <c r="E882">
        <v>5764630.8600000003</v>
      </c>
      <c r="F882">
        <v>0</v>
      </c>
      <c r="G882">
        <v>5764630.8600000003</v>
      </c>
      <c r="H882">
        <v>74909.83</v>
      </c>
      <c r="I882">
        <v>143603.63</v>
      </c>
      <c r="J882">
        <v>1.147</v>
      </c>
      <c r="K882">
        <v>101552.65</v>
      </c>
      <c r="L882">
        <v>0</v>
      </c>
      <c r="M882">
        <v>159684.98000000001</v>
      </c>
      <c r="N882">
        <v>2025</v>
      </c>
      <c r="O882">
        <v>12</v>
      </c>
    </row>
    <row r="883" spans="1:15" x14ac:dyDescent="0.3">
      <c r="A883">
        <v>41910</v>
      </c>
      <c r="B883">
        <v>3202009</v>
      </c>
      <c r="C883" t="s">
        <v>38</v>
      </c>
      <c r="D883">
        <v>0.34899999999999998</v>
      </c>
      <c r="E883">
        <v>1894403.19</v>
      </c>
      <c r="F883">
        <v>0</v>
      </c>
      <c r="G883">
        <v>1894403.19</v>
      </c>
      <c r="H883">
        <v>24617.26</v>
      </c>
      <c r="I883">
        <v>42954.3</v>
      </c>
      <c r="J883">
        <v>0.312</v>
      </c>
      <c r="K883">
        <v>33372.769999999997</v>
      </c>
      <c r="L883">
        <v>0</v>
      </c>
      <c r="M883">
        <v>52476.51</v>
      </c>
      <c r="N883">
        <v>2025</v>
      </c>
      <c r="O883">
        <v>12</v>
      </c>
    </row>
    <row r="884" spans="1:15" x14ac:dyDescent="0.3">
      <c r="A884">
        <v>41911</v>
      </c>
      <c r="B884">
        <v>3202108</v>
      </c>
      <c r="C884" t="s">
        <v>39</v>
      </c>
      <c r="D884">
        <v>0.57099999999999995</v>
      </c>
      <c r="E884">
        <v>3099438.99</v>
      </c>
      <c r="F884">
        <v>0</v>
      </c>
      <c r="G884">
        <v>3099438.99</v>
      </c>
      <c r="H884">
        <v>40276.379999999997</v>
      </c>
      <c r="I884">
        <v>68797.960000000006</v>
      </c>
      <c r="J884">
        <v>0.79200000000000004</v>
      </c>
      <c r="K884">
        <v>54601.279999999999</v>
      </c>
      <c r="L884">
        <v>0</v>
      </c>
      <c r="M884">
        <v>85856.99</v>
      </c>
      <c r="N884">
        <v>2025</v>
      </c>
      <c r="O884">
        <v>12</v>
      </c>
    </row>
    <row r="885" spans="1:15" x14ac:dyDescent="0.3">
      <c r="A885">
        <v>41912</v>
      </c>
      <c r="B885">
        <v>3202207</v>
      </c>
      <c r="C885" t="s">
        <v>40</v>
      </c>
      <c r="D885">
        <v>0.36799999999999999</v>
      </c>
      <c r="E885">
        <v>1997536.87</v>
      </c>
      <c r="F885">
        <v>0</v>
      </c>
      <c r="G885">
        <v>1997536.87</v>
      </c>
      <c r="H885">
        <v>25957.46</v>
      </c>
      <c r="I885">
        <v>64753.919999999998</v>
      </c>
      <c r="J885">
        <v>0.68600000000000005</v>
      </c>
      <c r="K885">
        <v>35189.61</v>
      </c>
      <c r="L885">
        <v>0</v>
      </c>
      <c r="M885">
        <v>55333.4</v>
      </c>
      <c r="N885">
        <v>2025</v>
      </c>
      <c r="O885">
        <v>12</v>
      </c>
    </row>
    <row r="886" spans="1:15" x14ac:dyDescent="0.3">
      <c r="A886">
        <v>41913</v>
      </c>
      <c r="B886">
        <v>3202256</v>
      </c>
      <c r="C886" t="s">
        <v>41</v>
      </c>
      <c r="D886">
        <v>0.53100000000000003</v>
      </c>
      <c r="E886">
        <v>2882315.43</v>
      </c>
      <c r="F886">
        <v>0</v>
      </c>
      <c r="G886">
        <v>2882315.43</v>
      </c>
      <c r="H886">
        <v>37454.92</v>
      </c>
      <c r="I886">
        <v>52033.86</v>
      </c>
      <c r="J886">
        <v>0.44400000000000001</v>
      </c>
      <c r="K886">
        <v>50776.33</v>
      </c>
      <c r="L886">
        <v>0</v>
      </c>
      <c r="M886">
        <v>79842.490000000005</v>
      </c>
      <c r="N886">
        <v>2025</v>
      </c>
      <c r="O886">
        <v>12</v>
      </c>
    </row>
    <row r="887" spans="1:15" x14ac:dyDescent="0.3">
      <c r="A887">
        <v>41914</v>
      </c>
      <c r="B887">
        <v>3202306</v>
      </c>
      <c r="C887" t="s">
        <v>42</v>
      </c>
      <c r="D887">
        <v>0.36699999999999999</v>
      </c>
      <c r="E887">
        <v>1992108.77</v>
      </c>
      <c r="F887">
        <v>0</v>
      </c>
      <c r="G887">
        <v>1992108.77</v>
      </c>
      <c r="H887">
        <v>25886.92</v>
      </c>
      <c r="I887">
        <v>152899.09</v>
      </c>
      <c r="J887">
        <v>0.99</v>
      </c>
      <c r="K887">
        <v>35094</v>
      </c>
      <c r="L887">
        <v>0</v>
      </c>
      <c r="M887">
        <v>55183.040000000001</v>
      </c>
      <c r="N887">
        <v>2025</v>
      </c>
      <c r="O887">
        <v>12</v>
      </c>
    </row>
    <row r="888" spans="1:15" x14ac:dyDescent="0.3">
      <c r="A888">
        <v>41915</v>
      </c>
      <c r="B888">
        <v>3202405</v>
      </c>
      <c r="C888" t="s">
        <v>43</v>
      </c>
      <c r="D888">
        <v>0.79</v>
      </c>
      <c r="E888">
        <v>4288190.54</v>
      </c>
      <c r="F888">
        <v>0</v>
      </c>
      <c r="G888">
        <v>4288190.54</v>
      </c>
      <c r="H888">
        <v>55723.89</v>
      </c>
      <c r="I888">
        <v>892447.95</v>
      </c>
      <c r="J888">
        <v>3.0129999999999999</v>
      </c>
      <c r="K888">
        <v>75542.929999999993</v>
      </c>
      <c r="L888">
        <v>0</v>
      </c>
      <c r="M888">
        <v>118786.38</v>
      </c>
      <c r="N888">
        <v>2025</v>
      </c>
      <c r="O888">
        <v>12</v>
      </c>
    </row>
    <row r="889" spans="1:15" x14ac:dyDescent="0.3">
      <c r="A889">
        <v>41916</v>
      </c>
      <c r="B889">
        <v>3202454</v>
      </c>
      <c r="C889" t="s">
        <v>44</v>
      </c>
      <c r="D889">
        <v>0.33900000000000002</v>
      </c>
      <c r="E889">
        <v>1840122.27</v>
      </c>
      <c r="F889">
        <v>0</v>
      </c>
      <c r="G889">
        <v>1840122.27</v>
      </c>
      <c r="H889">
        <v>23911.9</v>
      </c>
      <c r="I889">
        <v>91627.96</v>
      </c>
      <c r="J889">
        <v>0.86499999999999999</v>
      </c>
      <c r="K889">
        <v>32416.53</v>
      </c>
      <c r="L889">
        <v>0</v>
      </c>
      <c r="M889">
        <v>50972.89</v>
      </c>
      <c r="N889">
        <v>2025</v>
      </c>
      <c r="O889">
        <v>12</v>
      </c>
    </row>
    <row r="890" spans="1:15" x14ac:dyDescent="0.3">
      <c r="A890">
        <v>41917</v>
      </c>
      <c r="B890">
        <v>3202504</v>
      </c>
      <c r="C890" t="s">
        <v>45</v>
      </c>
      <c r="D890">
        <v>0.307</v>
      </c>
      <c r="E890">
        <v>1666423.41</v>
      </c>
      <c r="F890">
        <v>0</v>
      </c>
      <c r="G890">
        <v>1666423.41</v>
      </c>
      <c r="H890">
        <v>21654.73</v>
      </c>
      <c r="I890">
        <v>46014.559999999998</v>
      </c>
      <c r="J890">
        <v>0.45400000000000001</v>
      </c>
      <c r="K890">
        <v>29356.560000000001</v>
      </c>
      <c r="L890">
        <v>0</v>
      </c>
      <c r="M890">
        <v>46161.29</v>
      </c>
      <c r="N890">
        <v>2025</v>
      </c>
      <c r="O890">
        <v>12</v>
      </c>
    </row>
    <row r="891" spans="1:15" x14ac:dyDescent="0.3">
      <c r="A891">
        <v>41918</v>
      </c>
      <c r="B891">
        <v>3202553</v>
      </c>
      <c r="C891" t="s">
        <v>46</v>
      </c>
      <c r="D891">
        <v>0.28399999999999997</v>
      </c>
      <c r="E891">
        <v>1541577.36</v>
      </c>
      <c r="F891">
        <v>0</v>
      </c>
      <c r="G891">
        <v>1541577.36</v>
      </c>
      <c r="H891">
        <v>20032.38</v>
      </c>
      <c r="I891">
        <v>33301.919999999998</v>
      </c>
      <c r="J891">
        <v>0.35</v>
      </c>
      <c r="K891">
        <v>27157.200000000001</v>
      </c>
      <c r="L891">
        <v>0</v>
      </c>
      <c r="M891">
        <v>42702.95</v>
      </c>
      <c r="N891">
        <v>2025</v>
      </c>
      <c r="O891">
        <v>12</v>
      </c>
    </row>
    <row r="892" spans="1:15" x14ac:dyDescent="0.3">
      <c r="A892">
        <v>41919</v>
      </c>
      <c r="B892">
        <v>3202603</v>
      </c>
      <c r="C892" t="s">
        <v>47</v>
      </c>
      <c r="D892">
        <v>0.314</v>
      </c>
      <c r="E892">
        <v>1704420.05</v>
      </c>
      <c r="F892">
        <v>0</v>
      </c>
      <c r="G892">
        <v>1704420.05</v>
      </c>
      <c r="H892">
        <v>22148.48</v>
      </c>
      <c r="I892">
        <v>42720.23</v>
      </c>
      <c r="J892">
        <v>0.52</v>
      </c>
      <c r="K892">
        <v>30025.93</v>
      </c>
      <c r="L892">
        <v>0</v>
      </c>
      <c r="M892">
        <v>47213.82</v>
      </c>
      <c r="N892">
        <v>2025</v>
      </c>
      <c r="O892">
        <v>12</v>
      </c>
    </row>
    <row r="893" spans="1:15" x14ac:dyDescent="0.3">
      <c r="A893">
        <v>41920</v>
      </c>
      <c r="B893">
        <v>3202652</v>
      </c>
      <c r="C893" t="s">
        <v>48</v>
      </c>
      <c r="D893">
        <v>0.316</v>
      </c>
      <c r="E893">
        <v>1715276.21</v>
      </c>
      <c r="F893">
        <v>0</v>
      </c>
      <c r="G893">
        <v>1715276.21</v>
      </c>
      <c r="H893">
        <v>22289.56</v>
      </c>
      <c r="I893">
        <v>75737.210000000006</v>
      </c>
      <c r="J893">
        <v>0.55700000000000005</v>
      </c>
      <c r="K893">
        <v>30217.17</v>
      </c>
      <c r="L893">
        <v>0</v>
      </c>
      <c r="M893">
        <v>47514.55</v>
      </c>
      <c r="N893">
        <v>2025</v>
      </c>
      <c r="O893">
        <v>12</v>
      </c>
    </row>
    <row r="894" spans="1:15" x14ac:dyDescent="0.3">
      <c r="A894">
        <v>41921</v>
      </c>
      <c r="B894">
        <v>3202702</v>
      </c>
      <c r="C894" t="s">
        <v>49</v>
      </c>
      <c r="D894">
        <v>0.40400000000000003</v>
      </c>
      <c r="E894">
        <v>2192948.0699999998</v>
      </c>
      <c r="F894">
        <v>0</v>
      </c>
      <c r="G894">
        <v>2192948.0699999998</v>
      </c>
      <c r="H894">
        <v>28496.77</v>
      </c>
      <c r="I894">
        <v>43565.919999999998</v>
      </c>
      <c r="J894">
        <v>0.55200000000000005</v>
      </c>
      <c r="K894">
        <v>38632.080000000002</v>
      </c>
      <c r="L894">
        <v>0</v>
      </c>
      <c r="M894">
        <v>60746.45</v>
      </c>
      <c r="N894">
        <v>2025</v>
      </c>
      <c r="O894">
        <v>12</v>
      </c>
    </row>
    <row r="895" spans="1:15" x14ac:dyDescent="0.3">
      <c r="A895">
        <v>41922</v>
      </c>
      <c r="B895">
        <v>3202801</v>
      </c>
      <c r="C895" t="s">
        <v>50</v>
      </c>
      <c r="D895">
        <v>3.4060000000000001</v>
      </c>
      <c r="E895">
        <v>18488072.16</v>
      </c>
      <c r="F895">
        <v>0</v>
      </c>
      <c r="G895">
        <v>18488072.16</v>
      </c>
      <c r="H895">
        <v>240247.54</v>
      </c>
      <c r="I895">
        <v>201878.49</v>
      </c>
      <c r="J895">
        <v>1.2130000000000001</v>
      </c>
      <c r="K895">
        <v>325695.23</v>
      </c>
      <c r="L895">
        <v>0</v>
      </c>
      <c r="M895">
        <v>512134.67</v>
      </c>
      <c r="N895">
        <v>2025</v>
      </c>
      <c r="O895">
        <v>12</v>
      </c>
    </row>
    <row r="896" spans="1:15" x14ac:dyDescent="0.3">
      <c r="A896">
        <v>41923</v>
      </c>
      <c r="B896">
        <v>3202900</v>
      </c>
      <c r="C896" t="s">
        <v>51</v>
      </c>
      <c r="D896">
        <v>0.39200000000000002</v>
      </c>
      <c r="E896">
        <v>2127811.0099999998</v>
      </c>
      <c r="F896">
        <v>0</v>
      </c>
      <c r="G896">
        <v>2127811.0099999998</v>
      </c>
      <c r="H896">
        <v>27650.33</v>
      </c>
      <c r="I896">
        <v>41423.24</v>
      </c>
      <c r="J896">
        <v>0.438</v>
      </c>
      <c r="K896">
        <v>37484.589999999997</v>
      </c>
      <c r="L896">
        <v>0</v>
      </c>
      <c r="M896">
        <v>58942.1</v>
      </c>
      <c r="N896">
        <v>2025</v>
      </c>
      <c r="O896">
        <v>12</v>
      </c>
    </row>
    <row r="897" spans="1:15" x14ac:dyDescent="0.3">
      <c r="A897">
        <v>41924</v>
      </c>
      <c r="B897">
        <v>3203007</v>
      </c>
      <c r="C897" t="s">
        <v>52</v>
      </c>
      <c r="D897">
        <v>0.5</v>
      </c>
      <c r="E897">
        <v>2714044.64</v>
      </c>
      <c r="F897">
        <v>0</v>
      </c>
      <c r="G897">
        <v>2714044.64</v>
      </c>
      <c r="H897">
        <v>35268.28</v>
      </c>
      <c r="I897">
        <v>103659.92</v>
      </c>
      <c r="J897">
        <v>0.90300000000000002</v>
      </c>
      <c r="K897">
        <v>47811.99</v>
      </c>
      <c r="L897">
        <v>0</v>
      </c>
      <c r="M897">
        <v>75181.25</v>
      </c>
      <c r="N897">
        <v>2025</v>
      </c>
      <c r="O897">
        <v>12</v>
      </c>
    </row>
    <row r="898" spans="1:15" x14ac:dyDescent="0.3">
      <c r="A898">
        <v>41925</v>
      </c>
      <c r="B898">
        <v>3203056</v>
      </c>
      <c r="C898" t="s">
        <v>53</v>
      </c>
      <c r="D898">
        <v>1.109</v>
      </c>
      <c r="E898">
        <v>6019751.0499999998</v>
      </c>
      <c r="F898">
        <v>0</v>
      </c>
      <c r="G898">
        <v>6019751.0499999998</v>
      </c>
      <c r="H898">
        <v>78225.05</v>
      </c>
      <c r="I898">
        <v>144450.28</v>
      </c>
      <c r="J898">
        <v>0.98899999999999999</v>
      </c>
      <c r="K898">
        <v>106046.98</v>
      </c>
      <c r="L898">
        <v>0</v>
      </c>
      <c r="M898">
        <v>166752.01</v>
      </c>
      <c r="N898">
        <v>2025</v>
      </c>
      <c r="O898">
        <v>12</v>
      </c>
    </row>
    <row r="899" spans="1:15" x14ac:dyDescent="0.3">
      <c r="A899">
        <v>41926</v>
      </c>
      <c r="B899">
        <v>3203106</v>
      </c>
      <c r="C899" t="s">
        <v>54</v>
      </c>
      <c r="D899">
        <v>0.216</v>
      </c>
      <c r="E899">
        <v>1172467.28</v>
      </c>
      <c r="F899">
        <v>0</v>
      </c>
      <c r="G899">
        <v>1172467.28</v>
      </c>
      <c r="H899">
        <v>15235.9</v>
      </c>
      <c r="I899">
        <v>38789.46</v>
      </c>
      <c r="J899">
        <v>0.45100000000000001</v>
      </c>
      <c r="K899">
        <v>20654.78</v>
      </c>
      <c r="L899">
        <v>0</v>
      </c>
      <c r="M899">
        <v>32478.3</v>
      </c>
      <c r="N899">
        <v>2025</v>
      </c>
      <c r="O899">
        <v>12</v>
      </c>
    </row>
    <row r="900" spans="1:15" x14ac:dyDescent="0.3">
      <c r="A900">
        <v>41927</v>
      </c>
      <c r="B900">
        <v>3203130</v>
      </c>
      <c r="C900" t="s">
        <v>55</v>
      </c>
      <c r="D900">
        <v>0.376</v>
      </c>
      <c r="E900">
        <v>2040961.57</v>
      </c>
      <c r="F900">
        <v>0</v>
      </c>
      <c r="G900">
        <v>2040961.57</v>
      </c>
      <c r="H900">
        <v>26521.75</v>
      </c>
      <c r="I900">
        <v>65082.01</v>
      </c>
      <c r="J900">
        <v>0.61499999999999999</v>
      </c>
      <c r="K900">
        <v>35954.61</v>
      </c>
      <c r="L900">
        <v>0</v>
      </c>
      <c r="M900">
        <v>56536.3</v>
      </c>
      <c r="N900">
        <v>2025</v>
      </c>
      <c r="O900">
        <v>12</v>
      </c>
    </row>
    <row r="901" spans="1:15" x14ac:dyDescent="0.3">
      <c r="A901">
        <v>41928</v>
      </c>
      <c r="B901">
        <v>3203163</v>
      </c>
      <c r="C901" t="s">
        <v>56</v>
      </c>
      <c r="D901">
        <v>0.42799999999999999</v>
      </c>
      <c r="E901">
        <v>2323222.2400000002</v>
      </c>
      <c r="F901">
        <v>0</v>
      </c>
      <c r="G901">
        <v>2323222.2400000002</v>
      </c>
      <c r="H901">
        <v>30189.65</v>
      </c>
      <c r="I901">
        <v>29106.1</v>
      </c>
      <c r="J901">
        <v>0.44500000000000001</v>
      </c>
      <c r="K901">
        <v>40927.050000000003</v>
      </c>
      <c r="L901">
        <v>0</v>
      </c>
      <c r="M901">
        <v>64355.15</v>
      </c>
      <c r="N901">
        <v>2025</v>
      </c>
      <c r="O901">
        <v>12</v>
      </c>
    </row>
    <row r="902" spans="1:15" x14ac:dyDescent="0.3">
      <c r="A902">
        <v>41929</v>
      </c>
      <c r="B902">
        <v>3203205</v>
      </c>
      <c r="C902" t="s">
        <v>57</v>
      </c>
      <c r="D902">
        <v>4.431</v>
      </c>
      <c r="E902">
        <v>24051863.699999999</v>
      </c>
      <c r="F902">
        <v>0</v>
      </c>
      <c r="G902">
        <v>24051863.699999999</v>
      </c>
      <c r="H902">
        <v>312547.52</v>
      </c>
      <c r="I902">
        <v>898633.63</v>
      </c>
      <c r="J902">
        <v>4.0979999999999999</v>
      </c>
      <c r="K902">
        <v>423709.79</v>
      </c>
      <c r="L902">
        <v>0</v>
      </c>
      <c r="M902">
        <v>666256.22</v>
      </c>
      <c r="N902">
        <v>2025</v>
      </c>
      <c r="O902">
        <v>12</v>
      </c>
    </row>
    <row r="903" spans="1:15" x14ac:dyDescent="0.3">
      <c r="A903">
        <v>41930</v>
      </c>
      <c r="B903">
        <v>3203304</v>
      </c>
      <c r="C903" t="s">
        <v>58</v>
      </c>
      <c r="D903">
        <v>0.314</v>
      </c>
      <c r="E903">
        <v>1704420.05</v>
      </c>
      <c r="F903">
        <v>0</v>
      </c>
      <c r="G903">
        <v>1704420.05</v>
      </c>
      <c r="H903">
        <v>22148.48</v>
      </c>
      <c r="I903">
        <v>59353.17</v>
      </c>
      <c r="J903">
        <v>0.52400000000000002</v>
      </c>
      <c r="K903">
        <v>30025.93</v>
      </c>
      <c r="L903">
        <v>0</v>
      </c>
      <c r="M903">
        <v>47213.82</v>
      </c>
      <c r="N903">
        <v>2025</v>
      </c>
      <c r="O903">
        <v>12</v>
      </c>
    </row>
    <row r="904" spans="1:15" x14ac:dyDescent="0.3">
      <c r="A904">
        <v>41931</v>
      </c>
      <c r="B904">
        <v>3203320</v>
      </c>
      <c r="C904" t="s">
        <v>59</v>
      </c>
      <c r="D904">
        <v>0.58499999999999996</v>
      </c>
      <c r="E904">
        <v>3175432.24</v>
      </c>
      <c r="F904">
        <v>0</v>
      </c>
      <c r="G904">
        <v>3175432.24</v>
      </c>
      <c r="H904">
        <v>41263.89</v>
      </c>
      <c r="I904">
        <v>285057.15999999997</v>
      </c>
      <c r="J904">
        <v>1.3140000000000001</v>
      </c>
      <c r="K904">
        <v>55940.02</v>
      </c>
      <c r="L904">
        <v>0</v>
      </c>
      <c r="M904">
        <v>87962.06</v>
      </c>
      <c r="N904">
        <v>2025</v>
      </c>
      <c r="O904">
        <v>12</v>
      </c>
    </row>
    <row r="905" spans="1:15" x14ac:dyDescent="0.3">
      <c r="A905">
        <v>41932</v>
      </c>
      <c r="B905">
        <v>3203346</v>
      </c>
      <c r="C905" t="s">
        <v>60</v>
      </c>
      <c r="D905">
        <v>0.55500000000000005</v>
      </c>
      <c r="E905">
        <v>3012589.59</v>
      </c>
      <c r="F905">
        <v>0</v>
      </c>
      <c r="G905">
        <v>3012589.59</v>
      </c>
      <c r="H905">
        <v>39147.79</v>
      </c>
      <c r="I905">
        <v>46522.09</v>
      </c>
      <c r="J905">
        <v>0.68500000000000005</v>
      </c>
      <c r="K905">
        <v>53071.3</v>
      </c>
      <c r="L905">
        <v>0</v>
      </c>
      <c r="M905">
        <v>83451.179999999993</v>
      </c>
      <c r="N905">
        <v>2025</v>
      </c>
      <c r="O905">
        <v>12</v>
      </c>
    </row>
    <row r="906" spans="1:15" x14ac:dyDescent="0.3">
      <c r="A906">
        <v>41933</v>
      </c>
      <c r="B906">
        <v>3203353</v>
      </c>
      <c r="C906" t="s">
        <v>61</v>
      </c>
      <c r="D906">
        <v>0.505</v>
      </c>
      <c r="E906">
        <v>2741185.11</v>
      </c>
      <c r="F906">
        <v>0</v>
      </c>
      <c r="G906">
        <v>2741185.11</v>
      </c>
      <c r="H906">
        <v>35620.97</v>
      </c>
      <c r="I906">
        <v>56720.99</v>
      </c>
      <c r="J906">
        <v>0.46300000000000002</v>
      </c>
      <c r="K906">
        <v>48290.1</v>
      </c>
      <c r="L906">
        <v>0</v>
      </c>
      <c r="M906">
        <v>75933.06</v>
      </c>
      <c r="N906">
        <v>2025</v>
      </c>
      <c r="O906">
        <v>12</v>
      </c>
    </row>
    <row r="907" spans="1:15" x14ac:dyDescent="0.3">
      <c r="A907">
        <v>41934</v>
      </c>
      <c r="B907">
        <v>3203403</v>
      </c>
      <c r="C907" t="s">
        <v>62</v>
      </c>
      <c r="D907">
        <v>0.46899999999999997</v>
      </c>
      <c r="E907">
        <v>2545773.89</v>
      </c>
      <c r="F907">
        <v>0</v>
      </c>
      <c r="G907">
        <v>2545773.89</v>
      </c>
      <c r="H907">
        <v>33081.65</v>
      </c>
      <c r="I907">
        <v>110671.42</v>
      </c>
      <c r="J907">
        <v>0.83899999999999997</v>
      </c>
      <c r="K907">
        <v>44847.65</v>
      </c>
      <c r="L907">
        <v>0</v>
      </c>
      <c r="M907">
        <v>70520.009999999995</v>
      </c>
      <c r="N907">
        <v>2025</v>
      </c>
      <c r="O907">
        <v>12</v>
      </c>
    </row>
    <row r="908" spans="1:15" x14ac:dyDescent="0.3">
      <c r="A908">
        <v>41935</v>
      </c>
      <c r="B908">
        <v>3203502</v>
      </c>
      <c r="C908" t="s">
        <v>63</v>
      </c>
      <c r="D908">
        <v>0.51500000000000001</v>
      </c>
      <c r="E908">
        <v>2795465.97</v>
      </c>
      <c r="F908">
        <v>0</v>
      </c>
      <c r="G908">
        <v>2795465.97</v>
      </c>
      <c r="H908">
        <v>36326.33</v>
      </c>
      <c r="I908">
        <v>95095.54</v>
      </c>
      <c r="J908">
        <v>0.69699999999999995</v>
      </c>
      <c r="K908">
        <v>49246.34</v>
      </c>
      <c r="L908">
        <v>0</v>
      </c>
      <c r="M908">
        <v>77436.679999999993</v>
      </c>
      <c r="N908">
        <v>2025</v>
      </c>
      <c r="O908">
        <v>12</v>
      </c>
    </row>
    <row r="909" spans="1:15" x14ac:dyDescent="0.3">
      <c r="A909">
        <v>41936</v>
      </c>
      <c r="B909">
        <v>3203601</v>
      </c>
      <c r="C909" t="s">
        <v>64</v>
      </c>
      <c r="D909">
        <v>0.30599999999999999</v>
      </c>
      <c r="E909">
        <v>1660995.32</v>
      </c>
      <c r="F909">
        <v>0</v>
      </c>
      <c r="G909">
        <v>1660995.32</v>
      </c>
      <c r="H909">
        <v>21584.19</v>
      </c>
      <c r="I909">
        <v>16997.73</v>
      </c>
      <c r="J909">
        <v>0.29699999999999999</v>
      </c>
      <c r="K909">
        <v>29260.93</v>
      </c>
      <c r="L909">
        <v>0</v>
      </c>
      <c r="M909">
        <v>46010.92</v>
      </c>
      <c r="N909">
        <v>2025</v>
      </c>
      <c r="O909">
        <v>12</v>
      </c>
    </row>
    <row r="910" spans="1:15" x14ac:dyDescent="0.3">
      <c r="A910">
        <v>41937</v>
      </c>
      <c r="B910">
        <v>3203700</v>
      </c>
      <c r="C910" t="s">
        <v>65</v>
      </c>
      <c r="D910">
        <v>0.505</v>
      </c>
      <c r="E910">
        <v>2741185.11</v>
      </c>
      <c r="F910">
        <v>0</v>
      </c>
      <c r="G910">
        <v>2741185.11</v>
      </c>
      <c r="H910">
        <v>35620.97</v>
      </c>
      <c r="I910">
        <v>61129.02</v>
      </c>
      <c r="J910">
        <v>0.68500000000000005</v>
      </c>
      <c r="K910">
        <v>48290.1</v>
      </c>
      <c r="L910">
        <v>0</v>
      </c>
      <c r="M910">
        <v>75933.06</v>
      </c>
      <c r="N910">
        <v>2025</v>
      </c>
      <c r="O910">
        <v>12</v>
      </c>
    </row>
    <row r="911" spans="1:15" x14ac:dyDescent="0.3">
      <c r="A911">
        <v>41938</v>
      </c>
      <c r="B911">
        <v>3203809</v>
      </c>
      <c r="C911" t="s">
        <v>66</v>
      </c>
      <c r="D911">
        <v>0.32</v>
      </c>
      <c r="E911">
        <v>1736988.58</v>
      </c>
      <c r="F911">
        <v>0</v>
      </c>
      <c r="G911">
        <v>1736988.58</v>
      </c>
      <c r="H911">
        <v>22571.7</v>
      </c>
      <c r="I911">
        <v>46656.07</v>
      </c>
      <c r="J911">
        <v>0.55300000000000005</v>
      </c>
      <c r="K911">
        <v>30599.67</v>
      </c>
      <c r="L911">
        <v>0</v>
      </c>
      <c r="M911">
        <v>48116</v>
      </c>
      <c r="N911">
        <v>2025</v>
      </c>
      <c r="O911">
        <v>12</v>
      </c>
    </row>
    <row r="912" spans="1:15" x14ac:dyDescent="0.3">
      <c r="A912">
        <v>41939</v>
      </c>
      <c r="B912">
        <v>3203908</v>
      </c>
      <c r="C912" t="s">
        <v>67</v>
      </c>
      <c r="D912">
        <v>1.2250000000000001</v>
      </c>
      <c r="E912">
        <v>6649409.3899999997</v>
      </c>
      <c r="F912">
        <v>0</v>
      </c>
      <c r="G912">
        <v>6649409.3899999997</v>
      </c>
      <c r="H912">
        <v>86407.29</v>
      </c>
      <c r="I912">
        <v>243105.54</v>
      </c>
      <c r="J912">
        <v>1.4710000000000001</v>
      </c>
      <c r="K912">
        <v>117139.35</v>
      </c>
      <c r="L912">
        <v>0</v>
      </c>
      <c r="M912">
        <v>184194.06</v>
      </c>
      <c r="N912">
        <v>2025</v>
      </c>
      <c r="O912">
        <v>12</v>
      </c>
    </row>
    <row r="913" spans="1:15" x14ac:dyDescent="0.3">
      <c r="A913">
        <v>41940</v>
      </c>
      <c r="B913">
        <v>3204005</v>
      </c>
      <c r="C913" t="s">
        <v>68</v>
      </c>
      <c r="D913">
        <v>0.435</v>
      </c>
      <c r="E913">
        <v>2361218.84</v>
      </c>
      <c r="F913">
        <v>0</v>
      </c>
      <c r="G913">
        <v>2361218.84</v>
      </c>
      <c r="H913">
        <v>30683.41</v>
      </c>
      <c r="I913">
        <v>60031.85</v>
      </c>
      <c r="J913">
        <v>0.69099999999999995</v>
      </c>
      <c r="K913">
        <v>41596.42</v>
      </c>
      <c r="L913">
        <v>0</v>
      </c>
      <c r="M913">
        <v>65407.68</v>
      </c>
      <c r="N913">
        <v>2025</v>
      </c>
      <c r="O913">
        <v>12</v>
      </c>
    </row>
    <row r="914" spans="1:15" x14ac:dyDescent="0.3">
      <c r="A914">
        <v>41941</v>
      </c>
      <c r="B914">
        <v>3204054</v>
      </c>
      <c r="C914" t="s">
        <v>69</v>
      </c>
      <c r="D914">
        <v>0.33400000000000002</v>
      </c>
      <c r="E914">
        <v>1812981.85</v>
      </c>
      <c r="F914">
        <v>0</v>
      </c>
      <c r="G914">
        <v>1812981.85</v>
      </c>
      <c r="H914">
        <v>23559.21</v>
      </c>
      <c r="I914">
        <v>112317.55</v>
      </c>
      <c r="J914">
        <v>0.78400000000000003</v>
      </c>
      <c r="K914">
        <v>31938.41</v>
      </c>
      <c r="L914">
        <v>0</v>
      </c>
      <c r="M914">
        <v>50221.08</v>
      </c>
      <c r="N914">
        <v>2025</v>
      </c>
      <c r="O914">
        <v>12</v>
      </c>
    </row>
    <row r="915" spans="1:15" x14ac:dyDescent="0.3">
      <c r="A915">
        <v>41942</v>
      </c>
      <c r="B915">
        <v>3204104</v>
      </c>
      <c r="C915" t="s">
        <v>70</v>
      </c>
      <c r="D915">
        <v>0.755</v>
      </c>
      <c r="E915">
        <v>4098207.45</v>
      </c>
      <c r="F915">
        <v>0</v>
      </c>
      <c r="G915">
        <v>4098207.45</v>
      </c>
      <c r="H915">
        <v>53255.11</v>
      </c>
      <c r="I915">
        <v>88610.7</v>
      </c>
      <c r="J915">
        <v>0.83499999999999996</v>
      </c>
      <c r="K915">
        <v>72196.09</v>
      </c>
      <c r="L915">
        <v>0</v>
      </c>
      <c r="M915">
        <v>113523.69</v>
      </c>
      <c r="N915">
        <v>2025</v>
      </c>
      <c r="O915">
        <v>12</v>
      </c>
    </row>
    <row r="916" spans="1:15" x14ac:dyDescent="0.3">
      <c r="A916">
        <v>41943</v>
      </c>
      <c r="B916">
        <v>3204203</v>
      </c>
      <c r="C916" t="s">
        <v>71</v>
      </c>
      <c r="D916">
        <v>0.36499999999999999</v>
      </c>
      <c r="E916">
        <v>1981252.6</v>
      </c>
      <c r="F916">
        <v>0</v>
      </c>
      <c r="G916">
        <v>1981252.6</v>
      </c>
      <c r="H916">
        <v>25745.85</v>
      </c>
      <c r="I916">
        <v>124010.23</v>
      </c>
      <c r="J916">
        <v>0.745</v>
      </c>
      <c r="K916">
        <v>34902.75</v>
      </c>
      <c r="L916">
        <v>0</v>
      </c>
      <c r="M916">
        <v>54882.32</v>
      </c>
      <c r="N916">
        <v>2025</v>
      </c>
      <c r="O916">
        <v>12</v>
      </c>
    </row>
    <row r="917" spans="1:15" x14ac:dyDescent="0.3">
      <c r="A917">
        <v>41944</v>
      </c>
      <c r="B917">
        <v>3204252</v>
      </c>
      <c r="C917" t="s">
        <v>72</v>
      </c>
      <c r="D917">
        <v>0.27</v>
      </c>
      <c r="E917">
        <v>1465584.1</v>
      </c>
      <c r="F917">
        <v>0</v>
      </c>
      <c r="G917">
        <v>1465584.1</v>
      </c>
      <c r="H917">
        <v>19044.87</v>
      </c>
      <c r="I917">
        <v>15127.89</v>
      </c>
      <c r="J917">
        <v>0.31</v>
      </c>
      <c r="K917">
        <v>25818.47</v>
      </c>
      <c r="L917">
        <v>0</v>
      </c>
      <c r="M917">
        <v>40597.870000000003</v>
      </c>
      <c r="N917">
        <v>2025</v>
      </c>
      <c r="O917">
        <v>12</v>
      </c>
    </row>
    <row r="918" spans="1:15" x14ac:dyDescent="0.3">
      <c r="A918">
        <v>41945</v>
      </c>
      <c r="B918">
        <v>1718402</v>
      </c>
      <c r="C918" t="s">
        <v>73</v>
      </c>
      <c r="D918">
        <v>0.39100000000000001</v>
      </c>
      <c r="E918">
        <v>2122382.9300000002</v>
      </c>
      <c r="F918">
        <v>0</v>
      </c>
      <c r="G918">
        <v>2122382.9300000002</v>
      </c>
      <c r="H918">
        <v>27579.8</v>
      </c>
      <c r="I918">
        <v>104925.7</v>
      </c>
      <c r="J918">
        <v>0.55900000000000005</v>
      </c>
      <c r="K918">
        <v>37388.97</v>
      </c>
      <c r="L918">
        <v>0</v>
      </c>
      <c r="M918">
        <v>58791.73</v>
      </c>
      <c r="N918">
        <v>2025</v>
      </c>
      <c r="O918">
        <v>12</v>
      </c>
    </row>
    <row r="919" spans="1:15" x14ac:dyDescent="0.3">
      <c r="A919">
        <v>41946</v>
      </c>
      <c r="B919">
        <v>3204351</v>
      </c>
      <c r="C919" t="s">
        <v>74</v>
      </c>
      <c r="D919">
        <v>0.88200000000000001</v>
      </c>
      <c r="E919">
        <v>4787574.74</v>
      </c>
      <c r="F919">
        <v>0</v>
      </c>
      <c r="G919">
        <v>4787574.74</v>
      </c>
      <c r="H919">
        <v>62213.25</v>
      </c>
      <c r="I919">
        <v>74599.350000000006</v>
      </c>
      <c r="J919">
        <v>0.70299999999999996</v>
      </c>
      <c r="K919">
        <v>84340.34</v>
      </c>
      <c r="L919">
        <v>0</v>
      </c>
      <c r="M919">
        <v>132619.72</v>
      </c>
      <c r="N919">
        <v>2025</v>
      </c>
      <c r="O919">
        <v>12</v>
      </c>
    </row>
    <row r="920" spans="1:15" x14ac:dyDescent="0.3">
      <c r="A920">
        <v>41947</v>
      </c>
      <c r="B920">
        <v>3204401</v>
      </c>
      <c r="C920" t="s">
        <v>75</v>
      </c>
      <c r="D920">
        <v>0.312</v>
      </c>
      <c r="E920">
        <v>1693563.86</v>
      </c>
      <c r="F920">
        <v>0</v>
      </c>
      <c r="G920">
        <v>1693563.86</v>
      </c>
      <c r="H920">
        <v>22007.41</v>
      </c>
      <c r="I920">
        <v>45703.92</v>
      </c>
      <c r="J920">
        <v>0.44400000000000001</v>
      </c>
      <c r="K920">
        <v>29834.68</v>
      </c>
      <c r="L920">
        <v>0</v>
      </c>
      <c r="M920">
        <v>46913.1</v>
      </c>
      <c r="N920">
        <v>2025</v>
      </c>
      <c r="O920">
        <v>12</v>
      </c>
    </row>
    <row r="921" spans="1:15" x14ac:dyDescent="0.3">
      <c r="A921">
        <v>41948</v>
      </c>
      <c r="B921">
        <v>3204500</v>
      </c>
      <c r="C921" t="s">
        <v>76</v>
      </c>
      <c r="D921">
        <v>0.51800000000000002</v>
      </c>
      <c r="E921">
        <v>2811750.27</v>
      </c>
      <c r="F921">
        <v>0</v>
      </c>
      <c r="G921">
        <v>2811750.27</v>
      </c>
      <c r="H921">
        <v>36537.94</v>
      </c>
      <c r="I921">
        <v>25022.92</v>
      </c>
      <c r="J921">
        <v>0.54800000000000004</v>
      </c>
      <c r="K921">
        <v>49533.21</v>
      </c>
      <c r="L921">
        <v>0</v>
      </c>
      <c r="M921">
        <v>77887.77</v>
      </c>
      <c r="N921">
        <v>2025</v>
      </c>
      <c r="O921">
        <v>12</v>
      </c>
    </row>
    <row r="922" spans="1:15" x14ac:dyDescent="0.3">
      <c r="A922">
        <v>41949</v>
      </c>
      <c r="B922">
        <v>3204559</v>
      </c>
      <c r="C922" t="s">
        <v>77</v>
      </c>
      <c r="D922">
        <v>2.1909999999999998</v>
      </c>
      <c r="E922">
        <v>11892943.640000001</v>
      </c>
      <c r="F922">
        <v>0</v>
      </c>
      <c r="G922">
        <v>11892943.640000001</v>
      </c>
      <c r="H922">
        <v>154545.62</v>
      </c>
      <c r="I922">
        <v>500364.34</v>
      </c>
      <c r="J922">
        <v>1.31</v>
      </c>
      <c r="K922">
        <v>209512.1</v>
      </c>
      <c r="L922">
        <v>0</v>
      </c>
      <c r="M922">
        <v>329444.23</v>
      </c>
      <c r="N922">
        <v>2025</v>
      </c>
      <c r="O922">
        <v>12</v>
      </c>
    </row>
    <row r="923" spans="1:15" x14ac:dyDescent="0.3">
      <c r="A923">
        <v>41950</v>
      </c>
      <c r="B923">
        <v>3204609</v>
      </c>
      <c r="C923" t="s">
        <v>78</v>
      </c>
      <c r="D923">
        <v>0.66</v>
      </c>
      <c r="E923">
        <v>3582538.92</v>
      </c>
      <c r="F923">
        <v>0</v>
      </c>
      <c r="G923">
        <v>3582538.92</v>
      </c>
      <c r="H923">
        <v>46554.13</v>
      </c>
      <c r="I923">
        <v>122948.6</v>
      </c>
      <c r="J923">
        <v>0.82199999999999995</v>
      </c>
      <c r="K923">
        <v>63111.81</v>
      </c>
      <c r="L923">
        <v>0</v>
      </c>
      <c r="M923">
        <v>99239.25</v>
      </c>
      <c r="N923">
        <v>2025</v>
      </c>
      <c r="O923">
        <v>12</v>
      </c>
    </row>
    <row r="924" spans="1:15" x14ac:dyDescent="0.3">
      <c r="A924">
        <v>41951</v>
      </c>
      <c r="B924">
        <v>3204658</v>
      </c>
      <c r="C924" t="s">
        <v>79</v>
      </c>
      <c r="D924">
        <v>0.42099999999999999</v>
      </c>
      <c r="E924">
        <v>2285225.59</v>
      </c>
      <c r="F924">
        <v>0</v>
      </c>
      <c r="G924">
        <v>2285225.59</v>
      </c>
      <c r="H924">
        <v>29695.89</v>
      </c>
      <c r="I924">
        <v>54204.639999999999</v>
      </c>
      <c r="J924">
        <v>0.33800000000000002</v>
      </c>
      <c r="K924">
        <v>40257.68</v>
      </c>
      <c r="L924">
        <v>0</v>
      </c>
      <c r="M924">
        <v>63302.61</v>
      </c>
      <c r="N924">
        <v>2025</v>
      </c>
      <c r="O924">
        <v>12</v>
      </c>
    </row>
    <row r="925" spans="1:15" x14ac:dyDescent="0.3">
      <c r="A925">
        <v>41952</v>
      </c>
      <c r="B925">
        <v>3204708</v>
      </c>
      <c r="C925" t="s">
        <v>80</v>
      </c>
      <c r="D925">
        <v>0.72299999999999998</v>
      </c>
      <c r="E925">
        <v>3924508.55</v>
      </c>
      <c r="F925">
        <v>0</v>
      </c>
      <c r="G925">
        <v>3924508.55</v>
      </c>
      <c r="H925">
        <v>50997.94</v>
      </c>
      <c r="I925">
        <v>122080.58</v>
      </c>
      <c r="J925">
        <v>1.0840000000000001</v>
      </c>
      <c r="K925">
        <v>69136.13</v>
      </c>
      <c r="L925">
        <v>0</v>
      </c>
      <c r="M925">
        <v>108712.09</v>
      </c>
      <c r="N925">
        <v>2025</v>
      </c>
      <c r="O925">
        <v>12</v>
      </c>
    </row>
    <row r="926" spans="1:15" x14ac:dyDescent="0.3">
      <c r="A926">
        <v>41953</v>
      </c>
      <c r="B926">
        <v>3204807</v>
      </c>
      <c r="C926" t="s">
        <v>81</v>
      </c>
      <c r="D926">
        <v>0.28599999999999998</v>
      </c>
      <c r="E926">
        <v>1552433.53</v>
      </c>
      <c r="F926">
        <v>0</v>
      </c>
      <c r="G926">
        <v>1552433.53</v>
      </c>
      <c r="H926">
        <v>20173.46</v>
      </c>
      <c r="I926">
        <v>37281.72</v>
      </c>
      <c r="J926">
        <v>0.443</v>
      </c>
      <c r="K926">
        <v>27348.46</v>
      </c>
      <c r="L926">
        <v>0</v>
      </c>
      <c r="M926">
        <v>43003.67</v>
      </c>
      <c r="N926">
        <v>2025</v>
      </c>
      <c r="O926">
        <v>12</v>
      </c>
    </row>
    <row r="927" spans="1:15" x14ac:dyDescent="0.3">
      <c r="A927">
        <v>41954</v>
      </c>
      <c r="B927">
        <v>3204906</v>
      </c>
      <c r="C927" t="s">
        <v>82</v>
      </c>
      <c r="D927">
        <v>1.998</v>
      </c>
      <c r="E927">
        <v>10845322.439999999</v>
      </c>
      <c r="F927">
        <v>0</v>
      </c>
      <c r="G927">
        <v>10845322.439999999</v>
      </c>
      <c r="H927">
        <v>140932.06</v>
      </c>
      <c r="I927">
        <v>610101.49</v>
      </c>
      <c r="J927">
        <v>2.9940000000000002</v>
      </c>
      <c r="K927">
        <v>191056.68</v>
      </c>
      <c r="L927">
        <v>0</v>
      </c>
      <c r="M927">
        <v>300424.27</v>
      </c>
      <c r="N927">
        <v>2025</v>
      </c>
      <c r="O927">
        <v>12</v>
      </c>
    </row>
    <row r="928" spans="1:15" x14ac:dyDescent="0.3">
      <c r="A928">
        <v>41955</v>
      </c>
      <c r="B928">
        <v>3204955</v>
      </c>
      <c r="C928" t="s">
        <v>83</v>
      </c>
      <c r="D928">
        <v>0.3</v>
      </c>
      <c r="E928">
        <v>1628426.79</v>
      </c>
      <c r="F928">
        <v>0</v>
      </c>
      <c r="G928">
        <v>1628426.79</v>
      </c>
      <c r="H928">
        <v>21160.97</v>
      </c>
      <c r="I928">
        <v>41818.49</v>
      </c>
      <c r="J928">
        <v>0.441</v>
      </c>
      <c r="K928">
        <v>28687.19</v>
      </c>
      <c r="L928">
        <v>0</v>
      </c>
      <c r="M928">
        <v>45108.75</v>
      </c>
      <c r="N928">
        <v>2025</v>
      </c>
      <c r="O928">
        <v>12</v>
      </c>
    </row>
    <row r="929" spans="1:15" x14ac:dyDescent="0.3">
      <c r="A929">
        <v>41956</v>
      </c>
      <c r="B929">
        <v>3205002</v>
      </c>
      <c r="C929" t="s">
        <v>84</v>
      </c>
      <c r="D929">
        <v>14.551</v>
      </c>
      <c r="E929">
        <v>78984127.450000003</v>
      </c>
      <c r="F929">
        <v>0</v>
      </c>
      <c r="G929">
        <v>78984127.450000003</v>
      </c>
      <c r="H929">
        <v>1026377.56</v>
      </c>
      <c r="I929">
        <v>2346942.14</v>
      </c>
      <c r="J929">
        <v>8.8559999999999999</v>
      </c>
      <c r="K929">
        <v>1391424.33</v>
      </c>
      <c r="L929">
        <v>0</v>
      </c>
      <c r="M929">
        <v>2187924.7000000002</v>
      </c>
      <c r="N929">
        <v>2025</v>
      </c>
      <c r="O929">
        <v>12</v>
      </c>
    </row>
    <row r="930" spans="1:15" x14ac:dyDescent="0.3">
      <c r="A930">
        <v>41957</v>
      </c>
      <c r="B930">
        <v>3205010</v>
      </c>
      <c r="C930" t="s">
        <v>85</v>
      </c>
      <c r="D930">
        <v>0.78200000000000003</v>
      </c>
      <c r="E930">
        <v>4244765.82</v>
      </c>
      <c r="F930">
        <v>0</v>
      </c>
      <c r="G930">
        <v>4244765.82</v>
      </c>
      <c r="H930">
        <v>55159.59</v>
      </c>
      <c r="I930">
        <v>110888.24</v>
      </c>
      <c r="J930">
        <v>0.93799999999999994</v>
      </c>
      <c r="K930">
        <v>74777.94</v>
      </c>
      <c r="L930">
        <v>0</v>
      </c>
      <c r="M930">
        <v>117583.47</v>
      </c>
      <c r="N930">
        <v>2025</v>
      </c>
      <c r="O930">
        <v>12</v>
      </c>
    </row>
    <row r="931" spans="1:15" x14ac:dyDescent="0.3">
      <c r="A931">
        <v>41958</v>
      </c>
      <c r="B931">
        <v>3205036</v>
      </c>
      <c r="C931" t="s">
        <v>86</v>
      </c>
      <c r="D931">
        <v>0.45700000000000002</v>
      </c>
      <c r="E931">
        <v>2480636.7999999998</v>
      </c>
      <c r="F931">
        <v>0</v>
      </c>
      <c r="G931">
        <v>2480636.7999999998</v>
      </c>
      <c r="H931">
        <v>32235.21</v>
      </c>
      <c r="I931">
        <v>95698.8</v>
      </c>
      <c r="J931">
        <v>0.70399999999999996</v>
      </c>
      <c r="K931">
        <v>43700.15</v>
      </c>
      <c r="L931">
        <v>0</v>
      </c>
      <c r="M931">
        <v>68715.66</v>
      </c>
      <c r="N931">
        <v>2025</v>
      </c>
      <c r="O931">
        <v>12</v>
      </c>
    </row>
    <row r="932" spans="1:15" x14ac:dyDescent="0.3">
      <c r="A932">
        <v>41959</v>
      </c>
      <c r="B932">
        <v>3205069</v>
      </c>
      <c r="C932" t="s">
        <v>87</v>
      </c>
      <c r="D932">
        <v>0.67</v>
      </c>
      <c r="E932">
        <v>3636819.84</v>
      </c>
      <c r="F932">
        <v>0</v>
      </c>
      <c r="G932">
        <v>3636819.84</v>
      </c>
      <c r="H932">
        <v>47259.5</v>
      </c>
      <c r="I932">
        <v>88900.11</v>
      </c>
      <c r="J932">
        <v>0.83899999999999997</v>
      </c>
      <c r="K932">
        <v>64068.06</v>
      </c>
      <c r="L932">
        <v>0</v>
      </c>
      <c r="M932">
        <v>100742.87</v>
      </c>
      <c r="N932">
        <v>2025</v>
      </c>
      <c r="O932">
        <v>12</v>
      </c>
    </row>
    <row r="933" spans="1:15" x14ac:dyDescent="0.3">
      <c r="A933">
        <v>41960</v>
      </c>
      <c r="B933">
        <v>2112803</v>
      </c>
      <c r="C933" t="s">
        <v>88</v>
      </c>
      <c r="D933">
        <v>3.3740000000000001</v>
      </c>
      <c r="E933">
        <v>18314373.309999999</v>
      </c>
      <c r="F933">
        <v>0</v>
      </c>
      <c r="G933">
        <v>18314373.309999999</v>
      </c>
      <c r="H933">
        <v>237990.37</v>
      </c>
      <c r="I933">
        <v>218512.29</v>
      </c>
      <c r="J933">
        <v>1.944</v>
      </c>
      <c r="K933">
        <v>322635.26</v>
      </c>
      <c r="L933">
        <v>0</v>
      </c>
      <c r="M933">
        <v>507323.07</v>
      </c>
      <c r="N933">
        <v>2025</v>
      </c>
      <c r="O933">
        <v>12</v>
      </c>
    </row>
    <row r="934" spans="1:15" x14ac:dyDescent="0.3">
      <c r="A934">
        <v>41961</v>
      </c>
      <c r="B934">
        <v>3205150</v>
      </c>
      <c r="C934" t="s">
        <v>89</v>
      </c>
      <c r="D934">
        <v>0.36799999999999999</v>
      </c>
      <c r="E934">
        <v>1997536.87</v>
      </c>
      <c r="F934">
        <v>0</v>
      </c>
      <c r="G934">
        <v>1997536.87</v>
      </c>
      <c r="H934">
        <v>25957.46</v>
      </c>
      <c r="I934">
        <v>26493.99</v>
      </c>
      <c r="J934">
        <v>0.34100000000000003</v>
      </c>
      <c r="K934">
        <v>35189.61</v>
      </c>
      <c r="L934">
        <v>0</v>
      </c>
      <c r="M934">
        <v>55333.4</v>
      </c>
      <c r="N934">
        <v>2025</v>
      </c>
      <c r="O934">
        <v>12</v>
      </c>
    </row>
    <row r="935" spans="1:15" x14ac:dyDescent="0.3">
      <c r="A935">
        <v>41962</v>
      </c>
      <c r="B935">
        <v>3205176</v>
      </c>
      <c r="C935" t="s">
        <v>90</v>
      </c>
      <c r="D935">
        <v>0.7</v>
      </c>
      <c r="E935">
        <v>3799662.5</v>
      </c>
      <c r="F935">
        <v>0</v>
      </c>
      <c r="G935">
        <v>3799662.5</v>
      </c>
      <c r="H935">
        <v>49375.6</v>
      </c>
      <c r="I935">
        <v>67848.179999999993</v>
      </c>
      <c r="J935">
        <v>0.55400000000000005</v>
      </c>
      <c r="K935">
        <v>66936.78</v>
      </c>
      <c r="L935">
        <v>0</v>
      </c>
      <c r="M935">
        <v>105253.75</v>
      </c>
      <c r="N935">
        <v>2025</v>
      </c>
      <c r="O935">
        <v>12</v>
      </c>
    </row>
    <row r="936" spans="1:15" x14ac:dyDescent="0.3">
      <c r="A936">
        <v>41963</v>
      </c>
      <c r="B936">
        <v>3205200</v>
      </c>
      <c r="C936" t="s">
        <v>91</v>
      </c>
      <c r="D936">
        <v>6.6219999999999999</v>
      </c>
      <c r="E936">
        <v>35944807.359999999</v>
      </c>
      <c r="F936">
        <v>0</v>
      </c>
      <c r="G936">
        <v>35944807.359999999</v>
      </c>
      <c r="H936">
        <v>467093.14</v>
      </c>
      <c r="I936">
        <v>2179992.87</v>
      </c>
      <c r="J936">
        <v>8.01</v>
      </c>
      <c r="K936">
        <v>633221.91</v>
      </c>
      <c r="L936">
        <v>0</v>
      </c>
      <c r="M936">
        <v>995700.46</v>
      </c>
      <c r="N936">
        <v>2025</v>
      </c>
      <c r="O936">
        <v>12</v>
      </c>
    </row>
    <row r="937" spans="1:15" x14ac:dyDescent="0.3">
      <c r="A937">
        <v>41964</v>
      </c>
      <c r="B937">
        <v>3205309</v>
      </c>
      <c r="C937" t="s">
        <v>92</v>
      </c>
      <c r="D937">
        <v>10.878</v>
      </c>
      <c r="E937">
        <v>59046755.420000002</v>
      </c>
      <c r="F937">
        <v>0</v>
      </c>
      <c r="G937">
        <v>59046755.420000002</v>
      </c>
      <c r="H937">
        <v>767296.76</v>
      </c>
      <c r="I937">
        <v>2221243.12</v>
      </c>
      <c r="J937">
        <v>9.1780000000000008</v>
      </c>
      <c r="K937">
        <v>1040197.53</v>
      </c>
      <c r="L937">
        <v>0</v>
      </c>
      <c r="M937">
        <v>1635643.25</v>
      </c>
      <c r="N937">
        <v>2025</v>
      </c>
      <c r="O937">
        <v>12</v>
      </c>
    </row>
  </sheetData>
  <autoFilter ref="A1:O937" xr:uid="{00000000-0009-0000-0000-000009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9"/>
  <sheetViews>
    <sheetView topLeftCell="C1" workbookViewId="0">
      <selection activeCell="K1" sqref="K1"/>
    </sheetView>
  </sheetViews>
  <sheetFormatPr defaultRowHeight="14.4" x14ac:dyDescent="0.3"/>
  <cols>
    <col min="1" max="1" width="10.88671875" bestFit="1" customWidth="1"/>
    <col min="2" max="2" width="25.5546875" bestFit="1" customWidth="1"/>
    <col min="3" max="3" width="4.77734375" bestFit="1" customWidth="1"/>
    <col min="4" max="4" width="11.77734375" bestFit="1" customWidth="1"/>
    <col min="5" max="5" width="16.21875" bestFit="1" customWidth="1"/>
    <col min="6" max="6" width="11.77734375" bestFit="1" customWidth="1"/>
    <col min="7" max="7" width="29.6640625" style="16" bestFit="1" customWidth="1"/>
    <col min="8" max="8" width="15.109375" style="17" customWidth="1"/>
    <col min="9" max="9" width="15.5546875" style="10" bestFit="1" customWidth="1"/>
    <col min="10" max="10" width="25.21875" style="10" bestFit="1" customWidth="1"/>
    <col min="11" max="11" width="25.21875" style="10" customWidth="1"/>
    <col min="12" max="12" width="19.6640625" bestFit="1" customWidth="1"/>
  </cols>
  <sheetData>
    <row r="1" spans="1:12" x14ac:dyDescent="0.3">
      <c r="A1" t="s">
        <v>136</v>
      </c>
      <c r="B1" t="s">
        <v>119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145</v>
      </c>
      <c r="I1" t="s">
        <v>142</v>
      </c>
      <c r="J1" t="s">
        <v>143</v>
      </c>
      <c r="K1" t="s">
        <v>148</v>
      </c>
      <c r="L1" t="s">
        <v>144</v>
      </c>
    </row>
    <row r="2" spans="1:12" x14ac:dyDescent="0.3">
      <c r="A2">
        <v>3200102</v>
      </c>
      <c r="B2" t="s">
        <v>15</v>
      </c>
      <c r="C2">
        <v>2025</v>
      </c>
      <c r="D2">
        <v>181795000</v>
      </c>
      <c r="E2">
        <v>58887906.310000002</v>
      </c>
      <c r="F2">
        <v>37801042.190000005</v>
      </c>
      <c r="G2">
        <v>0.20793224340603431</v>
      </c>
      <c r="H2" t="s">
        <v>151</v>
      </c>
      <c r="I2">
        <v>7231229.449976516</v>
      </c>
      <c r="J2">
        <v>19.129709211799153</v>
      </c>
      <c r="K2" t="s">
        <v>149</v>
      </c>
      <c r="L2">
        <v>3.9776833521144783</v>
      </c>
    </row>
    <row r="3" spans="1:12" x14ac:dyDescent="0.3">
      <c r="A3">
        <v>3200169</v>
      </c>
      <c r="B3" t="s">
        <v>16</v>
      </c>
      <c r="C3">
        <v>2025</v>
      </c>
      <c r="D3">
        <v>69800000</v>
      </c>
      <c r="E3">
        <v>20250641.5</v>
      </c>
      <c r="F3">
        <v>17398603.190000005</v>
      </c>
      <c r="G3">
        <v>0.24926365601719205</v>
      </c>
      <c r="H3" t="s">
        <v>151</v>
      </c>
      <c r="I3">
        <v>7756649.9105071016</v>
      </c>
      <c r="J3">
        <v>44.582026647778839</v>
      </c>
      <c r="K3" t="s">
        <v>150</v>
      </c>
      <c r="L3">
        <v>11.112678954881234</v>
      </c>
    </row>
    <row r="4" spans="1:12" x14ac:dyDescent="0.3">
      <c r="A4">
        <v>3200136</v>
      </c>
      <c r="B4" t="s">
        <v>17</v>
      </c>
      <c r="C4">
        <v>2025</v>
      </c>
      <c r="D4">
        <v>87000000</v>
      </c>
      <c r="E4">
        <v>23459040</v>
      </c>
      <c r="F4">
        <v>29220659.120000005</v>
      </c>
      <c r="G4">
        <v>0.3358696450574713</v>
      </c>
      <c r="H4" t="s">
        <v>152</v>
      </c>
      <c r="I4">
        <v>8507620.2265713364</v>
      </c>
      <c r="J4">
        <v>29.115086663970281</v>
      </c>
      <c r="K4" t="s">
        <v>149</v>
      </c>
      <c r="L4">
        <v>9.7788738236452133</v>
      </c>
    </row>
    <row r="5" spans="1:12" x14ac:dyDescent="0.3">
      <c r="A5">
        <v>3200201</v>
      </c>
      <c r="B5" t="s">
        <v>18</v>
      </c>
      <c r="C5">
        <v>2025</v>
      </c>
      <c r="D5">
        <v>138000000</v>
      </c>
      <c r="E5">
        <v>37567733.590000004</v>
      </c>
      <c r="F5">
        <v>23550157.260000002</v>
      </c>
      <c r="G5">
        <v>0.17065331347826088</v>
      </c>
      <c r="H5" t="s">
        <v>151</v>
      </c>
      <c r="I5">
        <v>5850775.1570943026</v>
      </c>
      <c r="J5">
        <v>24.843889968547504</v>
      </c>
      <c r="K5" t="s">
        <v>149</v>
      </c>
      <c r="L5">
        <v>4.2396921428219585</v>
      </c>
    </row>
    <row r="6" spans="1:12" x14ac:dyDescent="0.3">
      <c r="A6">
        <v>3200300</v>
      </c>
      <c r="B6" t="s">
        <v>19</v>
      </c>
      <c r="C6">
        <v>2025</v>
      </c>
      <c r="D6">
        <v>100000000</v>
      </c>
      <c r="E6">
        <v>28305360</v>
      </c>
      <c r="F6">
        <v>24896275.68</v>
      </c>
      <c r="G6">
        <v>0.24896275679999999</v>
      </c>
      <c r="H6" t="s">
        <v>151</v>
      </c>
      <c r="I6">
        <v>7407327.0390221719</v>
      </c>
      <c r="J6">
        <v>29.752751512840625</v>
      </c>
      <c r="K6" t="s">
        <v>149</v>
      </c>
      <c r="L6">
        <v>7.4073270390221708</v>
      </c>
    </row>
    <row r="7" spans="1:12" x14ac:dyDescent="0.3">
      <c r="A7">
        <v>3200359</v>
      </c>
      <c r="B7" t="s">
        <v>20</v>
      </c>
      <c r="C7">
        <v>2025</v>
      </c>
      <c r="D7">
        <v>61500000</v>
      </c>
      <c r="E7">
        <v>19769100</v>
      </c>
      <c r="F7">
        <v>14526094.670000002</v>
      </c>
      <c r="G7">
        <v>0.23619666130081304</v>
      </c>
      <c r="H7" t="s">
        <v>151</v>
      </c>
      <c r="I7">
        <v>6906979.4023731519</v>
      </c>
      <c r="J7">
        <v>47.548770397578245</v>
      </c>
      <c r="K7" t="s">
        <v>150</v>
      </c>
      <c r="L7">
        <v>11.230860816866914</v>
      </c>
    </row>
    <row r="8" spans="1:12" x14ac:dyDescent="0.3">
      <c r="A8">
        <v>3200409</v>
      </c>
      <c r="B8" t="s">
        <v>21</v>
      </c>
      <c r="C8">
        <v>2025</v>
      </c>
      <c r="D8">
        <v>389538645.88</v>
      </c>
      <c r="E8">
        <v>105099366.69</v>
      </c>
      <c r="F8">
        <v>196009998.61000001</v>
      </c>
      <c r="G8">
        <v>0.50318498737704764</v>
      </c>
      <c r="H8" t="s">
        <v>147</v>
      </c>
      <c r="I8">
        <v>6930275.6558084153</v>
      </c>
      <c r="J8">
        <v>3.5356745599481108</v>
      </c>
      <c r="K8" t="s">
        <v>146</v>
      </c>
      <c r="L8">
        <v>1.7790983588168381</v>
      </c>
    </row>
    <row r="9" spans="1:12" x14ac:dyDescent="0.3">
      <c r="A9">
        <v>3200508</v>
      </c>
      <c r="B9" t="s">
        <v>22</v>
      </c>
      <c r="C9">
        <v>2025</v>
      </c>
      <c r="D9">
        <v>37670656.539999999</v>
      </c>
      <c r="E9">
        <v>11641796.539999999</v>
      </c>
      <c r="F9">
        <v>13396078.99</v>
      </c>
      <c r="G9">
        <v>0.35561044644325707</v>
      </c>
      <c r="H9" t="s">
        <v>152</v>
      </c>
      <c r="I9">
        <v>7131906.2341863755</v>
      </c>
      <c r="J9">
        <v>53.238759188492779</v>
      </c>
      <c r="K9" t="s">
        <v>147</v>
      </c>
      <c r="L9">
        <v>18.932258923104968</v>
      </c>
    </row>
    <row r="10" spans="1:12" x14ac:dyDescent="0.3">
      <c r="A10">
        <v>3200607</v>
      </c>
      <c r="B10" t="s">
        <v>23</v>
      </c>
      <c r="C10">
        <v>2025</v>
      </c>
      <c r="D10">
        <v>841011423</v>
      </c>
      <c r="E10">
        <v>217634345.78</v>
      </c>
      <c r="F10">
        <v>252202165.84999999</v>
      </c>
      <c r="G10">
        <v>0.29987959610627074</v>
      </c>
      <c r="H10" t="s">
        <v>151</v>
      </c>
      <c r="I10">
        <v>7142560.2833276335</v>
      </c>
      <c r="J10">
        <v>2.8320772976928952</v>
      </c>
      <c r="K10" t="s">
        <v>146</v>
      </c>
      <c r="L10">
        <v>0.84928219617388412</v>
      </c>
    </row>
    <row r="11" spans="1:12" x14ac:dyDescent="0.3">
      <c r="A11">
        <v>3200706</v>
      </c>
      <c r="B11" t="s">
        <v>24</v>
      </c>
      <c r="C11">
        <v>2025</v>
      </c>
      <c r="D11">
        <v>80000000</v>
      </c>
      <c r="E11">
        <v>28408032</v>
      </c>
      <c r="F11">
        <v>22234952.289999999</v>
      </c>
      <c r="G11">
        <v>0.27793690362500001</v>
      </c>
      <c r="H11" t="s">
        <v>151</v>
      </c>
      <c r="I11">
        <v>9225916.3328510076</v>
      </c>
      <c r="J11">
        <v>41.492854189753729</v>
      </c>
      <c r="K11" t="s">
        <v>150</v>
      </c>
      <c r="L11">
        <v>11.532395416063759</v>
      </c>
    </row>
    <row r="12" spans="1:12" x14ac:dyDescent="0.3">
      <c r="A12">
        <v>3200805</v>
      </c>
      <c r="B12" t="s">
        <v>25</v>
      </c>
      <c r="C12">
        <v>2025</v>
      </c>
      <c r="D12">
        <v>166500000</v>
      </c>
      <c r="E12">
        <v>49188200</v>
      </c>
      <c r="F12">
        <v>30421747.770000003</v>
      </c>
      <c r="G12">
        <v>0.18271319981981984</v>
      </c>
      <c r="H12" t="s">
        <v>151</v>
      </c>
      <c r="I12">
        <v>6527564.6042719157</v>
      </c>
      <c r="J12">
        <v>21.456901995318578</v>
      </c>
      <c r="K12" t="s">
        <v>149</v>
      </c>
      <c r="L12">
        <v>3.9204592217849346</v>
      </c>
    </row>
    <row r="13" spans="1:12" x14ac:dyDescent="0.3">
      <c r="A13">
        <v>3200904</v>
      </c>
      <c r="B13" t="s">
        <v>26</v>
      </c>
      <c r="C13">
        <v>2025</v>
      </c>
      <c r="D13">
        <v>224720000</v>
      </c>
      <c r="E13">
        <v>58796930</v>
      </c>
      <c r="F13">
        <v>45800189.900000006</v>
      </c>
      <c r="G13">
        <v>0.20381002981488078</v>
      </c>
      <c r="H13" t="s">
        <v>151</v>
      </c>
      <c r="I13">
        <v>7624837.5548051922</v>
      </c>
      <c r="J13">
        <v>16.648047904284326</v>
      </c>
      <c r="K13" t="s">
        <v>149</v>
      </c>
      <c r="L13">
        <v>3.3930391397317514</v>
      </c>
    </row>
    <row r="14" spans="1:12" x14ac:dyDescent="0.3">
      <c r="A14">
        <v>3201001</v>
      </c>
      <c r="B14" t="s">
        <v>120</v>
      </c>
      <c r="C14">
        <v>2025</v>
      </c>
      <c r="D14">
        <v>120160070.79000001</v>
      </c>
      <c r="E14">
        <v>32853129.670000002</v>
      </c>
      <c r="F14">
        <v>27416928.470000006</v>
      </c>
      <c r="G14">
        <v>0.22817004259189988</v>
      </c>
      <c r="H14" t="s">
        <v>151</v>
      </c>
      <c r="I14">
        <v>7892864.6013067663</v>
      </c>
      <c r="J14">
        <v>28.788288994309667</v>
      </c>
      <c r="K14" t="s">
        <v>149</v>
      </c>
      <c r="L14">
        <v>6.5686251259795601</v>
      </c>
    </row>
    <row r="15" spans="1:12" x14ac:dyDescent="0.3">
      <c r="A15">
        <v>3201100</v>
      </c>
      <c r="B15" t="s">
        <v>28</v>
      </c>
      <c r="C15">
        <v>2025</v>
      </c>
      <c r="D15">
        <v>41100000</v>
      </c>
      <c r="E15">
        <v>12616681.789999999</v>
      </c>
      <c r="F15">
        <v>13898045.769999998</v>
      </c>
      <c r="G15">
        <v>0.33815196520681262</v>
      </c>
      <c r="H15" t="s">
        <v>152</v>
      </c>
      <c r="I15">
        <v>8007727.256281239</v>
      </c>
      <c r="J15">
        <v>57.617649191849232</v>
      </c>
      <c r="K15" t="s">
        <v>147</v>
      </c>
      <c r="L15">
        <v>19.483521304820535</v>
      </c>
    </row>
    <row r="16" spans="1:12" x14ac:dyDescent="0.3">
      <c r="A16">
        <v>3201159</v>
      </c>
      <c r="B16" t="s">
        <v>29</v>
      </c>
      <c r="C16">
        <v>2025</v>
      </c>
      <c r="D16">
        <v>79290664</v>
      </c>
      <c r="E16">
        <v>26669502</v>
      </c>
      <c r="F16">
        <v>22923911.469999999</v>
      </c>
      <c r="G16">
        <v>0.2891123659905282</v>
      </c>
      <c r="H16" t="s">
        <v>151</v>
      </c>
      <c r="I16">
        <v>5838047.8748601377</v>
      </c>
      <c r="J16">
        <v>25.467066920495913</v>
      </c>
      <c r="K16" t="s">
        <v>149</v>
      </c>
      <c r="L16">
        <v>7.3628439722236889</v>
      </c>
    </row>
    <row r="17" spans="1:12" x14ac:dyDescent="0.3">
      <c r="A17">
        <v>3201209</v>
      </c>
      <c r="B17" t="s">
        <v>121</v>
      </c>
      <c r="C17">
        <v>2025</v>
      </c>
      <c r="D17">
        <v>1123000000</v>
      </c>
      <c r="E17">
        <v>292206818.64999998</v>
      </c>
      <c r="F17">
        <v>146009735.40000001</v>
      </c>
      <c r="G17">
        <v>0.13001757382012466</v>
      </c>
      <c r="H17" t="s">
        <v>151</v>
      </c>
      <c r="I17">
        <v>7747299.0290147113</v>
      </c>
      <c r="J17">
        <v>5.3060153884880688</v>
      </c>
      <c r="K17" t="s">
        <v>146</v>
      </c>
      <c r="L17">
        <v>0.68987524746346496</v>
      </c>
    </row>
    <row r="18" spans="1:12" x14ac:dyDescent="0.3">
      <c r="A18">
        <v>3201308</v>
      </c>
      <c r="B18" t="s">
        <v>31</v>
      </c>
      <c r="C18">
        <v>2025</v>
      </c>
      <c r="D18">
        <v>1831430526</v>
      </c>
      <c r="E18">
        <v>601663837</v>
      </c>
      <c r="F18">
        <v>468614665.50999999</v>
      </c>
      <c r="G18">
        <v>0.25587356924398014</v>
      </c>
      <c r="H18" t="s">
        <v>151</v>
      </c>
      <c r="I18">
        <v>6101605.1928506866</v>
      </c>
      <c r="J18">
        <v>1.3020516944791352</v>
      </c>
      <c r="K18" t="s">
        <v>146</v>
      </c>
      <c r="L18">
        <v>0.33316061440654871</v>
      </c>
    </row>
    <row r="19" spans="1:12" x14ac:dyDescent="0.3">
      <c r="A19">
        <v>3201407</v>
      </c>
      <c r="B19" t="s">
        <v>32</v>
      </c>
      <c r="C19">
        <v>2025</v>
      </c>
      <c r="D19">
        <v>171000000</v>
      </c>
      <c r="E19">
        <v>58412822.420000002</v>
      </c>
      <c r="F19">
        <v>45454235.060000002</v>
      </c>
      <c r="G19">
        <v>0.26581424011695909</v>
      </c>
      <c r="H19" t="s">
        <v>151</v>
      </c>
      <c r="I19">
        <v>7566644.6221450344</v>
      </c>
      <c r="J19">
        <v>16.646731843923881</v>
      </c>
      <c r="K19" t="s">
        <v>149</v>
      </c>
      <c r="L19">
        <v>4.4249383755234124</v>
      </c>
    </row>
    <row r="20" spans="1:12" x14ac:dyDescent="0.3">
      <c r="A20">
        <v>3201506</v>
      </c>
      <c r="B20" t="s">
        <v>33</v>
      </c>
      <c r="C20">
        <v>2025</v>
      </c>
      <c r="D20">
        <v>987113060.30999994</v>
      </c>
      <c r="E20">
        <v>271974246.42000002</v>
      </c>
      <c r="F20">
        <v>113450267.91</v>
      </c>
      <c r="G20">
        <v>0.1149313816943839</v>
      </c>
      <c r="H20" t="s">
        <v>151</v>
      </c>
      <c r="I20">
        <v>6024119.2730015563</v>
      </c>
      <c r="J20">
        <v>5.3099207114966758</v>
      </c>
      <c r="K20" t="s">
        <v>146</v>
      </c>
      <c r="L20">
        <v>0.61027652405993893</v>
      </c>
    </row>
    <row r="21" spans="1:12" x14ac:dyDescent="0.3">
      <c r="A21">
        <v>3201605</v>
      </c>
      <c r="B21" t="s">
        <v>122</v>
      </c>
      <c r="C21">
        <v>2025</v>
      </c>
      <c r="D21">
        <v>213009262</v>
      </c>
      <c r="F21">
        <v>20900472</v>
      </c>
      <c r="G21">
        <v>9.81200150817855E-2</v>
      </c>
      <c r="H21" t="s">
        <v>146</v>
      </c>
      <c r="I21">
        <v>7536195.7781435894</v>
      </c>
      <c r="J21">
        <v>36.057538691679255</v>
      </c>
      <c r="K21" t="s">
        <v>150</v>
      </c>
      <c r="L21">
        <v>3.537966240239633</v>
      </c>
    </row>
    <row r="22" spans="1:12" x14ac:dyDescent="0.3">
      <c r="A22">
        <v>3201704</v>
      </c>
      <c r="B22" t="s">
        <v>123</v>
      </c>
      <c r="C22">
        <v>2025</v>
      </c>
      <c r="D22">
        <v>67000000</v>
      </c>
      <c r="E22">
        <v>25532534.719999999</v>
      </c>
      <c r="F22">
        <v>33874836.120000005</v>
      </c>
      <c r="G22">
        <v>0.50559456895522392</v>
      </c>
      <c r="H22" t="s">
        <v>147</v>
      </c>
      <c r="I22">
        <v>7276833.5060984502</v>
      </c>
      <c r="J22">
        <v>21.481531247326515</v>
      </c>
      <c r="K22" t="s">
        <v>149</v>
      </c>
      <c r="L22">
        <v>10.860945531490223</v>
      </c>
    </row>
    <row r="23" spans="1:12" x14ac:dyDescent="0.3">
      <c r="A23">
        <v>3201803</v>
      </c>
      <c r="B23" t="s">
        <v>124</v>
      </c>
      <c r="C23">
        <v>2025</v>
      </c>
      <c r="D23">
        <v>33200000</v>
      </c>
      <c r="E23">
        <v>7843900</v>
      </c>
      <c r="F23">
        <v>10530782.660000002</v>
      </c>
      <c r="G23">
        <v>0.31719224879518076</v>
      </c>
      <c r="H23" t="s">
        <v>152</v>
      </c>
      <c r="I23">
        <v>5343665.804788366</v>
      </c>
      <c r="J23">
        <v>50.743292092483131</v>
      </c>
      <c r="K23" t="s">
        <v>147</v>
      </c>
      <c r="L23">
        <v>16.095378930085438</v>
      </c>
    </row>
    <row r="24" spans="1:12" x14ac:dyDescent="0.3">
      <c r="A24">
        <v>3201902</v>
      </c>
      <c r="B24" t="s">
        <v>37</v>
      </c>
      <c r="C24">
        <v>2025</v>
      </c>
      <c r="D24">
        <v>228500000</v>
      </c>
      <c r="E24">
        <v>86062700</v>
      </c>
      <c r="F24">
        <v>59836119.670000002</v>
      </c>
      <c r="G24">
        <v>0.2618648563238512</v>
      </c>
      <c r="H24" t="s">
        <v>151</v>
      </c>
      <c r="I24">
        <v>7447812.0544229625</v>
      </c>
      <c r="J24">
        <v>12.44701711190184</v>
      </c>
      <c r="K24" t="s">
        <v>149</v>
      </c>
      <c r="L24">
        <v>3.2594363476686929</v>
      </c>
    </row>
    <row r="25" spans="1:12" x14ac:dyDescent="0.3">
      <c r="A25">
        <v>3202009</v>
      </c>
      <c r="B25" t="s">
        <v>38</v>
      </c>
      <c r="C25">
        <v>2025</v>
      </c>
      <c r="D25">
        <v>61000000</v>
      </c>
      <c r="E25">
        <v>14064160</v>
      </c>
      <c r="F25">
        <v>19640931.870000001</v>
      </c>
      <c r="G25">
        <v>0.32198248967213117</v>
      </c>
      <c r="H25" t="s">
        <v>152</v>
      </c>
      <c r="I25">
        <v>8619749.5028297678</v>
      </c>
      <c r="J25">
        <v>43.886662607876389</v>
      </c>
      <c r="K25" t="s">
        <v>150</v>
      </c>
      <c r="L25">
        <v>14.130736889884865</v>
      </c>
    </row>
    <row r="26" spans="1:12" x14ac:dyDescent="0.3">
      <c r="A26">
        <v>3202108</v>
      </c>
      <c r="B26" t="s">
        <v>39</v>
      </c>
      <c r="C26">
        <v>2025</v>
      </c>
      <c r="D26">
        <v>100000000</v>
      </c>
      <c r="E26">
        <v>34036920</v>
      </c>
      <c r="F26">
        <v>32180140.329999998</v>
      </c>
      <c r="G26">
        <v>0.32180140329999996</v>
      </c>
      <c r="H26" t="s">
        <v>152</v>
      </c>
      <c r="I26">
        <v>7751956.7727560075</v>
      </c>
      <c r="J26">
        <v>24.089257204168344</v>
      </c>
      <c r="K26" t="s">
        <v>149</v>
      </c>
      <c r="L26">
        <v>7.7519567727560084</v>
      </c>
    </row>
    <row r="27" spans="1:12" x14ac:dyDescent="0.3">
      <c r="A27">
        <v>3202207</v>
      </c>
      <c r="B27" t="s">
        <v>125</v>
      </c>
      <c r="C27">
        <v>2025</v>
      </c>
      <c r="D27">
        <v>139000000</v>
      </c>
      <c r="E27">
        <v>43790820.079999998</v>
      </c>
      <c r="F27">
        <v>20709545.830000002</v>
      </c>
      <c r="G27">
        <v>0.14898953834532375</v>
      </c>
      <c r="H27" t="s">
        <v>151</v>
      </c>
      <c r="I27">
        <v>7636994.2256507492</v>
      </c>
      <c r="J27">
        <v>36.876686182985928</v>
      </c>
      <c r="K27" t="s">
        <v>150</v>
      </c>
      <c r="L27">
        <v>5.4942404501084532</v>
      </c>
    </row>
    <row r="28" spans="1:12" x14ac:dyDescent="0.3">
      <c r="A28">
        <v>3202256</v>
      </c>
      <c r="B28" t="s">
        <v>41</v>
      </c>
      <c r="C28">
        <v>2025</v>
      </c>
      <c r="D28">
        <v>74015530</v>
      </c>
      <c r="E28">
        <v>25530730</v>
      </c>
      <c r="F28">
        <v>29899291.469999999</v>
      </c>
      <c r="G28">
        <v>0.40395970237597434</v>
      </c>
      <c r="H28" t="s">
        <v>152</v>
      </c>
      <c r="I28">
        <v>6399934.0811111843</v>
      </c>
      <c r="J28">
        <v>21.404969035914029</v>
      </c>
      <c r="K28" t="s">
        <v>149</v>
      </c>
      <c r="L28">
        <v>8.6467449211147773</v>
      </c>
    </row>
    <row r="29" spans="1:12" x14ac:dyDescent="0.3">
      <c r="A29">
        <v>3202306</v>
      </c>
      <c r="B29" t="s">
        <v>126</v>
      </c>
      <c r="C29">
        <v>2025</v>
      </c>
      <c r="D29">
        <v>185000000</v>
      </c>
      <c r="E29">
        <v>51301500</v>
      </c>
      <c r="F29">
        <v>20664699.41</v>
      </c>
      <c r="G29">
        <v>0.11170107789189189</v>
      </c>
      <c r="H29" t="s">
        <v>151</v>
      </c>
      <c r="I29">
        <v>7042358.8316944456</v>
      </c>
      <c r="J29">
        <v>34.079173821839035</v>
      </c>
      <c r="K29" t="s">
        <v>150</v>
      </c>
      <c r="L29">
        <v>3.8066804495645652</v>
      </c>
    </row>
    <row r="30" spans="1:12" x14ac:dyDescent="0.3">
      <c r="A30">
        <v>3202405</v>
      </c>
      <c r="B30" t="s">
        <v>43</v>
      </c>
      <c r="C30">
        <v>2025</v>
      </c>
      <c r="D30">
        <v>670740340</v>
      </c>
      <c r="E30">
        <v>235246600</v>
      </c>
      <c r="F30">
        <v>44482526.309999995</v>
      </c>
      <c r="G30">
        <v>6.6318549306278479E-2</v>
      </c>
      <c r="H30" t="s">
        <v>146</v>
      </c>
      <c r="I30">
        <v>7655859.2303493917</v>
      </c>
      <c r="J30">
        <v>17.210936215707466</v>
      </c>
      <c r="K30" t="s">
        <v>149</v>
      </c>
      <c r="L30">
        <v>1.1414043220286096</v>
      </c>
    </row>
    <row r="31" spans="1:12" x14ac:dyDescent="0.3">
      <c r="A31">
        <v>3202454</v>
      </c>
      <c r="B31" t="s">
        <v>44</v>
      </c>
      <c r="C31">
        <v>2025</v>
      </c>
      <c r="D31">
        <v>128000000</v>
      </c>
      <c r="E31">
        <v>46814640</v>
      </c>
      <c r="F31">
        <v>19091659.920000002</v>
      </c>
      <c r="G31">
        <v>0.14915359312500001</v>
      </c>
      <c r="H31" t="s">
        <v>151</v>
      </c>
      <c r="I31">
        <v>6525820.733643109</v>
      </c>
      <c r="J31">
        <v>34.18152617943295</v>
      </c>
      <c r="K31" t="s">
        <v>150</v>
      </c>
      <c r="L31">
        <v>5.0982974481586796</v>
      </c>
    </row>
    <row r="32" spans="1:12" x14ac:dyDescent="0.3">
      <c r="A32">
        <v>3202504</v>
      </c>
      <c r="B32" t="s">
        <v>127</v>
      </c>
      <c r="C32">
        <v>2025</v>
      </c>
      <c r="D32">
        <v>87000000</v>
      </c>
      <c r="E32">
        <v>20086200.010000002</v>
      </c>
      <c r="F32">
        <v>17277274.68</v>
      </c>
      <c r="G32">
        <v>0.19858936413793102</v>
      </c>
      <c r="H32" t="s">
        <v>151</v>
      </c>
      <c r="I32">
        <v>8159439.2623509038</v>
      </c>
      <c r="J32">
        <v>47.22642554150157</v>
      </c>
      <c r="K32" t="s">
        <v>150</v>
      </c>
      <c r="L32">
        <v>9.3786658187941416</v>
      </c>
    </row>
    <row r="33" spans="1:12" x14ac:dyDescent="0.3">
      <c r="A33">
        <v>3202553</v>
      </c>
      <c r="B33" t="s">
        <v>46</v>
      </c>
      <c r="C33">
        <v>2025</v>
      </c>
      <c r="D33">
        <v>65000000</v>
      </c>
      <c r="E33">
        <v>25522380</v>
      </c>
      <c r="F33">
        <v>15986821.130000001</v>
      </c>
      <c r="G33">
        <v>0.24595109430769233</v>
      </c>
      <c r="H33" t="s">
        <v>151</v>
      </c>
      <c r="I33">
        <v>8528655.7820899561</v>
      </c>
      <c r="J33">
        <v>53.348040318569304</v>
      </c>
      <c r="K33" t="s">
        <v>147</v>
      </c>
      <c r="L33">
        <v>13.121008895523008</v>
      </c>
    </row>
    <row r="34" spans="1:12" x14ac:dyDescent="0.3">
      <c r="A34">
        <v>3202603</v>
      </c>
      <c r="B34" t="s">
        <v>47</v>
      </c>
      <c r="C34">
        <v>2025</v>
      </c>
      <c r="D34">
        <v>67435513.780000001</v>
      </c>
      <c r="E34">
        <v>16784739.460000001</v>
      </c>
      <c r="F34">
        <v>17680205.66</v>
      </c>
      <c r="G34">
        <v>0.26217944624370293</v>
      </c>
      <c r="H34" t="s">
        <v>151</v>
      </c>
      <c r="I34">
        <v>6487618.4600124601</v>
      </c>
      <c r="J34">
        <v>36.69424770714155</v>
      </c>
      <c r="K34" t="s">
        <v>150</v>
      </c>
      <c r="L34">
        <v>9.6204775441876382</v>
      </c>
    </row>
    <row r="35" spans="1:12" x14ac:dyDescent="0.3">
      <c r="A35">
        <v>3202652</v>
      </c>
      <c r="B35" t="s">
        <v>48</v>
      </c>
      <c r="C35">
        <v>2025</v>
      </c>
      <c r="D35">
        <v>88000000</v>
      </c>
      <c r="E35">
        <v>29311482</v>
      </c>
      <c r="F35">
        <v>17792682.68</v>
      </c>
      <c r="G35">
        <v>0.2021895759090909</v>
      </c>
      <c r="H35" t="s">
        <v>151</v>
      </c>
      <c r="I35">
        <v>6695237.9435806032</v>
      </c>
      <c r="J35">
        <v>37.62916511238879</v>
      </c>
      <c r="K35" t="s">
        <v>150</v>
      </c>
      <c r="L35">
        <v>7.6082249358870495</v>
      </c>
    </row>
    <row r="36" spans="1:12" x14ac:dyDescent="0.3">
      <c r="A36">
        <v>3202702</v>
      </c>
      <c r="B36" t="s">
        <v>128</v>
      </c>
      <c r="C36">
        <v>2025</v>
      </c>
      <c r="D36">
        <v>81708122</v>
      </c>
      <c r="E36">
        <v>27100126.300000001</v>
      </c>
      <c r="F36">
        <v>22742656.289999999</v>
      </c>
      <c r="G36">
        <v>0.27834021555409144</v>
      </c>
      <c r="H36" t="s">
        <v>151</v>
      </c>
      <c r="I36">
        <v>7492685.8401765311</v>
      </c>
      <c r="J36">
        <v>32.945517641539013</v>
      </c>
      <c r="K36" t="s">
        <v>150</v>
      </c>
      <c r="L36">
        <v>9.1700624818870899</v>
      </c>
    </row>
    <row r="37" spans="1:12" x14ac:dyDescent="0.3">
      <c r="A37">
        <v>3202801</v>
      </c>
      <c r="B37" t="s">
        <v>50</v>
      </c>
      <c r="C37">
        <v>2025</v>
      </c>
      <c r="D37">
        <v>548198000</v>
      </c>
      <c r="E37">
        <v>130277000</v>
      </c>
      <c r="F37">
        <v>191892963.79999998</v>
      </c>
      <c r="G37">
        <v>0.3500431665201259</v>
      </c>
      <c r="H37" t="s">
        <v>152</v>
      </c>
      <c r="I37">
        <v>7217833.3308949042</v>
      </c>
      <c r="J37">
        <v>3.7613850909185369</v>
      </c>
      <c r="K37" t="s">
        <v>146</v>
      </c>
      <c r="L37">
        <v>1.3166471477267163</v>
      </c>
    </row>
    <row r="38" spans="1:12" x14ac:dyDescent="0.3">
      <c r="A38">
        <v>3202900</v>
      </c>
      <c r="B38" t="s">
        <v>51</v>
      </c>
      <c r="C38">
        <v>2025</v>
      </c>
      <c r="D38">
        <v>72000000</v>
      </c>
      <c r="E38">
        <v>20168900</v>
      </c>
      <c r="F38">
        <v>22071236.25</v>
      </c>
      <c r="G38">
        <v>0.30654494791666664</v>
      </c>
      <c r="H38" t="s">
        <v>152</v>
      </c>
      <c r="I38">
        <v>7930548.5894940011</v>
      </c>
      <c r="J38">
        <v>35.931601201060957</v>
      </c>
      <c r="K38" t="s">
        <v>150</v>
      </c>
      <c r="L38">
        <v>11.014650818741668</v>
      </c>
    </row>
    <row r="39" spans="1:12" x14ac:dyDescent="0.3">
      <c r="A39">
        <v>3203007</v>
      </c>
      <c r="B39" t="s">
        <v>52</v>
      </c>
      <c r="C39">
        <v>2025</v>
      </c>
      <c r="D39">
        <v>145000000</v>
      </c>
      <c r="E39">
        <v>50136100</v>
      </c>
      <c r="F39">
        <v>28155159.580000002</v>
      </c>
      <c r="G39">
        <v>0.1941735143448276</v>
      </c>
      <c r="H39" t="s">
        <v>151</v>
      </c>
      <c r="I39">
        <v>6930565.560586636</v>
      </c>
      <c r="J39">
        <v>24.615614558653608</v>
      </c>
      <c r="K39" t="s">
        <v>149</v>
      </c>
      <c r="L39">
        <v>4.7797003866114736</v>
      </c>
    </row>
    <row r="40" spans="1:12" x14ac:dyDescent="0.3">
      <c r="A40">
        <v>3203056</v>
      </c>
      <c r="B40" t="s">
        <v>53</v>
      </c>
      <c r="C40">
        <v>2025</v>
      </c>
      <c r="D40">
        <v>196844270</v>
      </c>
      <c r="E40">
        <v>72701011</v>
      </c>
      <c r="F40">
        <v>62453677.460000001</v>
      </c>
      <c r="G40">
        <v>0.3172745514004548</v>
      </c>
      <c r="H40" t="s">
        <v>152</v>
      </c>
      <c r="I40">
        <v>6737288.0609607967</v>
      </c>
      <c r="J40">
        <v>10.787656283772655</v>
      </c>
      <c r="K40" t="s">
        <v>149</v>
      </c>
      <c r="L40">
        <v>3.4226488080962665</v>
      </c>
    </row>
    <row r="41" spans="1:12" x14ac:dyDescent="0.3">
      <c r="A41">
        <v>3203106</v>
      </c>
      <c r="B41" t="s">
        <v>54</v>
      </c>
      <c r="C41">
        <v>2025</v>
      </c>
      <c r="D41">
        <v>70000000</v>
      </c>
      <c r="E41">
        <v>21458700</v>
      </c>
      <c r="F41">
        <v>12162765.360000001</v>
      </c>
      <c r="G41">
        <v>0.17375379085714288</v>
      </c>
      <c r="H41" t="s">
        <v>151</v>
      </c>
      <c r="I41">
        <v>5612408.6617742591</v>
      </c>
      <c r="J41">
        <v>46.144182639845468</v>
      </c>
      <c r="K41" t="s">
        <v>150</v>
      </c>
      <c r="L41">
        <v>8.0177266596775123</v>
      </c>
    </row>
    <row r="42" spans="1:12" x14ac:dyDescent="0.3">
      <c r="A42">
        <v>3203130</v>
      </c>
      <c r="B42" t="s">
        <v>129</v>
      </c>
      <c r="C42">
        <v>2025</v>
      </c>
      <c r="D42">
        <v>152022456</v>
      </c>
      <c r="E42">
        <v>30384199.600000001</v>
      </c>
      <c r="F42">
        <v>21177648.629999999</v>
      </c>
      <c r="G42">
        <v>0.13930605508701951</v>
      </c>
      <c r="H42" t="s">
        <v>151</v>
      </c>
      <c r="I42">
        <v>5706344.7619359102</v>
      </c>
      <c r="J42">
        <v>26.945129091680041</v>
      </c>
      <c r="K42" t="s">
        <v>149</v>
      </c>
      <c r="L42">
        <v>3.7536196375724322</v>
      </c>
    </row>
    <row r="43" spans="1:12" x14ac:dyDescent="0.3">
      <c r="A43">
        <v>3203163</v>
      </c>
      <c r="B43" t="s">
        <v>56</v>
      </c>
      <c r="C43">
        <v>2025</v>
      </c>
      <c r="D43">
        <v>98841284.409999996</v>
      </c>
      <c r="E43">
        <v>30043786.75</v>
      </c>
      <c r="F43">
        <v>24096806.520000003</v>
      </c>
      <c r="G43">
        <v>0.24379293190935178</v>
      </c>
      <c r="H43" t="s">
        <v>151</v>
      </c>
      <c r="I43">
        <v>8666294.2886317056</v>
      </c>
      <c r="J43">
        <v>35.964492977269849</v>
      </c>
      <c r="K43" t="s">
        <v>150</v>
      </c>
      <c r="L43">
        <v>8.7678891875619094</v>
      </c>
    </row>
    <row r="44" spans="1:12" x14ac:dyDescent="0.3">
      <c r="A44">
        <v>3203205</v>
      </c>
      <c r="B44" t="s">
        <v>57</v>
      </c>
      <c r="C44">
        <v>2025</v>
      </c>
      <c r="D44">
        <v>1099869885.78</v>
      </c>
      <c r="E44">
        <v>313643136.07999998</v>
      </c>
      <c r="F44">
        <v>249591953.11000001</v>
      </c>
      <c r="G44">
        <v>0.22692861795465533</v>
      </c>
      <c r="H44" t="s">
        <v>151</v>
      </c>
      <c r="I44">
        <v>6462528.0353212524</v>
      </c>
      <c r="J44">
        <v>2.5892373350967333</v>
      </c>
      <c r="K44" t="s">
        <v>146</v>
      </c>
      <c r="L44">
        <v>0.58757205001009649</v>
      </c>
    </row>
    <row r="45" spans="1:12" x14ac:dyDescent="0.3">
      <c r="A45">
        <v>3203304</v>
      </c>
      <c r="B45" t="s">
        <v>58</v>
      </c>
      <c r="C45">
        <v>2025</v>
      </c>
      <c r="D45">
        <v>84650000</v>
      </c>
      <c r="E45">
        <v>23897200</v>
      </c>
      <c r="F45">
        <v>17674140.780000001</v>
      </c>
      <c r="G45">
        <v>0.20879079480212642</v>
      </c>
      <c r="H45" t="s">
        <v>151</v>
      </c>
      <c r="I45">
        <v>8981819.1729637291</v>
      </c>
      <c r="J45">
        <v>50.81898625096121</v>
      </c>
      <c r="K45" t="s">
        <v>147</v>
      </c>
      <c r="L45">
        <v>10.610536530376526</v>
      </c>
    </row>
    <row r="46" spans="1:12" x14ac:dyDescent="0.3">
      <c r="A46">
        <v>3203320</v>
      </c>
      <c r="B46" t="s">
        <v>59</v>
      </c>
      <c r="C46">
        <v>2025</v>
      </c>
      <c r="D46">
        <v>424770000</v>
      </c>
      <c r="F46">
        <v>32952563.32</v>
      </c>
      <c r="G46">
        <v>7.757742618358171E-2</v>
      </c>
      <c r="H46" t="s">
        <v>146</v>
      </c>
      <c r="I46">
        <v>8874318.0316050109</v>
      </c>
      <c r="J46">
        <v>26.930584869611323</v>
      </c>
      <c r="K46" t="s">
        <v>149</v>
      </c>
      <c r="L46">
        <v>2.0892054598029546</v>
      </c>
    </row>
    <row r="47" spans="1:12" x14ac:dyDescent="0.3">
      <c r="A47">
        <v>3203346</v>
      </c>
      <c r="B47" t="s">
        <v>60</v>
      </c>
      <c r="C47">
        <v>2025</v>
      </c>
      <c r="D47">
        <v>116257000</v>
      </c>
      <c r="F47">
        <v>31259834.400000006</v>
      </c>
      <c r="G47">
        <v>0.26888561032884045</v>
      </c>
      <c r="H47" t="s">
        <v>151</v>
      </c>
      <c r="I47">
        <v>6832248.0677991761</v>
      </c>
      <c r="J47">
        <v>21.856315616947654</v>
      </c>
      <c r="K47" t="s">
        <v>149</v>
      </c>
      <c r="L47">
        <v>5.8768487642027374</v>
      </c>
    </row>
    <row r="48" spans="1:12" x14ac:dyDescent="0.3">
      <c r="A48">
        <v>3203353</v>
      </c>
      <c r="B48" t="s">
        <v>61</v>
      </c>
      <c r="C48">
        <v>2025</v>
      </c>
      <c r="D48">
        <v>83104000</v>
      </c>
      <c r="E48">
        <v>31697160</v>
      </c>
      <c r="F48">
        <v>28434467.169999998</v>
      </c>
      <c r="G48">
        <v>0.34215521719772812</v>
      </c>
      <c r="H48" t="s">
        <v>152</v>
      </c>
      <c r="I48">
        <v>7314716.8345679231</v>
      </c>
      <c r="J48">
        <v>25.724824702484213</v>
      </c>
      <c r="K48" t="s">
        <v>149</v>
      </c>
      <c r="L48">
        <v>8.8018829834519661</v>
      </c>
    </row>
    <row r="49" spans="1:12" x14ac:dyDescent="0.3">
      <c r="A49">
        <v>3203403</v>
      </c>
      <c r="B49" t="s">
        <v>62</v>
      </c>
      <c r="C49">
        <v>2025</v>
      </c>
      <c r="D49">
        <v>116500000</v>
      </c>
      <c r="E49">
        <v>25941440</v>
      </c>
      <c r="F49">
        <v>26415289.52</v>
      </c>
      <c r="G49">
        <v>0.22674068257510729</v>
      </c>
      <c r="H49" t="s">
        <v>151</v>
      </c>
      <c r="I49">
        <v>7804782.6540968046</v>
      </c>
      <c r="J49">
        <v>29.546458872568909</v>
      </c>
      <c r="K49" t="s">
        <v>149</v>
      </c>
      <c r="L49">
        <v>6.6993842524436094</v>
      </c>
    </row>
    <row r="50" spans="1:12" x14ac:dyDescent="0.3">
      <c r="A50">
        <v>3203502</v>
      </c>
      <c r="B50" t="s">
        <v>63</v>
      </c>
      <c r="C50">
        <v>2025</v>
      </c>
      <c r="D50">
        <v>117000000</v>
      </c>
      <c r="E50">
        <v>35699200</v>
      </c>
      <c r="F50">
        <v>29007179.109999999</v>
      </c>
      <c r="G50">
        <v>0.24792460777777778</v>
      </c>
      <c r="H50" t="s">
        <v>151</v>
      </c>
      <c r="I50">
        <v>6488684.5890409872</v>
      </c>
      <c r="J50">
        <v>22.3692368169784</v>
      </c>
      <c r="K50" t="s">
        <v>149</v>
      </c>
      <c r="L50">
        <v>5.5458842641375963</v>
      </c>
    </row>
    <row r="51" spans="1:12" x14ac:dyDescent="0.3">
      <c r="A51">
        <v>3203601</v>
      </c>
      <c r="B51" t="s">
        <v>64</v>
      </c>
      <c r="C51">
        <v>2025</v>
      </c>
      <c r="D51">
        <v>49091779.799999997</v>
      </c>
      <c r="E51">
        <v>10694000</v>
      </c>
      <c r="F51">
        <v>17231936.579999998</v>
      </c>
      <c r="G51">
        <v>0.35101470450252448</v>
      </c>
      <c r="H51" t="s">
        <v>152</v>
      </c>
      <c r="I51">
        <v>6757905.1053030351</v>
      </c>
      <c r="J51">
        <v>39.217328092690998</v>
      </c>
      <c r="K51" t="s">
        <v>150</v>
      </c>
      <c r="L51">
        <v>13.76585883183448</v>
      </c>
    </row>
    <row r="52" spans="1:12" x14ac:dyDescent="0.3">
      <c r="A52">
        <v>3203700</v>
      </c>
      <c r="B52" t="s">
        <v>65</v>
      </c>
      <c r="C52">
        <v>2025</v>
      </c>
      <c r="D52">
        <v>122000000</v>
      </c>
      <c r="E52">
        <v>39031200</v>
      </c>
      <c r="F52">
        <v>28443974.260000002</v>
      </c>
      <c r="G52">
        <v>0.23314733000000001</v>
      </c>
      <c r="H52" t="s">
        <v>151</v>
      </c>
      <c r="I52">
        <v>7408653.348367488</v>
      </c>
      <c r="J52">
        <v>26.046477474092217</v>
      </c>
      <c r="K52" t="s">
        <v>149</v>
      </c>
      <c r="L52">
        <v>6.0726666789897443</v>
      </c>
    </row>
    <row r="53" spans="1:12" x14ac:dyDescent="0.3">
      <c r="A53">
        <v>3203809</v>
      </c>
      <c r="B53" t="s">
        <v>66</v>
      </c>
      <c r="C53">
        <v>2025</v>
      </c>
      <c r="D53">
        <v>78000000</v>
      </c>
      <c r="E53">
        <v>27676602.449999999</v>
      </c>
      <c r="F53">
        <v>18013866.719999999</v>
      </c>
      <c r="G53">
        <v>0.23094700923076922</v>
      </c>
      <c r="H53" t="s">
        <v>151</v>
      </c>
      <c r="I53">
        <v>8203055.07455655</v>
      </c>
      <c r="J53">
        <v>45.537447356869031</v>
      </c>
      <c r="K53" t="s">
        <v>150</v>
      </c>
      <c r="L53">
        <v>10.516737275072501</v>
      </c>
    </row>
    <row r="54" spans="1:12" x14ac:dyDescent="0.3">
      <c r="A54">
        <v>3203908</v>
      </c>
      <c r="B54" t="s">
        <v>67</v>
      </c>
      <c r="C54">
        <v>2025</v>
      </c>
      <c r="D54">
        <v>345915000</v>
      </c>
      <c r="E54">
        <v>109393831.75</v>
      </c>
      <c r="F54">
        <v>69006359.329999998</v>
      </c>
      <c r="G54">
        <v>0.19948935238425625</v>
      </c>
      <c r="H54" t="s">
        <v>151</v>
      </c>
      <c r="I54">
        <v>7789606.1508304514</v>
      </c>
      <c r="J54">
        <v>11.288243904564284</v>
      </c>
      <c r="K54" t="s">
        <v>149</v>
      </c>
      <c r="L54">
        <v>2.2518844660770569</v>
      </c>
    </row>
    <row r="55" spans="1:12" x14ac:dyDescent="0.3">
      <c r="A55">
        <v>3204005</v>
      </c>
      <c r="B55" t="s">
        <v>68</v>
      </c>
      <c r="C55">
        <v>2025</v>
      </c>
      <c r="D55">
        <v>80233071.599999994</v>
      </c>
      <c r="E55">
        <v>28833309.780000001</v>
      </c>
      <c r="F55">
        <v>24502523.98</v>
      </c>
      <c r="G55">
        <v>0.30539182274058674</v>
      </c>
      <c r="H55" t="s">
        <v>152</v>
      </c>
      <c r="I55">
        <v>7756630.303783102</v>
      </c>
      <c r="J55">
        <v>31.656454290645293</v>
      </c>
      <c r="K55" t="s">
        <v>150</v>
      </c>
      <c r="L55">
        <v>9.6676222773242344</v>
      </c>
    </row>
    <row r="56" spans="1:12" x14ac:dyDescent="0.3">
      <c r="A56">
        <v>3204054</v>
      </c>
      <c r="B56" t="s">
        <v>69</v>
      </c>
      <c r="C56">
        <v>2025</v>
      </c>
      <c r="D56">
        <v>126440407.05</v>
      </c>
      <c r="E56">
        <v>35776498.219999999</v>
      </c>
      <c r="F56">
        <v>18808090.550000001</v>
      </c>
      <c r="G56">
        <v>0.14875063271951086</v>
      </c>
      <c r="H56" t="s">
        <v>151</v>
      </c>
      <c r="I56">
        <v>6084358.1894447897</v>
      </c>
      <c r="J56">
        <v>32.349685755020943</v>
      </c>
      <c r="K56" t="s">
        <v>150</v>
      </c>
      <c r="L56">
        <v>4.8120362243367119</v>
      </c>
    </row>
    <row r="57" spans="1:12" x14ac:dyDescent="0.3">
      <c r="A57">
        <v>3204104</v>
      </c>
      <c r="B57" t="s">
        <v>70</v>
      </c>
      <c r="C57">
        <v>2025</v>
      </c>
      <c r="D57">
        <v>140000000</v>
      </c>
      <c r="E57">
        <v>48499886.460000001</v>
      </c>
      <c r="F57">
        <v>42523111.369999997</v>
      </c>
      <c r="G57">
        <v>0.30373650978571426</v>
      </c>
      <c r="H57" t="s">
        <v>152</v>
      </c>
      <c r="I57">
        <v>7717479.5926446281</v>
      </c>
      <c r="J57">
        <v>18.148906192431866</v>
      </c>
      <c r="K57" t="s">
        <v>149</v>
      </c>
      <c r="L57">
        <v>5.5124854233175915</v>
      </c>
    </row>
    <row r="58" spans="1:12" x14ac:dyDescent="0.3">
      <c r="A58">
        <v>3204203</v>
      </c>
      <c r="B58" t="s">
        <v>71</v>
      </c>
      <c r="C58">
        <v>2025</v>
      </c>
      <c r="D58">
        <v>162000000</v>
      </c>
      <c r="E58">
        <v>57725000</v>
      </c>
      <c r="F58">
        <v>20539764.800000001</v>
      </c>
      <c r="G58">
        <v>0.12678867160493829</v>
      </c>
      <c r="H58" t="s">
        <v>151</v>
      </c>
      <c r="I58">
        <v>5503699.449735268</v>
      </c>
      <c r="J58">
        <v>26.795338229653282</v>
      </c>
      <c r="K58" t="s">
        <v>149</v>
      </c>
      <c r="L58">
        <v>3.3973453393427584</v>
      </c>
    </row>
    <row r="59" spans="1:12" x14ac:dyDescent="0.3">
      <c r="A59">
        <v>3204252</v>
      </c>
      <c r="B59" t="s">
        <v>72</v>
      </c>
      <c r="C59">
        <v>2025</v>
      </c>
      <c r="D59">
        <v>48429826.189999998</v>
      </c>
      <c r="E59">
        <v>13312900</v>
      </c>
      <c r="F59">
        <v>15197350.870000001</v>
      </c>
      <c r="G59">
        <v>0.3138014745371524</v>
      </c>
      <c r="H59" t="s">
        <v>152</v>
      </c>
      <c r="I59">
        <v>7992676.6771169361</v>
      </c>
      <c r="J59">
        <v>52.592565279878514</v>
      </c>
      <c r="K59" t="s">
        <v>147</v>
      </c>
      <c r="L59">
        <v>16.503624534517325</v>
      </c>
    </row>
    <row r="60" spans="1:12" x14ac:dyDescent="0.3">
      <c r="A60">
        <v>3204302</v>
      </c>
      <c r="B60" t="s">
        <v>73</v>
      </c>
      <c r="C60">
        <v>2025</v>
      </c>
      <c r="D60">
        <v>517000000</v>
      </c>
      <c r="E60">
        <v>121373000</v>
      </c>
      <c r="F60">
        <v>22021308.48</v>
      </c>
      <c r="G60">
        <v>4.2594407117988398E-2</v>
      </c>
      <c r="H60" t="s">
        <v>146</v>
      </c>
      <c r="I60">
        <v>7755172.7616281863</v>
      </c>
      <c r="J60">
        <v>35.216675560725747</v>
      </c>
      <c r="K60" t="s">
        <v>150</v>
      </c>
      <c r="L60">
        <v>1.5000334161756648</v>
      </c>
    </row>
    <row r="61" spans="1:12" x14ac:dyDescent="0.3">
      <c r="A61">
        <v>3204351</v>
      </c>
      <c r="B61" t="s">
        <v>74</v>
      </c>
      <c r="C61">
        <v>2025</v>
      </c>
      <c r="D61">
        <v>203296740</v>
      </c>
      <c r="E61">
        <v>64782690</v>
      </c>
      <c r="F61">
        <v>49678107.270000003</v>
      </c>
      <c r="G61">
        <v>0.24436253758914186</v>
      </c>
      <c r="H61" t="s">
        <v>151</v>
      </c>
      <c r="I61">
        <v>5571638.5185087482</v>
      </c>
      <c r="J61">
        <v>11.21548067084551</v>
      </c>
      <c r="K61" t="s">
        <v>149</v>
      </c>
      <c r="L61">
        <v>2.7406433170097801</v>
      </c>
    </row>
    <row r="62" spans="1:12" x14ac:dyDescent="0.3">
      <c r="A62">
        <v>3204401</v>
      </c>
      <c r="B62" t="s">
        <v>75</v>
      </c>
      <c r="C62">
        <v>2025</v>
      </c>
      <c r="D62">
        <v>64000000</v>
      </c>
      <c r="E62">
        <v>15711750</v>
      </c>
      <c r="F62">
        <v>17563302.920000002</v>
      </c>
      <c r="G62">
        <v>0.27442660812500003</v>
      </c>
      <c r="H62" t="s">
        <v>151</v>
      </c>
      <c r="I62">
        <v>7861752.6605976317</v>
      </c>
      <c r="J62">
        <v>44.762381520193188</v>
      </c>
      <c r="K62" t="s">
        <v>150</v>
      </c>
      <c r="L62">
        <v>12.2839885321838</v>
      </c>
    </row>
    <row r="63" spans="1:12" x14ac:dyDescent="0.3">
      <c r="A63">
        <v>3204500</v>
      </c>
      <c r="B63" t="s">
        <v>76</v>
      </c>
      <c r="C63">
        <v>2025</v>
      </c>
      <c r="D63">
        <v>94126204.569999993</v>
      </c>
      <c r="E63">
        <v>30582032.149999999</v>
      </c>
      <c r="F63">
        <v>29175157.030000001</v>
      </c>
      <c r="G63">
        <v>0.30995786097274275</v>
      </c>
      <c r="H63" t="s">
        <v>152</v>
      </c>
      <c r="I63">
        <v>7710601.4196571885</v>
      </c>
      <c r="J63">
        <v>26.428654391572227</v>
      </c>
      <c r="K63" t="s">
        <v>149</v>
      </c>
      <c r="L63">
        <v>8.1917691835996109</v>
      </c>
    </row>
    <row r="64" spans="1:12" x14ac:dyDescent="0.3">
      <c r="A64">
        <v>3204559</v>
      </c>
      <c r="B64" t="s">
        <v>77</v>
      </c>
      <c r="C64">
        <v>2025</v>
      </c>
      <c r="D64">
        <v>328404484.38999999</v>
      </c>
      <c r="E64">
        <v>84098379.810000002</v>
      </c>
      <c r="F64">
        <v>123422599.38</v>
      </c>
      <c r="G64">
        <v>0.37582495138351479</v>
      </c>
      <c r="H64" t="s">
        <v>152</v>
      </c>
      <c r="I64">
        <v>8389466.1532584131</v>
      </c>
      <c r="J64">
        <v>6.7973500764057668</v>
      </c>
      <c r="K64" t="s">
        <v>146</v>
      </c>
      <c r="L64">
        <v>2.554613762001928</v>
      </c>
    </row>
    <row r="65" spans="1:12" x14ac:dyDescent="0.3">
      <c r="A65">
        <v>3204609</v>
      </c>
      <c r="B65" t="s">
        <v>78</v>
      </c>
      <c r="C65">
        <v>2025</v>
      </c>
      <c r="D65">
        <v>159486600</v>
      </c>
      <c r="E65">
        <v>45293997.659999996</v>
      </c>
      <c r="F65">
        <v>37166436.700000003</v>
      </c>
      <c r="G65">
        <v>0.23303799002549433</v>
      </c>
      <c r="H65" t="s">
        <v>151</v>
      </c>
      <c r="I65">
        <v>8123658.869539232</v>
      </c>
      <c r="J65">
        <v>21.85751336645956</v>
      </c>
      <c r="K65" t="s">
        <v>149</v>
      </c>
      <c r="L65">
        <v>5.0936309818751111</v>
      </c>
    </row>
    <row r="66" spans="1:12" x14ac:dyDescent="0.3">
      <c r="A66">
        <v>3204658</v>
      </c>
      <c r="B66" t="s">
        <v>130</v>
      </c>
      <c r="C66">
        <v>2025</v>
      </c>
      <c r="D66">
        <v>83800000</v>
      </c>
      <c r="E66">
        <v>31139554.199999999</v>
      </c>
      <c r="F66">
        <v>23708136.400000002</v>
      </c>
      <c r="G66">
        <v>0.28291332219570409</v>
      </c>
      <c r="H66" t="s">
        <v>151</v>
      </c>
      <c r="I66">
        <v>7696731.0402706079</v>
      </c>
      <c r="J66">
        <v>32.46451307016526</v>
      </c>
      <c r="K66" t="s">
        <v>150</v>
      </c>
      <c r="L66">
        <v>9.1846432461463099</v>
      </c>
    </row>
    <row r="67" spans="1:12" x14ac:dyDescent="0.3">
      <c r="A67">
        <v>3204708</v>
      </c>
      <c r="B67" t="s">
        <v>131</v>
      </c>
      <c r="C67">
        <v>2025</v>
      </c>
      <c r="D67">
        <v>269662475.63999999</v>
      </c>
      <c r="E67">
        <v>53742535.5</v>
      </c>
      <c r="F67">
        <v>40732657.789999992</v>
      </c>
      <c r="G67">
        <v>0.15105052229950666</v>
      </c>
      <c r="H67" t="s">
        <v>151</v>
      </c>
      <c r="I67">
        <v>5046211.6900313124</v>
      </c>
      <c r="J67">
        <v>12.388613863714474</v>
      </c>
      <c r="K67" t="s">
        <v>149</v>
      </c>
      <c r="L67">
        <v>1.8713065946809806</v>
      </c>
    </row>
    <row r="68" spans="1:12" x14ac:dyDescent="0.3">
      <c r="A68">
        <v>3204807</v>
      </c>
      <c r="B68" t="s">
        <v>132</v>
      </c>
      <c r="C68">
        <v>2025</v>
      </c>
      <c r="D68">
        <v>56534005.920000002</v>
      </c>
      <c r="E68">
        <v>10927347.41</v>
      </c>
      <c r="F68">
        <v>16099134.26</v>
      </c>
      <c r="G68">
        <v>0.28476903410633103</v>
      </c>
      <c r="H68" t="s">
        <v>151</v>
      </c>
      <c r="I68">
        <v>7436352.1471598353</v>
      </c>
      <c r="J68">
        <v>46.191006466951691</v>
      </c>
      <c r="K68" t="s">
        <v>150</v>
      </c>
      <c r="L68">
        <v>13.153768295993123</v>
      </c>
    </row>
    <row r="69" spans="1:12" x14ac:dyDescent="0.3">
      <c r="A69">
        <v>3204906</v>
      </c>
      <c r="B69" t="s">
        <v>133</v>
      </c>
      <c r="C69">
        <v>2025</v>
      </c>
      <c r="D69">
        <v>611303000</v>
      </c>
      <c r="E69">
        <v>212355000</v>
      </c>
      <c r="F69">
        <v>112520782.84999999</v>
      </c>
      <c r="G69">
        <v>0.18406712031513012</v>
      </c>
      <c r="H69" t="s">
        <v>151</v>
      </c>
      <c r="I69">
        <v>7650028.4664151184</v>
      </c>
      <c r="J69">
        <v>6.7987693230087753</v>
      </c>
      <c r="K69" t="s">
        <v>146</v>
      </c>
      <c r="L69">
        <v>1.2514298909730719</v>
      </c>
    </row>
    <row r="70" spans="1:12" x14ac:dyDescent="0.3">
      <c r="A70">
        <v>3204955</v>
      </c>
      <c r="B70" t="s">
        <v>134</v>
      </c>
      <c r="C70">
        <v>2025</v>
      </c>
      <c r="D70">
        <v>72663395.409999996</v>
      </c>
      <c r="E70">
        <v>22084478.079999998</v>
      </c>
      <c r="F70">
        <v>16895652.920000002</v>
      </c>
      <c r="G70">
        <v>0.23251945253407202</v>
      </c>
      <c r="H70" t="s">
        <v>151</v>
      </c>
      <c r="I70">
        <v>5706153.9011013182</v>
      </c>
      <c r="J70">
        <v>33.772911459057823</v>
      </c>
      <c r="K70" t="s">
        <v>150</v>
      </c>
      <c r="L70">
        <v>7.8528588829418124</v>
      </c>
    </row>
    <row r="71" spans="1:12" x14ac:dyDescent="0.3">
      <c r="A71">
        <v>3205002</v>
      </c>
      <c r="B71" t="s">
        <v>84</v>
      </c>
      <c r="C71">
        <v>2025</v>
      </c>
      <c r="D71">
        <v>3261389550</v>
      </c>
      <c r="E71">
        <v>962072927</v>
      </c>
      <c r="F71">
        <v>819541953.51000011</v>
      </c>
      <c r="G71">
        <v>0.25128612848777909</v>
      </c>
      <c r="H71" t="s">
        <v>151</v>
      </c>
      <c r="I71">
        <v>6251003.259206729</v>
      </c>
      <c r="J71">
        <v>0.76274353404782147</v>
      </c>
      <c r="K71" t="s">
        <v>146</v>
      </c>
      <c r="L71">
        <v>0.1916668696999636</v>
      </c>
    </row>
    <row r="72" spans="1:12" x14ac:dyDescent="0.3">
      <c r="A72">
        <v>3205010</v>
      </c>
      <c r="B72" t="s">
        <v>85</v>
      </c>
      <c r="C72">
        <v>2025</v>
      </c>
      <c r="D72">
        <v>204812000</v>
      </c>
      <c r="E72">
        <v>84195750</v>
      </c>
      <c r="F72">
        <v>44033765.469999999</v>
      </c>
      <c r="G72">
        <v>0.21499602303575963</v>
      </c>
      <c r="H72" t="s">
        <v>151</v>
      </c>
      <c r="I72">
        <v>6810291.6862486713</v>
      </c>
      <c r="J72">
        <v>15.466067036416614</v>
      </c>
      <c r="K72" t="s">
        <v>149</v>
      </c>
      <c r="L72">
        <v>3.3251429048340291</v>
      </c>
    </row>
    <row r="73" spans="1:12" x14ac:dyDescent="0.3">
      <c r="A73">
        <v>3205036</v>
      </c>
      <c r="B73" t="s">
        <v>86</v>
      </c>
      <c r="C73">
        <v>2025</v>
      </c>
      <c r="D73">
        <v>103000000</v>
      </c>
      <c r="E73">
        <v>29641740.600000001</v>
      </c>
      <c r="F73">
        <v>25743213.750000004</v>
      </c>
      <c r="G73">
        <v>0.24993411407766994</v>
      </c>
      <c r="H73" t="s">
        <v>151</v>
      </c>
      <c r="I73">
        <v>4982779.9084430644</v>
      </c>
      <c r="J73">
        <v>19.355702659474922</v>
      </c>
      <c r="K73" t="s">
        <v>149</v>
      </c>
      <c r="L73">
        <v>4.8376503965466648</v>
      </c>
    </row>
    <row r="74" spans="1:12" x14ac:dyDescent="0.3">
      <c r="A74">
        <v>3205069</v>
      </c>
      <c r="B74" t="s">
        <v>87</v>
      </c>
      <c r="C74">
        <v>2025</v>
      </c>
      <c r="D74">
        <v>131775000</v>
      </c>
      <c r="E74">
        <v>41200800</v>
      </c>
      <c r="F74">
        <v>37726363.25</v>
      </c>
      <c r="G74">
        <v>0.28629378296338454</v>
      </c>
      <c r="H74" t="s">
        <v>151</v>
      </c>
      <c r="I74">
        <v>8415051.2610052843</v>
      </c>
      <c r="J74">
        <v>22.305492859837965</v>
      </c>
      <c r="K74" t="s">
        <v>149</v>
      </c>
      <c r="L74">
        <v>6.3859239317057739</v>
      </c>
    </row>
    <row r="75" spans="1:12" x14ac:dyDescent="0.3">
      <c r="A75">
        <v>3205101</v>
      </c>
      <c r="B75" t="s">
        <v>88</v>
      </c>
      <c r="C75">
        <v>2025</v>
      </c>
      <c r="D75">
        <v>473784035.99000001</v>
      </c>
      <c r="E75">
        <v>152252935.53</v>
      </c>
      <c r="F75">
        <v>189934988.69999999</v>
      </c>
      <c r="G75">
        <v>0.40088938054470219</v>
      </c>
      <c r="H75" t="s">
        <v>152</v>
      </c>
      <c r="I75">
        <v>7349943.1875197254</v>
      </c>
      <c r="J75">
        <v>3.8697152314199847</v>
      </c>
      <c r="K75" t="s">
        <v>146</v>
      </c>
      <c r="L75">
        <v>1.5513277420083564</v>
      </c>
    </row>
    <row r="76" spans="1:12" x14ac:dyDescent="0.3">
      <c r="A76">
        <v>3205150</v>
      </c>
      <c r="B76" t="s">
        <v>135</v>
      </c>
      <c r="C76">
        <v>2025</v>
      </c>
      <c r="D76">
        <v>48876600</v>
      </c>
      <c r="E76">
        <v>13135566.91</v>
      </c>
      <c r="F76">
        <v>20716922.030000001</v>
      </c>
      <c r="G76">
        <v>0.42386176677592141</v>
      </c>
      <c r="H76" t="s">
        <v>152</v>
      </c>
      <c r="I76">
        <v>7651225.1471863948</v>
      </c>
      <c r="J76">
        <v>36.932248603854958</v>
      </c>
      <c r="K76" t="s">
        <v>150</v>
      </c>
      <c r="L76">
        <v>15.654168144237518</v>
      </c>
    </row>
    <row r="77" spans="1:12" x14ac:dyDescent="0.3">
      <c r="A77">
        <v>3205176</v>
      </c>
      <c r="B77" t="s">
        <v>90</v>
      </c>
      <c r="C77">
        <v>2025</v>
      </c>
      <c r="D77">
        <v>157866000</v>
      </c>
      <c r="E77">
        <v>46212800</v>
      </c>
      <c r="F77">
        <v>39414994.229999997</v>
      </c>
      <c r="G77">
        <v>0.24967373741020862</v>
      </c>
      <c r="H77" t="s">
        <v>151</v>
      </c>
      <c r="I77">
        <v>7764796.7021957068</v>
      </c>
      <c r="J77">
        <v>19.700108686774019</v>
      </c>
      <c r="K77" t="s">
        <v>149</v>
      </c>
      <c r="L77">
        <v>4.9185997632141865</v>
      </c>
    </row>
    <row r="78" spans="1:12" x14ac:dyDescent="0.3">
      <c r="A78">
        <v>3205200</v>
      </c>
      <c r="B78" t="s">
        <v>91</v>
      </c>
      <c r="C78">
        <v>2025</v>
      </c>
      <c r="D78">
        <v>2278815278.3899999</v>
      </c>
      <c r="E78">
        <v>639973520.14999998</v>
      </c>
      <c r="F78">
        <v>372683443.25999999</v>
      </c>
      <c r="G78">
        <v>0.16354262971385011</v>
      </c>
      <c r="H78" t="s">
        <v>151</v>
      </c>
      <c r="I78">
        <v>6933921.0001494382</v>
      </c>
      <c r="J78">
        <v>1.860539051452317</v>
      </c>
      <c r="K78" t="s">
        <v>146</v>
      </c>
      <c r="L78">
        <v>0.30427744915982419</v>
      </c>
    </row>
    <row r="79" spans="1:12" x14ac:dyDescent="0.3">
      <c r="A79">
        <v>3205309</v>
      </c>
      <c r="B79" t="s">
        <v>92</v>
      </c>
      <c r="C79">
        <v>2025</v>
      </c>
      <c r="D79">
        <v>3453799664</v>
      </c>
      <c r="E79">
        <v>825273287</v>
      </c>
      <c r="F79">
        <v>613140212.2299999</v>
      </c>
      <c r="G79">
        <v>0.17752628174151097</v>
      </c>
      <c r="H79" t="s">
        <v>151</v>
      </c>
      <c r="I79">
        <v>7300827.8824684406</v>
      </c>
      <c r="J79">
        <v>1.1907272980702444</v>
      </c>
      <c r="K79" t="s">
        <v>146</v>
      </c>
      <c r="L79">
        <v>0.21138538979452634</v>
      </c>
    </row>
  </sheetData>
  <autoFilter ref="A1:L79" xr:uid="{00000000-0009-0000-0000-00000B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0"/>
  <sheetViews>
    <sheetView workbookViewId="0">
      <selection activeCell="E23" sqref="E23"/>
    </sheetView>
  </sheetViews>
  <sheetFormatPr defaultRowHeight="14.4" x14ac:dyDescent="0.3"/>
  <cols>
    <col min="1" max="1" width="25.5546875" bestFit="1" customWidth="1"/>
    <col min="2" max="2" width="17.6640625" style="4" bestFit="1" customWidth="1"/>
  </cols>
  <sheetData>
    <row r="1" spans="1:2" x14ac:dyDescent="0.3">
      <c r="A1" t="s">
        <v>96</v>
      </c>
      <c r="B1" s="4" t="s">
        <v>93</v>
      </c>
    </row>
    <row r="2" spans="1:2" x14ac:dyDescent="0.3">
      <c r="A2" t="s">
        <v>15</v>
      </c>
      <c r="B2" s="4">
        <v>37986667.57</v>
      </c>
    </row>
    <row r="3" spans="1:2" x14ac:dyDescent="0.3">
      <c r="A3" t="s">
        <v>16</v>
      </c>
      <c r="B3" s="4">
        <v>14634017.840000002</v>
      </c>
    </row>
    <row r="4" spans="1:2" x14ac:dyDescent="0.3">
      <c r="A4" t="s">
        <v>17</v>
      </c>
      <c r="B4" s="4">
        <v>23868020.82</v>
      </c>
    </row>
    <row r="5" spans="1:2" x14ac:dyDescent="0.3">
      <c r="A5" t="s">
        <v>18</v>
      </c>
      <c r="B5" s="4">
        <v>24287080.009999998</v>
      </c>
    </row>
    <row r="6" spans="1:2" x14ac:dyDescent="0.3">
      <c r="A6" t="s">
        <v>19</v>
      </c>
      <c r="B6" s="4">
        <v>23767197.749999996</v>
      </c>
    </row>
    <row r="7" spans="1:2" x14ac:dyDescent="0.3">
      <c r="A7" t="s">
        <v>20</v>
      </c>
      <c r="B7" s="4">
        <v>11935103.99</v>
      </c>
    </row>
    <row r="8" spans="1:2" x14ac:dyDescent="0.3">
      <c r="A8" t="s">
        <v>21</v>
      </c>
      <c r="B8" s="4">
        <v>220752352.81000003</v>
      </c>
    </row>
    <row r="9" spans="1:2" x14ac:dyDescent="0.3">
      <c r="A9" t="s">
        <v>22</v>
      </c>
      <c r="B9" s="4">
        <v>9755662.6500000004</v>
      </c>
    </row>
    <row r="10" spans="1:2" x14ac:dyDescent="0.3">
      <c r="A10" t="s">
        <v>23</v>
      </c>
      <c r="B10" s="4">
        <v>196477667.27000001</v>
      </c>
    </row>
    <row r="11" spans="1:2" x14ac:dyDescent="0.3">
      <c r="A11" t="s">
        <v>24</v>
      </c>
      <c r="B11" s="4">
        <v>16814553.010000002</v>
      </c>
    </row>
    <row r="12" spans="1:2" x14ac:dyDescent="0.3">
      <c r="A12" t="s">
        <v>25</v>
      </c>
      <c r="B12" s="4">
        <v>30772919.650000002</v>
      </c>
    </row>
    <row r="13" spans="1:2" x14ac:dyDescent="0.3">
      <c r="A13" t="s">
        <v>26</v>
      </c>
      <c r="B13" s="4">
        <v>45879621.079999991</v>
      </c>
    </row>
    <row r="14" spans="1:2" x14ac:dyDescent="0.3">
      <c r="A14" t="s">
        <v>120</v>
      </c>
      <c r="B14" s="4">
        <v>21741884.519999996</v>
      </c>
    </row>
    <row r="15" spans="1:2" x14ac:dyDescent="0.3">
      <c r="A15" t="s">
        <v>28</v>
      </c>
      <c r="B15" s="4">
        <v>8666465.9000000022</v>
      </c>
    </row>
    <row r="16" spans="1:2" x14ac:dyDescent="0.3">
      <c r="A16" t="s">
        <v>29</v>
      </c>
      <c r="B16" s="4">
        <v>21587528.309999999</v>
      </c>
    </row>
    <row r="17" spans="1:2" x14ac:dyDescent="0.3">
      <c r="A17" t="s">
        <v>121</v>
      </c>
      <c r="B17" s="4">
        <v>143083935.20000002</v>
      </c>
    </row>
    <row r="18" spans="1:2" x14ac:dyDescent="0.3">
      <c r="A18" t="s">
        <v>31</v>
      </c>
      <c r="B18" s="4">
        <v>369586801.63</v>
      </c>
    </row>
    <row r="19" spans="1:2" x14ac:dyDescent="0.3">
      <c r="A19" t="s">
        <v>32</v>
      </c>
      <c r="B19" s="4">
        <v>43022113.170000002</v>
      </c>
    </row>
    <row r="20" spans="1:2" x14ac:dyDescent="0.3">
      <c r="A20" t="s">
        <v>33</v>
      </c>
      <c r="B20" s="4">
        <v>111106094.81000002</v>
      </c>
    </row>
    <row r="21" spans="1:2" x14ac:dyDescent="0.3">
      <c r="A21" s="3" t="s">
        <v>123</v>
      </c>
      <c r="B21" s="4">
        <v>21018988.73</v>
      </c>
    </row>
    <row r="22" spans="1:2" x14ac:dyDescent="0.3">
      <c r="A22" t="s">
        <v>122</v>
      </c>
      <c r="B22" s="4">
        <v>39491733.720000006</v>
      </c>
    </row>
    <row r="23" spans="1:2" x14ac:dyDescent="0.3">
      <c r="A23" t="s">
        <v>124</v>
      </c>
      <c r="B23" s="4">
        <v>9340749.9700000007</v>
      </c>
    </row>
    <row r="24" spans="1:2" x14ac:dyDescent="0.3">
      <c r="A24" t="s">
        <v>37</v>
      </c>
      <c r="B24" s="4">
        <v>62637086.640000008</v>
      </c>
    </row>
    <row r="25" spans="1:2" x14ac:dyDescent="0.3">
      <c r="A25" t="s">
        <v>38</v>
      </c>
      <c r="B25" s="4">
        <v>13388824.57</v>
      </c>
    </row>
    <row r="26" spans="1:2" x14ac:dyDescent="0.3">
      <c r="A26" t="s">
        <v>39</v>
      </c>
      <c r="B26" s="4">
        <v>36324511.049999997</v>
      </c>
    </row>
    <row r="27" spans="1:2" x14ac:dyDescent="0.3">
      <c r="A27" t="s">
        <v>125</v>
      </c>
      <c r="B27" s="4">
        <v>13908023.419999998</v>
      </c>
    </row>
    <row r="28" spans="1:2" x14ac:dyDescent="0.3">
      <c r="A28" t="s">
        <v>41</v>
      </c>
      <c r="B28" s="4">
        <v>25373132.620000005</v>
      </c>
    </row>
    <row r="29" spans="1:2" x14ac:dyDescent="0.3">
      <c r="A29" t="s">
        <v>126</v>
      </c>
      <c r="B29" s="4">
        <v>17488791.619999997</v>
      </c>
    </row>
    <row r="30" spans="1:2" x14ac:dyDescent="0.3">
      <c r="A30" t="s">
        <v>43</v>
      </c>
      <c r="B30" s="4">
        <v>37626062.699999996</v>
      </c>
    </row>
    <row r="31" spans="1:2" x14ac:dyDescent="0.3">
      <c r="A31" t="s">
        <v>44</v>
      </c>
      <c r="B31" s="4">
        <v>17281996.249999996</v>
      </c>
    </row>
    <row r="32" spans="1:2" x14ac:dyDescent="0.3">
      <c r="A32" t="s">
        <v>127</v>
      </c>
      <c r="B32" s="4">
        <v>11779791.02</v>
      </c>
    </row>
    <row r="33" spans="1:2" x14ac:dyDescent="0.3">
      <c r="A33" t="s">
        <v>46</v>
      </c>
      <c r="B33" s="4">
        <v>12143266.629999999</v>
      </c>
    </row>
    <row r="34" spans="1:2" x14ac:dyDescent="0.3">
      <c r="A34" t="s">
        <v>47</v>
      </c>
      <c r="B34" s="4">
        <v>14894437.539999997</v>
      </c>
    </row>
    <row r="35" spans="1:2" x14ac:dyDescent="0.3">
      <c r="A35" t="s">
        <v>48</v>
      </c>
      <c r="B35" s="4">
        <v>14945555.449999999</v>
      </c>
    </row>
    <row r="36" spans="1:2" x14ac:dyDescent="0.3">
      <c r="A36" t="s">
        <v>128</v>
      </c>
      <c r="B36" s="4">
        <v>17538815.930000003</v>
      </c>
    </row>
    <row r="37" spans="1:2" x14ac:dyDescent="0.3">
      <c r="A37" t="s">
        <v>50</v>
      </c>
      <c r="B37" s="4">
        <v>197389632.57000002</v>
      </c>
    </row>
    <row r="38" spans="1:2" x14ac:dyDescent="0.3">
      <c r="A38" t="s">
        <v>51</v>
      </c>
      <c r="B38" s="4">
        <v>18317842.02</v>
      </c>
    </row>
    <row r="39" spans="1:2" x14ac:dyDescent="0.3">
      <c r="A39" t="s">
        <v>52</v>
      </c>
      <c r="B39" s="4">
        <v>24338835.969999999</v>
      </c>
    </row>
    <row r="40" spans="1:2" x14ac:dyDescent="0.3">
      <c r="A40" t="s">
        <v>53</v>
      </c>
      <c r="B40" s="4">
        <v>55723347.489999995</v>
      </c>
    </row>
    <row r="41" spans="1:2" x14ac:dyDescent="0.3">
      <c r="A41" t="s">
        <v>54</v>
      </c>
      <c r="B41" s="4">
        <v>10430812.390000001</v>
      </c>
    </row>
    <row r="42" spans="1:2" x14ac:dyDescent="0.3">
      <c r="A42" t="s">
        <v>129</v>
      </c>
      <c r="B42" s="4">
        <v>19873889.48</v>
      </c>
    </row>
    <row r="43" spans="1:2" x14ac:dyDescent="0.3">
      <c r="A43" t="s">
        <v>56</v>
      </c>
      <c r="B43" s="4">
        <v>19563308.829999998</v>
      </c>
    </row>
    <row r="44" spans="1:2" x14ac:dyDescent="0.3">
      <c r="A44" t="s">
        <v>57</v>
      </c>
      <c r="B44" s="4">
        <v>241315346.22000003</v>
      </c>
    </row>
    <row r="45" spans="1:2" x14ac:dyDescent="0.3">
      <c r="A45" t="s">
        <v>58</v>
      </c>
      <c r="B45" s="4">
        <v>12974322.050000001</v>
      </c>
    </row>
    <row r="46" spans="1:2" x14ac:dyDescent="0.3">
      <c r="A46" t="s">
        <v>59</v>
      </c>
      <c r="B46" s="4">
        <v>31967724.219999999</v>
      </c>
    </row>
    <row r="47" spans="1:2" x14ac:dyDescent="0.3">
      <c r="A47" t="s">
        <v>60</v>
      </c>
      <c r="B47" s="4">
        <v>29425080.500000004</v>
      </c>
    </row>
    <row r="48" spans="1:2" x14ac:dyDescent="0.3">
      <c r="A48" t="s">
        <v>61</v>
      </c>
      <c r="B48" s="4">
        <v>23869479.02</v>
      </c>
    </row>
    <row r="49" spans="1:2" x14ac:dyDescent="0.3">
      <c r="A49" t="s">
        <v>62</v>
      </c>
      <c r="B49" s="4">
        <v>24649872.330000002</v>
      </c>
    </row>
    <row r="50" spans="1:2" x14ac:dyDescent="0.3">
      <c r="A50" t="s">
        <v>63</v>
      </c>
      <c r="B50" s="4">
        <v>27398946.969999995</v>
      </c>
    </row>
    <row r="51" spans="1:2" x14ac:dyDescent="0.3">
      <c r="A51" t="s">
        <v>64</v>
      </c>
      <c r="B51" s="4">
        <v>15204061.219999997</v>
      </c>
    </row>
    <row r="52" spans="1:2" x14ac:dyDescent="0.3">
      <c r="A52" t="s">
        <v>65</v>
      </c>
      <c r="B52" s="4">
        <v>26881616.579999998</v>
      </c>
    </row>
    <row r="53" spans="1:2" x14ac:dyDescent="0.3">
      <c r="A53" t="s">
        <v>66</v>
      </c>
      <c r="B53" s="4">
        <v>13855948.549999999</v>
      </c>
    </row>
    <row r="54" spans="1:2" x14ac:dyDescent="0.3">
      <c r="A54" t="s">
        <v>67</v>
      </c>
      <c r="B54" s="4">
        <v>67927438.159999996</v>
      </c>
    </row>
    <row r="55" spans="1:2" x14ac:dyDescent="0.3">
      <c r="A55" t="s">
        <v>68</v>
      </c>
      <c r="B55" s="4">
        <v>23558397.129999995</v>
      </c>
    </row>
    <row r="56" spans="1:2" x14ac:dyDescent="0.3">
      <c r="A56" t="s">
        <v>69</v>
      </c>
      <c r="B56" s="4">
        <v>16397635.439999999</v>
      </c>
    </row>
    <row r="57" spans="1:2" x14ac:dyDescent="0.3">
      <c r="A57" t="s">
        <v>70</v>
      </c>
      <c r="B57" s="4">
        <v>39540755.450000003</v>
      </c>
    </row>
    <row r="58" spans="1:2" x14ac:dyDescent="0.3">
      <c r="A58" t="s">
        <v>71</v>
      </c>
      <c r="B58" s="4">
        <v>13486685.65</v>
      </c>
    </row>
    <row r="59" spans="1:2" x14ac:dyDescent="0.3">
      <c r="A59" t="s">
        <v>72</v>
      </c>
      <c r="B59" s="4">
        <v>11104777.76</v>
      </c>
    </row>
    <row r="60" spans="1:2" x14ac:dyDescent="0.3">
      <c r="A60" t="s">
        <v>73</v>
      </c>
      <c r="B60" s="4">
        <v>20286751.360000003</v>
      </c>
    </row>
    <row r="61" spans="1:2" x14ac:dyDescent="0.3">
      <c r="A61" t="s">
        <v>74</v>
      </c>
      <c r="B61" s="4">
        <v>46856739.150000006</v>
      </c>
    </row>
    <row r="62" spans="1:2" x14ac:dyDescent="0.3">
      <c r="A62" t="s">
        <v>75</v>
      </c>
      <c r="B62" s="4">
        <v>13439760.09</v>
      </c>
    </row>
    <row r="63" spans="1:2" x14ac:dyDescent="0.3">
      <c r="A63" t="s">
        <v>76</v>
      </c>
      <c r="B63" s="4">
        <v>27244499.820000004</v>
      </c>
    </row>
    <row r="64" spans="1:2" x14ac:dyDescent="0.3">
      <c r="A64" t="s">
        <v>77</v>
      </c>
      <c r="B64" s="4">
        <v>121423780.55</v>
      </c>
    </row>
    <row r="65" spans="1:2" x14ac:dyDescent="0.3">
      <c r="A65" t="s">
        <v>78</v>
      </c>
      <c r="B65" s="4">
        <v>32641416.009999998</v>
      </c>
    </row>
    <row r="66" spans="1:2" x14ac:dyDescent="0.3">
      <c r="A66" t="s">
        <v>130</v>
      </c>
      <c r="B66" s="4">
        <v>20965455.670000002</v>
      </c>
    </row>
    <row r="67" spans="1:2" x14ac:dyDescent="0.3">
      <c r="A67" t="s">
        <v>131</v>
      </c>
      <c r="B67" s="4">
        <v>41620102.969999999</v>
      </c>
    </row>
    <row r="68" spans="1:2" x14ac:dyDescent="0.3">
      <c r="A68" t="s">
        <v>132</v>
      </c>
      <c r="B68" s="4">
        <v>12142491.969999999</v>
      </c>
    </row>
    <row r="69" spans="1:2" x14ac:dyDescent="0.3">
      <c r="A69" t="s">
        <v>133</v>
      </c>
      <c r="B69" s="4">
        <v>101291932.17999999</v>
      </c>
    </row>
    <row r="70" spans="1:2" x14ac:dyDescent="0.3">
      <c r="A70" t="s">
        <v>134</v>
      </c>
      <c r="B70" s="4">
        <v>15412770.66</v>
      </c>
    </row>
    <row r="71" spans="1:2" x14ac:dyDescent="0.3">
      <c r="A71" t="s">
        <v>84</v>
      </c>
      <c r="B71" s="4">
        <v>762292308.56999993</v>
      </c>
    </row>
    <row r="72" spans="1:2" x14ac:dyDescent="0.3">
      <c r="A72" t="s">
        <v>85</v>
      </c>
      <c r="B72" s="4">
        <v>37777502.480000004</v>
      </c>
    </row>
    <row r="73" spans="1:2" x14ac:dyDescent="0.3">
      <c r="A73" t="s">
        <v>86</v>
      </c>
      <c r="B73" s="4">
        <v>25220006.859999999</v>
      </c>
    </row>
    <row r="74" spans="1:2" x14ac:dyDescent="0.3">
      <c r="A74" t="s">
        <v>87</v>
      </c>
      <c r="B74" s="4">
        <v>32124586.609999996</v>
      </c>
    </row>
    <row r="75" spans="1:2" x14ac:dyDescent="0.3">
      <c r="A75" t="s">
        <v>88</v>
      </c>
      <c r="B75" s="4">
        <v>146500139.89000002</v>
      </c>
    </row>
    <row r="76" spans="1:2" x14ac:dyDescent="0.3">
      <c r="A76" t="s">
        <v>135</v>
      </c>
      <c r="B76" s="4">
        <v>16242641.32</v>
      </c>
    </row>
    <row r="77" spans="1:2" x14ac:dyDescent="0.3">
      <c r="A77" t="s">
        <v>90</v>
      </c>
      <c r="B77" s="4">
        <v>33367592.729999997</v>
      </c>
    </row>
    <row r="78" spans="1:2" x14ac:dyDescent="0.3">
      <c r="A78" t="s">
        <v>91</v>
      </c>
      <c r="B78" s="4">
        <v>257909888.79999998</v>
      </c>
    </row>
    <row r="79" spans="1:2" x14ac:dyDescent="0.3">
      <c r="A79" t="s">
        <v>92</v>
      </c>
      <c r="B79" s="4">
        <v>718391348.79000008</v>
      </c>
    </row>
    <row r="80" spans="1:2" x14ac:dyDescent="0.3">
      <c r="A80" t="s">
        <v>97</v>
      </c>
      <c r="B80" s="4">
        <v>5189254928.3300009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1"/>
  <sheetViews>
    <sheetView tabSelected="1" workbookViewId="0">
      <selection activeCell="C70" sqref="C1:C1048576"/>
    </sheetView>
  </sheetViews>
  <sheetFormatPr defaultRowHeight="14.4" x14ac:dyDescent="0.3"/>
  <cols>
    <col min="1" max="1" width="25.5546875" style="10" bestFit="1" customWidth="1"/>
    <col min="2" max="2" width="18.77734375" style="19" bestFit="1" customWidth="1"/>
    <col min="3" max="3" width="18.77734375" style="20" bestFit="1" customWidth="1"/>
  </cols>
  <sheetData>
    <row r="1" spans="1:3" ht="43.2" x14ac:dyDescent="0.3">
      <c r="A1" s="10" t="s">
        <v>2</v>
      </c>
      <c r="B1" s="14" t="s">
        <v>154</v>
      </c>
      <c r="C1" s="14" t="s">
        <v>153</v>
      </c>
    </row>
    <row r="2" spans="1:3" x14ac:dyDescent="0.3">
      <c r="A2" s="4" t="s">
        <v>15</v>
      </c>
      <c r="B2" s="15">
        <v>7231229.449976516</v>
      </c>
      <c r="C2" s="18">
        <v>9466804.0036595818</v>
      </c>
    </row>
    <row r="3" spans="1:3" x14ac:dyDescent="0.3">
      <c r="A3" s="4" t="s">
        <v>16</v>
      </c>
      <c r="B3" s="15">
        <v>7756649.9105071016</v>
      </c>
      <c r="C3" s="18">
        <v>9821787.4755318258</v>
      </c>
    </row>
    <row r="4" spans="1:3" x14ac:dyDescent="0.3">
      <c r="A4" s="4" t="s">
        <v>17</v>
      </c>
      <c r="B4" s="15">
        <v>8507620.2265713364</v>
      </c>
      <c r="C4" s="18">
        <v>9804471.4334435333</v>
      </c>
    </row>
    <row r="5" spans="1:3" x14ac:dyDescent="0.3">
      <c r="A5" s="4" t="s">
        <v>18</v>
      </c>
      <c r="B5" s="15">
        <v>5850775.1570943026</v>
      </c>
      <c r="C5" s="18">
        <v>10686906.323225547</v>
      </c>
    </row>
    <row r="6" spans="1:3" x14ac:dyDescent="0.3">
      <c r="A6" s="4" t="s">
        <v>19</v>
      </c>
      <c r="B6" s="15">
        <v>7407327.0390221719</v>
      </c>
      <c r="C6" s="18">
        <v>10130018.961530261</v>
      </c>
    </row>
    <row r="7" spans="1:3" x14ac:dyDescent="0.3">
      <c r="A7" s="4" t="s">
        <v>20</v>
      </c>
      <c r="B7" s="15">
        <v>6906979.4023731519</v>
      </c>
      <c r="C7" s="18">
        <v>9792838.2630165014</v>
      </c>
    </row>
    <row r="8" spans="1:3" x14ac:dyDescent="0.3">
      <c r="A8" s="4" t="s">
        <v>21</v>
      </c>
      <c r="B8" s="15">
        <v>6930275.6558084153</v>
      </c>
      <c r="C8" s="18">
        <v>9302471.9035339225</v>
      </c>
    </row>
    <row r="9" spans="1:3" x14ac:dyDescent="0.3">
      <c r="A9" s="4" t="s">
        <v>22</v>
      </c>
      <c r="B9" s="15">
        <v>7131906.2341863755</v>
      </c>
      <c r="C9" s="18">
        <v>8532972.4399849586</v>
      </c>
    </row>
    <row r="10" spans="1:3" x14ac:dyDescent="0.3">
      <c r="A10" s="4" t="s">
        <v>23</v>
      </c>
      <c r="B10" s="15">
        <v>7142560.2833276335</v>
      </c>
      <c r="C10" s="18">
        <v>8197894.4216062613</v>
      </c>
    </row>
    <row r="11" spans="1:3" x14ac:dyDescent="0.3">
      <c r="A11" s="4" t="s">
        <v>24</v>
      </c>
      <c r="B11" s="15">
        <v>9225916.3328510076</v>
      </c>
      <c r="C11" s="18">
        <v>7001969.2898769388</v>
      </c>
    </row>
    <row r="12" spans="1:3" x14ac:dyDescent="0.3">
      <c r="A12" s="4" t="s">
        <v>25</v>
      </c>
      <c r="B12" s="15">
        <v>6527564.6042719157</v>
      </c>
      <c r="C12" s="18">
        <v>8994743.5050002877</v>
      </c>
    </row>
    <row r="13" spans="1:3" x14ac:dyDescent="0.3">
      <c r="A13" s="4" t="s">
        <v>26</v>
      </c>
      <c r="B13" s="15">
        <v>7624837.5548051922</v>
      </c>
      <c r="C13" s="18">
        <v>9301042.8718353473</v>
      </c>
    </row>
    <row r="14" spans="1:3" x14ac:dyDescent="0.3">
      <c r="A14" s="4" t="s">
        <v>120</v>
      </c>
      <c r="B14" s="15">
        <v>7892864.6013067663</v>
      </c>
      <c r="C14" s="18">
        <v>10209214.336517353</v>
      </c>
    </row>
    <row r="15" spans="1:3" x14ac:dyDescent="0.3">
      <c r="A15" s="4" t="s">
        <v>28</v>
      </c>
      <c r="B15" s="15">
        <v>8007727.256281239</v>
      </c>
      <c r="C15" s="18">
        <v>7406811.3502009762</v>
      </c>
    </row>
    <row r="16" spans="1:3" x14ac:dyDescent="0.3">
      <c r="A16" s="4" t="s">
        <v>29</v>
      </c>
      <c r="B16" s="15">
        <v>5838047.8748601377</v>
      </c>
      <c r="C16" s="18">
        <v>10299024.999643676</v>
      </c>
    </row>
    <row r="17" spans="1:3" x14ac:dyDescent="0.3">
      <c r="A17" s="4" t="s">
        <v>121</v>
      </c>
      <c r="B17" s="15">
        <v>7747299.0290147113</v>
      </c>
      <c r="C17" s="18">
        <v>8948630.7469812687</v>
      </c>
    </row>
    <row r="18" spans="1:3" x14ac:dyDescent="0.3">
      <c r="A18" s="4" t="s">
        <v>31</v>
      </c>
      <c r="B18" s="15">
        <v>6101605.1928506866</v>
      </c>
      <c r="C18" s="18">
        <v>8848681.6743649468</v>
      </c>
    </row>
    <row r="19" spans="1:3" x14ac:dyDescent="0.3">
      <c r="A19" s="4" t="s">
        <v>32</v>
      </c>
      <c r="B19" s="15">
        <v>7566644.6221450344</v>
      </c>
      <c r="C19" s="18">
        <v>9446304.5209042747</v>
      </c>
    </row>
    <row r="20" spans="1:3" x14ac:dyDescent="0.3">
      <c r="A20" s="4" t="s">
        <v>33</v>
      </c>
      <c r="B20" s="15">
        <v>6024119.2730015563</v>
      </c>
      <c r="C20" s="18">
        <v>9242927.6743258256</v>
      </c>
    </row>
    <row r="21" spans="1:3" x14ac:dyDescent="0.3">
      <c r="A21" s="3" t="s">
        <v>122</v>
      </c>
      <c r="B21" s="15">
        <v>7536195.7781435894</v>
      </c>
      <c r="C21" s="18">
        <v>8726700.14067032</v>
      </c>
    </row>
    <row r="22" spans="1:3" x14ac:dyDescent="0.3">
      <c r="A22" s="3" t="s">
        <v>123</v>
      </c>
      <c r="B22" s="15">
        <v>7276833.5060984502</v>
      </c>
      <c r="C22" s="18">
        <v>8320846.2171242097</v>
      </c>
    </row>
    <row r="23" spans="1:3" x14ac:dyDescent="0.3">
      <c r="A23" s="4" t="s">
        <v>124</v>
      </c>
      <c r="B23" s="15">
        <v>5343665.804788366</v>
      </c>
      <c r="C23" s="18">
        <v>12113717.552418988</v>
      </c>
    </row>
    <row r="24" spans="1:3" x14ac:dyDescent="0.3">
      <c r="A24" s="4" t="s">
        <v>37</v>
      </c>
      <c r="B24" s="15">
        <v>7447812.0544229625</v>
      </c>
      <c r="C24" s="18">
        <v>8446316.4026409537</v>
      </c>
    </row>
    <row r="25" spans="1:3" x14ac:dyDescent="0.3">
      <c r="A25" s="4" t="s">
        <v>38</v>
      </c>
      <c r="B25" s="15">
        <v>8619749.5028297678</v>
      </c>
      <c r="C25" s="18">
        <v>9183356.3166093472</v>
      </c>
    </row>
    <row r="26" spans="1:3" x14ac:dyDescent="0.3">
      <c r="A26" s="4" t="s">
        <v>39</v>
      </c>
      <c r="B26" s="15">
        <v>7751956.7727560075</v>
      </c>
      <c r="C26" s="18">
        <v>11245760.891394651</v>
      </c>
    </row>
    <row r="27" spans="1:3" x14ac:dyDescent="0.3">
      <c r="A27" s="4" t="s">
        <v>125</v>
      </c>
      <c r="B27" s="15">
        <v>7636994.2256507492</v>
      </c>
      <c r="C27" s="18">
        <v>9350400.1681485884</v>
      </c>
    </row>
    <row r="28" spans="1:3" x14ac:dyDescent="0.3">
      <c r="A28" s="4" t="s">
        <v>41</v>
      </c>
      <c r="B28" s="15">
        <v>6399934.0811111843</v>
      </c>
      <c r="C28" s="18">
        <v>8528998.4705858063</v>
      </c>
    </row>
    <row r="29" spans="1:3" x14ac:dyDescent="0.3">
      <c r="A29" s="4" t="s">
        <v>126</v>
      </c>
      <c r="B29" s="15">
        <v>7042358.8316944456</v>
      </c>
      <c r="C29" s="18">
        <v>8593306.5802244917</v>
      </c>
    </row>
    <row r="30" spans="1:3" x14ac:dyDescent="0.3">
      <c r="A30" s="4" t="s">
        <v>43</v>
      </c>
      <c r="B30" s="15">
        <v>7655859.2303493917</v>
      </c>
      <c r="C30" s="18">
        <v>8662231.6424973942</v>
      </c>
    </row>
    <row r="31" spans="1:3" x14ac:dyDescent="0.3">
      <c r="A31" s="4" t="s">
        <v>44</v>
      </c>
      <c r="B31" s="15">
        <v>6525820.733643109</v>
      </c>
      <c r="C31" s="18">
        <v>8504363.7751554437</v>
      </c>
    </row>
    <row r="32" spans="1:3" x14ac:dyDescent="0.3">
      <c r="A32" s="4" t="s">
        <v>127</v>
      </c>
      <c r="B32" s="15">
        <v>8159439.2623509038</v>
      </c>
      <c r="C32" s="18">
        <v>8813384.1099223979</v>
      </c>
    </row>
    <row r="33" spans="1:3" x14ac:dyDescent="0.3">
      <c r="A33" s="4" t="s">
        <v>46</v>
      </c>
      <c r="B33" s="15">
        <v>8528655.7820899561</v>
      </c>
      <c r="C33" s="18">
        <v>8375924.1820196733</v>
      </c>
    </row>
    <row r="34" spans="1:3" x14ac:dyDescent="0.3">
      <c r="A34" s="4" t="s">
        <v>47</v>
      </c>
      <c r="B34" s="15">
        <v>6487618.4600124601</v>
      </c>
      <c r="C34" s="18">
        <v>8614305.5106063262</v>
      </c>
    </row>
    <row r="35" spans="1:3" x14ac:dyDescent="0.3">
      <c r="A35" s="4" t="s">
        <v>48</v>
      </c>
      <c r="B35" s="15">
        <v>6695237.9435806032</v>
      </c>
      <c r="C35" s="18">
        <v>10757472.79669445</v>
      </c>
    </row>
    <row r="36" spans="1:3" x14ac:dyDescent="0.3">
      <c r="A36" s="4" t="s">
        <v>128</v>
      </c>
      <c r="B36" s="15">
        <v>7492685.8401765311</v>
      </c>
      <c r="C36" s="18">
        <v>10347543.164841212</v>
      </c>
    </row>
    <row r="37" spans="1:3" x14ac:dyDescent="0.3">
      <c r="A37" s="4" t="s">
        <v>50</v>
      </c>
      <c r="B37" s="15">
        <v>7217833.3308949042</v>
      </c>
      <c r="C37" s="18">
        <v>9674383.082567865</v>
      </c>
    </row>
    <row r="38" spans="1:3" x14ac:dyDescent="0.3">
      <c r="A38" s="4" t="s">
        <v>51</v>
      </c>
      <c r="B38" s="15">
        <v>7930548.5894940011</v>
      </c>
      <c r="C38" s="18">
        <v>7970240.5324859647</v>
      </c>
    </row>
    <row r="39" spans="1:3" x14ac:dyDescent="0.3">
      <c r="A39" s="4" t="s">
        <v>52</v>
      </c>
      <c r="B39" s="15">
        <v>6930565.560586636</v>
      </c>
      <c r="C39" s="18">
        <v>7858580.3511569984</v>
      </c>
    </row>
    <row r="40" spans="1:3" x14ac:dyDescent="0.3">
      <c r="A40" s="4" t="s">
        <v>53</v>
      </c>
      <c r="B40" s="15">
        <v>6737288.0609607967</v>
      </c>
      <c r="C40" s="18">
        <v>8604731.4344636649</v>
      </c>
    </row>
    <row r="41" spans="1:3" x14ac:dyDescent="0.3">
      <c r="A41" s="4" t="s">
        <v>54</v>
      </c>
      <c r="B41" s="15">
        <v>5612408.6617742591</v>
      </c>
      <c r="C41" s="18">
        <v>9357451.9189721867</v>
      </c>
    </row>
    <row r="42" spans="1:3" x14ac:dyDescent="0.3">
      <c r="A42" s="4" t="s">
        <v>129</v>
      </c>
      <c r="B42" s="15">
        <v>5706344.7619359102</v>
      </c>
      <c r="C42" s="18">
        <v>8276703.5918347966</v>
      </c>
    </row>
    <row r="43" spans="1:3" x14ac:dyDescent="0.3">
      <c r="A43" s="4" t="s">
        <v>56</v>
      </c>
      <c r="B43" s="15">
        <v>8666294.2886317056</v>
      </c>
      <c r="C43" s="18">
        <v>9498724.402221879</v>
      </c>
    </row>
    <row r="44" spans="1:3" x14ac:dyDescent="0.3">
      <c r="A44" s="4" t="s">
        <v>57</v>
      </c>
      <c r="B44" s="15">
        <v>6462528.0353212524</v>
      </c>
      <c r="C44" s="18">
        <v>8065500.9218828268</v>
      </c>
    </row>
    <row r="45" spans="1:3" x14ac:dyDescent="0.3">
      <c r="A45" s="4" t="s">
        <v>58</v>
      </c>
      <c r="B45" s="15">
        <v>8981819.1729637291</v>
      </c>
      <c r="C45" s="18">
        <v>9090760.385926947</v>
      </c>
    </row>
    <row r="46" spans="1:3" x14ac:dyDescent="0.3">
      <c r="A46" s="4" t="s">
        <v>59</v>
      </c>
      <c r="B46" s="15">
        <v>8874318.0316050109</v>
      </c>
      <c r="C46" s="18">
        <v>8501495.052619895</v>
      </c>
    </row>
    <row r="47" spans="1:3" x14ac:dyDescent="0.3">
      <c r="A47" s="4" t="s">
        <v>60</v>
      </c>
      <c r="B47" s="15">
        <v>6832248.0677991761</v>
      </c>
      <c r="C47" s="18">
        <v>8943412.801305443</v>
      </c>
    </row>
    <row r="48" spans="1:3" x14ac:dyDescent="0.3">
      <c r="A48" s="4" t="s">
        <v>61</v>
      </c>
      <c r="B48" s="15">
        <v>7314716.8345679231</v>
      </c>
      <c r="C48" s="18">
        <v>8321348.5226911129</v>
      </c>
    </row>
    <row r="49" spans="1:3" x14ac:dyDescent="0.3">
      <c r="A49" s="4" t="s">
        <v>62</v>
      </c>
      <c r="B49" s="15">
        <v>7804782.6540968046</v>
      </c>
      <c r="C49" s="18">
        <v>8553522.9315523989</v>
      </c>
    </row>
    <row r="50" spans="1:3" x14ac:dyDescent="0.3">
      <c r="A50" s="4" t="s">
        <v>63</v>
      </c>
      <c r="B50" s="15">
        <v>6488684.5890409872</v>
      </c>
      <c r="C50" s="18">
        <v>10511785.259285146</v>
      </c>
    </row>
    <row r="51" spans="1:3" x14ac:dyDescent="0.3">
      <c r="A51" s="4" t="s">
        <v>64</v>
      </c>
      <c r="B51" s="15">
        <v>6757905.1053030351</v>
      </c>
      <c r="C51" s="18">
        <v>11076938.333032558</v>
      </c>
    </row>
    <row r="52" spans="1:3" x14ac:dyDescent="0.3">
      <c r="A52" s="4" t="s">
        <v>65</v>
      </c>
      <c r="B52" s="15">
        <v>7408653.348367488</v>
      </c>
      <c r="C52" s="18">
        <v>8683912.1135100946</v>
      </c>
    </row>
    <row r="53" spans="1:3" x14ac:dyDescent="0.3">
      <c r="A53" s="4" t="s">
        <v>66</v>
      </c>
      <c r="B53" s="15">
        <v>8203055.07455655</v>
      </c>
      <c r="C53" s="18">
        <v>8238055.2216295945</v>
      </c>
    </row>
    <row r="54" spans="1:3" x14ac:dyDescent="0.3">
      <c r="A54" s="4" t="s">
        <v>67</v>
      </c>
      <c r="B54" s="15">
        <v>7789606.1508304514</v>
      </c>
      <c r="C54" s="18">
        <v>8385675.822740484</v>
      </c>
    </row>
    <row r="55" spans="1:3" x14ac:dyDescent="0.3">
      <c r="A55" s="4" t="s">
        <v>68</v>
      </c>
      <c r="B55" s="15">
        <v>7756630.303783102</v>
      </c>
      <c r="C55" s="18">
        <v>10772920.320359062</v>
      </c>
    </row>
    <row r="56" spans="1:3" x14ac:dyDescent="0.3">
      <c r="A56" s="4" t="s">
        <v>69</v>
      </c>
      <c r="B56" s="15">
        <v>6084358.1894447897</v>
      </c>
      <c r="C56" s="18">
        <v>10076278.487625839</v>
      </c>
    </row>
    <row r="57" spans="1:3" x14ac:dyDescent="0.3">
      <c r="A57" s="4" t="s">
        <v>70</v>
      </c>
      <c r="B57" s="15">
        <v>7717479.5926446281</v>
      </c>
      <c r="C57" s="18">
        <v>9681522.3627722207</v>
      </c>
    </row>
    <row r="58" spans="1:3" x14ac:dyDescent="0.3">
      <c r="A58" s="4" t="s">
        <v>71</v>
      </c>
      <c r="B58" s="15">
        <v>5503699.449735268</v>
      </c>
      <c r="C58" s="18">
        <v>9523443.7407516297</v>
      </c>
    </row>
    <row r="59" spans="1:3" x14ac:dyDescent="0.3">
      <c r="A59" s="4" t="s">
        <v>72</v>
      </c>
      <c r="B59" s="15">
        <v>7992676.6771169361</v>
      </c>
      <c r="C59" s="18">
        <v>9072112.2191710398</v>
      </c>
    </row>
    <row r="60" spans="1:3" x14ac:dyDescent="0.3">
      <c r="A60" s="4" t="s">
        <v>73</v>
      </c>
      <c r="B60" s="15">
        <v>7755172.7616281863</v>
      </c>
      <c r="C60" s="18">
        <v>9608602.8136746828</v>
      </c>
    </row>
    <row r="61" spans="1:3" x14ac:dyDescent="0.3">
      <c r="A61" s="4" t="s">
        <v>74</v>
      </c>
      <c r="B61" s="15">
        <v>5571638.5185087482</v>
      </c>
      <c r="C61" s="18">
        <v>9336766.7696416397</v>
      </c>
    </row>
    <row r="62" spans="1:3" x14ac:dyDescent="0.3">
      <c r="A62" s="4" t="s">
        <v>75</v>
      </c>
      <c r="B62" s="15">
        <v>7861752.6605976317</v>
      </c>
      <c r="C62" s="18">
        <v>9734690.8043269403</v>
      </c>
    </row>
    <row r="63" spans="1:3" x14ac:dyDescent="0.3">
      <c r="A63" s="4" t="s">
        <v>76</v>
      </c>
      <c r="B63" s="15">
        <v>7710601.4196571885</v>
      </c>
      <c r="C63" s="18">
        <v>8250918.9213329162</v>
      </c>
    </row>
    <row r="64" spans="1:3" x14ac:dyDescent="0.3">
      <c r="A64" s="4" t="s">
        <v>77</v>
      </c>
      <c r="B64" s="15">
        <v>8389466.1532584131</v>
      </c>
      <c r="C64" s="18">
        <v>9171941.4127366692</v>
      </c>
    </row>
    <row r="65" spans="1:3" x14ac:dyDescent="0.3">
      <c r="A65" s="4" t="s">
        <v>78</v>
      </c>
      <c r="B65" s="15">
        <v>8123658.869539232</v>
      </c>
      <c r="C65" s="18">
        <v>8990268.842276061</v>
      </c>
    </row>
    <row r="66" spans="1:3" x14ac:dyDescent="0.3">
      <c r="A66" s="4" t="s">
        <v>130</v>
      </c>
      <c r="B66" s="15">
        <v>7696731.0402706079</v>
      </c>
      <c r="C66" s="18">
        <v>9746321.3236664012</v>
      </c>
    </row>
    <row r="67" spans="1:3" x14ac:dyDescent="0.3">
      <c r="A67" s="4" t="s">
        <v>131</v>
      </c>
      <c r="B67" s="15">
        <v>5046211.6900313124</v>
      </c>
      <c r="C67" s="18">
        <v>9523852.1165522728</v>
      </c>
    </row>
    <row r="68" spans="1:3" x14ac:dyDescent="0.3">
      <c r="A68" s="4" t="s">
        <v>132</v>
      </c>
      <c r="B68" s="15">
        <v>7436352.1471598353</v>
      </c>
      <c r="C68" s="18">
        <v>9906207.2024453543</v>
      </c>
    </row>
    <row r="69" spans="1:3" x14ac:dyDescent="0.3">
      <c r="A69" s="4" t="s">
        <v>133</v>
      </c>
      <c r="B69" s="15">
        <v>7650028.4664151184</v>
      </c>
      <c r="C69" s="18">
        <v>8678236.1721803322</v>
      </c>
    </row>
    <row r="70" spans="1:3" x14ac:dyDescent="0.3">
      <c r="A70" s="4" t="s">
        <v>134</v>
      </c>
      <c r="B70" s="15">
        <v>5706153.9011013182</v>
      </c>
      <c r="C70" s="18">
        <v>11923966.551899141</v>
      </c>
    </row>
    <row r="71" spans="1:3" x14ac:dyDescent="0.3">
      <c r="A71" s="4" t="s">
        <v>84</v>
      </c>
      <c r="B71" s="15">
        <v>6251003.259206729</v>
      </c>
      <c r="C71" s="18">
        <v>7630459.7818888314</v>
      </c>
    </row>
    <row r="72" spans="1:3" x14ac:dyDescent="0.3">
      <c r="A72" s="4" t="s">
        <v>85</v>
      </c>
      <c r="B72" s="15">
        <v>6810291.6862486713</v>
      </c>
      <c r="C72" s="18">
        <v>8136996.125433092</v>
      </c>
    </row>
    <row r="73" spans="1:3" x14ac:dyDescent="0.3">
      <c r="A73" s="4" t="s">
        <v>86</v>
      </c>
      <c r="B73" s="15">
        <v>4982779.9084430644</v>
      </c>
      <c r="C73" s="18">
        <v>9259450.1497392636</v>
      </c>
    </row>
    <row r="74" spans="1:3" x14ac:dyDescent="0.3">
      <c r="A74" s="4" t="s">
        <v>87</v>
      </c>
      <c r="B74" s="15">
        <v>8415051.2610052843</v>
      </c>
      <c r="C74" s="18">
        <v>7881645.0618961696</v>
      </c>
    </row>
    <row r="75" spans="1:3" x14ac:dyDescent="0.3">
      <c r="A75" s="4" t="s">
        <v>88</v>
      </c>
      <c r="B75" s="15">
        <v>7349943.1875197254</v>
      </c>
      <c r="C75" s="18">
        <v>8551860.5324308258</v>
      </c>
    </row>
    <row r="76" spans="1:3" x14ac:dyDescent="0.3">
      <c r="A76" s="4" t="s">
        <v>135</v>
      </c>
      <c r="B76" s="15">
        <v>7651225.1471863948</v>
      </c>
      <c r="C76" s="18">
        <v>7263212.3930307534</v>
      </c>
    </row>
    <row r="77" spans="1:3" x14ac:dyDescent="0.3">
      <c r="A77" s="4" t="s">
        <v>90</v>
      </c>
      <c r="B77" s="15">
        <v>7764796.7021957068</v>
      </c>
      <c r="C77" s="18">
        <v>9855550.6288744137</v>
      </c>
    </row>
    <row r="78" spans="1:3" x14ac:dyDescent="0.3">
      <c r="A78" s="4" t="s">
        <v>91</v>
      </c>
      <c r="B78" s="15">
        <v>6933921.0001494382</v>
      </c>
      <c r="C78" s="18">
        <v>8941367.6905288883</v>
      </c>
    </row>
    <row r="79" spans="1:3" x14ac:dyDescent="0.3">
      <c r="A79" s="4" t="s">
        <v>92</v>
      </c>
      <c r="B79" s="15">
        <v>7300827.8824684406</v>
      </c>
      <c r="C79" s="18">
        <v>9202109.4781481568</v>
      </c>
    </row>
    <row r="80" spans="1:3" x14ac:dyDescent="0.3">
      <c r="B80" s="15"/>
      <c r="C80" s="18"/>
    </row>
    <row r="81" spans="2:3" x14ac:dyDescent="0.3">
      <c r="B81" s="15"/>
      <c r="C81" s="18"/>
    </row>
  </sheetData>
  <autoFilter ref="A1:C81" xr:uid="{00000000-0009-0000-0000-000015000000}">
    <sortState xmlns:xlrd2="http://schemas.microsoft.com/office/spreadsheetml/2017/richdata2" ref="A2:C81">
      <sortCondition ref="C2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Plan11 (2)</vt:lpstr>
      <vt:lpstr>Plan9</vt:lpstr>
      <vt:lpstr>2022</vt:lpstr>
      <vt:lpstr>Plan15</vt:lpstr>
      <vt:lpstr>2021</vt:lpstr>
      <vt:lpstr>2023</vt:lpstr>
      <vt:lpstr>Plan20</vt:lpstr>
      <vt:lpstr>2025</vt:lpstr>
      <vt:lpstr>Plan5</vt:lpstr>
      <vt:lpstr>Plan8</vt:lpstr>
      <vt:lpstr>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Resende</dc:creator>
  <cp:lastModifiedBy>Millena Simoncelo de Lima</cp:lastModifiedBy>
  <dcterms:created xsi:type="dcterms:W3CDTF">2026-02-26T09:37:39Z</dcterms:created>
  <dcterms:modified xsi:type="dcterms:W3CDTF">2026-03-27T00:52:11Z</dcterms:modified>
</cp:coreProperties>
</file>