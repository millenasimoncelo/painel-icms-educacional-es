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e\Documents\Projeto ICMS Educacional ES\data\"/>
    </mc:Choice>
  </mc:AlternateContent>
  <xr:revisionPtr revIDLastSave="0" documentId="13_ncr:1_{E24C5A6A-B921-4427-A733-BD12FB987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Painel" sheetId="1" r:id="rId1"/>
    <sheet name="Fato_Indicadores" sheetId="2" r:id="rId2"/>
    <sheet name="Dim_Indicador" sheetId="3" r:id="rId3"/>
    <sheet name="Dim_Municipio" sheetId="4" r:id="rId4"/>
    <sheet name="README" sheetId="5" r:id="rId5"/>
  </sheets>
  <externalReferences>
    <externalReference r:id="rId6"/>
  </externalReferences>
  <definedNames>
    <definedName name="_xlnm._FilterDatabase" localSheetId="0" hidden="1">Base_Painel!$A$1:$AX$235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Y159" i="1" l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158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80" i="1"/>
</calcChain>
</file>

<file path=xl/sharedStrings.xml><?xml version="1.0" encoding="utf-8"?>
<sst xmlns="http://schemas.openxmlformats.org/spreadsheetml/2006/main" count="2099" uniqueCount="725">
  <si>
    <t>CodigoMunicipio</t>
  </si>
  <si>
    <t>Municipio</t>
  </si>
  <si>
    <t>Ano-Referência</t>
  </si>
  <si>
    <t>IQE</t>
  </si>
  <si>
    <t>IQEF</t>
  </si>
  <si>
    <t>P</t>
  </si>
  <si>
    <t>IMEG</t>
  </si>
  <si>
    <t>IQ2</t>
  </si>
  <si>
    <t>IQ5</t>
  </si>
  <si>
    <t>IDE2</t>
  </si>
  <si>
    <t>IDE5</t>
  </si>
  <si>
    <t>DeltaIDEN2</t>
  </si>
  <si>
    <t>DeltaIDEN5</t>
  </si>
  <si>
    <t>PMNLP2</t>
  </si>
  <si>
    <t>PMNMT2</t>
  </si>
  <si>
    <t>PMNLP5</t>
  </si>
  <si>
    <t>PMNMT5</t>
  </si>
  <si>
    <t>IDALP2</t>
  </si>
  <si>
    <t>ABLP2</t>
  </si>
  <si>
    <t>BLP2</t>
  </si>
  <si>
    <t>PLP2</t>
  </si>
  <si>
    <t>AVLP2</t>
  </si>
  <si>
    <t>IDAMT2</t>
  </si>
  <si>
    <t>ABMT2</t>
  </si>
  <si>
    <t>BMT2</t>
  </si>
  <si>
    <t>PMT2</t>
  </si>
  <si>
    <t>AVMT2</t>
  </si>
  <si>
    <t>IDALP5</t>
  </si>
  <si>
    <t>ABLP5</t>
  </si>
  <si>
    <t>BLP5</t>
  </si>
  <si>
    <t>PLP5</t>
  </si>
  <si>
    <t>AVLP5</t>
  </si>
  <si>
    <t>IDAMT5</t>
  </si>
  <si>
    <t>ABMT5</t>
  </si>
  <si>
    <t>BMT5</t>
  </si>
  <si>
    <t>PMT5</t>
  </si>
  <si>
    <t>AVMT5</t>
  </si>
  <si>
    <t>TPLP2</t>
  </si>
  <si>
    <t>TPMT2</t>
  </si>
  <si>
    <t>TPLP5</t>
  </si>
  <si>
    <t>TPMT5</t>
  </si>
  <si>
    <t>IVEC</t>
  </si>
  <si>
    <t>IEQLP2</t>
  </si>
  <si>
    <t>ΔDESVFSEtLP2</t>
  </si>
  <si>
    <t>IEQMT2</t>
  </si>
  <si>
    <t>IEQLP5</t>
  </si>
  <si>
    <t>ΔDESVFSEtLP5</t>
  </si>
  <si>
    <t>IEQMT5</t>
  </si>
  <si>
    <t>ΔDESVFSEtMT5</t>
  </si>
  <si>
    <t>DataAtualizacao</t>
  </si>
  <si>
    <t>VersaoDados</t>
  </si>
  <si>
    <t>Fonte</t>
  </si>
  <si>
    <t>AFONSO CLAUDIO</t>
  </si>
  <si>
    <t>-</t>
  </si>
  <si>
    <t>BREJETUBA</t>
  </si>
  <si>
    <t>CONCEICAO DO CASTELO</t>
  </si>
  <si>
    <t>DOMINGOS MARTINS</t>
  </si>
  <si>
    <t>LARANJA DA TERRA</t>
  </si>
  <si>
    <t>SANTA MARIA DE JETIBA</t>
  </si>
  <si>
    <t>VENDA NOVA DO IMIGRANTE</t>
  </si>
  <si>
    <t>AGUA DOCE DO NORTE</t>
  </si>
  <si>
    <t>AGUIA BRANCA</t>
  </si>
  <si>
    <t>BARRA DE SAO FRANCISCO</t>
  </si>
  <si>
    <t>ECOPORANGA</t>
  </si>
  <si>
    <t>MANTENOPOLIS</t>
  </si>
  <si>
    <t>ATILIO VIVACQUA</t>
  </si>
  <si>
    <t>CACHOEIRO DE ITAPEMIRIM</t>
  </si>
  <si>
    <t>CASTELO</t>
  </si>
  <si>
    <t>ICONHA</t>
  </si>
  <si>
    <t>ITAPEMIRIM</t>
  </si>
  <si>
    <t>JERONIMO MONTEIRO</t>
  </si>
  <si>
    <t>MARATAIZES</t>
  </si>
  <si>
    <t>MIMOSO DO SUL</t>
  </si>
  <si>
    <t>MUQUI</t>
  </si>
  <si>
    <t>PRESIDENTE KENNEDY</t>
  </si>
  <si>
    <t>RIO NOVO DO SUL</t>
  </si>
  <si>
    <t>VARGEM ALTA</t>
  </si>
  <si>
    <t>FUNDAO</t>
  </si>
  <si>
    <t>SANTA TERESA</t>
  </si>
  <si>
    <t>SERRA</t>
  </si>
  <si>
    <t>VITORIA</t>
  </si>
  <si>
    <t>CARIACICA</t>
  </si>
  <si>
    <t>MARECHAL FLORIANO</t>
  </si>
  <si>
    <t>SANTA LEOPOLDINA</t>
  </si>
  <si>
    <t>VIANA</t>
  </si>
  <si>
    <t>ALTO RIO NOVO</t>
  </si>
  <si>
    <t>BAIXO GUANDU</t>
  </si>
  <si>
    <t>COLATINA</t>
  </si>
  <si>
    <t>GOVERNADOR LINDENBERG</t>
  </si>
  <si>
    <t>ITAGUACU</t>
  </si>
  <si>
    <t>ITARANA</t>
  </si>
  <si>
    <t>MARILANDIA</t>
  </si>
  <si>
    <t>PANCAS</t>
  </si>
  <si>
    <t>SAO DOMINGOS DO NORTE</t>
  </si>
  <si>
    <t>SAO ROQUE DO CANAA</t>
  </si>
  <si>
    <t>ALEGRE</t>
  </si>
  <si>
    <t>APIACA</t>
  </si>
  <si>
    <t>BOM JESUS DO NORTE</t>
  </si>
  <si>
    <t>DIVINO DE SAO LOURENCO</t>
  </si>
  <si>
    <t>DORES DO RIO PRETO</t>
  </si>
  <si>
    <t>GUACUI</t>
  </si>
  <si>
    <t>IBATIBA</t>
  </si>
  <si>
    <t>IBITIRAMA</t>
  </si>
  <si>
    <t>IRUPI</t>
  </si>
  <si>
    <t>IUNA</t>
  </si>
  <si>
    <t>MUNIZ FREIRE</t>
  </si>
  <si>
    <t>SAO JOSE DO CALCADO</t>
  </si>
  <si>
    <t>ARACRUZ</t>
  </si>
  <si>
    <t>IBIRACU</t>
  </si>
  <si>
    <t>JOAO NEIVA</t>
  </si>
  <si>
    <t>LINHARES</t>
  </si>
  <si>
    <t>RIO BANANAL</t>
  </si>
  <si>
    <t>SOORETAMA</t>
  </si>
  <si>
    <t>BOA ESPERANCA</t>
  </si>
  <si>
    <t>MONTANHA</t>
  </si>
  <si>
    <t>MUCURICI</t>
  </si>
  <si>
    <t>NOVA VENECIA</t>
  </si>
  <si>
    <t>PINHEIROS</t>
  </si>
  <si>
    <t>PONTO BELO</t>
  </si>
  <si>
    <t>SAO GABRIEL DA PALHA</t>
  </si>
  <si>
    <t>VILA PAVAO</t>
  </si>
  <si>
    <t>VILA VALERIO</t>
  </si>
  <si>
    <t>CONCEICAO DA BARRA</t>
  </si>
  <si>
    <t>JAGUARE</t>
  </si>
  <si>
    <t>PEDRO CANARIO</t>
  </si>
  <si>
    <t>SAO MATEUS</t>
  </si>
  <si>
    <t>ALFREDO CHAVES</t>
  </si>
  <si>
    <t>ANCHIETA</t>
  </si>
  <si>
    <t>GUARAPARI</t>
  </si>
  <si>
    <t>PIUMA</t>
  </si>
  <si>
    <t>VILA VELHA</t>
  </si>
  <si>
    <t>0;302697562312734</t>
  </si>
  <si>
    <t>0;915466114531886</t>
  </si>
  <si>
    <t>0;870105037698425</t>
  </si>
  <si>
    <t>0;867293555841263</t>
  </si>
  <si>
    <t>0;870102966048406</t>
  </si>
  <si>
    <t>0;210790249250935</t>
  </si>
  <si>
    <t>0;82996622301622</t>
  </si>
  <si>
    <t>0;849300306305591</t>
  </si>
  <si>
    <t>0;826427121276283</t>
  </si>
  <si>
    <t>0;794680665802037</t>
  </si>
  <si>
    <t>0;412140612167181</t>
  </si>
  <si>
    <t>0;894852272817815</t>
  </si>
  <si>
    <t>0;927046732518117</t>
  </si>
  <si>
    <t>0;867143029578016</t>
  </si>
  <si>
    <t>0;419952504643223</t>
  </si>
  <si>
    <t>0;847388234266154</t>
  </si>
  <si>
    <t>0;228609944025502</t>
  </si>
  <si>
    <t>0;631267146038531</t>
  </si>
  <si>
    <t>0;938473936690301</t>
  </si>
  <si>
    <t>0;944249065845649</t>
  </si>
  <si>
    <t>0;834081288515759</t>
  </si>
  <si>
    <t>0;197552582303288</t>
  </si>
  <si>
    <t>0;874323896164553</t>
  </si>
  <si>
    <t>0;327516001850836</t>
  </si>
  <si>
    <t>0;965892835967916</t>
  </si>
  <si>
    <t>0;966583080639562</t>
  </si>
  <si>
    <t>0;935589929246345</t>
  </si>
  <si>
    <t>0;919346944273312</t>
  </si>
  <si>
    <t>0;804507058685125</t>
  </si>
  <si>
    <t>0;973264939881325</t>
  </si>
  <si>
    <t>0;983467876684951</t>
  </si>
  <si>
    <t>0;881859165817393</t>
  </si>
  <si>
    <t>0;218028234740498</t>
  </si>
  <si>
    <t>0;923342131941175</t>
  </si>
  <si>
    <t>0;75</t>
  </si>
  <si>
    <t>0;906034696117175</t>
  </si>
  <si>
    <t>0;974077977520727</t>
  </si>
  <si>
    <t>0;860728195093036</t>
  </si>
  <si>
    <t>0;921979568787364</t>
  </si>
  <si>
    <t>0;271011229719311</t>
  </si>
  <si>
    <t>0;890953634480972</t>
  </si>
  <si>
    <t>0;958855983411389</t>
  </si>
  <si>
    <t>0;818989047487225</t>
  </si>
  <si>
    <t>0;827330435385467</t>
  </si>
  <si>
    <t>0;0840449188772421</t>
  </si>
  <si>
    <t>0;794833236703196</t>
  </si>
  <si>
    <t>0;92442415944975</t>
  </si>
  <si>
    <t>0;954959181980849</t>
  </si>
  <si>
    <t>0;945758148761604</t>
  </si>
  <si>
    <t>0;838023799880123</t>
  </si>
  <si>
    <t>0;179332946812785</t>
  </si>
  <si>
    <t>0;621388863197248</t>
  </si>
  <si>
    <t>0;905584951039975</t>
  </si>
  <si>
    <t>0;974207133937739</t>
  </si>
  <si>
    <t>0;852205393657482</t>
  </si>
  <si>
    <t>0;252444672503853</t>
  </si>
  <si>
    <t>0;889333559201718</t>
  </si>
  <si>
    <t>0;233110780285138</t>
  </si>
  <si>
    <t>0;34970859058683</t>
  </si>
  <si>
    <t>0;871194038355809</t>
  </si>
  <si>
    <t>0;907119177382218</t>
  </si>
  <si>
    <t>0;859641488331641</t>
  </si>
  <si>
    <t>0;217409126173709</t>
  </si>
  <si>
    <t>0;874931021387557</t>
  </si>
  <si>
    <t>0;18142523617361</t>
  </si>
  <si>
    <t>0;510589847571799</t>
  </si>
  <si>
    <t>0;945168858904682</t>
  </si>
  <si>
    <t>0;96078770598494</t>
  </si>
  <si>
    <t>0;862458089513558</t>
  </si>
  <si>
    <t>0;0423593902871938</t>
  </si>
  <si>
    <t>0;852109496770223</t>
  </si>
  <si>
    <t>0;97030787695555</t>
  </si>
  <si>
    <t>0;987600790820958</t>
  </si>
  <si>
    <t>0;90828050762713</t>
  </si>
  <si>
    <t>0;926997859385594</t>
  </si>
  <si>
    <t>0;548697344381977</t>
  </si>
  <si>
    <t>0;904934149515312</t>
  </si>
  <si>
    <t>0;940358508240233</t>
  </si>
  <si>
    <t>0;836867363769457</t>
  </si>
  <si>
    <t>0;194789377527908</t>
  </si>
  <si>
    <t>0;840047147801459</t>
  </si>
  <si>
    <t>0;852623383961529</t>
  </si>
  <si>
    <t>0;92792555406979</t>
  </si>
  <si>
    <t>0;951756857529633</t>
  </si>
  <si>
    <t>0;862497600179922</t>
  </si>
  <si>
    <t>0;410493535846117</t>
  </si>
  <si>
    <t>0;932269441425863</t>
  </si>
  <si>
    <t>0;529432825207955</t>
  </si>
  <si>
    <t>0;991987919573857</t>
  </si>
  <si>
    <t>0;967488482933076</t>
  </si>
  <si>
    <t>0;809003450136238</t>
  </si>
  <si>
    <t>0;839327998608791</t>
  </si>
  <si>
    <t>0;117731300831821</t>
  </si>
  <si>
    <t>0;25</t>
  </si>
  <si>
    <t>0;851981747011823</t>
  </si>
  <si>
    <t>0;922279063875751</t>
  </si>
  <si>
    <t>0;826433007650066</t>
  </si>
  <si>
    <t>0;848687844802876</t>
  </si>
  <si>
    <t>0;866690833549074</t>
  </si>
  <si>
    <t>0;911271392842587</t>
  </si>
  <si>
    <t>0;842618881348393</t>
  </si>
  <si>
    <t>0;858369065231151</t>
  </si>
  <si>
    <t>0;946129512081496</t>
  </si>
  <si>
    <t>0;951472063709399</t>
  </si>
  <si>
    <t>0;92328294935666</t>
  </si>
  <si>
    <t>0;927445642633976</t>
  </si>
  <si>
    <t>0;288360883263719</t>
  </si>
  <si>
    <t>0;884997599363395</t>
  </si>
  <si>
    <t>0;992876509006904</t>
  </si>
  <si>
    <t>0;83932177587726</t>
  </si>
  <si>
    <t>0;0570546149371454</t>
  </si>
  <si>
    <t>0;874294430042654</t>
  </si>
  <si>
    <t>0;0963889181177286</t>
  </si>
  <si>
    <t>0;813249599941053</t>
  </si>
  <si>
    <t>0;924949929411012</t>
  </si>
  <si>
    <t>0;995612032810895</t>
  </si>
  <si>
    <t>0;90606004306284</t>
  </si>
  <si>
    <t>0;877194117031292</t>
  </si>
  <si>
    <t>0;252998399764211</t>
  </si>
  <si>
    <t>0;566022925035471</t>
  </si>
  <si>
    <t>0;922494511084352</t>
  </si>
  <si>
    <t>0;955912927985531</t>
  </si>
  <si>
    <t>0;864140252612585</t>
  </si>
  <si>
    <t>0;264091700141884</t>
  </si>
  <si>
    <t>0;873260330881363</t>
  </si>
  <si>
    <t>0;544070847114976</t>
  </si>
  <si>
    <t>0;96578523977142</t>
  </si>
  <si>
    <t>0;960028473861831</t>
  </si>
  <si>
    <t>0;788957884761161</t>
  </si>
  <si>
    <t>0;0157491209424424</t>
  </si>
  <si>
    <t>0;868220575918509</t>
  </si>
  <si>
    <t>0;160534267517463</t>
  </si>
  <si>
    <t>0;0145863811215223</t>
  </si>
  <si>
    <t>0;884149303819258</t>
  </si>
  <si>
    <t>0;0583455244860892</t>
  </si>
  <si>
    <t>0;871954570582868</t>
  </si>
  <si>
    <t>0;845554627413473</t>
  </si>
  <si>
    <t>0;826678852928019</t>
  </si>
  <si>
    <t>0;790059197257429</t>
  </si>
  <si>
    <t>0;945533735015821</t>
  </si>
  <si>
    <t>0;956159472174485</t>
  </si>
  <si>
    <t>0;83885132032999</t>
  </si>
  <si>
    <t>0;160236789029715</t>
  </si>
  <si>
    <t>0;909128673664071</t>
  </si>
  <si>
    <t>0;364604226122733</t>
  </si>
  <si>
    <t>0;898046581198893</t>
  </si>
  <si>
    <t>0;922394792084692</t>
  </si>
  <si>
    <t>0;879542064421801</t>
  </si>
  <si>
    <t>0;443317193267901</t>
  </si>
  <si>
    <t>0;844173673007101</t>
  </si>
  <si>
    <t>0;0150997112230315</t>
  </si>
  <si>
    <t>0;5</t>
  </si>
  <si>
    <t>0;916621767359997</t>
  </si>
  <si>
    <t>0;946248949325261</t>
  </si>
  <si>
    <t>0;844485897667889</t>
  </si>
  <si>
    <t>0;866979426380714</t>
  </si>
  <si>
    <t>0;301060602223935</t>
  </si>
  <si>
    <t>0;902627710901255</t>
  </si>
  <si>
    <t>0;896724357403147</t>
  </si>
  <si>
    <t>0;851434989515718</t>
  </si>
  <si>
    <t>0;204242408895739</t>
  </si>
  <si>
    <t>0;843356819126389</t>
  </si>
  <si>
    <t>0;59822396145326</t>
  </si>
  <si>
    <t>0;915518782009892</t>
  </si>
  <si>
    <t>0;949618269325392</t>
  </si>
  <si>
    <t>0;859436477154301</t>
  </si>
  <si>
    <t>0;222987792863881</t>
  </si>
  <si>
    <t>0;886072870742414</t>
  </si>
  <si>
    <t>0;169908052949158</t>
  </si>
  <si>
    <t>0;598064999851605</t>
  </si>
  <si>
    <t>0;924170628561987</t>
  </si>
  <si>
    <t>0;931195330564571</t>
  </si>
  <si>
    <t>0;879038696038617</t>
  </si>
  <si>
    <t>0;289055775248489</t>
  </si>
  <si>
    <t>0;853240036915447</t>
  </si>
  <si>
    <t>0;103204224157931</t>
  </si>
  <si>
    <t>0;321869769010641</t>
  </si>
  <si>
    <t>0;864845196220731</t>
  </si>
  <si>
    <t>0;897782292746257</t>
  </si>
  <si>
    <t>0;287479076042564</t>
  </si>
  <si>
    <t>0;905424240957986</t>
  </si>
  <si>
    <t>0;842195296581595</t>
  </si>
  <si>
    <t>0;561007244948025</t>
  </si>
  <si>
    <t>0;9166076624738</t>
  </si>
  <si>
    <t>0;979047694669068</t>
  </si>
  <si>
    <t>0;893356872235303</t>
  </si>
  <si>
    <t>0;244028979792101</t>
  </si>
  <si>
    <t>0;890009403478754</t>
  </si>
  <si>
    <t>0;372971355615954</t>
  </si>
  <si>
    <t>0;898596021131934</t>
  </si>
  <si>
    <t>0;491885422463817</t>
  </si>
  <si>
    <t>0;907434073691579</t>
  </si>
  <si>
    <t>0;781329485736312</t>
  </si>
  <si>
    <t>0;828545559025182</t>
  </si>
  <si>
    <t>0;928440887698298</t>
  </si>
  <si>
    <t>0;97230634121806</t>
  </si>
  <si>
    <t>0;833097109245372</t>
  </si>
  <si>
    <t>0;874046453758703</t>
  </si>
  <si>
    <t>0;285098570132649</t>
  </si>
  <si>
    <t>0;879606115666011</t>
  </si>
  <si>
    <t>0;927460301198245</t>
  </si>
  <si>
    <t>0;869285878923692</t>
  </si>
  <si>
    <t>0;0649725864703777</t>
  </si>
  <si>
    <t>0;879958569105961</t>
  </si>
  <si>
    <t>0;0754216940602185</t>
  </si>
  <si>
    <t>0;78334047825585</t>
  </si>
  <si>
    <t>0;934095155155934</t>
  </si>
  <si>
    <t>0;908501305335376</t>
  </si>
  <si>
    <t>0;954210869326462</t>
  </si>
  <si>
    <t>0;581220517762475</t>
  </si>
  <si>
    <t>0;912209334798561</t>
  </si>
  <si>
    <t>0;944717922927229</t>
  </si>
  <si>
    <t>0;845610919123678</t>
  </si>
  <si>
    <t>0;115063957691738</t>
  </si>
  <si>
    <t>0;833708538623209</t>
  </si>
  <si>
    <t>0;209818113358162</t>
  </si>
  <si>
    <t>0;500739226271315</t>
  </si>
  <si>
    <t>0;892223595646935</t>
  </si>
  <si>
    <t>0;313674166793389</t>
  </si>
  <si>
    <t>0;996535393860664</t>
  </si>
  <si>
    <t>0;869084280646847</t>
  </si>
  <si>
    <t>0;337360596458183</t>
  </si>
  <si>
    <t>0;899621886433538</t>
  </si>
  <si>
    <t>0;351922141833689</t>
  </si>
  <si>
    <t>0;334463508425288</t>
  </si>
  <si>
    <t>0;869463715678352</t>
  </si>
  <si>
    <t>0;156327231664486</t>
  </si>
  <si>
    <t>0;910815146647153</t>
  </si>
  <si>
    <t>0;788309825804159</t>
  </si>
  <si>
    <t>0;166724118248968</t>
  </si>
  <si>
    <t>0;842547655675577</t>
  </si>
  <si>
    <t>0;0148026837876998</t>
  </si>
  <si>
    <t>0;860604570334305</t>
  </si>
  <si>
    <t>0;92576857781612</t>
  </si>
  <si>
    <t>0;948437926662985</t>
  </si>
  <si>
    <t>0;882100396623937</t>
  </si>
  <si>
    <t>0;44241828133722</t>
  </si>
  <si>
    <t>0;931511159686604</t>
  </si>
  <si>
    <t>0;625926314085738</t>
  </si>
  <si>
    <t>0;911626422578702</t>
  </si>
  <si>
    <t>0;95479251280041</t>
  </si>
  <si>
    <t>0;844542430563004</t>
  </si>
  <si>
    <t>0;242972397523499</t>
  </si>
  <si>
    <t>0;865015739529277</t>
  </si>
  <si>
    <t>0;260732858819451</t>
  </si>
  <si>
    <t>0;0418073162968905</t>
  </si>
  <si>
    <t>0;867216379407123</t>
  </si>
  <si>
    <t>0;866945702510601</t>
  </si>
  <si>
    <t>0;827550738948555</t>
  </si>
  <si>
    <t>0;167229265187562</t>
  </si>
  <si>
    <t>0;809361576689116</t>
  </si>
  <si>
    <t>0;915227075837902</t>
  </si>
  <si>
    <t>0;923034773857782</t>
  </si>
  <si>
    <t>0;85887665063108</t>
  </si>
  <si>
    <t>0;900817765711983</t>
  </si>
  <si>
    <t>0;925193671643334</t>
  </si>
  <si>
    <t>0;93672637430131</t>
  </si>
  <si>
    <t>0;788577364944202</t>
  </si>
  <si>
    <t>0;746325068073754</t>
  </si>
  <si>
    <t>0;597266830640447</t>
  </si>
  <si>
    <t>0;9570060684288</t>
  </si>
  <si>
    <t>0;91421326579334</t>
  </si>
  <si>
    <t>0;86512800271559</t>
  </si>
  <si>
    <t>0;0304415930934928</t>
  </si>
  <si>
    <t>0;888281107415592</t>
  </si>
  <si>
    <t>0;358625729468294</t>
  </si>
  <si>
    <t>0;910641057830041</t>
  </si>
  <si>
    <t>0;891838131361</t>
  </si>
  <si>
    <t>0;825179761609481</t>
  </si>
  <si>
    <t>0;830893741586248</t>
  </si>
  <si>
    <t>0;91325940254095</t>
  </si>
  <si>
    <t>0;99662895367941</t>
  </si>
  <si>
    <t>0;912148392443968</t>
  </si>
  <si>
    <t>1;01332908519615</t>
  </si>
  <si>
    <t>0;270969661562961</t>
  </si>
  <si>
    <t>0;89495493392613</t>
  </si>
  <si>
    <t>0;0838786462518437</t>
  </si>
  <si>
    <t>0;91121288422655</t>
  </si>
  <si>
    <t>0;817913694319351</t>
  </si>
  <si>
    <t>0;809479047068789</t>
  </si>
  <si>
    <t>0;930267444541043</t>
  </si>
  <si>
    <t>0;947238815030253</t>
  </si>
  <si>
    <t>0;815081673620486</t>
  </si>
  <si>
    <t>0;816005542120456</t>
  </si>
  <si>
    <t>0;552766268109025</t>
  </si>
  <si>
    <t>0;942716584484877</t>
  </si>
  <si>
    <t>0;973212977860357</t>
  </si>
  <si>
    <t>0;86011752586639</t>
  </si>
  <si>
    <t>0;2110650724361</t>
  </si>
  <si>
    <t>0;879155292879367</t>
  </si>
  <si>
    <t>0;58852343594121</t>
  </si>
  <si>
    <t>0;957955791215602</t>
  </si>
  <si>
    <t>0;958153799949854</t>
  </si>
  <si>
    <t>0;838807053411615</t>
  </si>
  <si>
    <t>0;0889196410447778</t>
  </si>
  <si>
    <t>0;884365644974502</t>
  </si>
  <si>
    <t>0;265174102720061</t>
  </si>
  <si>
    <t>0;325723434158344</t>
  </si>
  <si>
    <t>0;880274666872182</t>
  </si>
  <si>
    <t>0;912560661016124</t>
  </si>
  <si>
    <t>0;824298423635209</t>
  </si>
  <si>
    <t>0;202216686403952</t>
  </si>
  <si>
    <t>0;828506630107106</t>
  </si>
  <si>
    <t>0;100677050229425</t>
  </si>
  <si>
    <t>0;503524838141818</t>
  </si>
  <si>
    <t>0;927684404136026</t>
  </si>
  <si>
    <t>0;965426204016313</t>
  </si>
  <si>
    <t>0;854689329221279</t>
  </si>
  <si>
    <t>0;0140993525672717</t>
  </si>
  <si>
    <t>0;821098972227932</t>
  </si>
  <si>
    <t>0;280141768597546</t>
  </si>
  <si>
    <t>0;852146725246357</t>
  </si>
  <si>
    <t>0;947058831300297</t>
  </si>
  <si>
    <t>0;807481060003945</t>
  </si>
  <si>
    <t>0;848504563664524</t>
  </si>
  <si>
    <t>0;120567074390185</t>
  </si>
  <si>
    <t>0;620544531042541</t>
  </si>
  <si>
    <t>0;92767946126085</t>
  </si>
  <si>
    <t>0;942150373088379</t>
  </si>
  <si>
    <t>0;880200076791493</t>
  </si>
  <si>
    <t>0;309475571590764</t>
  </si>
  <si>
    <t>0;874598114803147</t>
  </si>
  <si>
    <t>0;172702552579398</t>
  </si>
  <si>
    <t>0;852157995083255</t>
  </si>
  <si>
    <t>0;99031664190559</t>
  </si>
  <si>
    <t>0;922463396987759</t>
  </si>
  <si>
    <t>0;950592313308985</t>
  </si>
  <si>
    <t>0;88316790027232</t>
  </si>
  <si>
    <t>0;40863198033302</t>
  </si>
  <si>
    <t>0;444969455979068</t>
  </si>
  <si>
    <t>0;899568025923818</t>
  </si>
  <si>
    <t>0;924792653507613</t>
  </si>
  <si>
    <t>0;864561073915283</t>
  </si>
  <si>
    <t>0;374837921247621</t>
  </si>
  <si>
    <t>0;885203952355478</t>
  </si>
  <si>
    <t>0;405039902668653</t>
  </si>
  <si>
    <t>0;348754142885476</t>
  </si>
  <si>
    <t>0;899503928645196</t>
  </si>
  <si>
    <t>0;0965455452029772</t>
  </si>
  <si>
    <t>0;917198597649054</t>
  </si>
  <si>
    <t>0;850623243229135</t>
  </si>
  <si>
    <t>0;197955002864939</t>
  </si>
  <si>
    <t>0;858849508845517</t>
  </si>
  <si>
    <t>0;100516023473986</t>
  </si>
  <si>
    <t>0;0573386132312516</t>
  </si>
  <si>
    <t>0;884087512273297</t>
  </si>
  <si>
    <t>0;884416924979733</t>
  </si>
  <si>
    <t>0;84680646844871</t>
  </si>
  <si>
    <t>0;207951149351585</t>
  </si>
  <si>
    <t>0;844716811830001</t>
  </si>
  <si>
    <t>0;0214033035734212</t>
  </si>
  <si>
    <t>0;364663169486847</t>
  </si>
  <si>
    <t>0;850557045413573</t>
  </si>
  <si>
    <t>0;920929482335593</t>
  </si>
  <si>
    <t>0;829037677487709</t>
  </si>
  <si>
    <t>0;268228363912554</t>
  </si>
  <si>
    <t>0;8540734796009</t>
  </si>
  <si>
    <t>0;190424314034835</t>
  </si>
  <si>
    <t>0;282449272585689</t>
  </si>
  <si>
    <t>0;873080887215917</t>
  </si>
  <si>
    <t>0;924548515673453</t>
  </si>
  <si>
    <t>0;781085432853606</t>
  </si>
  <si>
    <t>0;129797090342754</t>
  </si>
  <si>
    <t>0;752185146471117</t>
  </si>
  <si>
    <t>0;601862944371375</t>
  </si>
  <si>
    <t>0;903305730816407</t>
  </si>
  <si>
    <t>0;952647951625753</t>
  </si>
  <si>
    <t>0;839922385709711</t>
  </si>
  <si>
    <t>0;199331807108517</t>
  </si>
  <si>
    <t>0;868282682812065</t>
  </si>
  <si>
    <t>0;208119970376983</t>
  </si>
  <si>
    <t>0;83527769656687</t>
  </si>
  <si>
    <t>0;891486615371425</t>
  </si>
  <si>
    <t>0;741378985412348</t>
  </si>
  <si>
    <t>0;784449164780013</t>
  </si>
  <si>
    <t>0;648907025090121</t>
  </si>
  <si>
    <t>0;943806440317304</t>
  </si>
  <si>
    <t>0;937055106627894</t>
  </si>
  <si>
    <t>0;846256512327349</t>
  </si>
  <si>
    <t>0;282496106205896</t>
  </si>
  <si>
    <t>0;846175307271225</t>
  </si>
  <si>
    <t>0;313131994154589</t>
  </si>
  <si>
    <t>0;586422132204838</t>
  </si>
  <si>
    <t>0;921460911410631</t>
  </si>
  <si>
    <t>0;910222895209327</t>
  </si>
  <si>
    <t>0;791119910679885</t>
  </si>
  <si>
    <t>0;173453396704286</t>
  </si>
  <si>
    <t>0;833950300322908</t>
  </si>
  <si>
    <t>0;172235132115064</t>
  </si>
  <si>
    <t>0;537021401832031</t>
  </si>
  <si>
    <t>0;940988639512448</t>
  </si>
  <si>
    <t>0;985877240207099</t>
  </si>
  <si>
    <t>0;775454104289185</t>
  </si>
  <si>
    <t>0;77847581157897</t>
  </si>
  <si>
    <t>0;148085607328126</t>
  </si>
  <si>
    <t>0;00455660076648763</t>
  </si>
  <si>
    <t>0;857755713489971</t>
  </si>
  <si>
    <t>0;848584643624896</t>
  </si>
  <si>
    <t>0;828085371590652</t>
  </si>
  <si>
    <t>0;0182264030659505</t>
  </si>
  <si>
    <t>0;818079397885437</t>
  </si>
  <si>
    <t>0;324437806631783</t>
  </si>
  <si>
    <t>0;896269569539392</t>
  </si>
  <si>
    <t>0;914310321568151</t>
  </si>
  <si>
    <t>0;856041979868551</t>
  </si>
  <si>
    <t>0;297751226527134</t>
  </si>
  <si>
    <t>0;832569893419254</t>
  </si>
  <si>
    <t>0;534395545214109</t>
  </si>
  <si>
    <t>0;900598511261463</t>
  </si>
  <si>
    <t>0;977470219935084</t>
  </si>
  <si>
    <t>0;788177477214033</t>
  </si>
  <si>
    <t>0;891954061635438</t>
  </si>
  <si>
    <t>0;137582180856434</t>
  </si>
  <si>
    <t>0;930493450833589</t>
  </si>
  <si>
    <t>0;920794472151805</t>
  </si>
  <si>
    <t>0;809834708390907</t>
  </si>
  <si>
    <t>0;834701353256618</t>
  </si>
  <si>
    <t>0;902424418298497</t>
  </si>
  <si>
    <t>0;890439272123862</t>
  </si>
  <si>
    <t>0;919668534100638</t>
  </si>
  <si>
    <t>0;912628127406669</t>
  </si>
  <si>
    <t>0;56397537903805</t>
  </si>
  <si>
    <t>0;915085524807083</t>
  </si>
  <si>
    <t>0;928492656411667</t>
  </si>
  <si>
    <t>0;78822433611903</t>
  </si>
  <si>
    <t>0;124449710523176</t>
  </si>
  <si>
    <t>0;82428776057636</t>
  </si>
  <si>
    <t>0;131451805629024</t>
  </si>
  <si>
    <t>0;562748164422893</t>
  </si>
  <si>
    <t>0;914867853814923</t>
  </si>
  <si>
    <t>0;955430668505516</t>
  </si>
  <si>
    <t>0;841540373711836</t>
  </si>
  <si>
    <t>0;140396554885123</t>
  </si>
  <si>
    <t>0;877387693140575</t>
  </si>
  <si>
    <t>0;110596102806449</t>
  </si>
  <si>
    <t>0;906735551804659</t>
  </si>
  <si>
    <t>0;954088261052813</t>
  </si>
  <si>
    <t>0;907291147099511</t>
  </si>
  <si>
    <t>0;929740555634216</t>
  </si>
  <si>
    <t>0;895319501701921</t>
  </si>
  <si>
    <t>0;947353331873666</t>
  </si>
  <si>
    <t>0;841359258997928</t>
  </si>
  <si>
    <t>0;828204005082214</t>
  </si>
  <si>
    <t>0;554322524473195</t>
  </si>
  <si>
    <t>0;933198542504286</t>
  </si>
  <si>
    <t>0;944724927474548</t>
  </si>
  <si>
    <t>0;825930718211099</t>
  </si>
  <si>
    <t>0;891598757682108</t>
  </si>
  <si>
    <t>0;217290097892781</t>
  </si>
  <si>
    <t>0;857988977956359</t>
  </si>
  <si>
    <t>0;883020768468008</t>
  </si>
  <si>
    <t>0;7869771591114</t>
  </si>
  <si>
    <t>0;806962362870854</t>
  </si>
  <si>
    <t>0;551578371560866</t>
  </si>
  <si>
    <t>0;919660420800677</t>
  </si>
  <si>
    <t>0;935439434394389</t>
  </si>
  <si>
    <t>0;855319580947979</t>
  </si>
  <si>
    <t>0;169983655053445</t>
  </si>
  <si>
    <t>0;869052049818513</t>
  </si>
  <si>
    <t>0;0363298311900205</t>
  </si>
  <si>
    <t>Ano</t>
  </si>
  <si>
    <t>Indicador</t>
  </si>
  <si>
    <t>Valor</t>
  </si>
  <si>
    <t>Etapa</t>
  </si>
  <si>
    <t>Disciplina</t>
  </si>
  <si>
    <t>Tipo</t>
  </si>
  <si>
    <t>NomeExibicao</t>
  </si>
  <si>
    <t>Definicao</t>
  </si>
  <si>
    <t>FormulaResumida</t>
  </si>
  <si>
    <t>NotasDeLeitura</t>
  </si>
  <si>
    <t>Índice de Qualidade Educacional</t>
  </si>
  <si>
    <t>Síntese de qualidade de aprendizagem, aprovação e equidade.</t>
  </si>
  <si>
    <t>IQE = 0,7·IQEF + 0,15·P + 0,15·IMEG</t>
  </si>
  <si>
    <t>Usar para visão geral e comparações entre municípios no ano.</t>
  </si>
  <si>
    <t>Sintese</t>
  </si>
  <si>
    <t>Índice de Qualidade do EF</t>
  </si>
  <si>
    <t>Qualidade da aprendizagem do EF, combinando 2º e 5º ano.</t>
  </si>
  <si>
    <t>IQEF = 0,6·IQ2 + 0,4·IQ5</t>
  </si>
  <si>
    <t>Dá mais peso ao 2º ano (alfabetização).</t>
  </si>
  <si>
    <t>Taxa de aprovação do EF</t>
  </si>
  <si>
    <t>Aprovação entre matriculados no EF do município.</t>
  </si>
  <si>
    <t>P = APR / (APR + REP + ABA)</t>
  </si>
  <si>
    <t>Aprovação alta com IDE baixo exige investigação.</t>
  </si>
  <si>
    <t>Aprovacao</t>
  </si>
  <si>
    <t>Melhoria da Equidade Global</t>
  </si>
  <si>
    <t>Equidade global do município no ano, normalizada entre municípios.</t>
  </si>
  <si>
    <t>IMEG = (IVEC − IVEC_min) / (IVEC_max − IVEC_min)</t>
  </si>
  <si>
    <t>Comparável dentro do ano; apoiar análise com IVEC e ΔDESV.</t>
  </si>
  <si>
    <t>Equidade</t>
  </si>
  <si>
    <t>Variação da Equidade Composta</t>
  </si>
  <si>
    <t>Média dos ganhos de equidade por etapa e disciplina.</t>
  </si>
  <si>
    <t>IVEC = média(ΔDESV_2LP, ΔDESV_2MT, ΔDESV_5LP, ΔDESV_5MT)</t>
  </si>
  <si>
    <t>Para evolução ‘bruta’ de equidade; IMEG é normalizado anual.</t>
  </si>
  <si>
    <t>Índice do 2º ano</t>
  </si>
  <si>
    <t>Qualidade por etapa (2º ano).</t>
  </si>
  <si>
    <t>IQ2 = 0,5·IDE2 + 0,5·DeltaIDEN2</t>
  </si>
  <si>
    <t>Equilibra nível e ganho anual.</t>
  </si>
  <si>
    <t>2</t>
  </si>
  <si>
    <t>Índice do 5º ano</t>
  </si>
  <si>
    <t>Qualidade por etapa (5º ano).</t>
  </si>
  <si>
    <t>IQ5 = 0,5·IDE5 + 0,5·DeltaIDEN5</t>
  </si>
  <si>
    <t>5</t>
  </si>
  <si>
    <t>Índice de Desempenho 2º</t>
  </si>
  <si>
    <t>Nível atual de desempenho do 2º ano.</t>
  </si>
  <si>
    <t>IDE2 = 0,6·IDELP2 + 0,4·IDEMT2</t>
  </si>
  <si>
    <t>Fotografia do nível (não melhoria).</t>
  </si>
  <si>
    <t>Índice de Desempenho 5º</t>
  </si>
  <si>
    <t>Nível atual de desempenho do 5º ano.</t>
  </si>
  <si>
    <t>IDE5 = 0,5·IDELP5 + 0,5·IDEMT5</t>
  </si>
  <si>
    <t>Ganho anual do IDE (2º)</t>
  </si>
  <si>
    <t>Melhoria anual do IDE do 2º ano, normalizada (0 a 1).</t>
  </si>
  <si>
    <t>ΔIDEN2 = norm(IDE2_t − IDE2_t-1)</t>
  </si>
  <si>
    <t>Altos valores indicam avanço.</t>
  </si>
  <si>
    <t>Ganho anual do IDE (5º)</t>
  </si>
  <si>
    <t>Melhoria anual do IDE do 5º ano, normalizada (0 a 1).</t>
  </si>
  <si>
    <t>ΔIDEN5 = norm(IDE5_t − IDE5_t-1)</t>
  </si>
  <si>
    <t>IDELP2</t>
  </si>
  <si>
    <t>IDE Língua Portuguesa 2º</t>
  </si>
  <si>
    <t>Índice por disciplina/etapa: PMN + IDA + TP.</t>
  </si>
  <si>
    <t>IDELP2 = 0,5·PMNLP2 + 0,25·IDALP2 + 0,25·TPLP2</t>
  </si>
  <si>
    <t>TP também afeta o índice.</t>
  </si>
  <si>
    <t>LP</t>
  </si>
  <si>
    <t>IDELP5</t>
  </si>
  <si>
    <t>IDE Língua Portuguesa 5º</t>
  </si>
  <si>
    <t>IDELP5 = 0,5·PMNLP5 + 0,25·IDALP5 + 0,25·TPLP5</t>
  </si>
  <si>
    <t>IDEMT2</t>
  </si>
  <si>
    <t>IDE Matemática 2º</t>
  </si>
  <si>
    <t>IDEMT2 = 0,5·PMNMT2 + 0,25·IDAMT2 + 0,25·TPMT2</t>
  </si>
  <si>
    <t>MT</t>
  </si>
  <si>
    <t>IDEMT5</t>
  </si>
  <si>
    <t>IDE Matemática 5º</t>
  </si>
  <si>
    <t>IDEMT5 = 0,5·PMNMT5 + 0,25·IDAMT5 + 0,25·TPMT5</t>
  </si>
  <si>
    <t>PMN2</t>
  </si>
  <si>
    <t>Proficiência Média Normalizada (2º)</t>
  </si>
  <si>
    <t>Agregado de PMN por etapa.</t>
  </si>
  <si>
    <t>PMN2 = 0,6·PMNLP2 + 0,4·PMNMT2</t>
  </si>
  <si>
    <t>Normaliza proficiências por média/DP.</t>
  </si>
  <si>
    <t>PMN5</t>
  </si>
  <si>
    <t>Proficiência Média Normalizada (5º)</t>
  </si>
  <si>
    <t>PMN5 = 0,5·PMNLP5 + 0,5·PMNMT5</t>
  </si>
  <si>
    <t>IDA2</t>
  </si>
  <si>
    <t>Distribuição nos Padrões (2º)</t>
  </si>
  <si>
    <t>Agregado de IDA por etapa.</t>
  </si>
  <si>
    <t>IDA2 = 0,6·IDALP2 + 0,4·IDAMT2</t>
  </si>
  <si>
    <t>Mais alunos Profic./Avançado = melhor.</t>
  </si>
  <si>
    <t>IDA5</t>
  </si>
  <si>
    <t>Distribuição nos Padrões (5º)</t>
  </si>
  <si>
    <t>IDA5 = 0,5·IDALP5 + 0,5·IDAMT5</t>
  </si>
  <si>
    <t>PMN Língua Portuguesa 2º</t>
  </si>
  <si>
    <t>Proficiência normalizada em LP no 2º ano.</t>
  </si>
  <si>
    <t>Padronização por média/DP de referência.</t>
  </si>
  <si>
    <t>PMN Matemática 2º</t>
  </si>
  <si>
    <t>Proficiência normalizada em MT no 2º ano.</t>
  </si>
  <si>
    <t>PMN Língua Portuguesa 5º</t>
  </si>
  <si>
    <t>Proficiência normalizada em LP no 5º ano.</t>
  </si>
  <si>
    <t>PMN Matemática 5º</t>
  </si>
  <si>
    <t>Proficiência normalizada em MT no 5º ano.</t>
  </si>
  <si>
    <t>IDA Língua Portuguesa 2º</t>
  </si>
  <si>
    <t>Distribuição em padrões (LP) no 2º ano.</t>
  </si>
  <si>
    <t>Peso maior para Proficiente/Avançado.</t>
  </si>
  <si>
    <t>IDA Matemática 2º</t>
  </si>
  <si>
    <t>Distribuição em padrões (MT) no 2º ano.</t>
  </si>
  <si>
    <t>IDA Língua Portuguesa 5º</t>
  </si>
  <si>
    <t>Distribuição em padrões (LP) no 5º ano.</t>
  </si>
  <si>
    <t>IDA Matemática 5º</t>
  </si>
  <si>
    <t>Distribuição em padrões (MT) no 5º ano.</t>
  </si>
  <si>
    <t>Taxa de Participação LP 2º</t>
  </si>
  <si>
    <t>Participação dos alunos avaliados (LP) no 2º ano.</t>
  </si>
  <si>
    <t>Proporção de alunos avaliados.</t>
  </si>
  <si>
    <t>Participacao</t>
  </si>
  <si>
    <t>Taxa de Participação MT 2º</t>
  </si>
  <si>
    <t>Participação dos alunos avaliados (MT) no 2º ano.</t>
  </si>
  <si>
    <t>Taxa de Participação LP 5º</t>
  </si>
  <si>
    <t>Participação dos alunos avaliados (LP) no 5º ano.</t>
  </si>
  <si>
    <t>Taxa de Participação MT 5º</t>
  </si>
  <si>
    <t>Participação dos alunos avaliados (MT) no 5º ano.</t>
  </si>
  <si>
    <t>Microrregiao</t>
  </si>
  <si>
    <t>Regiao</t>
  </si>
  <si>
    <t>UF</t>
  </si>
  <si>
    <t>Instruções</t>
  </si>
  <si>
    <t>MODELO DE DADOS PARA PAINEL IQE (ES)</t>
  </si>
  <si>
    <t>Como atualizar todo ano:</t>
  </si>
  <si>
    <t>1) Acrescente novas linhas (Ano=2026, 2027, ...) em Base_Painel e Fato_Indicadores.</t>
  </si>
  <si>
    <t>2) Use sempre os mesmos nomes de colunas; não mesclar células; não inserir linhas de títulos extras.</t>
  </si>
  <si>
    <t>3) Deixe valores numéricos sem formatação de % (o BI formata).</t>
  </si>
  <si>
    <t>4) 'Ano' em inteiro (ex.: 2024). Nulos = célula em branco.</t>
  </si>
  <si>
    <t>5) Ranking e médias do ES são calculados no BI (não precisam estar aqui).</t>
  </si>
  <si>
    <t>6) Chave recomendada: CodigoMunicipio (IBGE) + Ano.</t>
  </si>
  <si>
    <t>7) DataAtualizacao e VersaoDados ajudam no controle de versões.</t>
  </si>
  <si>
    <t>8) IMEG é normalizado por ano; para evolução da equidade apoiar-se em IVEC/ΔDESV.</t>
  </si>
  <si>
    <t>Modelo gerado em 2025-10-06.</t>
  </si>
  <si>
    <t>Município</t>
  </si>
  <si>
    <t>ΔDESVFSEtMT2</t>
  </si>
  <si>
    <t>ICMS_Educacional_Estimado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</si>
</sst>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44" fontId="3" fillId="0" borderId="1" xfId="1" applyFont="1" applyBorder="1" applyAlignment="1">
      <alignment horizontal="center" vertical="top"/>
    </xf>
    <xf numFmtId="44" fontId="5" fillId="0" borderId="0" xfId="1" applyFont="1" applyAlignment="1">
      <alignment horizontal="center" vertical="top"/>
    </xf>
    <xf numFmtId="44" fontId="4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/Downloads/Ranking%20ICMS%20Educ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ágina1"/>
    </sheetNames>
    <sheetDataSet>
      <sheetData sheetId="0">
        <row r="1">
          <cell r="A1" t="str">
            <v>MUNICÍPIO</v>
          </cell>
          <cell r="B1" t="str">
            <v>2024_RANKING</v>
          </cell>
          <cell r="C1" t="str">
            <v>2025_RANKING</v>
          </cell>
          <cell r="D1" t="str">
            <v>ICMS Educacional_2025*</v>
          </cell>
          <cell r="E1" t="str">
            <v>ICMS Educacional_2026**</v>
          </cell>
        </row>
        <row r="2">
          <cell r="A2" t="str">
            <v>AFONSO CLAUDIO</v>
          </cell>
          <cell r="B2">
            <v>45</v>
          </cell>
          <cell r="C2">
            <v>27</v>
          </cell>
          <cell r="D2">
            <v>7049377.9900000002</v>
          </cell>
          <cell r="E2">
            <v>11559294.01</v>
          </cell>
        </row>
        <row r="3">
          <cell r="A3" t="str">
            <v>AGUA DOCE DO NORTE</v>
          </cell>
          <cell r="B3">
            <v>21</v>
          </cell>
          <cell r="C3">
            <v>16</v>
          </cell>
          <cell r="D3">
            <v>7561585.1399999997</v>
          </cell>
          <cell r="E3">
            <v>11992741.07</v>
          </cell>
        </row>
        <row r="4">
          <cell r="A4" t="str">
            <v>AGUIA BRANCA</v>
          </cell>
          <cell r="B4">
            <v>7</v>
          </cell>
          <cell r="C4">
            <v>17</v>
          </cell>
          <cell r="D4">
            <v>8293670.0099999998</v>
          </cell>
          <cell r="E4">
            <v>11971597.59</v>
          </cell>
        </row>
        <row r="5">
          <cell r="A5" t="str">
            <v>ALEGRE</v>
          </cell>
          <cell r="B5">
            <v>69</v>
          </cell>
          <cell r="C5">
            <v>7</v>
          </cell>
          <cell r="D5">
            <v>5703639.46</v>
          </cell>
          <cell r="E5">
            <v>13049081</v>
          </cell>
        </row>
        <row r="6">
          <cell r="A6" t="str">
            <v>ALFREDO CHAVES</v>
          </cell>
          <cell r="B6">
            <v>40</v>
          </cell>
          <cell r="C6">
            <v>12</v>
          </cell>
          <cell r="D6">
            <v>7221047.0700000003</v>
          </cell>
          <cell r="E6">
            <v>12369102.34</v>
          </cell>
        </row>
        <row r="7">
          <cell r="A7" t="str">
            <v>ALTO RIO NOVO</v>
          </cell>
          <cell r="B7">
            <v>53</v>
          </cell>
          <cell r="C7">
            <v>18</v>
          </cell>
          <cell r="D7">
            <v>6733282.21</v>
          </cell>
          <cell r="E7">
            <v>11957393.08</v>
          </cell>
        </row>
        <row r="8">
          <cell r="A8" t="str">
            <v>ANCHIETA</v>
          </cell>
          <cell r="B8">
            <v>52</v>
          </cell>
          <cell r="C8">
            <v>32</v>
          </cell>
          <cell r="D8">
            <v>6755992.5999999996</v>
          </cell>
          <cell r="E8">
            <v>11358638.85</v>
          </cell>
        </row>
        <row r="9">
          <cell r="A9" t="str">
            <v>APIACA</v>
          </cell>
          <cell r="B9">
            <v>48</v>
          </cell>
          <cell r="C9">
            <v>57</v>
          </cell>
          <cell r="D9">
            <v>6952552.5599999996</v>
          </cell>
          <cell r="E9">
            <v>10419053.48</v>
          </cell>
        </row>
        <row r="10">
          <cell r="A10" t="str">
            <v>ARACRUZ</v>
          </cell>
          <cell r="B10">
            <v>47</v>
          </cell>
          <cell r="C10">
            <v>69</v>
          </cell>
          <cell r="D10">
            <v>6962938.6799999997</v>
          </cell>
          <cell r="E10">
            <v>10009911.67</v>
          </cell>
        </row>
        <row r="11">
          <cell r="A11" t="str">
            <v>ATILIO VIVACQUA</v>
          </cell>
          <cell r="B11">
            <v>1</v>
          </cell>
          <cell r="C11">
            <v>78</v>
          </cell>
          <cell r="D11">
            <v>8993902.3499999996</v>
          </cell>
          <cell r="E11">
            <v>8549645.8599999994</v>
          </cell>
        </row>
        <row r="12">
          <cell r="A12" t="str">
            <v>BAIXO GUANDU</v>
          </cell>
          <cell r="B12">
            <v>59</v>
          </cell>
          <cell r="C12">
            <v>41</v>
          </cell>
          <cell r="D12">
            <v>6363408.96</v>
          </cell>
          <cell r="E12">
            <v>10982891.869999999</v>
          </cell>
        </row>
        <row r="13">
          <cell r="A13" t="str">
            <v>BARRA DE SAO FRANCISCO</v>
          </cell>
          <cell r="B13">
            <v>33</v>
          </cell>
          <cell r="C13">
            <v>33</v>
          </cell>
          <cell r="D13">
            <v>7433087.6100000003</v>
          </cell>
          <cell r="E13">
            <v>11356893.960000001</v>
          </cell>
        </row>
        <row r="14">
          <cell r="A14" t="str">
            <v>BOA ESPERANCA</v>
          </cell>
          <cell r="B14">
            <v>16</v>
          </cell>
          <cell r="C14">
            <v>11</v>
          </cell>
          <cell r="D14">
            <v>7694374.2999999998</v>
          </cell>
          <cell r="E14">
            <v>12465802.619999999</v>
          </cell>
        </row>
        <row r="15">
          <cell r="A15" t="str">
            <v>BOM JESUS DO NORTE</v>
          </cell>
          <cell r="B15">
            <v>13</v>
          </cell>
          <cell r="C15">
            <v>76</v>
          </cell>
          <cell r="D15">
            <v>7806348.3799999999</v>
          </cell>
          <cell r="E15">
            <v>9043971.9700000007</v>
          </cell>
        </row>
        <row r="16">
          <cell r="A16" t="str">
            <v>BREJETUBA</v>
          </cell>
          <cell r="B16">
            <v>70</v>
          </cell>
          <cell r="C16">
            <v>10</v>
          </cell>
          <cell r="D16">
            <v>5691232.2400000002</v>
          </cell>
          <cell r="E16">
            <v>12575464.539999999</v>
          </cell>
        </row>
        <row r="17">
          <cell r="A17" t="str">
            <v>CACHOEIRO DE ITAPEMIRIM</v>
          </cell>
          <cell r="B17">
            <v>25</v>
          </cell>
          <cell r="C17">
            <v>43</v>
          </cell>
          <cell r="D17">
            <v>7552469.4199999999</v>
          </cell>
          <cell r="E17">
            <v>10926586.609999999</v>
          </cell>
        </row>
        <row r="18">
          <cell r="A18" t="str">
            <v>CARIACICA</v>
          </cell>
          <cell r="B18">
            <v>66</v>
          </cell>
          <cell r="C18">
            <v>46</v>
          </cell>
          <cell r="D18">
            <v>5948161.5999999996</v>
          </cell>
          <cell r="E18">
            <v>10804545.34</v>
          </cell>
        </row>
        <row r="19">
          <cell r="A19" t="str">
            <v>CASTELO</v>
          </cell>
          <cell r="B19">
            <v>34</v>
          </cell>
          <cell r="C19">
            <v>28</v>
          </cell>
          <cell r="D19">
            <v>7376358.1200000001</v>
          </cell>
          <cell r="E19">
            <v>11534263.439999999</v>
          </cell>
        </row>
        <row r="20">
          <cell r="A20" t="str">
            <v>COLATINA</v>
          </cell>
          <cell r="B20">
            <v>68</v>
          </cell>
          <cell r="C20">
            <v>35</v>
          </cell>
          <cell r="D20">
            <v>5872624.3099999996</v>
          </cell>
          <cell r="E20">
            <v>11285933.300000001</v>
          </cell>
        </row>
        <row r="21">
          <cell r="A21" t="str">
            <v>CONCEICAO DA BARRA</v>
          </cell>
          <cell r="B21">
            <v>35</v>
          </cell>
          <cell r="C21">
            <v>48</v>
          </cell>
          <cell r="D21">
            <v>7093835.1900000004</v>
          </cell>
          <cell r="E21">
            <v>10160040.050000001</v>
          </cell>
        </row>
        <row r="23">
          <cell r="A23" t="str">
            <v>MUNICÍPIO</v>
          </cell>
          <cell r="B23" t="str">
            <v>2024_RANKING</v>
          </cell>
          <cell r="C23" t="str">
            <v>2025_RANKING</v>
          </cell>
          <cell r="D23" t="str">
            <v>ICMS Educacional_2025*</v>
          </cell>
          <cell r="E23" t="str">
            <v>ICMS Educacional_2026**</v>
          </cell>
        </row>
        <row r="24">
          <cell r="A24" t="str">
            <v>CONCEICAO DO CASTELO</v>
          </cell>
          <cell r="B24">
            <v>44</v>
          </cell>
          <cell r="C24">
            <v>65</v>
          </cell>
          <cell r="D24">
            <v>7346675.0099999998</v>
          </cell>
          <cell r="E24">
            <v>10655601.689999999</v>
          </cell>
        </row>
        <row r="25">
          <cell r="A25" t="str">
            <v>DIVINO DE SAO LOURENCO</v>
          </cell>
          <cell r="B25">
            <v>76</v>
          </cell>
          <cell r="C25">
            <v>1</v>
          </cell>
          <cell r="D25">
            <v>5209282.93</v>
          </cell>
          <cell r="E25">
            <v>14791266.699999999</v>
          </cell>
        </row>
        <row r="26">
          <cell r="A26" t="str">
            <v>DOMINGOS MARTINS</v>
          </cell>
          <cell r="B26">
            <v>37</v>
          </cell>
          <cell r="C26">
            <v>61</v>
          </cell>
          <cell r="D26">
            <v>7260513.96</v>
          </cell>
          <cell r="E26">
            <v>10313243.48</v>
          </cell>
        </row>
        <row r="27">
          <cell r="A27" t="str">
            <v>DORES DO RIO PRETO</v>
          </cell>
          <cell r="B27">
            <v>5</v>
          </cell>
          <cell r="C27">
            <v>37</v>
          </cell>
          <cell r="D27">
            <v>8402979.4499999993</v>
          </cell>
          <cell r="E27">
            <v>11213194.619999999</v>
          </cell>
        </row>
        <row r="28">
          <cell r="A28" t="str">
            <v>ECOPORANGA</v>
          </cell>
          <cell r="B28">
            <v>24</v>
          </cell>
          <cell r="C28">
            <v>3</v>
          </cell>
          <cell r="D28">
            <v>7557010.0300000003</v>
          </cell>
          <cell r="E28">
            <v>13731461.699999999</v>
          </cell>
        </row>
        <row r="29">
          <cell r="A29" t="str">
            <v>FUNDAO</v>
          </cell>
          <cell r="B29">
            <v>32</v>
          </cell>
          <cell r="C29">
            <v>30</v>
          </cell>
          <cell r="D29">
            <v>7444938.5700000003</v>
          </cell>
          <cell r="E29">
            <v>11417160.92</v>
          </cell>
        </row>
        <row r="30">
          <cell r="A30" t="str">
            <v>GOVERNADOR LINDENBERG</v>
          </cell>
          <cell r="B30">
            <v>64</v>
          </cell>
          <cell r="C30">
            <v>58</v>
          </cell>
          <cell r="D30">
            <v>6238988.0999999996</v>
          </cell>
          <cell r="E30">
            <v>10414201.130000001</v>
          </cell>
        </row>
        <row r="31">
          <cell r="A31" t="str">
            <v>GUACUI</v>
          </cell>
          <cell r="B31">
            <v>49</v>
          </cell>
          <cell r="C31">
            <v>54</v>
          </cell>
          <cell r="D31">
            <v>6865257.1100000003</v>
          </cell>
          <cell r="E31">
            <v>10492723.550000001</v>
          </cell>
        </row>
        <row r="32">
          <cell r="A32" t="str">
            <v>GUARAPARI</v>
          </cell>
          <cell r="B32">
            <v>29</v>
          </cell>
          <cell r="C32">
            <v>51</v>
          </cell>
          <cell r="D32">
            <v>7463329.1500000004</v>
          </cell>
          <cell r="E32">
            <v>10576883.43</v>
          </cell>
        </row>
        <row r="33">
          <cell r="A33" t="str">
            <v>IBATIBA</v>
          </cell>
          <cell r="B33">
            <v>60</v>
          </cell>
          <cell r="C33">
            <v>59</v>
          </cell>
          <cell r="D33">
            <v>6361708.9400000004</v>
          </cell>
          <cell r="E33">
            <v>10384121.32</v>
          </cell>
        </row>
        <row r="34">
          <cell r="A34" t="str">
            <v>IBIRACU</v>
          </cell>
          <cell r="B34">
            <v>11</v>
          </cell>
          <cell r="C34">
            <v>47</v>
          </cell>
          <cell r="D34">
            <v>7954245.1200000001</v>
          </cell>
          <cell r="E34">
            <v>10761445.800000001</v>
          </cell>
        </row>
        <row r="35">
          <cell r="A35" t="str">
            <v>IBITIRAMA</v>
          </cell>
          <cell r="B35">
            <v>6</v>
          </cell>
          <cell r="C35">
            <v>63</v>
          </cell>
          <cell r="D35">
            <v>8314176.5599999996</v>
          </cell>
          <cell r="E35">
            <v>10227292.15</v>
          </cell>
        </row>
        <row r="36">
          <cell r="A36" t="str">
            <v>ICONHA</v>
          </cell>
          <cell r="B36">
            <v>62</v>
          </cell>
          <cell r="C36">
            <v>52</v>
          </cell>
          <cell r="D36">
            <v>6324467.3799999999</v>
          </cell>
          <cell r="E36">
            <v>10518363.970000001</v>
          </cell>
        </row>
        <row r="37">
          <cell r="A37" t="str">
            <v>IRUPI</v>
          </cell>
          <cell r="B37">
            <v>58</v>
          </cell>
          <cell r="C37">
            <v>6</v>
          </cell>
          <cell r="D37">
            <v>6526865.6399999997</v>
          </cell>
          <cell r="E37">
            <v>13135245.1</v>
          </cell>
        </row>
        <row r="38">
          <cell r="A38" t="str">
            <v>ITAGUACU</v>
          </cell>
          <cell r="B38">
            <v>36</v>
          </cell>
          <cell r="C38">
            <v>9</v>
          </cell>
          <cell r="D38">
            <v>7304259.2599999998</v>
          </cell>
          <cell r="E38">
            <v>12634706.890000001</v>
          </cell>
        </row>
        <row r="39">
          <cell r="A39" t="str">
            <v>ITAPEMIRIM</v>
          </cell>
          <cell r="B39">
            <v>46</v>
          </cell>
          <cell r="C39">
            <v>22</v>
          </cell>
          <cell r="D39">
            <v>7036318.7599999998</v>
          </cell>
          <cell r="E39">
            <v>11812755.220000001</v>
          </cell>
        </row>
        <row r="40">
          <cell r="A40" t="str">
            <v>ITARANA</v>
          </cell>
          <cell r="B40">
            <v>15</v>
          </cell>
          <cell r="C40">
            <v>72</v>
          </cell>
          <cell r="D40">
            <v>7731110.6100000003</v>
          </cell>
          <cell r="E40">
            <v>9731938.4299999997</v>
          </cell>
        </row>
        <row r="41">
          <cell r="A41" t="str">
            <v>IUNA</v>
          </cell>
          <cell r="B41">
            <v>51</v>
          </cell>
          <cell r="C41">
            <v>74</v>
          </cell>
          <cell r="D41">
            <v>6756275.2199999997</v>
          </cell>
          <cell r="E41">
            <v>9595597.5</v>
          </cell>
        </row>
        <row r="42">
          <cell r="A42" t="str">
            <v>JAGUARE</v>
          </cell>
          <cell r="B42">
            <v>57</v>
          </cell>
          <cell r="C42">
            <v>53</v>
          </cell>
          <cell r="D42">
            <v>6567858.2800000003</v>
          </cell>
          <cell r="E42">
            <v>10506673.689999999</v>
          </cell>
        </row>
        <row r="43">
          <cell r="A43" t="str">
            <v>JERONIMO MONTEIRO</v>
          </cell>
          <cell r="B43">
            <v>73</v>
          </cell>
          <cell r="C43">
            <v>29</v>
          </cell>
          <cell r="D43">
            <v>5471267.4199999999</v>
          </cell>
          <cell r="E43">
            <v>11425771.35</v>
          </cell>
        </row>
        <row r="45">
          <cell r="A45" t="str">
            <v>MUNICÍPIO</v>
          </cell>
          <cell r="B45" t="str">
            <v>2024_RANKING</v>
          </cell>
          <cell r="C45" t="str">
            <v>2025_RANKING</v>
          </cell>
          <cell r="D45" t="str">
            <v>ICMS Educacional_2025*</v>
          </cell>
          <cell r="E45" t="str">
            <v>ICMS Educacional_2026**</v>
          </cell>
        </row>
        <row r="46">
          <cell r="A46" t="str">
            <v>JOAO NEIVA</v>
          </cell>
          <cell r="B46">
            <v>71</v>
          </cell>
          <cell r="C46">
            <v>66</v>
          </cell>
          <cell r="D46">
            <v>5562841.21</v>
          </cell>
          <cell r="E46">
            <v>10106140.390000001</v>
          </cell>
        </row>
        <row r="47">
          <cell r="A47" t="str">
            <v>LARANJA DA TERRA</v>
          </cell>
          <cell r="B47">
            <v>4</v>
          </cell>
          <cell r="C47">
            <v>26</v>
          </cell>
          <cell r="D47">
            <v>8448353.7200000007</v>
          </cell>
          <cell r="E47">
            <v>11598269.92</v>
          </cell>
        </row>
        <row r="48">
          <cell r="A48" t="str">
            <v>LINHARES</v>
          </cell>
          <cell r="B48">
            <v>63</v>
          </cell>
          <cell r="C48">
            <v>71</v>
          </cell>
          <cell r="D48">
            <v>6300007.9299999997</v>
          </cell>
          <cell r="E48">
            <v>9848254.6500000004</v>
          </cell>
        </row>
        <row r="49">
          <cell r="A49" t="str">
            <v>MANTENOPOLIS</v>
          </cell>
          <cell r="B49">
            <v>2</v>
          </cell>
          <cell r="C49">
            <v>39</v>
          </cell>
          <cell r="D49">
            <v>8755943.7599999998</v>
          </cell>
          <cell r="E49">
            <v>11100131.789999999</v>
          </cell>
        </row>
        <row r="50">
          <cell r="A50" t="str">
            <v>MARATAIZES</v>
          </cell>
          <cell r="B50">
            <v>3</v>
          </cell>
          <cell r="C50">
            <v>60</v>
          </cell>
          <cell r="D50">
            <v>8651146.0700000003</v>
          </cell>
          <cell r="E50">
            <v>10380618.51</v>
          </cell>
        </row>
        <row r="51">
          <cell r="A51" t="str">
            <v>MARECHAL FLORIANO</v>
          </cell>
          <cell r="B51">
            <v>54</v>
          </cell>
          <cell r="C51">
            <v>44</v>
          </cell>
          <cell r="D51">
            <v>6660430.2199999997</v>
          </cell>
          <cell r="E51">
            <v>10920215.310000001</v>
          </cell>
        </row>
        <row r="52">
          <cell r="A52" t="str">
            <v>MARILANDIA</v>
          </cell>
          <cell r="B52">
            <v>42</v>
          </cell>
          <cell r="C52">
            <v>64</v>
          </cell>
          <cell r="D52">
            <v>7130765.8300000001</v>
          </cell>
          <cell r="E52">
            <v>10160653.390000001</v>
          </cell>
        </row>
        <row r="53">
          <cell r="A53" t="str">
            <v>MIMOSO DO SUL</v>
          </cell>
          <cell r="B53">
            <v>18</v>
          </cell>
          <cell r="C53">
            <v>55</v>
          </cell>
          <cell r="D53">
            <v>7608507.4400000004</v>
          </cell>
          <cell r="E53">
            <v>10444146.34</v>
          </cell>
        </row>
        <row r="54">
          <cell r="A54" t="str">
            <v>MONTANHA</v>
          </cell>
          <cell r="B54">
            <v>61</v>
          </cell>
          <cell r="C54">
            <v>8</v>
          </cell>
          <cell r="D54">
            <v>6325506.7000000002</v>
          </cell>
          <cell r="E54">
            <v>12835252.15</v>
          </cell>
        </row>
        <row r="55">
          <cell r="A55" t="str">
            <v>MUCURICI</v>
          </cell>
          <cell r="B55">
            <v>56</v>
          </cell>
          <cell r="C55">
            <v>4</v>
          </cell>
          <cell r="D55">
            <v>6587956.8399999999</v>
          </cell>
          <cell r="E55">
            <v>13525323.529999999</v>
          </cell>
        </row>
        <row r="56">
          <cell r="A56" t="str">
            <v>MUNIZ FREIRE</v>
          </cell>
          <cell r="B56">
            <v>39</v>
          </cell>
          <cell r="C56">
            <v>49</v>
          </cell>
          <cell r="D56">
            <v>7222340.0199999996</v>
          </cell>
          <cell r="E56">
            <v>10603356.029999999</v>
          </cell>
        </row>
        <row r="57">
          <cell r="A57" t="str">
            <v>MUQUI</v>
          </cell>
          <cell r="B57">
            <v>10</v>
          </cell>
          <cell r="C57">
            <v>68</v>
          </cell>
          <cell r="D57">
            <v>7996764.0800000001</v>
          </cell>
          <cell r="E57">
            <v>10058949.4</v>
          </cell>
        </row>
        <row r="58">
          <cell r="A58" t="str">
            <v>NOVA VENECIA</v>
          </cell>
          <cell r="B58">
            <v>19</v>
          </cell>
          <cell r="C58">
            <v>62</v>
          </cell>
          <cell r="D58">
            <v>7593712.5999999996</v>
          </cell>
          <cell r="E58">
            <v>10239199.24</v>
          </cell>
        </row>
        <row r="59">
          <cell r="A59" t="str">
            <v>PANCAS</v>
          </cell>
          <cell r="B59">
            <v>22</v>
          </cell>
          <cell r="C59">
            <v>5</v>
          </cell>
          <cell r="D59">
            <v>7561566.0300000003</v>
          </cell>
          <cell r="E59">
            <v>13154107.060000001</v>
          </cell>
        </row>
        <row r="60">
          <cell r="A60" t="str">
            <v>PEDRO CANARIO</v>
          </cell>
          <cell r="B60">
            <v>67</v>
          </cell>
          <cell r="C60">
            <v>13</v>
          </cell>
          <cell r="D60">
            <v>5931348.3300000001</v>
          </cell>
          <cell r="E60">
            <v>12303483.369999999</v>
          </cell>
        </row>
        <row r="61">
          <cell r="A61" t="str">
            <v>PINHEIROS</v>
          </cell>
          <cell r="B61">
            <v>26</v>
          </cell>
          <cell r="C61">
            <v>21</v>
          </cell>
          <cell r="D61">
            <v>7523399.8799999999</v>
          </cell>
          <cell r="E61">
            <v>11821472.529999999</v>
          </cell>
        </row>
        <row r="62">
          <cell r="A62" t="str">
            <v>PIUMA</v>
          </cell>
          <cell r="B62">
            <v>75</v>
          </cell>
          <cell r="C62">
            <v>25</v>
          </cell>
          <cell r="D62">
            <v>5365292.04</v>
          </cell>
          <cell r="E62">
            <v>11628453.09</v>
          </cell>
        </row>
        <row r="63">
          <cell r="A63" t="str">
            <v>PONTO BELO</v>
          </cell>
          <cell r="B63">
            <v>14</v>
          </cell>
          <cell r="C63">
            <v>40</v>
          </cell>
          <cell r="D63">
            <v>7791676.29</v>
          </cell>
          <cell r="E63">
            <v>11077361.74</v>
          </cell>
        </row>
        <row r="64">
          <cell r="A64" t="str">
            <v>PRESIDENTE KENNEDY</v>
          </cell>
          <cell r="B64">
            <v>23</v>
          </cell>
          <cell r="C64">
            <v>23</v>
          </cell>
          <cell r="D64">
            <v>7560145.1399999997</v>
          </cell>
          <cell r="E64">
            <v>11732435.25</v>
          </cell>
        </row>
        <row r="65">
          <cell r="A65" t="str">
            <v>RIO BANANAL</v>
          </cell>
          <cell r="B65">
            <v>74</v>
          </cell>
          <cell r="C65">
            <v>31</v>
          </cell>
          <cell r="D65">
            <v>5431522.5700000003</v>
          </cell>
          <cell r="E65">
            <v>11400514.07</v>
          </cell>
        </row>
        <row r="67">
          <cell r="A67" t="str">
            <v>MUNICÍPIO</v>
          </cell>
          <cell r="B67" t="str">
            <v>2024_RANKING</v>
          </cell>
          <cell r="C67" t="str">
            <v>2025_RANKING</v>
          </cell>
          <cell r="D67" t="str">
            <v>ICMS Educacional_2025*</v>
          </cell>
          <cell r="E67" t="str">
            <v>ICMS Educacional_2026**</v>
          </cell>
        </row>
        <row r="68">
          <cell r="A68" t="str">
            <v>RIO NOVO DO SUL</v>
          </cell>
          <cell r="B68">
            <v>17</v>
          </cell>
          <cell r="C68">
            <v>20</v>
          </cell>
          <cell r="D68">
            <v>7664044.7599999998</v>
          </cell>
          <cell r="E68">
            <v>11886393.029999999</v>
          </cell>
        </row>
        <row r="69">
          <cell r="A69" t="str">
            <v>SANTA LEOPOLDINA</v>
          </cell>
          <cell r="B69">
            <v>27</v>
          </cell>
          <cell r="C69">
            <v>67</v>
          </cell>
          <cell r="D69">
            <v>7516694.6799999997</v>
          </cell>
          <cell r="E69">
            <v>10074656.42</v>
          </cell>
        </row>
        <row r="70">
          <cell r="A70" t="str">
            <v>SANTA MARIA DE JETIBA</v>
          </cell>
          <cell r="B70">
            <v>9</v>
          </cell>
          <cell r="C70">
            <v>38</v>
          </cell>
          <cell r="D70">
            <v>8178487.2800000003</v>
          </cell>
          <cell r="E70">
            <v>11199256.630000001</v>
          </cell>
        </row>
        <row r="71">
          <cell r="A71" t="str">
            <v>SANTA TERESA</v>
          </cell>
          <cell r="B71">
            <v>12</v>
          </cell>
          <cell r="C71">
            <v>42</v>
          </cell>
          <cell r="D71">
            <v>7919364.54</v>
          </cell>
          <cell r="E71">
            <v>10977428.16</v>
          </cell>
        </row>
        <row r="72">
          <cell r="A72" t="str">
            <v>SAO DOMINGOS DO NORTE</v>
          </cell>
          <cell r="B72">
            <v>28</v>
          </cell>
          <cell r="C72">
            <v>19</v>
          </cell>
          <cell r="D72">
            <v>7503173.1200000001</v>
          </cell>
          <cell r="E72">
            <v>11900594.300000001</v>
          </cell>
        </row>
        <row r="73">
          <cell r="A73" t="str">
            <v>SAO GABRIEL DA PALHA</v>
          </cell>
          <cell r="B73">
            <v>77</v>
          </cell>
          <cell r="C73">
            <v>24</v>
          </cell>
          <cell r="D73">
            <v>4919309.21</v>
          </cell>
          <cell r="E73">
            <v>11628951.73</v>
          </cell>
        </row>
        <row r="74">
          <cell r="A74" t="str">
            <v>SAO JOSE DO CALCADO</v>
          </cell>
          <cell r="B74">
            <v>38</v>
          </cell>
          <cell r="C74">
            <v>14</v>
          </cell>
          <cell r="D74">
            <v>7249342.25</v>
          </cell>
          <cell r="E74">
            <v>12095820.470000001</v>
          </cell>
        </row>
        <row r="75">
          <cell r="A75" t="str">
            <v>SAO MATEUS</v>
          </cell>
          <cell r="B75">
            <v>31</v>
          </cell>
          <cell r="C75">
            <v>50</v>
          </cell>
          <cell r="D75">
            <v>7457645.0199999996</v>
          </cell>
          <cell r="E75">
            <v>10596425.51</v>
          </cell>
        </row>
        <row r="76">
          <cell r="A76" t="str">
            <v>SAO ROQUE DO CANAA</v>
          </cell>
          <cell r="B76">
            <v>72</v>
          </cell>
          <cell r="C76">
            <v>2</v>
          </cell>
          <cell r="D76">
            <v>5562655.1500000004</v>
          </cell>
          <cell r="E76">
            <v>14559574.18</v>
          </cell>
        </row>
        <row r="77">
          <cell r="A77" t="str">
            <v>SERRA</v>
          </cell>
          <cell r="B77">
            <v>65</v>
          </cell>
          <cell r="C77">
            <v>75</v>
          </cell>
          <cell r="D77">
            <v>6093802.5999999996</v>
          </cell>
          <cell r="E77">
            <v>9317054.4199999999</v>
          </cell>
        </row>
        <row r="78">
          <cell r="A78" t="str">
            <v>SOORETAMA</v>
          </cell>
          <cell r="B78">
            <v>55</v>
          </cell>
          <cell r="C78">
            <v>70</v>
          </cell>
          <cell r="D78">
            <v>6639026</v>
          </cell>
          <cell r="E78">
            <v>9935552.7599999998</v>
          </cell>
        </row>
        <row r="79">
          <cell r="A79" t="str">
            <v>VARGEM ALTA</v>
          </cell>
          <cell r="B79">
            <v>78</v>
          </cell>
          <cell r="C79">
            <v>34</v>
          </cell>
          <cell r="D79">
            <v>4857472.62</v>
          </cell>
          <cell r="E79">
            <v>11306107.810000001</v>
          </cell>
        </row>
        <row r="80">
          <cell r="A80" t="str">
            <v>VENDA NOVA DO IMIGRANTE</v>
          </cell>
          <cell r="B80">
            <v>8</v>
          </cell>
          <cell r="C80">
            <v>73</v>
          </cell>
          <cell r="D80">
            <v>8203428.9699999997</v>
          </cell>
          <cell r="E80">
            <v>9623760.3000000007</v>
          </cell>
        </row>
        <row r="81">
          <cell r="A81" t="str">
            <v>VIANA</v>
          </cell>
          <cell r="B81">
            <v>41</v>
          </cell>
          <cell r="C81">
            <v>56</v>
          </cell>
          <cell r="D81">
            <v>7165106.3099999996</v>
          </cell>
          <cell r="E81">
            <v>10442116.5</v>
          </cell>
        </row>
        <row r="82">
          <cell r="A82" t="str">
            <v>VILA PAVAO</v>
          </cell>
          <cell r="B82">
            <v>30</v>
          </cell>
          <cell r="C82">
            <v>77</v>
          </cell>
          <cell r="D82">
            <v>7458811.6100000003</v>
          </cell>
          <cell r="E82">
            <v>8868632.6999999993</v>
          </cell>
        </row>
        <row r="83">
          <cell r="A83" t="str">
            <v>VILA VALERIO</v>
          </cell>
          <cell r="B83">
            <v>20</v>
          </cell>
          <cell r="C83">
            <v>15</v>
          </cell>
          <cell r="D83">
            <v>7569527.0599999996</v>
          </cell>
          <cell r="E83">
            <v>12033967.039999999</v>
          </cell>
        </row>
        <row r="84">
          <cell r="A84" t="str">
            <v>VILA VELHA</v>
          </cell>
          <cell r="B84">
            <v>50</v>
          </cell>
          <cell r="C84">
            <v>45</v>
          </cell>
          <cell r="D84">
            <v>6759546.2800000003</v>
          </cell>
          <cell r="E84">
            <v>10917718.16</v>
          </cell>
        </row>
        <row r="85">
          <cell r="A85" t="str">
            <v>VITORIA</v>
          </cell>
          <cell r="B85">
            <v>43</v>
          </cell>
          <cell r="C85">
            <v>36</v>
          </cell>
          <cell r="D85">
            <v>7117226.1600000001</v>
          </cell>
          <cell r="E85">
            <v>11236092.869999999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abSelected="1" topLeftCell="AN1" workbookViewId="0">
      <pane ySplit="1" topLeftCell="A2" activePane="bottomLeft" state="frozen"/>
      <selection pane="bottomLeft" activeCell="AV8" sqref="AV8"/>
    </sheetView>
  </sheetViews>
  <sheetFormatPr defaultColWidth="14.44140625" defaultRowHeight="15" customHeight="1" x14ac:dyDescent="0.3"/>
  <cols>
    <col min="1" max="1" width="16.33203125" style="4" customWidth="1"/>
    <col min="2" max="2" width="27.33203125" style="4" customWidth="1"/>
    <col min="3" max="3" width="15" style="4" customWidth="1"/>
    <col min="4" max="5" width="12" style="4" customWidth="1"/>
    <col min="6" max="6" width="6" style="4" customWidth="1"/>
    <col min="7" max="43" width="12" style="4" customWidth="1"/>
    <col min="44" max="44" width="13.6640625" style="4" customWidth="1"/>
    <col min="45" max="45" width="12" style="4" customWidth="1"/>
    <col min="46" max="46" width="15.44140625" style="4" customWidth="1"/>
    <col min="47" max="47" width="12" style="4" customWidth="1"/>
    <col min="48" max="48" width="13.6640625" style="4" customWidth="1"/>
    <col min="49" max="49" width="12" style="4" customWidth="1"/>
    <col min="50" max="50" width="14.5546875" style="4" customWidth="1"/>
    <col min="51" max="51" width="27.109375" style="11" bestFit="1" customWidth="1"/>
    <col min="52" max="16384" width="14.44140625" style="4"/>
  </cols>
  <sheetData>
    <row r="1" spans="1:51" ht="14.4" x14ac:dyDescent="0.3">
      <c r="A1" s="3" t="s">
        <v>0</v>
      </c>
      <c r="B1" s="3" t="s">
        <v>722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723</v>
      </c>
      <c r="AU1" s="3" t="s">
        <v>45</v>
      </c>
      <c r="AV1" s="3" t="s">
        <v>46</v>
      </c>
      <c r="AW1" s="3" t="s">
        <v>47</v>
      </c>
      <c r="AX1" s="3" t="s">
        <v>48</v>
      </c>
      <c r="AY1" s="9" t="s">
        <v>724</v>
      </c>
    </row>
    <row r="2" spans="1:51" ht="14.4" x14ac:dyDescent="0.3">
      <c r="A2" s="4">
        <v>3200102</v>
      </c>
      <c r="B2" s="4" t="s">
        <v>52</v>
      </c>
      <c r="C2" s="5">
        <v>2022</v>
      </c>
      <c r="D2" s="6" t="s">
        <v>53</v>
      </c>
      <c r="E2" s="6" t="s">
        <v>53</v>
      </c>
      <c r="F2" s="6" t="s">
        <v>53</v>
      </c>
      <c r="G2" s="6" t="s">
        <v>53</v>
      </c>
      <c r="H2" s="6" t="s">
        <v>53</v>
      </c>
      <c r="I2" s="6" t="s">
        <v>53</v>
      </c>
      <c r="J2" s="5">
        <v>0.74825865397384905</v>
      </c>
      <c r="K2" s="5">
        <v>0.68272540089574396</v>
      </c>
      <c r="L2" s="5" t="s">
        <v>53</v>
      </c>
      <c r="M2" s="5" t="s">
        <v>53</v>
      </c>
      <c r="N2" s="5">
        <v>0.600968263870298</v>
      </c>
      <c r="O2" s="5">
        <v>0.57938126412451596</v>
      </c>
      <c r="P2" s="5">
        <v>0.58199832504899796</v>
      </c>
      <c r="Q2" s="5">
        <v>0.59946104666615696</v>
      </c>
      <c r="R2" s="5">
        <v>0.89685230018571405</v>
      </c>
      <c r="S2" s="5">
        <v>5.08474576E-2</v>
      </c>
      <c r="T2" s="5">
        <v>9.1525423699999997E-2</v>
      </c>
      <c r="U2" s="5">
        <v>0.40677966100000001</v>
      </c>
      <c r="V2" s="5">
        <v>0.450847457599999</v>
      </c>
      <c r="W2" s="5">
        <v>0.86093972470000002</v>
      </c>
      <c r="X2" s="5">
        <v>3.6544850499999899E-2</v>
      </c>
      <c r="Y2" s="5">
        <v>0.17940199339999999</v>
      </c>
      <c r="Z2" s="5">
        <v>0.40531561459999998</v>
      </c>
      <c r="AA2" s="5">
        <v>0.3787375415</v>
      </c>
      <c r="AB2" s="5">
        <v>0.74570446739999996</v>
      </c>
      <c r="AC2" s="5">
        <v>8.9347078999999996E-2</v>
      </c>
      <c r="AD2" s="5">
        <v>0.28865979380000001</v>
      </c>
      <c r="AE2" s="5">
        <v>0.3573883162</v>
      </c>
      <c r="AF2" s="5">
        <v>0.264604811</v>
      </c>
      <c r="AG2" s="5">
        <v>0.68973981345714197</v>
      </c>
      <c r="AH2" s="5">
        <v>0.12371134019999901</v>
      </c>
      <c r="AI2" s="5">
        <v>0.32646048109999998</v>
      </c>
      <c r="AJ2" s="5">
        <v>0.3608247423</v>
      </c>
      <c r="AK2" s="5">
        <v>0.1890034364</v>
      </c>
      <c r="AL2" s="5">
        <v>0.921875</v>
      </c>
      <c r="AM2" s="5">
        <v>0.93188854489999995</v>
      </c>
      <c r="AN2" s="5">
        <v>0.89538461540000003</v>
      </c>
      <c r="AO2" s="5">
        <v>0.89538461540000003</v>
      </c>
      <c r="AP2" s="5" t="s">
        <v>53</v>
      </c>
      <c r="AQ2" s="5">
        <v>0.91790375573646898</v>
      </c>
      <c r="AR2" s="5" t="s">
        <v>53</v>
      </c>
      <c r="AS2" s="5">
        <v>0.92690307364060298</v>
      </c>
      <c r="AT2" s="5" t="s">
        <v>53</v>
      </c>
      <c r="AU2" s="5">
        <v>0.88649626609801002</v>
      </c>
      <c r="AV2" s="5" t="s">
        <v>53</v>
      </c>
      <c r="AW2" s="5">
        <v>0.83540873154658202</v>
      </c>
      <c r="AX2" s="5" t="s">
        <v>53</v>
      </c>
      <c r="AY2" s="10" t="s">
        <v>53</v>
      </c>
    </row>
    <row r="3" spans="1:51" ht="14.4" x14ac:dyDescent="0.3">
      <c r="A3" s="4">
        <v>3201159</v>
      </c>
      <c r="B3" s="4" t="s">
        <v>54</v>
      </c>
      <c r="C3" s="5">
        <v>2022</v>
      </c>
      <c r="D3" s="6" t="s">
        <v>53</v>
      </c>
      <c r="E3" s="6" t="s">
        <v>53</v>
      </c>
      <c r="F3" s="6" t="s">
        <v>53</v>
      </c>
      <c r="G3" s="6" t="s">
        <v>53</v>
      </c>
      <c r="H3" s="6" t="s">
        <v>53</v>
      </c>
      <c r="I3" s="6" t="s">
        <v>53</v>
      </c>
      <c r="J3" s="5">
        <v>0.71119889525420898</v>
      </c>
      <c r="K3" s="5">
        <v>0.65880912983857498</v>
      </c>
      <c r="L3" s="5" t="s">
        <v>53</v>
      </c>
      <c r="M3" s="5" t="s">
        <v>53</v>
      </c>
      <c r="N3" s="5">
        <v>0.55690661756214599</v>
      </c>
      <c r="O3" s="5">
        <v>0.53899990044211199</v>
      </c>
      <c r="P3" s="5">
        <v>0.58448260522200102</v>
      </c>
      <c r="Q3" s="5">
        <v>0.60258826069942395</v>
      </c>
      <c r="R3" s="5">
        <v>0.83608058612857095</v>
      </c>
      <c r="S3" s="5">
        <v>0.10897435899999899</v>
      </c>
      <c r="T3" s="5">
        <v>9.6153846200000004E-2</v>
      </c>
      <c r="U3" s="5">
        <v>0.42948717949999998</v>
      </c>
      <c r="V3" s="5">
        <v>0.3653846154</v>
      </c>
      <c r="W3" s="5">
        <v>0.80737327182857099</v>
      </c>
      <c r="X3" s="5">
        <v>4.5161290299999997E-2</v>
      </c>
      <c r="Y3" s="5">
        <v>0.25806451609999997</v>
      </c>
      <c r="Z3" s="5">
        <v>0.490322580599999</v>
      </c>
      <c r="AA3" s="5">
        <v>0.2064516129</v>
      </c>
      <c r="AB3" s="5">
        <v>0.715178571428571</v>
      </c>
      <c r="AC3" s="5">
        <v>0.10625</v>
      </c>
      <c r="AD3" s="5">
        <v>0.3125</v>
      </c>
      <c r="AE3" s="5">
        <v>0.375</v>
      </c>
      <c r="AF3" s="5">
        <v>0.20624999999999999</v>
      </c>
      <c r="AG3" s="5">
        <v>0.65357142857142803</v>
      </c>
      <c r="AH3" s="5">
        <v>0.17499999999999999</v>
      </c>
      <c r="AI3" s="5">
        <v>0.3</v>
      </c>
      <c r="AJ3" s="5">
        <v>0.34375</v>
      </c>
      <c r="AK3" s="5">
        <v>0.18124999999999999</v>
      </c>
      <c r="AL3" s="5">
        <v>0.923076923099999</v>
      </c>
      <c r="AM3" s="5">
        <v>0.91715976330000004</v>
      </c>
      <c r="AN3" s="5">
        <v>0.89385474860000003</v>
      </c>
      <c r="AO3" s="5">
        <v>0.89385474860000003</v>
      </c>
      <c r="AP3" s="5" t="s">
        <v>53</v>
      </c>
      <c r="AQ3" s="5">
        <v>0.93373938260120903</v>
      </c>
      <c r="AR3" s="5" t="s">
        <v>53</v>
      </c>
      <c r="AS3" s="5">
        <v>0.87182917300942897</v>
      </c>
      <c r="AT3" s="5" t="s">
        <v>53</v>
      </c>
      <c r="AU3" s="5">
        <v>0.86063655908513403</v>
      </c>
      <c r="AV3" s="5" t="s">
        <v>53</v>
      </c>
      <c r="AW3" s="5">
        <v>0.80334643465330402</v>
      </c>
      <c r="AX3" s="5" t="s">
        <v>53</v>
      </c>
      <c r="AY3" s="10" t="s">
        <v>53</v>
      </c>
    </row>
    <row r="4" spans="1:51" ht="14.4" x14ac:dyDescent="0.3">
      <c r="A4" s="4">
        <v>3201704</v>
      </c>
      <c r="B4" s="4" t="s">
        <v>55</v>
      </c>
      <c r="C4" s="5">
        <v>2022</v>
      </c>
      <c r="D4" s="6" t="s">
        <v>53</v>
      </c>
      <c r="E4" s="6" t="s">
        <v>53</v>
      </c>
      <c r="F4" s="6" t="s">
        <v>53</v>
      </c>
      <c r="G4" s="6" t="s">
        <v>53</v>
      </c>
      <c r="H4" s="6" t="s">
        <v>53</v>
      </c>
      <c r="I4" s="6" t="s">
        <v>53</v>
      </c>
      <c r="J4" s="5">
        <v>0.73164137804319196</v>
      </c>
      <c r="K4" s="5">
        <v>0.67116384150258701</v>
      </c>
      <c r="L4" s="5" t="s">
        <v>53</v>
      </c>
      <c r="M4" s="5" t="s">
        <v>53</v>
      </c>
      <c r="N4" s="5">
        <v>0.55571326225670403</v>
      </c>
      <c r="O4" s="5">
        <v>0.57266832869162099</v>
      </c>
      <c r="P4" s="5">
        <v>0.59801013399987202</v>
      </c>
      <c r="Q4" s="5">
        <v>0.59257900634424798</v>
      </c>
      <c r="R4" s="5">
        <v>0.85634028889999902</v>
      </c>
      <c r="S4" s="5">
        <v>7.3033707899999994E-2</v>
      </c>
      <c r="T4" s="5">
        <v>0.1235955056</v>
      </c>
      <c r="U4" s="5">
        <v>0.46629213479999998</v>
      </c>
      <c r="V4" s="5">
        <v>0.33707865169999901</v>
      </c>
      <c r="W4" s="5">
        <v>0.867635189628571</v>
      </c>
      <c r="X4" s="5">
        <v>6.7796610199999996E-2</v>
      </c>
      <c r="Y4" s="5">
        <v>0.11299435029999901</v>
      </c>
      <c r="Z4" s="5">
        <v>0.48587570619999998</v>
      </c>
      <c r="AA4" s="5">
        <v>0.33333333329999998</v>
      </c>
      <c r="AB4" s="5">
        <v>0.73015873015714305</v>
      </c>
      <c r="AC4" s="5">
        <v>8.6419753099999996E-2</v>
      </c>
      <c r="AD4" s="5">
        <v>0.32098765429999998</v>
      </c>
      <c r="AE4" s="5">
        <v>0.38271604939999998</v>
      </c>
      <c r="AF4" s="5">
        <v>0.20987654319999999</v>
      </c>
      <c r="AG4" s="5">
        <v>0.632275132314285</v>
      </c>
      <c r="AH4" s="5">
        <v>0.14197530859999999</v>
      </c>
      <c r="AI4" s="5">
        <v>0.39506172839999998</v>
      </c>
      <c r="AJ4" s="5">
        <v>0.29629629629999998</v>
      </c>
      <c r="AK4" s="5">
        <v>0.16666666669999999</v>
      </c>
      <c r="AL4" s="5">
        <v>0.94680851059999904</v>
      </c>
      <c r="AM4" s="5">
        <v>0.93157894740000002</v>
      </c>
      <c r="AN4" s="5">
        <v>0.93103448279999901</v>
      </c>
      <c r="AO4" s="5">
        <v>0.93103448279999901</v>
      </c>
      <c r="AP4" s="5" t="s">
        <v>53</v>
      </c>
      <c r="AQ4" s="5">
        <v>0.93683854239012698</v>
      </c>
      <c r="AR4" s="5" t="s">
        <v>53</v>
      </c>
      <c r="AS4" s="5">
        <v>0.97416883336520299</v>
      </c>
      <c r="AT4" s="5" t="s">
        <v>53</v>
      </c>
      <c r="AU4" s="5">
        <v>0.77095501405403699</v>
      </c>
      <c r="AV4" s="5" t="s">
        <v>53</v>
      </c>
      <c r="AW4" s="5">
        <v>0.80216005566593496</v>
      </c>
      <c r="AX4" s="5" t="s">
        <v>53</v>
      </c>
      <c r="AY4" s="10" t="s">
        <v>53</v>
      </c>
    </row>
    <row r="5" spans="1:51" ht="14.4" x14ac:dyDescent="0.3">
      <c r="A5" s="4">
        <v>3201902</v>
      </c>
      <c r="B5" s="4" t="s">
        <v>56</v>
      </c>
      <c r="C5" s="5">
        <v>2022</v>
      </c>
      <c r="D5" s="6" t="s">
        <v>53</v>
      </c>
      <c r="E5" s="6" t="s">
        <v>53</v>
      </c>
      <c r="F5" s="6" t="s">
        <v>53</v>
      </c>
      <c r="G5" s="6" t="s">
        <v>53</v>
      </c>
      <c r="H5" s="6" t="s">
        <v>53</v>
      </c>
      <c r="I5" s="6" t="s">
        <v>53</v>
      </c>
      <c r="J5" s="5">
        <v>0.72099131720724996</v>
      </c>
      <c r="K5" s="5">
        <v>0.67934123887404496</v>
      </c>
      <c r="L5" s="5" t="s">
        <v>53</v>
      </c>
      <c r="M5" s="5" t="s">
        <v>53</v>
      </c>
      <c r="N5" s="5">
        <v>0.56772368813254503</v>
      </c>
      <c r="O5" s="5">
        <v>0.54786692318386199</v>
      </c>
      <c r="P5" s="5">
        <v>0.57649122619303805</v>
      </c>
      <c r="Q5" s="5">
        <v>0.58883500121152399</v>
      </c>
      <c r="R5" s="5">
        <v>0.85646900264285697</v>
      </c>
      <c r="S5" s="5">
        <v>5.1886792500000001E-2</v>
      </c>
      <c r="T5" s="5">
        <v>0.16037735850000001</v>
      </c>
      <c r="U5" s="5">
        <v>0.42216981129999998</v>
      </c>
      <c r="V5" s="5">
        <v>0.36556603770000001</v>
      </c>
      <c r="W5" s="5">
        <v>0.84439973174285698</v>
      </c>
      <c r="X5" s="5">
        <v>3.75586854E-2</v>
      </c>
      <c r="Y5" s="5">
        <v>0.20657276999999999</v>
      </c>
      <c r="Z5" s="5">
        <v>0.55164319249999905</v>
      </c>
      <c r="AA5" s="5">
        <v>0.20422535210000001</v>
      </c>
      <c r="AB5" s="5">
        <v>0.73054306465714203</v>
      </c>
      <c r="AC5" s="5">
        <v>0.1089588378</v>
      </c>
      <c r="AD5" s="5">
        <v>0.28087167070000002</v>
      </c>
      <c r="AE5" s="5">
        <v>0.3631961259</v>
      </c>
      <c r="AF5" s="5">
        <v>0.24697336559999999</v>
      </c>
      <c r="AG5" s="5">
        <v>0.68107921134285698</v>
      </c>
      <c r="AH5" s="5">
        <v>0.1501210654</v>
      </c>
      <c r="AI5" s="5">
        <v>0.2953995157</v>
      </c>
      <c r="AJ5" s="5">
        <v>0.40435835349999999</v>
      </c>
      <c r="AK5" s="5">
        <v>0.1501210654</v>
      </c>
      <c r="AL5" s="5">
        <v>0.91182795699999997</v>
      </c>
      <c r="AM5" s="5">
        <v>0.91416309009999996</v>
      </c>
      <c r="AN5" s="5">
        <v>0.93650793649999997</v>
      </c>
      <c r="AO5" s="5">
        <v>0.93650793649999997</v>
      </c>
      <c r="AP5" s="5" t="s">
        <v>53</v>
      </c>
      <c r="AQ5" s="5">
        <v>0.93513039643858598</v>
      </c>
      <c r="AR5" s="5" t="s">
        <v>53</v>
      </c>
      <c r="AS5" s="5">
        <v>0.96676414605209304</v>
      </c>
      <c r="AT5" s="5" t="s">
        <v>53</v>
      </c>
      <c r="AU5" s="5">
        <v>0.79323416360353804</v>
      </c>
      <c r="AV5" s="5" t="s">
        <v>53</v>
      </c>
      <c r="AW5" s="5">
        <v>0.81311658837780898</v>
      </c>
      <c r="AX5" s="5" t="s">
        <v>53</v>
      </c>
      <c r="AY5" s="10" t="s">
        <v>53</v>
      </c>
    </row>
    <row r="6" spans="1:51" ht="14.4" x14ac:dyDescent="0.3">
      <c r="A6" s="4">
        <v>3203163</v>
      </c>
      <c r="B6" s="4" t="s">
        <v>57</v>
      </c>
      <c r="C6" s="5">
        <v>2022</v>
      </c>
      <c r="D6" s="6" t="s">
        <v>53</v>
      </c>
      <c r="E6" s="6" t="s">
        <v>53</v>
      </c>
      <c r="F6" s="6" t="s">
        <v>53</v>
      </c>
      <c r="G6" s="6" t="s">
        <v>53</v>
      </c>
      <c r="H6" s="6" t="s">
        <v>53</v>
      </c>
      <c r="I6" s="6" t="s">
        <v>53</v>
      </c>
      <c r="J6" s="5">
        <v>0.71908685428132302</v>
      </c>
      <c r="K6" s="5">
        <v>0.73431520794285698</v>
      </c>
      <c r="L6" s="5" t="s">
        <v>53</v>
      </c>
      <c r="M6" s="5" t="s">
        <v>53</v>
      </c>
      <c r="N6" s="5">
        <v>0.53966271467862104</v>
      </c>
      <c r="O6" s="5">
        <v>0.60130263347082702</v>
      </c>
      <c r="P6" s="5">
        <v>0.61580712394420101</v>
      </c>
      <c r="Q6" s="5">
        <v>0.64321046726301101</v>
      </c>
      <c r="R6" s="5">
        <v>0.79675994109999904</v>
      </c>
      <c r="S6" s="5">
        <v>6.1855670099999899E-2</v>
      </c>
      <c r="T6" s="5">
        <v>0.24742268039999901</v>
      </c>
      <c r="U6" s="5">
        <v>0.3711340206</v>
      </c>
      <c r="V6" s="5">
        <v>0.31958762889999998</v>
      </c>
      <c r="W6" s="5">
        <v>0.89583333338571403</v>
      </c>
      <c r="X6" s="5">
        <v>2.08333333E-2</v>
      </c>
      <c r="Y6" s="5">
        <v>0.14583333330000001</v>
      </c>
      <c r="Z6" s="5">
        <v>0.41666666669999902</v>
      </c>
      <c r="AA6" s="5">
        <v>0.41666666669999902</v>
      </c>
      <c r="AB6" s="5">
        <v>0.82491944149999996</v>
      </c>
      <c r="AC6" s="5">
        <v>3.7593985000000003E-2</v>
      </c>
      <c r="AD6" s="5">
        <v>0.24060150380000001</v>
      </c>
      <c r="AE6" s="5">
        <v>0.37593984959999999</v>
      </c>
      <c r="AF6" s="5">
        <v>0.34586466170000002</v>
      </c>
      <c r="AG6" s="5">
        <v>0.741138560742857</v>
      </c>
      <c r="AH6" s="5">
        <v>0.14285714289999901</v>
      </c>
      <c r="AI6" s="5">
        <v>0.20300751880000001</v>
      </c>
      <c r="AJ6" s="5">
        <v>0.4210526316</v>
      </c>
      <c r="AK6" s="5">
        <v>0.23308270679999901</v>
      </c>
      <c r="AL6" s="5">
        <v>0.91509433959999997</v>
      </c>
      <c r="AM6" s="5">
        <v>0.90566037739999905</v>
      </c>
      <c r="AN6" s="5">
        <v>0.97794117650000001</v>
      </c>
      <c r="AO6" s="5">
        <v>0.97794117650000001</v>
      </c>
      <c r="AP6" s="5" t="s">
        <v>53</v>
      </c>
      <c r="AQ6" s="5">
        <v>0.98162813371389102</v>
      </c>
      <c r="AR6" s="5" t="s">
        <v>53</v>
      </c>
      <c r="AS6" s="5">
        <v>0.939540810537564</v>
      </c>
      <c r="AT6" s="5" t="s">
        <v>53</v>
      </c>
      <c r="AU6" s="5">
        <v>0.84126020017444902</v>
      </c>
      <c r="AV6" s="5" t="s">
        <v>53</v>
      </c>
      <c r="AW6" s="5">
        <v>0.83099046561891798</v>
      </c>
      <c r="AX6" s="5" t="s">
        <v>53</v>
      </c>
      <c r="AY6" s="10" t="s">
        <v>53</v>
      </c>
    </row>
    <row r="7" spans="1:51" ht="14.4" x14ac:dyDescent="0.3">
      <c r="A7" s="4">
        <v>3204559</v>
      </c>
      <c r="B7" s="4" t="s">
        <v>58</v>
      </c>
      <c r="C7" s="5">
        <v>2022</v>
      </c>
      <c r="D7" s="6" t="s">
        <v>53</v>
      </c>
      <c r="E7" s="6" t="s">
        <v>53</v>
      </c>
      <c r="F7" s="6" t="s">
        <v>53</v>
      </c>
      <c r="G7" s="6" t="s">
        <v>53</v>
      </c>
      <c r="H7" s="6" t="s">
        <v>53</v>
      </c>
      <c r="I7" s="6" t="s">
        <v>53</v>
      </c>
      <c r="J7" s="5">
        <v>0.69549616450521101</v>
      </c>
      <c r="K7" s="5">
        <v>0.69312225073970701</v>
      </c>
      <c r="L7" s="5" t="s">
        <v>53</v>
      </c>
      <c r="M7" s="5" t="s">
        <v>53</v>
      </c>
      <c r="N7" s="5">
        <v>0.52039298637014297</v>
      </c>
      <c r="O7" s="5">
        <v>0.54486482195298402</v>
      </c>
      <c r="P7" s="5">
        <v>0.56962657131879102</v>
      </c>
      <c r="Q7" s="5">
        <v>0.60638514469134397</v>
      </c>
      <c r="R7" s="5">
        <v>0.770741286257142</v>
      </c>
      <c r="S7" s="5">
        <v>0.1134020619</v>
      </c>
      <c r="T7" s="5">
        <v>0.20274914089999899</v>
      </c>
      <c r="U7" s="5">
        <v>0.39862542959999903</v>
      </c>
      <c r="V7" s="5">
        <v>0.28522336770000001</v>
      </c>
      <c r="W7" s="5">
        <v>0.80338983060000002</v>
      </c>
      <c r="X7" s="5">
        <v>4.7457627099999997E-2</v>
      </c>
      <c r="Y7" s="5">
        <v>0.26101694920000001</v>
      </c>
      <c r="Z7" s="5">
        <v>0.38305084750000001</v>
      </c>
      <c r="AA7" s="5">
        <v>0.30847457630000003</v>
      </c>
      <c r="AB7" s="5">
        <v>0.77898550721428494</v>
      </c>
      <c r="AC7" s="5">
        <v>4.7101449300000001E-2</v>
      </c>
      <c r="AD7" s="5">
        <v>0.3043478261</v>
      </c>
      <c r="AE7" s="5">
        <v>0.40579710140000003</v>
      </c>
      <c r="AF7" s="5">
        <v>0.24275362319999999</v>
      </c>
      <c r="AG7" s="5">
        <v>0.71739130431428499</v>
      </c>
      <c r="AH7" s="5">
        <v>9.4202898600000001E-2</v>
      </c>
      <c r="AI7" s="5">
        <v>0.3297101449</v>
      </c>
      <c r="AJ7" s="5">
        <v>0.39130434780000001</v>
      </c>
      <c r="AK7" s="5">
        <v>0.18478260869999999</v>
      </c>
      <c r="AL7" s="5">
        <v>0.932692307699999</v>
      </c>
      <c r="AM7" s="5">
        <v>0.94551282049999996</v>
      </c>
      <c r="AN7" s="5">
        <v>0.90789473679999999</v>
      </c>
      <c r="AO7" s="5">
        <v>0.90789473679999999</v>
      </c>
      <c r="AP7" s="5" t="s">
        <v>53</v>
      </c>
      <c r="AQ7" s="5">
        <v>0.90413968827258895</v>
      </c>
      <c r="AR7" s="5" t="s">
        <v>53</v>
      </c>
      <c r="AS7" s="5">
        <v>0.88035498618118302</v>
      </c>
      <c r="AT7" s="5" t="s">
        <v>53</v>
      </c>
      <c r="AU7" s="5">
        <v>0.84891930958223005</v>
      </c>
      <c r="AV7" s="5" t="s">
        <v>53</v>
      </c>
      <c r="AW7" s="5">
        <v>0.87910863433747</v>
      </c>
      <c r="AX7" s="5" t="s">
        <v>53</v>
      </c>
      <c r="AY7" s="10" t="s">
        <v>53</v>
      </c>
    </row>
    <row r="8" spans="1:51" ht="14.4" x14ac:dyDescent="0.3">
      <c r="A8" s="4">
        <v>3205069</v>
      </c>
      <c r="B8" s="4" t="s">
        <v>59</v>
      </c>
      <c r="C8" s="5">
        <v>2022</v>
      </c>
      <c r="D8" s="6" t="s">
        <v>53</v>
      </c>
      <c r="E8" s="6" t="s">
        <v>53</v>
      </c>
      <c r="F8" s="6" t="s">
        <v>53</v>
      </c>
      <c r="G8" s="6" t="s">
        <v>53</v>
      </c>
      <c r="H8" s="6" t="s">
        <v>53</v>
      </c>
      <c r="I8" s="6" t="s">
        <v>53</v>
      </c>
      <c r="J8" s="5">
        <v>0.63560279647814499</v>
      </c>
      <c r="K8" s="5">
        <v>0.66116827238106202</v>
      </c>
      <c r="L8" s="5" t="s">
        <v>53</v>
      </c>
      <c r="M8" s="5" t="s">
        <v>53</v>
      </c>
      <c r="N8" s="5">
        <v>0.52350509717633997</v>
      </c>
      <c r="O8" s="5">
        <v>0.46452718621907102</v>
      </c>
      <c r="P8" s="5">
        <v>0.59353825830027396</v>
      </c>
      <c r="Q8" s="5">
        <v>0.54659175412808503</v>
      </c>
      <c r="R8" s="5">
        <v>0.78030303030000003</v>
      </c>
      <c r="S8" s="5">
        <v>9.84848485E-2</v>
      </c>
      <c r="T8" s="5">
        <v>0.21212121209999901</v>
      </c>
      <c r="U8" s="5">
        <v>0.39393939389999999</v>
      </c>
      <c r="V8" s="5">
        <v>0.2954545455</v>
      </c>
      <c r="W8" s="5">
        <v>0.69805194811428495</v>
      </c>
      <c r="X8" s="5">
        <v>9.84848485E-2</v>
      </c>
      <c r="Y8" s="5">
        <v>0.35606060610000001</v>
      </c>
      <c r="Z8" s="5">
        <v>0.46969696970000002</v>
      </c>
      <c r="AA8" s="5">
        <v>7.5757575800000004E-2</v>
      </c>
      <c r="AB8" s="5">
        <v>0.75490196081428496</v>
      </c>
      <c r="AC8" s="5">
        <v>8.82352941E-2</v>
      </c>
      <c r="AD8" s="5">
        <v>0.27450980390000002</v>
      </c>
      <c r="AE8" s="5">
        <v>0.3235294118</v>
      </c>
      <c r="AF8" s="5">
        <v>0.31372549020000001</v>
      </c>
      <c r="AG8" s="5">
        <v>0.57563025211428498</v>
      </c>
      <c r="AH8" s="5">
        <v>0.24509803920000001</v>
      </c>
      <c r="AI8" s="5">
        <v>0.31372549020000001</v>
      </c>
      <c r="AJ8" s="5">
        <v>0.29411764709999999</v>
      </c>
      <c r="AK8" s="5">
        <v>0.14705882349999999</v>
      </c>
      <c r="AL8" s="5">
        <v>0.79518072289999997</v>
      </c>
      <c r="AM8" s="5">
        <v>0.79518072289999997</v>
      </c>
      <c r="AN8" s="5">
        <v>0.91891891889999999</v>
      </c>
      <c r="AO8" s="5">
        <v>0.91891891889999999</v>
      </c>
      <c r="AP8" s="5" t="s">
        <v>53</v>
      </c>
      <c r="AQ8" s="5">
        <v>0.91869945263808295</v>
      </c>
      <c r="AR8" s="5" t="s">
        <v>53</v>
      </c>
      <c r="AS8" s="5">
        <v>0.86189457915953904</v>
      </c>
      <c r="AT8" s="5" t="s">
        <v>53</v>
      </c>
      <c r="AU8" s="5">
        <v>0.89585812259934094</v>
      </c>
      <c r="AV8" s="5" t="s">
        <v>53</v>
      </c>
      <c r="AW8" s="5">
        <v>0.79437170882907904</v>
      </c>
      <c r="AX8" s="5" t="s">
        <v>53</v>
      </c>
      <c r="AY8" s="10" t="s">
        <v>53</v>
      </c>
    </row>
    <row r="9" spans="1:51" ht="14.4" x14ac:dyDescent="0.3">
      <c r="A9" s="4">
        <v>3200169</v>
      </c>
      <c r="B9" s="4" t="s">
        <v>60</v>
      </c>
      <c r="C9" s="5">
        <v>2022</v>
      </c>
      <c r="D9" s="6" t="s">
        <v>53</v>
      </c>
      <c r="E9" s="6" t="s">
        <v>53</v>
      </c>
      <c r="F9" s="6" t="s">
        <v>53</v>
      </c>
      <c r="G9" s="6" t="s">
        <v>53</v>
      </c>
      <c r="H9" s="6" t="s">
        <v>53</v>
      </c>
      <c r="I9" s="6" t="s">
        <v>53</v>
      </c>
      <c r="J9" s="5">
        <v>0.62524939194191997</v>
      </c>
      <c r="K9" s="5">
        <v>0.67098889970464903</v>
      </c>
      <c r="L9" s="5" t="s">
        <v>53</v>
      </c>
      <c r="M9" s="5" t="s">
        <v>53</v>
      </c>
      <c r="N9" s="5">
        <v>0.481440478255384</v>
      </c>
      <c r="O9" s="5">
        <v>0.44001546174081002</v>
      </c>
      <c r="P9" s="5">
        <v>0.541121243155953</v>
      </c>
      <c r="Q9" s="5">
        <v>0.56226083229711998</v>
      </c>
      <c r="R9" s="5">
        <v>0.72216748771428496</v>
      </c>
      <c r="S9" s="5">
        <v>0.17931034479999999</v>
      </c>
      <c r="T9" s="5">
        <v>0.17241379309999999</v>
      </c>
      <c r="U9" s="5">
        <v>0.48275862069999997</v>
      </c>
      <c r="V9" s="5">
        <v>0.16551724139999999</v>
      </c>
      <c r="W9" s="5">
        <v>0.62575452710000001</v>
      </c>
      <c r="X9" s="5">
        <v>0.14084507039999999</v>
      </c>
      <c r="Y9" s="5">
        <v>0.40845070420000001</v>
      </c>
      <c r="Z9" s="5">
        <v>0.38028169010000001</v>
      </c>
      <c r="AA9" s="5">
        <v>7.0422535199999997E-2</v>
      </c>
      <c r="AB9" s="5">
        <v>0.69340016702857099</v>
      </c>
      <c r="AC9" s="5">
        <v>0.1228070175</v>
      </c>
      <c r="AD9" s="5">
        <v>0.32163742689999902</v>
      </c>
      <c r="AE9" s="5">
        <v>0.29239766080000001</v>
      </c>
      <c r="AF9" s="5">
        <v>0.26315789470000001</v>
      </c>
      <c r="AG9" s="5">
        <v>0.67418546369999999</v>
      </c>
      <c r="AH9" s="5">
        <v>0.12865497079999999</v>
      </c>
      <c r="AI9" s="5">
        <v>0.3450292398</v>
      </c>
      <c r="AJ9" s="5">
        <v>0.39766081869999997</v>
      </c>
      <c r="AK9" s="5">
        <v>0.12865497079999999</v>
      </c>
      <c r="AL9" s="5">
        <v>0.89506172839999998</v>
      </c>
      <c r="AM9" s="5">
        <v>0.87654320990000001</v>
      </c>
      <c r="AN9" s="5">
        <v>0.93442622949999998</v>
      </c>
      <c r="AO9" s="5">
        <v>0.93442622949999998</v>
      </c>
      <c r="AP9" s="5" t="s">
        <v>53</v>
      </c>
      <c r="AQ9" s="5">
        <v>0.92156326387376697</v>
      </c>
      <c r="AR9" s="5" t="s">
        <v>53</v>
      </c>
      <c r="AS9" s="5">
        <v>0.87421364200330098</v>
      </c>
      <c r="AT9" s="5" t="s">
        <v>53</v>
      </c>
      <c r="AU9" s="5">
        <v>0.82217351449566201</v>
      </c>
      <c r="AV9" s="5" t="s">
        <v>53</v>
      </c>
      <c r="AW9" s="5">
        <v>0.81148686417801297</v>
      </c>
      <c r="AX9" s="5" t="s">
        <v>53</v>
      </c>
      <c r="AY9" s="10" t="s">
        <v>53</v>
      </c>
    </row>
    <row r="10" spans="1:51" ht="14.4" x14ac:dyDescent="0.3">
      <c r="A10" s="4">
        <v>3200136</v>
      </c>
      <c r="B10" s="4" t="s">
        <v>61</v>
      </c>
      <c r="C10" s="5">
        <v>2022</v>
      </c>
      <c r="D10" s="6" t="s">
        <v>53</v>
      </c>
      <c r="E10" s="6" t="s">
        <v>53</v>
      </c>
      <c r="F10" s="6" t="s">
        <v>53</v>
      </c>
      <c r="G10" s="6" t="s">
        <v>53</v>
      </c>
      <c r="H10" s="6" t="s">
        <v>53</v>
      </c>
      <c r="I10" s="6" t="s">
        <v>53</v>
      </c>
      <c r="J10" s="5">
        <v>0.73520252469442904</v>
      </c>
      <c r="K10" s="5">
        <v>0.68938086652066</v>
      </c>
      <c r="L10" s="5" t="s">
        <v>53</v>
      </c>
      <c r="M10" s="5" t="s">
        <v>53</v>
      </c>
      <c r="N10" s="5">
        <v>0.55065344562923102</v>
      </c>
      <c r="O10" s="5">
        <v>0.63731135304972897</v>
      </c>
      <c r="P10" s="5">
        <v>0.58175714770077003</v>
      </c>
      <c r="Q10" s="5">
        <v>0.60145127152178701</v>
      </c>
      <c r="R10" s="5">
        <v>0.83443708608571399</v>
      </c>
      <c r="S10" s="5">
        <v>5.9602649000000001E-2</v>
      </c>
      <c r="T10" s="5">
        <v>0.18543046360000001</v>
      </c>
      <c r="U10" s="5">
        <v>0.4701986755</v>
      </c>
      <c r="V10" s="5">
        <v>0.28476821190000001</v>
      </c>
      <c r="W10" s="5">
        <v>0.90571428572857104</v>
      </c>
      <c r="X10" s="5">
        <v>3.3333333299999997E-2</v>
      </c>
      <c r="Y10" s="5">
        <v>0.1066666667</v>
      </c>
      <c r="Z10" s="5">
        <v>0.3266666667</v>
      </c>
      <c r="AA10" s="5">
        <v>0.53333333329999999</v>
      </c>
      <c r="AB10" s="5">
        <v>0.75159914715714204</v>
      </c>
      <c r="AC10" s="5">
        <v>0.11194029849999999</v>
      </c>
      <c r="AD10" s="5">
        <v>0.23880597009999999</v>
      </c>
      <c r="AE10" s="5">
        <v>0.44029850749999999</v>
      </c>
      <c r="AF10" s="5">
        <v>0.20895522389999999</v>
      </c>
      <c r="AG10" s="5">
        <v>0.69296375271428501</v>
      </c>
      <c r="AH10" s="5">
        <v>0.1194029851</v>
      </c>
      <c r="AI10" s="5">
        <v>0.32835820900000001</v>
      </c>
      <c r="AJ10" s="5">
        <v>0.37313432839999999</v>
      </c>
      <c r="AK10" s="5">
        <v>0.17910447760000001</v>
      </c>
      <c r="AL10" s="5">
        <v>0.90963855419999995</v>
      </c>
      <c r="AM10" s="5">
        <v>0.90361445779999905</v>
      </c>
      <c r="AN10" s="5">
        <v>0.9436619718</v>
      </c>
      <c r="AO10" s="5">
        <v>0.9436619718</v>
      </c>
      <c r="AP10" s="5" t="s">
        <v>53</v>
      </c>
      <c r="AQ10" s="5">
        <v>0.94871379515396503</v>
      </c>
      <c r="AR10" s="5" t="s">
        <v>53</v>
      </c>
      <c r="AS10" s="5">
        <v>0.92759860307262998</v>
      </c>
      <c r="AT10" s="5" t="s">
        <v>53</v>
      </c>
      <c r="AU10" s="5">
        <v>0.85650230790656201</v>
      </c>
      <c r="AV10" s="5" t="s">
        <v>53</v>
      </c>
      <c r="AW10" s="5">
        <v>0.80262860621635501</v>
      </c>
      <c r="AX10" s="5" t="s">
        <v>53</v>
      </c>
      <c r="AY10" s="10" t="s">
        <v>53</v>
      </c>
    </row>
    <row r="11" spans="1:51" ht="14.4" x14ac:dyDescent="0.3">
      <c r="A11" s="4">
        <v>3200904</v>
      </c>
      <c r="B11" s="4" t="s">
        <v>62</v>
      </c>
      <c r="C11" s="5">
        <v>2022</v>
      </c>
      <c r="D11" s="6" t="s">
        <v>53</v>
      </c>
      <c r="E11" s="6" t="s">
        <v>53</v>
      </c>
      <c r="F11" s="6" t="s">
        <v>53</v>
      </c>
      <c r="G11" s="6" t="s">
        <v>53</v>
      </c>
      <c r="H11" s="6" t="s">
        <v>53</v>
      </c>
      <c r="I11" s="6" t="s">
        <v>53</v>
      </c>
      <c r="J11" s="5">
        <v>0.703818052797066</v>
      </c>
      <c r="K11" s="5">
        <v>0.68165563521745598</v>
      </c>
      <c r="L11" s="5" t="s">
        <v>53</v>
      </c>
      <c r="M11" s="5" t="s">
        <v>53</v>
      </c>
      <c r="N11" s="5">
        <v>0.52923382311042999</v>
      </c>
      <c r="O11" s="5">
        <v>0.54447861843397005</v>
      </c>
      <c r="P11" s="5">
        <v>0.58475927147282103</v>
      </c>
      <c r="Q11" s="5">
        <v>0.59127394400593603</v>
      </c>
      <c r="R11" s="5">
        <v>0.80357142859999897</v>
      </c>
      <c r="S11" s="5">
        <v>9.9137930999999999E-2</v>
      </c>
      <c r="T11" s="5">
        <v>0.170258620699999</v>
      </c>
      <c r="U11" s="5">
        <v>0.46982758619999998</v>
      </c>
      <c r="V11" s="5">
        <v>0.26077586209999998</v>
      </c>
      <c r="W11" s="5">
        <v>0.81650246307142804</v>
      </c>
      <c r="X11" s="5">
        <v>5.1724137900000001E-2</v>
      </c>
      <c r="Y11" s="5">
        <v>0.23060344829999899</v>
      </c>
      <c r="Z11" s="5">
        <v>0.45689655169999999</v>
      </c>
      <c r="AA11" s="5">
        <v>0.26077586209999998</v>
      </c>
      <c r="AB11" s="5">
        <v>0.72718894010000001</v>
      </c>
      <c r="AC11" s="5">
        <v>0.12043010749999999</v>
      </c>
      <c r="AD11" s="5">
        <v>0.2666666667</v>
      </c>
      <c r="AE11" s="5">
        <v>0.35268817200000002</v>
      </c>
      <c r="AF11" s="5">
        <v>0.26021505379999998</v>
      </c>
      <c r="AG11" s="5">
        <v>0.66973886325714205</v>
      </c>
      <c r="AH11" s="5">
        <v>0.14838709679999901</v>
      </c>
      <c r="AI11" s="5">
        <v>0.3182795699</v>
      </c>
      <c r="AJ11" s="5">
        <v>0.36344086019999999</v>
      </c>
      <c r="AK11" s="5">
        <v>0.1698924731</v>
      </c>
      <c r="AL11" s="5">
        <v>0.93737373739999996</v>
      </c>
      <c r="AM11" s="5">
        <v>0.93360160969999995</v>
      </c>
      <c r="AN11" s="5">
        <v>0.94704684319999999</v>
      </c>
      <c r="AO11" s="5">
        <v>0.94704684319999999</v>
      </c>
      <c r="AP11" s="5" t="s">
        <v>53</v>
      </c>
      <c r="AQ11" s="5">
        <v>0.90404639309499801</v>
      </c>
      <c r="AR11" s="5" t="s">
        <v>53</v>
      </c>
      <c r="AS11" s="5">
        <v>0.93328009612447305</v>
      </c>
      <c r="AT11" s="5" t="s">
        <v>53</v>
      </c>
      <c r="AU11" s="5">
        <v>0.80229609648085898</v>
      </c>
      <c r="AV11" s="5" t="s">
        <v>53</v>
      </c>
      <c r="AW11" s="5">
        <v>0.85569435851578501</v>
      </c>
      <c r="AX11" s="5" t="s">
        <v>53</v>
      </c>
      <c r="AY11" s="10" t="s">
        <v>53</v>
      </c>
    </row>
    <row r="12" spans="1:51" ht="14.4" x14ac:dyDescent="0.3">
      <c r="A12" s="4">
        <v>3202108</v>
      </c>
      <c r="B12" s="4" t="s">
        <v>63</v>
      </c>
      <c r="C12" s="5">
        <v>2022</v>
      </c>
      <c r="D12" s="6" t="s">
        <v>53</v>
      </c>
      <c r="E12" s="6" t="s">
        <v>53</v>
      </c>
      <c r="F12" s="6" t="s">
        <v>53</v>
      </c>
      <c r="G12" s="6" t="s">
        <v>53</v>
      </c>
      <c r="H12" s="6" t="s">
        <v>53</v>
      </c>
      <c r="I12" s="6" t="s">
        <v>53</v>
      </c>
      <c r="J12" s="5">
        <v>0.64913311991806899</v>
      </c>
      <c r="K12" s="5">
        <v>0.62676123222465896</v>
      </c>
      <c r="L12" s="5" t="s">
        <v>53</v>
      </c>
      <c r="M12" s="5" t="s">
        <v>53</v>
      </c>
      <c r="N12" s="5">
        <v>0.49175787703320001</v>
      </c>
      <c r="O12" s="5">
        <v>0.46100960955840298</v>
      </c>
      <c r="P12" s="5">
        <v>0.57052822473185305</v>
      </c>
      <c r="Q12" s="5">
        <v>0.56043936262427596</v>
      </c>
      <c r="R12" s="5">
        <v>0.73517520215714205</v>
      </c>
      <c r="S12" s="5">
        <v>0.14622641510000001</v>
      </c>
      <c r="T12" s="5">
        <v>0.20754716979999999</v>
      </c>
      <c r="U12" s="5">
        <v>0.46698113209999997</v>
      </c>
      <c r="V12" s="5">
        <v>0.17924528299999901</v>
      </c>
      <c r="W12" s="5">
        <v>0.67142857142857104</v>
      </c>
      <c r="X12" s="5">
        <v>0.1</v>
      </c>
      <c r="Y12" s="5">
        <v>0.4</v>
      </c>
      <c r="Z12" s="5">
        <v>0.38571428569999999</v>
      </c>
      <c r="AA12" s="5">
        <v>0.11428571429999999</v>
      </c>
      <c r="AB12" s="5">
        <v>0.65927750409999997</v>
      </c>
      <c r="AC12" s="5">
        <v>0.16666666669999999</v>
      </c>
      <c r="AD12" s="5">
        <v>0.30459770110000001</v>
      </c>
      <c r="AE12" s="5">
        <v>0.29310344829999901</v>
      </c>
      <c r="AF12" s="5">
        <v>0.23563218389999999</v>
      </c>
      <c r="AG12" s="5">
        <v>0.54448979584285695</v>
      </c>
      <c r="AH12" s="5">
        <v>0.24</v>
      </c>
      <c r="AI12" s="5">
        <v>0.37714285710000001</v>
      </c>
      <c r="AJ12" s="5">
        <v>0.25142857140000002</v>
      </c>
      <c r="AK12" s="5">
        <v>0.1314285714</v>
      </c>
      <c r="AL12" s="5">
        <v>0.92982456139999903</v>
      </c>
      <c r="AM12" s="5">
        <v>0.92511013219999905</v>
      </c>
      <c r="AN12" s="5">
        <v>0.89690721650000005</v>
      </c>
      <c r="AO12" s="5">
        <v>0.90206185569999997</v>
      </c>
      <c r="AP12" s="5" t="s">
        <v>53</v>
      </c>
      <c r="AQ12" s="5">
        <v>0.96547421116320697</v>
      </c>
      <c r="AR12" s="5" t="s">
        <v>53</v>
      </c>
      <c r="AS12" s="5">
        <v>0.95086573100504501</v>
      </c>
      <c r="AT12" s="5" t="s">
        <v>53</v>
      </c>
      <c r="AU12" s="5">
        <v>0.82064892862587302</v>
      </c>
      <c r="AV12" s="5" t="s">
        <v>53</v>
      </c>
      <c r="AW12" s="5">
        <v>0.84721129438707099</v>
      </c>
      <c r="AX12" s="5" t="s">
        <v>53</v>
      </c>
      <c r="AY12" s="10" t="s">
        <v>53</v>
      </c>
    </row>
    <row r="13" spans="1:51" ht="14.4" x14ac:dyDescent="0.3">
      <c r="A13" s="4">
        <v>3203304</v>
      </c>
      <c r="B13" s="4" t="s">
        <v>64</v>
      </c>
      <c r="C13" s="5">
        <v>2022</v>
      </c>
      <c r="D13" s="6" t="s">
        <v>53</v>
      </c>
      <c r="E13" s="6" t="s">
        <v>53</v>
      </c>
      <c r="F13" s="6" t="s">
        <v>53</v>
      </c>
      <c r="G13" s="6" t="s">
        <v>53</v>
      </c>
      <c r="H13" s="6" t="s">
        <v>53</v>
      </c>
      <c r="I13" s="6" t="s">
        <v>53</v>
      </c>
      <c r="J13" s="5">
        <v>0.71994734771333202</v>
      </c>
      <c r="K13" s="5">
        <v>0.68626777296116903</v>
      </c>
      <c r="L13" s="5" t="s">
        <v>53</v>
      </c>
      <c r="M13" s="5" t="s">
        <v>53</v>
      </c>
      <c r="N13" s="5">
        <v>0.55527388181771997</v>
      </c>
      <c r="O13" s="5">
        <v>0.595144007279369</v>
      </c>
      <c r="P13" s="5">
        <v>0.63596865711061401</v>
      </c>
      <c r="Q13" s="5">
        <v>0.67259528429328896</v>
      </c>
      <c r="R13" s="5">
        <v>0.83600583089999903</v>
      </c>
      <c r="S13" s="5">
        <v>9.6938775500000005E-2</v>
      </c>
      <c r="T13" s="5">
        <v>0.11734693879999999</v>
      </c>
      <c r="U13" s="5">
        <v>0.41836734689999999</v>
      </c>
      <c r="V13" s="5">
        <v>0.36734693880000002</v>
      </c>
      <c r="W13" s="5">
        <v>0.819587628871428</v>
      </c>
      <c r="X13" s="5">
        <v>5.6701030899999998E-2</v>
      </c>
      <c r="Y13" s="5">
        <v>0.2164948454</v>
      </c>
      <c r="Z13" s="5">
        <v>0.28350515459999998</v>
      </c>
      <c r="AA13" s="5">
        <v>0.4432989691</v>
      </c>
      <c r="AB13" s="5">
        <v>0.76554621851428495</v>
      </c>
      <c r="AC13" s="5">
        <v>0.1</v>
      </c>
      <c r="AD13" s="5">
        <v>0.23529411759999999</v>
      </c>
      <c r="AE13" s="5">
        <v>0.36470588239999902</v>
      </c>
      <c r="AF13" s="5">
        <v>0.3</v>
      </c>
      <c r="AG13" s="5">
        <v>0.73361344538571405</v>
      </c>
      <c r="AH13" s="5">
        <v>8.82352941E-2</v>
      </c>
      <c r="AI13" s="5">
        <v>0.31176470589999999</v>
      </c>
      <c r="AJ13" s="5">
        <v>0.4</v>
      </c>
      <c r="AK13" s="5">
        <v>0.2</v>
      </c>
      <c r="AL13" s="5">
        <v>0.91162790699999996</v>
      </c>
      <c r="AM13" s="5">
        <v>0.90232558139999997</v>
      </c>
      <c r="AN13" s="5">
        <v>0.85427135679999999</v>
      </c>
      <c r="AO13" s="5">
        <v>0.85427135679999999</v>
      </c>
      <c r="AP13" s="5" t="s">
        <v>53</v>
      </c>
      <c r="AQ13" s="5">
        <v>0.89851485789891805</v>
      </c>
      <c r="AR13" s="5" t="s">
        <v>53</v>
      </c>
      <c r="AS13" s="5">
        <v>0.92425142897032397</v>
      </c>
      <c r="AT13" s="5" t="s">
        <v>53</v>
      </c>
      <c r="AU13" s="5">
        <v>0.85637418767392104</v>
      </c>
      <c r="AV13" s="5" t="s">
        <v>53</v>
      </c>
      <c r="AW13" s="5">
        <v>0.86691978331886299</v>
      </c>
      <c r="AX13" s="5" t="s">
        <v>53</v>
      </c>
      <c r="AY13" s="10" t="s">
        <v>53</v>
      </c>
    </row>
    <row r="14" spans="1:51" ht="14.4" x14ac:dyDescent="0.3">
      <c r="A14" s="4">
        <v>3200706</v>
      </c>
      <c r="B14" s="4" t="s">
        <v>65</v>
      </c>
      <c r="C14" s="5">
        <v>2022</v>
      </c>
      <c r="D14" s="6" t="s">
        <v>53</v>
      </c>
      <c r="E14" s="6" t="s">
        <v>53</v>
      </c>
      <c r="F14" s="6" t="s">
        <v>53</v>
      </c>
      <c r="G14" s="6" t="s">
        <v>53</v>
      </c>
      <c r="H14" s="6" t="s">
        <v>53</v>
      </c>
      <c r="I14" s="6" t="s">
        <v>53</v>
      </c>
      <c r="J14" s="5">
        <v>0.67179976857703505</v>
      </c>
      <c r="K14" s="5">
        <v>0.69249108438602103</v>
      </c>
      <c r="L14" s="5" t="s">
        <v>53</v>
      </c>
      <c r="M14" s="5" t="s">
        <v>53</v>
      </c>
      <c r="N14" s="5">
        <v>0.47808046789179698</v>
      </c>
      <c r="O14" s="5">
        <v>0.57873304709748297</v>
      </c>
      <c r="P14" s="5">
        <v>0.58261752278739498</v>
      </c>
      <c r="Q14" s="5">
        <v>0.61731898718687395</v>
      </c>
      <c r="R14" s="5">
        <v>0.66833751049999901</v>
      </c>
      <c r="S14" s="5">
        <v>0.134502924</v>
      </c>
      <c r="T14" s="5">
        <v>0.3450292398</v>
      </c>
      <c r="U14" s="5">
        <v>0.35672514620000001</v>
      </c>
      <c r="V14" s="5">
        <v>0.16374269009999901</v>
      </c>
      <c r="W14" s="5">
        <v>0.82539682540000003</v>
      </c>
      <c r="X14" s="5">
        <v>6.4327485399999995E-2</v>
      </c>
      <c r="Y14" s="5">
        <v>0.19298245609999901</v>
      </c>
      <c r="Z14" s="5">
        <v>0.36257309939999999</v>
      </c>
      <c r="AA14" s="5">
        <v>0.38011695909999998</v>
      </c>
      <c r="AB14" s="5">
        <v>0.71694764855714299</v>
      </c>
      <c r="AC14" s="5">
        <v>0.13043478259999999</v>
      </c>
      <c r="AD14" s="5">
        <v>0.26708074529999998</v>
      </c>
      <c r="AE14" s="5">
        <v>0.34161490680000001</v>
      </c>
      <c r="AF14" s="5">
        <v>0.26086956519999999</v>
      </c>
      <c r="AG14" s="5">
        <v>0.726708074528571</v>
      </c>
      <c r="AH14" s="5">
        <v>0.1242236025</v>
      </c>
      <c r="AI14" s="5">
        <v>0.26086956519999999</v>
      </c>
      <c r="AJ14" s="5">
        <v>0.42236024839999903</v>
      </c>
      <c r="AK14" s="5">
        <v>0.19254658389999901</v>
      </c>
      <c r="AL14" s="5">
        <v>0.91935483870000001</v>
      </c>
      <c r="AM14" s="5">
        <v>0.91935483870000001</v>
      </c>
      <c r="AN14" s="5">
        <v>0.95266272189999901</v>
      </c>
      <c r="AO14" s="5">
        <v>0.95266272189999901</v>
      </c>
      <c r="AP14" s="5" t="s">
        <v>53</v>
      </c>
      <c r="AQ14" s="5">
        <v>0.98258301388560199</v>
      </c>
      <c r="AR14" s="5" t="s">
        <v>53</v>
      </c>
      <c r="AS14" s="5">
        <v>0.98888136109027203</v>
      </c>
      <c r="AT14" s="5" t="s">
        <v>53</v>
      </c>
      <c r="AU14" s="5">
        <v>0.88179713414977301</v>
      </c>
      <c r="AV14" s="5" t="s">
        <v>53</v>
      </c>
      <c r="AW14" s="5">
        <v>0.91330334832292004</v>
      </c>
      <c r="AX14" s="5" t="s">
        <v>53</v>
      </c>
      <c r="AY14" s="10" t="s">
        <v>53</v>
      </c>
    </row>
    <row r="15" spans="1:51" ht="14.4" x14ac:dyDescent="0.3">
      <c r="A15" s="4">
        <v>3201209</v>
      </c>
      <c r="B15" s="4" t="s">
        <v>66</v>
      </c>
      <c r="C15" s="5">
        <v>2022</v>
      </c>
      <c r="D15" s="6" t="s">
        <v>53</v>
      </c>
      <c r="E15" s="6" t="s">
        <v>53</v>
      </c>
      <c r="F15" s="6" t="s">
        <v>53</v>
      </c>
      <c r="G15" s="6" t="s">
        <v>53</v>
      </c>
      <c r="H15" s="6" t="s">
        <v>53</v>
      </c>
      <c r="I15" s="6" t="s">
        <v>53</v>
      </c>
      <c r="J15" s="5">
        <v>0.61170423819698305</v>
      </c>
      <c r="K15" s="5">
        <v>0.61236512665660003</v>
      </c>
      <c r="L15" s="5" t="s">
        <v>53</v>
      </c>
      <c r="M15" s="5" t="s">
        <v>53</v>
      </c>
      <c r="N15" s="5">
        <v>0.46126627601765202</v>
      </c>
      <c r="O15" s="5">
        <v>0.46769693241558002</v>
      </c>
      <c r="P15" s="5">
        <v>0.539923506690966</v>
      </c>
      <c r="Q15" s="5">
        <v>0.53068095916173597</v>
      </c>
      <c r="R15" s="5">
        <v>0.64426642934285705</v>
      </c>
      <c r="S15" s="5">
        <v>0.20560747660000001</v>
      </c>
      <c r="T15" s="5">
        <v>0.26272066459999999</v>
      </c>
      <c r="U15" s="5">
        <v>0.36344755969999998</v>
      </c>
      <c r="V15" s="5">
        <v>0.1682242991</v>
      </c>
      <c r="W15" s="5">
        <v>0.67458089357142803</v>
      </c>
      <c r="X15" s="5">
        <v>0.1229646266</v>
      </c>
      <c r="Y15" s="5">
        <v>0.35429533969999999</v>
      </c>
      <c r="Z15" s="5">
        <v>0.38966872539999903</v>
      </c>
      <c r="AA15" s="5">
        <v>0.1330713083</v>
      </c>
      <c r="AB15" s="5">
        <v>0.62616093582857102</v>
      </c>
      <c r="AC15" s="5">
        <v>0.21191067</v>
      </c>
      <c r="AD15" s="5">
        <v>0.28337468980000002</v>
      </c>
      <c r="AE15" s="5">
        <v>0.3022332506</v>
      </c>
      <c r="AF15" s="5">
        <v>0.20248138959999901</v>
      </c>
      <c r="AG15" s="5">
        <v>0.56318817924285702</v>
      </c>
      <c r="AH15" s="5">
        <v>0.2401790154</v>
      </c>
      <c r="AI15" s="5">
        <v>0.34410740919999999</v>
      </c>
      <c r="AJ15" s="5">
        <v>0.3038289408</v>
      </c>
      <c r="AK15" s="5">
        <v>0.1118846345</v>
      </c>
      <c r="AL15" s="5">
        <v>0.88796680499999903</v>
      </c>
      <c r="AM15" s="5">
        <v>0.82491894399999999</v>
      </c>
      <c r="AN15" s="5">
        <v>0.87267215239999996</v>
      </c>
      <c r="AO15" s="5">
        <v>0.8709398008</v>
      </c>
      <c r="AP15" s="5" t="s">
        <v>53</v>
      </c>
      <c r="AQ15" s="5">
        <v>0.90015344052803303</v>
      </c>
      <c r="AR15" s="5" t="s">
        <v>53</v>
      </c>
      <c r="AS15" s="5">
        <v>0.92600566530414496</v>
      </c>
      <c r="AT15" s="5" t="s">
        <v>53</v>
      </c>
      <c r="AU15" s="5">
        <v>0.79740377029589304</v>
      </c>
      <c r="AV15" s="5" t="s">
        <v>53</v>
      </c>
      <c r="AW15" s="5">
        <v>0.85652114674431701</v>
      </c>
      <c r="AX15" s="5" t="s">
        <v>53</v>
      </c>
      <c r="AY15" s="10" t="s">
        <v>53</v>
      </c>
    </row>
    <row r="16" spans="1:51" ht="14.4" x14ac:dyDescent="0.3">
      <c r="A16" s="4">
        <v>3201407</v>
      </c>
      <c r="B16" s="4" t="s">
        <v>67</v>
      </c>
      <c r="C16" s="5">
        <v>2022</v>
      </c>
      <c r="D16" s="6" t="s">
        <v>53</v>
      </c>
      <c r="E16" s="6" t="s">
        <v>53</v>
      </c>
      <c r="F16" s="6" t="s">
        <v>53</v>
      </c>
      <c r="G16" s="6" t="s">
        <v>53</v>
      </c>
      <c r="H16" s="6" t="s">
        <v>53</v>
      </c>
      <c r="I16" s="6" t="s">
        <v>53</v>
      </c>
      <c r="J16" s="5">
        <v>0.69946383031555603</v>
      </c>
      <c r="K16" s="5">
        <v>0.64902249245606503</v>
      </c>
      <c r="L16" s="5" t="s">
        <v>53</v>
      </c>
      <c r="M16" s="5" t="s">
        <v>53</v>
      </c>
      <c r="N16" s="5">
        <v>0.53520857292246404</v>
      </c>
      <c r="O16" s="5">
        <v>0.544381738865512</v>
      </c>
      <c r="P16" s="5">
        <v>0.55549469048722599</v>
      </c>
      <c r="Q16" s="5">
        <v>0.56126312826884395</v>
      </c>
      <c r="R16" s="5">
        <v>0.79575596822857098</v>
      </c>
      <c r="S16" s="5">
        <v>9.8143236100000003E-2</v>
      </c>
      <c r="T16" s="5">
        <v>0.18567639259999999</v>
      </c>
      <c r="U16" s="5">
        <v>0.39787798410000003</v>
      </c>
      <c r="V16" s="5">
        <v>0.31830238729999999</v>
      </c>
      <c r="W16" s="5">
        <v>0.81814671821428497</v>
      </c>
      <c r="X16" s="5">
        <v>6.7567567600000003E-2</v>
      </c>
      <c r="Y16" s="5">
        <v>0.2</v>
      </c>
      <c r="Z16" s="5">
        <v>0.4594594595</v>
      </c>
      <c r="AA16" s="5">
        <v>0.27297297300000001</v>
      </c>
      <c r="AB16" s="5">
        <v>0.65672165668571403</v>
      </c>
      <c r="AC16" s="5">
        <v>0.171990172</v>
      </c>
      <c r="AD16" s="5">
        <v>0.29975429980000001</v>
      </c>
      <c r="AE16" s="5">
        <v>0.31203931200000001</v>
      </c>
      <c r="AF16" s="5">
        <v>0.21621621619999901</v>
      </c>
      <c r="AG16" s="5">
        <v>0.63019000702857098</v>
      </c>
      <c r="AH16" s="5">
        <v>0.18965517239999999</v>
      </c>
      <c r="AI16" s="5">
        <v>0.315270936</v>
      </c>
      <c r="AJ16" s="5">
        <v>0.35960591129999903</v>
      </c>
      <c r="AK16" s="5">
        <v>0.13546798029999901</v>
      </c>
      <c r="AL16" s="5">
        <v>0.92401960779999903</v>
      </c>
      <c r="AM16" s="5">
        <v>0.90243902440000001</v>
      </c>
      <c r="AN16" s="5">
        <v>0.92500000000000004</v>
      </c>
      <c r="AO16" s="5">
        <v>0.92272727269999999</v>
      </c>
      <c r="AP16" s="5" t="s">
        <v>53</v>
      </c>
      <c r="AQ16" s="5">
        <v>0.87783989712240096</v>
      </c>
      <c r="AR16" s="5" t="s">
        <v>53</v>
      </c>
      <c r="AS16" s="5">
        <v>0.86564046156168994</v>
      </c>
      <c r="AT16" s="5" t="s">
        <v>53</v>
      </c>
      <c r="AU16" s="5">
        <v>0.76674997106701004</v>
      </c>
      <c r="AV16" s="5" t="s">
        <v>53</v>
      </c>
      <c r="AW16" s="5">
        <v>0.81261739357919605</v>
      </c>
      <c r="AX16" s="5" t="s">
        <v>53</v>
      </c>
      <c r="AY16" s="10" t="s">
        <v>53</v>
      </c>
    </row>
    <row r="17" spans="1:51" ht="14.4" x14ac:dyDescent="0.3">
      <c r="A17" s="4">
        <v>3202603</v>
      </c>
      <c r="B17" s="4" t="s">
        <v>68</v>
      </c>
      <c r="C17" s="5">
        <v>2022</v>
      </c>
      <c r="D17" s="6" t="s">
        <v>53</v>
      </c>
      <c r="E17" s="6" t="s">
        <v>53</v>
      </c>
      <c r="F17" s="6" t="s">
        <v>53</v>
      </c>
      <c r="G17" s="6" t="s">
        <v>53</v>
      </c>
      <c r="H17" s="6" t="s">
        <v>53</v>
      </c>
      <c r="I17" s="6" t="s">
        <v>53</v>
      </c>
      <c r="J17" s="5">
        <v>0.69345321189840603</v>
      </c>
      <c r="K17" s="5">
        <v>0.71502879581169898</v>
      </c>
      <c r="L17" s="5" t="s">
        <v>53</v>
      </c>
      <c r="M17" s="5" t="s">
        <v>53</v>
      </c>
      <c r="N17" s="5">
        <v>0.55265615448123695</v>
      </c>
      <c r="O17" s="5">
        <v>0.53204337041303396</v>
      </c>
      <c r="P17" s="5">
        <v>0.59881453585742095</v>
      </c>
      <c r="Q17" s="5">
        <v>0.57824734312679604</v>
      </c>
      <c r="R17" s="5">
        <v>0.84814398201428498</v>
      </c>
      <c r="S17" s="5">
        <v>7.0866141699999996E-2</v>
      </c>
      <c r="T17" s="5">
        <v>0.1417322835</v>
      </c>
      <c r="U17" s="5">
        <v>0.50393700789999996</v>
      </c>
      <c r="V17" s="5">
        <v>0.28346456689999999</v>
      </c>
      <c r="W17" s="5">
        <v>0.81714285714285695</v>
      </c>
      <c r="X17" s="5">
        <v>3.2000000000000001E-2</v>
      </c>
      <c r="Y17" s="5">
        <v>0.26400000000000001</v>
      </c>
      <c r="Z17" s="5">
        <v>0.51200000000000001</v>
      </c>
      <c r="AA17" s="5">
        <v>0.192</v>
      </c>
      <c r="AB17" s="5">
        <v>0.80749746711428505</v>
      </c>
      <c r="AC17" s="5">
        <v>7.0921985800000004E-2</v>
      </c>
      <c r="AD17" s="5">
        <v>0.21276595740000001</v>
      </c>
      <c r="AE17" s="5">
        <v>0.43971631210000001</v>
      </c>
      <c r="AF17" s="5">
        <v>0.27659574469999998</v>
      </c>
      <c r="AG17" s="5">
        <v>0.72948328262857098</v>
      </c>
      <c r="AH17" s="5">
        <v>9.2198581599999996E-2</v>
      </c>
      <c r="AI17" s="5">
        <v>0.31205673760000002</v>
      </c>
      <c r="AJ17" s="5">
        <v>0.3829787234</v>
      </c>
      <c r="AK17" s="5">
        <v>0.21276595740000001</v>
      </c>
      <c r="AL17" s="5">
        <v>0.85234899330000002</v>
      </c>
      <c r="AM17" s="5">
        <v>0.84459459459999997</v>
      </c>
      <c r="AN17" s="5">
        <v>0.94</v>
      </c>
      <c r="AO17" s="5">
        <v>0.94</v>
      </c>
      <c r="AP17" s="5" t="s">
        <v>53</v>
      </c>
      <c r="AQ17" s="5">
        <v>0.95925693324096895</v>
      </c>
      <c r="AR17" s="5" t="s">
        <v>53</v>
      </c>
      <c r="AS17" s="5">
        <v>0.954154521515718</v>
      </c>
      <c r="AT17" s="5" t="s">
        <v>53</v>
      </c>
      <c r="AU17" s="5">
        <v>0.84136689015191002</v>
      </c>
      <c r="AV17" s="5" t="s">
        <v>53</v>
      </c>
      <c r="AW17" s="5">
        <v>0.817887678047862</v>
      </c>
      <c r="AX17" s="5" t="s">
        <v>53</v>
      </c>
      <c r="AY17" s="10" t="s">
        <v>53</v>
      </c>
    </row>
    <row r="18" spans="1:51" ht="14.4" x14ac:dyDescent="0.3">
      <c r="A18" s="4">
        <v>3202801</v>
      </c>
      <c r="B18" s="4" t="s">
        <v>69</v>
      </c>
      <c r="C18" s="5">
        <v>2022</v>
      </c>
      <c r="D18" s="6" t="s">
        <v>53</v>
      </c>
      <c r="E18" s="6" t="s">
        <v>53</v>
      </c>
      <c r="F18" s="6" t="s">
        <v>53</v>
      </c>
      <c r="G18" s="6" t="s">
        <v>53</v>
      </c>
      <c r="H18" s="6" t="s">
        <v>53</v>
      </c>
      <c r="I18" s="6" t="s">
        <v>53</v>
      </c>
      <c r="J18" s="5">
        <v>0.62670466911016698</v>
      </c>
      <c r="K18" s="5">
        <v>0.606736637200466</v>
      </c>
      <c r="L18" s="5" t="s">
        <v>53</v>
      </c>
      <c r="M18" s="5" t="s">
        <v>53</v>
      </c>
      <c r="N18" s="5">
        <v>0.46643635217092799</v>
      </c>
      <c r="O18" s="5">
        <v>0.50811397663373004</v>
      </c>
      <c r="P18" s="5">
        <v>0.54032345674432203</v>
      </c>
      <c r="Q18" s="5">
        <v>0.53391073277433199</v>
      </c>
      <c r="R18" s="5">
        <v>0.65719315895714203</v>
      </c>
      <c r="S18" s="5">
        <v>0.20598591549999901</v>
      </c>
      <c r="T18" s="5">
        <v>0.23943661969999999</v>
      </c>
      <c r="U18" s="5">
        <v>0.375</v>
      </c>
      <c r="V18" s="5">
        <v>0.1795774648</v>
      </c>
      <c r="W18" s="5">
        <v>0.74401321218571403</v>
      </c>
      <c r="X18" s="5">
        <v>9.6339113699999895E-2</v>
      </c>
      <c r="Y18" s="5">
        <v>0.27938342970000002</v>
      </c>
      <c r="Z18" s="5">
        <v>0.40847784199999998</v>
      </c>
      <c r="AA18" s="5">
        <v>0.21579961459999999</v>
      </c>
      <c r="AB18" s="5">
        <v>0.63591433275714204</v>
      </c>
      <c r="AC18" s="5">
        <v>0.17298187810000001</v>
      </c>
      <c r="AD18" s="5">
        <v>0.33443163100000001</v>
      </c>
      <c r="AE18" s="5">
        <v>0.36079077430000001</v>
      </c>
      <c r="AF18" s="5">
        <v>0.1317957166</v>
      </c>
      <c r="AG18" s="5">
        <v>0.54935927862857103</v>
      </c>
      <c r="AH18" s="5">
        <v>0.207641196</v>
      </c>
      <c r="AI18" s="5">
        <v>0.42524916939999902</v>
      </c>
      <c r="AJ18" s="5">
        <v>0.29235880399999897</v>
      </c>
      <c r="AK18" s="5">
        <v>7.4750830599999998E-2</v>
      </c>
      <c r="AL18" s="5">
        <v>0.87384615379999997</v>
      </c>
      <c r="AM18" s="5">
        <v>0.81093749999999998</v>
      </c>
      <c r="AN18" s="5">
        <v>0.87716763009999998</v>
      </c>
      <c r="AO18" s="5">
        <v>0.86994219650000004</v>
      </c>
      <c r="AP18" s="5" t="s">
        <v>53</v>
      </c>
      <c r="AQ18" s="5">
        <v>0.91056747694831197</v>
      </c>
      <c r="AR18" s="5" t="s">
        <v>53</v>
      </c>
      <c r="AS18" s="5">
        <v>0.97558954804819997</v>
      </c>
      <c r="AT18" s="5" t="s">
        <v>53</v>
      </c>
      <c r="AU18" s="5">
        <v>0.93669127946976605</v>
      </c>
      <c r="AV18" s="5" t="s">
        <v>53</v>
      </c>
      <c r="AW18" s="5">
        <v>0.91415277230723302</v>
      </c>
      <c r="AX18" s="5" t="s">
        <v>53</v>
      </c>
      <c r="AY18" s="10" t="s">
        <v>53</v>
      </c>
    </row>
    <row r="19" spans="1:51" ht="14.4" x14ac:dyDescent="0.3">
      <c r="A19" s="4">
        <v>3203106</v>
      </c>
      <c r="B19" s="4" t="s">
        <v>70</v>
      </c>
      <c r="C19" s="5">
        <v>2022</v>
      </c>
      <c r="D19" s="6" t="s">
        <v>53</v>
      </c>
      <c r="E19" s="6" t="s">
        <v>53</v>
      </c>
      <c r="F19" s="6" t="s">
        <v>53</v>
      </c>
      <c r="G19" s="6" t="s">
        <v>53</v>
      </c>
      <c r="H19" s="6" t="s">
        <v>53</v>
      </c>
      <c r="I19" s="6" t="s">
        <v>53</v>
      </c>
      <c r="J19" s="5">
        <v>0.70282774728923902</v>
      </c>
      <c r="K19" s="5">
        <v>0.68925727353452204</v>
      </c>
      <c r="L19" s="5" t="s">
        <v>53</v>
      </c>
      <c r="M19" s="5" t="s">
        <v>53</v>
      </c>
      <c r="N19" s="5">
        <v>0.52020246499678202</v>
      </c>
      <c r="O19" s="5">
        <v>0.52129372042602495</v>
      </c>
      <c r="P19" s="5">
        <v>0.53944623222249499</v>
      </c>
      <c r="Q19" s="5">
        <v>0.54330032380534299</v>
      </c>
      <c r="R19" s="5">
        <v>0.789210789214285</v>
      </c>
      <c r="S19" s="5">
        <v>9.0909090900000003E-2</v>
      </c>
      <c r="T19" s="5">
        <v>0.20979020979999999</v>
      </c>
      <c r="U19" s="5">
        <v>0.47552447549999999</v>
      </c>
      <c r="V19" s="5">
        <v>0.22377622379999901</v>
      </c>
      <c r="W19" s="5">
        <v>0.82595573432857095</v>
      </c>
      <c r="X19" s="5">
        <v>4.9295774600000002E-2</v>
      </c>
      <c r="Y19" s="5">
        <v>0.21830985920000001</v>
      </c>
      <c r="Z19" s="5">
        <v>0.54929577460000001</v>
      </c>
      <c r="AA19" s="5">
        <v>0.18309859149999999</v>
      </c>
      <c r="AB19" s="5">
        <v>0.70454545457142803</v>
      </c>
      <c r="AC19" s="5">
        <v>0.1136363636</v>
      </c>
      <c r="AD19" s="5">
        <v>0.31818181820000002</v>
      </c>
      <c r="AE19" s="5">
        <v>0.31818181820000002</v>
      </c>
      <c r="AF19" s="5">
        <v>0.25</v>
      </c>
      <c r="AG19" s="5">
        <v>0.71266233762857101</v>
      </c>
      <c r="AH19" s="5">
        <v>7.9545454500000001E-2</v>
      </c>
      <c r="AI19" s="5">
        <v>0.36363636360000001</v>
      </c>
      <c r="AJ19" s="5">
        <v>0.48863636360000001</v>
      </c>
      <c r="AK19" s="5">
        <v>6.8181818199999994E-2</v>
      </c>
      <c r="AL19" s="5">
        <v>0.96621621619999998</v>
      </c>
      <c r="AM19" s="5">
        <v>0.96598639460000002</v>
      </c>
      <c r="AN19" s="5">
        <v>0.97777777779999997</v>
      </c>
      <c r="AO19" s="5">
        <v>0.97777777779999997</v>
      </c>
      <c r="AP19" s="5" t="s">
        <v>53</v>
      </c>
      <c r="AQ19" s="5">
        <v>0.88832802252855403</v>
      </c>
      <c r="AR19" s="5" t="s">
        <v>53</v>
      </c>
      <c r="AS19" s="5">
        <v>0.90832096915789096</v>
      </c>
      <c r="AT19" s="5" t="s">
        <v>53</v>
      </c>
      <c r="AU19" s="5">
        <v>0.84425932030175299</v>
      </c>
      <c r="AV19" s="5" t="s">
        <v>53</v>
      </c>
      <c r="AW19" s="5">
        <v>0.92582378456118997</v>
      </c>
      <c r="AX19" s="5" t="s">
        <v>53</v>
      </c>
      <c r="AY19" s="10" t="s">
        <v>53</v>
      </c>
    </row>
    <row r="20" spans="1:51" ht="14.4" x14ac:dyDescent="0.3">
      <c r="A20" s="4">
        <v>3203320</v>
      </c>
      <c r="B20" s="4" t="s">
        <v>71</v>
      </c>
      <c r="C20" s="5">
        <v>2022</v>
      </c>
      <c r="D20" s="6" t="s">
        <v>53</v>
      </c>
      <c r="E20" s="6" t="s">
        <v>53</v>
      </c>
      <c r="F20" s="6" t="s">
        <v>53</v>
      </c>
      <c r="G20" s="6" t="s">
        <v>53</v>
      </c>
      <c r="H20" s="6" t="s">
        <v>53</v>
      </c>
      <c r="I20" s="6" t="s">
        <v>53</v>
      </c>
      <c r="J20" s="5">
        <v>0.61546561877962702</v>
      </c>
      <c r="K20" s="5">
        <v>0.63136144585433995</v>
      </c>
      <c r="L20" s="5" t="s">
        <v>53</v>
      </c>
      <c r="M20" s="5" t="s">
        <v>53</v>
      </c>
      <c r="N20" s="5">
        <v>0.47367784246953798</v>
      </c>
      <c r="O20" s="5">
        <v>0.44783182958668599</v>
      </c>
      <c r="P20" s="5">
        <v>0.55632452049430103</v>
      </c>
      <c r="Q20" s="5">
        <v>0.55116101807999396</v>
      </c>
      <c r="R20" s="5">
        <v>0.68513119535714295</v>
      </c>
      <c r="S20" s="5">
        <v>0.1496598639</v>
      </c>
      <c r="T20" s="5">
        <v>0.28911564629999997</v>
      </c>
      <c r="U20" s="5">
        <v>0.41496598639999999</v>
      </c>
      <c r="V20" s="5">
        <v>0.14625850339999999</v>
      </c>
      <c r="W20" s="5">
        <v>0.65664160392857096</v>
      </c>
      <c r="X20" s="5">
        <v>0.1087719298</v>
      </c>
      <c r="Y20" s="5">
        <v>0.41052631579999999</v>
      </c>
      <c r="Z20" s="5">
        <v>0.42280701749999999</v>
      </c>
      <c r="AA20" s="5">
        <v>5.7894736799999999E-2</v>
      </c>
      <c r="AB20" s="5">
        <v>0.6908387721</v>
      </c>
      <c r="AC20" s="5">
        <v>0.13705583760000001</v>
      </c>
      <c r="AD20" s="5">
        <v>0.30118443319999999</v>
      </c>
      <c r="AE20" s="5">
        <v>0.39086294420000001</v>
      </c>
      <c r="AF20" s="5">
        <v>0.170896785099999</v>
      </c>
      <c r="AG20" s="5">
        <v>0.62073966644285705</v>
      </c>
      <c r="AH20" s="5">
        <v>0.14043993229999999</v>
      </c>
      <c r="AI20" s="5">
        <v>0.41793570219999998</v>
      </c>
      <c r="AJ20" s="5">
        <v>0.36040609140000002</v>
      </c>
      <c r="AK20" s="5">
        <v>8.1218274100000001E-2</v>
      </c>
      <c r="AL20" s="5">
        <v>0.87111111109999995</v>
      </c>
      <c r="AM20" s="5">
        <v>0.84695393760000004</v>
      </c>
      <c r="AN20" s="5">
        <v>0.85404624279999997</v>
      </c>
      <c r="AO20" s="5">
        <v>0.85404624279999997</v>
      </c>
      <c r="AP20" s="5" t="s">
        <v>53</v>
      </c>
      <c r="AQ20" s="5">
        <v>0.90116864651385598</v>
      </c>
      <c r="AR20" s="5" t="s">
        <v>53</v>
      </c>
      <c r="AS20" s="5">
        <v>0.94159651954797097</v>
      </c>
      <c r="AT20" s="5" t="s">
        <v>53</v>
      </c>
      <c r="AU20" s="5">
        <v>0.85729507841910302</v>
      </c>
      <c r="AV20" s="5" t="s">
        <v>53</v>
      </c>
      <c r="AW20" s="5">
        <v>0.89844095352426001</v>
      </c>
      <c r="AX20" s="5" t="s">
        <v>53</v>
      </c>
      <c r="AY20" s="10" t="s">
        <v>53</v>
      </c>
    </row>
    <row r="21" spans="1:51" ht="15.75" customHeight="1" x14ac:dyDescent="0.3">
      <c r="A21" s="4">
        <v>3203403</v>
      </c>
      <c r="B21" s="4" t="s">
        <v>72</v>
      </c>
      <c r="C21" s="5">
        <v>2022</v>
      </c>
      <c r="D21" s="6" t="s">
        <v>53</v>
      </c>
      <c r="E21" s="6" t="s">
        <v>53</v>
      </c>
      <c r="F21" s="6" t="s">
        <v>53</v>
      </c>
      <c r="G21" s="6" t="s">
        <v>53</v>
      </c>
      <c r="H21" s="6" t="s">
        <v>53</v>
      </c>
      <c r="I21" s="6" t="s">
        <v>53</v>
      </c>
      <c r="J21" s="5">
        <v>0.64421834343783602</v>
      </c>
      <c r="K21" s="5">
        <v>0.60555008996430904</v>
      </c>
      <c r="L21" s="5" t="s">
        <v>53</v>
      </c>
      <c r="M21" s="5" t="s">
        <v>53</v>
      </c>
      <c r="N21" s="5">
        <v>0.489217857737899</v>
      </c>
      <c r="O21" s="5">
        <v>0.47130106355376</v>
      </c>
      <c r="P21" s="5">
        <v>0.56826812546986405</v>
      </c>
      <c r="Q21" s="5">
        <v>0.54507308991977799</v>
      </c>
      <c r="R21" s="5">
        <v>0.72236244319999998</v>
      </c>
      <c r="S21" s="5">
        <v>0.14840989399999999</v>
      </c>
      <c r="T21" s="5">
        <v>0.22614840990000001</v>
      </c>
      <c r="U21" s="5">
        <v>0.41342756180000001</v>
      </c>
      <c r="V21" s="5">
        <v>0.21201413429999999</v>
      </c>
      <c r="W21" s="5">
        <v>0.68740115965714199</v>
      </c>
      <c r="X21" s="5">
        <v>9.9630996299999997E-2</v>
      </c>
      <c r="Y21" s="5">
        <v>0.37269372689999902</v>
      </c>
      <c r="Z21" s="5">
        <v>0.40959409590000001</v>
      </c>
      <c r="AA21" s="5">
        <v>0.1180811808</v>
      </c>
      <c r="AB21" s="5">
        <v>0.61523145844285698</v>
      </c>
      <c r="AC21" s="5">
        <v>0.2195121951</v>
      </c>
      <c r="AD21" s="5">
        <v>0.28919860629999999</v>
      </c>
      <c r="AE21" s="5">
        <v>0.34146341460000001</v>
      </c>
      <c r="AF21" s="5">
        <v>0.14982578399999999</v>
      </c>
      <c r="AG21" s="5">
        <v>0.51112209585714197</v>
      </c>
      <c r="AH21" s="5">
        <v>0.2733564014</v>
      </c>
      <c r="AI21" s="5">
        <v>0.37716262979999998</v>
      </c>
      <c r="AJ21" s="5">
        <v>0.25259515570000002</v>
      </c>
      <c r="AK21" s="5">
        <v>9.6885813099999996E-2</v>
      </c>
      <c r="AL21" s="5">
        <v>0.91883116880000004</v>
      </c>
      <c r="AM21" s="5">
        <v>0.88273615640000003</v>
      </c>
      <c r="AN21" s="5">
        <v>0.90251572329999996</v>
      </c>
      <c r="AO21" s="5">
        <v>0.90880503140000002</v>
      </c>
      <c r="AP21" s="5" t="s">
        <v>53</v>
      </c>
      <c r="AQ21" s="5">
        <v>0.93440226961241402</v>
      </c>
      <c r="AR21" s="5" t="s">
        <v>53</v>
      </c>
      <c r="AS21" s="5">
        <v>0.93142117734981</v>
      </c>
      <c r="AT21" s="5" t="s">
        <v>53</v>
      </c>
      <c r="AU21" s="5">
        <v>0.82959964949398401</v>
      </c>
      <c r="AV21" s="5" t="s">
        <v>53</v>
      </c>
      <c r="AW21" s="5">
        <v>0.86088531617441499</v>
      </c>
      <c r="AX21" s="5" t="s">
        <v>53</v>
      </c>
      <c r="AY21" s="10" t="s">
        <v>53</v>
      </c>
    </row>
    <row r="22" spans="1:51" ht="15.75" customHeight="1" x14ac:dyDescent="0.3">
      <c r="A22" s="4">
        <v>3203809</v>
      </c>
      <c r="B22" s="4" t="s">
        <v>73</v>
      </c>
      <c r="C22" s="5">
        <v>2022</v>
      </c>
      <c r="D22" s="6" t="s">
        <v>53</v>
      </c>
      <c r="E22" s="6" t="s">
        <v>53</v>
      </c>
      <c r="F22" s="6" t="s">
        <v>53</v>
      </c>
      <c r="G22" s="6" t="s">
        <v>53</v>
      </c>
      <c r="H22" s="6" t="s">
        <v>53</v>
      </c>
      <c r="I22" s="6" t="s">
        <v>53</v>
      </c>
      <c r="J22" s="5">
        <v>0.64061976980739899</v>
      </c>
      <c r="K22" s="5">
        <v>0.655998326461394</v>
      </c>
      <c r="L22" s="5" t="s">
        <v>53</v>
      </c>
      <c r="M22" s="5" t="s">
        <v>53</v>
      </c>
      <c r="N22" s="5">
        <v>0.47259568607626801</v>
      </c>
      <c r="O22" s="5">
        <v>0.51130442680116805</v>
      </c>
      <c r="P22" s="5">
        <v>0.55067217150288705</v>
      </c>
      <c r="Q22" s="5">
        <v>0.56005229387454003</v>
      </c>
      <c r="R22" s="5">
        <v>0.67545787547142799</v>
      </c>
      <c r="S22" s="5">
        <v>0.14871794869999999</v>
      </c>
      <c r="T22" s="5">
        <v>0.3076923077</v>
      </c>
      <c r="U22" s="5">
        <v>0.3435897436</v>
      </c>
      <c r="V22" s="5">
        <v>0.2</v>
      </c>
      <c r="W22" s="5">
        <v>0.73503591388571399</v>
      </c>
      <c r="X22" s="5">
        <v>8.9385474899999998E-2</v>
      </c>
      <c r="Y22" s="5">
        <v>0.3072625698</v>
      </c>
      <c r="Z22" s="5">
        <v>0.37988826819999999</v>
      </c>
      <c r="AA22" s="5">
        <v>0.22346368720000001</v>
      </c>
      <c r="AB22" s="5">
        <v>0.65409309784285696</v>
      </c>
      <c r="AC22" s="5">
        <v>0.18539325840000001</v>
      </c>
      <c r="AD22" s="5">
        <v>0.2808988764</v>
      </c>
      <c r="AE22" s="5">
        <v>0.32584269659999998</v>
      </c>
      <c r="AF22" s="5">
        <v>0.2078651685</v>
      </c>
      <c r="AG22" s="5">
        <v>0.62873284900000004</v>
      </c>
      <c r="AH22" s="5">
        <v>0.20338983050000001</v>
      </c>
      <c r="AI22" s="5">
        <v>0.29378531070000002</v>
      </c>
      <c r="AJ22" s="5">
        <v>0.29378531070000002</v>
      </c>
      <c r="AK22" s="5">
        <v>0.20903954799999999</v>
      </c>
      <c r="AL22" s="5">
        <v>0.91549295770000005</v>
      </c>
      <c r="AM22" s="5">
        <v>0.84433962259999995</v>
      </c>
      <c r="AN22" s="5">
        <v>0.94680851059999904</v>
      </c>
      <c r="AO22" s="5">
        <v>0.94148936169999997</v>
      </c>
      <c r="AP22" s="5" t="s">
        <v>53</v>
      </c>
      <c r="AQ22" s="5">
        <v>0.91000790602403703</v>
      </c>
      <c r="AR22" s="5" t="s">
        <v>53</v>
      </c>
      <c r="AS22" s="5">
        <v>0.93047717401638097</v>
      </c>
      <c r="AT22" s="5" t="s">
        <v>53</v>
      </c>
      <c r="AU22" s="5">
        <v>0.81256751481265299</v>
      </c>
      <c r="AV22" s="5" t="s">
        <v>53</v>
      </c>
      <c r="AW22" s="5">
        <v>0.83560157979588701</v>
      </c>
      <c r="AX22" s="5" t="s">
        <v>53</v>
      </c>
      <c r="AY22" s="10" t="s">
        <v>53</v>
      </c>
    </row>
    <row r="23" spans="1:51" ht="15.75" customHeight="1" x14ac:dyDescent="0.3">
      <c r="A23" s="4">
        <v>3204302</v>
      </c>
      <c r="B23" s="4" t="s">
        <v>74</v>
      </c>
      <c r="C23" s="5">
        <v>2022</v>
      </c>
      <c r="D23" s="6" t="s">
        <v>53</v>
      </c>
      <c r="E23" s="6" t="s">
        <v>53</v>
      </c>
      <c r="F23" s="6" t="s">
        <v>53</v>
      </c>
      <c r="G23" s="6" t="s">
        <v>53</v>
      </c>
      <c r="H23" s="6" t="s">
        <v>53</v>
      </c>
      <c r="I23" s="6" t="s">
        <v>53</v>
      </c>
      <c r="J23" s="5">
        <v>0.63449335095516501</v>
      </c>
      <c r="K23" s="5">
        <v>0.62039736056188</v>
      </c>
      <c r="L23" s="5" t="s">
        <v>53</v>
      </c>
      <c r="M23" s="5" t="s">
        <v>53</v>
      </c>
      <c r="N23" s="5">
        <v>0.48400768133856598</v>
      </c>
      <c r="O23" s="5">
        <v>0.48414006115011898</v>
      </c>
      <c r="P23" s="5">
        <v>0.54103148430913295</v>
      </c>
      <c r="Q23" s="5">
        <v>0.52800892670828004</v>
      </c>
      <c r="R23" s="5">
        <v>0.69243697472857102</v>
      </c>
      <c r="S23" s="5">
        <v>0.1764705882</v>
      </c>
      <c r="T23" s="5">
        <v>0.22941176469999999</v>
      </c>
      <c r="U23" s="5">
        <v>0.35882352939999901</v>
      </c>
      <c r="V23" s="5">
        <v>0.23529411759999999</v>
      </c>
      <c r="W23" s="5">
        <v>0.72577996714285697</v>
      </c>
      <c r="X23" s="5">
        <v>5.7471264399999999E-2</v>
      </c>
      <c r="Y23" s="5">
        <v>0.37931034479999998</v>
      </c>
      <c r="Z23" s="5">
        <v>0.45977011490000003</v>
      </c>
      <c r="AA23" s="5">
        <v>0.1034482759</v>
      </c>
      <c r="AB23" s="5">
        <v>0.63500000000000001</v>
      </c>
      <c r="AC23" s="5">
        <v>0.20499999999999999</v>
      </c>
      <c r="AD23" s="5">
        <v>0.28000000000000003</v>
      </c>
      <c r="AE23" s="5">
        <v>0.32</v>
      </c>
      <c r="AF23" s="5">
        <v>0.19500000000000001</v>
      </c>
      <c r="AG23" s="5">
        <v>0.55999999999999905</v>
      </c>
      <c r="AH23" s="5">
        <v>0.22</v>
      </c>
      <c r="AI23" s="5">
        <v>0.38500000000000001</v>
      </c>
      <c r="AJ23" s="5">
        <v>0.32</v>
      </c>
      <c r="AK23" s="5">
        <v>7.4999999999999997E-2</v>
      </c>
      <c r="AL23" s="5">
        <v>0.85427135679999999</v>
      </c>
      <c r="AM23" s="5">
        <v>0.87878787879999998</v>
      </c>
      <c r="AN23" s="5">
        <v>0.90497737560000002</v>
      </c>
      <c r="AO23" s="5">
        <v>0.90497737560000002</v>
      </c>
      <c r="AP23" s="5" t="s">
        <v>53</v>
      </c>
      <c r="AQ23" s="5">
        <v>0.95332914695834103</v>
      </c>
      <c r="AR23" s="5" t="s">
        <v>53</v>
      </c>
      <c r="AS23" s="5">
        <v>0.970120585343477</v>
      </c>
      <c r="AT23" s="5" t="s">
        <v>53</v>
      </c>
      <c r="AU23" s="5">
        <v>0.81538495025316404</v>
      </c>
      <c r="AV23" s="5" t="s">
        <v>53</v>
      </c>
      <c r="AW23" s="5">
        <v>0.878900800993905</v>
      </c>
      <c r="AX23" s="5" t="s">
        <v>53</v>
      </c>
      <c r="AY23" s="10" t="s">
        <v>53</v>
      </c>
    </row>
    <row r="24" spans="1:51" ht="15.75" customHeight="1" x14ac:dyDescent="0.3">
      <c r="A24" s="4">
        <v>3204401</v>
      </c>
      <c r="B24" s="4" t="s">
        <v>75</v>
      </c>
      <c r="C24" s="5">
        <v>2022</v>
      </c>
      <c r="D24" s="6" t="s">
        <v>53</v>
      </c>
      <c r="E24" s="6" t="s">
        <v>53</v>
      </c>
      <c r="F24" s="6" t="s">
        <v>53</v>
      </c>
      <c r="G24" s="6" t="s">
        <v>53</v>
      </c>
      <c r="H24" s="6" t="s">
        <v>53</v>
      </c>
      <c r="I24" s="6" t="s">
        <v>53</v>
      </c>
      <c r="J24" s="5">
        <v>0.676030032351701</v>
      </c>
      <c r="K24" s="5">
        <v>0.69643738643086905</v>
      </c>
      <c r="L24" s="5" t="s">
        <v>53</v>
      </c>
      <c r="M24" s="5" t="s">
        <v>53</v>
      </c>
      <c r="N24" s="5">
        <v>0.53258977062062496</v>
      </c>
      <c r="O24" s="5">
        <v>0.50352938272042802</v>
      </c>
      <c r="P24" s="5">
        <v>0.59378576490896495</v>
      </c>
      <c r="Q24" s="5">
        <v>0.58373499525255301</v>
      </c>
      <c r="R24" s="5">
        <v>0.79545454547142802</v>
      </c>
      <c r="S24" s="5">
        <v>0.14393939389999999</v>
      </c>
      <c r="T24" s="5">
        <v>0.1060606061</v>
      </c>
      <c r="U24" s="5">
        <v>0.43181818179999998</v>
      </c>
      <c r="V24" s="5">
        <v>0.31818181820000002</v>
      </c>
      <c r="W24" s="5">
        <v>0.75140607425714201</v>
      </c>
      <c r="X24" s="5">
        <v>5.5118110199999903E-2</v>
      </c>
      <c r="Y24" s="5">
        <v>0.33858267720000002</v>
      </c>
      <c r="Z24" s="5">
        <v>0.42519685039999999</v>
      </c>
      <c r="AA24" s="5">
        <v>0.18110236220000001</v>
      </c>
      <c r="AB24" s="5">
        <v>0.80885311872857102</v>
      </c>
      <c r="AC24" s="5">
        <v>4.2253521099999997E-2</v>
      </c>
      <c r="AD24" s="5">
        <v>0.26056338029999998</v>
      </c>
      <c r="AE24" s="5">
        <v>0.38028169010000001</v>
      </c>
      <c r="AF24" s="5">
        <v>0.31690140849999998</v>
      </c>
      <c r="AG24" s="5">
        <v>0.69818913475714295</v>
      </c>
      <c r="AH24" s="5">
        <v>0.14084507039999999</v>
      </c>
      <c r="AI24" s="5">
        <v>0.28169014079999999</v>
      </c>
      <c r="AJ24" s="5">
        <v>0.39436619719999999</v>
      </c>
      <c r="AK24" s="5">
        <v>0.18309859149999999</v>
      </c>
      <c r="AL24" s="5">
        <v>0.89795918369999905</v>
      </c>
      <c r="AM24" s="5">
        <v>0.86394557819999995</v>
      </c>
      <c r="AN24" s="5">
        <v>0.9044585987</v>
      </c>
      <c r="AO24" s="5">
        <v>0.9044585987</v>
      </c>
      <c r="AP24" s="5" t="s">
        <v>53</v>
      </c>
      <c r="AQ24" s="5">
        <v>0.91908081238807404</v>
      </c>
      <c r="AR24" s="5" t="s">
        <v>53</v>
      </c>
      <c r="AS24" s="5">
        <v>0.97447213861631299</v>
      </c>
      <c r="AT24" s="5" t="s">
        <v>53</v>
      </c>
      <c r="AU24" s="5">
        <v>0.78558097358173795</v>
      </c>
      <c r="AV24" s="5" t="s">
        <v>53</v>
      </c>
      <c r="AW24" s="5">
        <v>0.84301988874306699</v>
      </c>
      <c r="AX24" s="5" t="s">
        <v>53</v>
      </c>
      <c r="AY24" s="10" t="s">
        <v>53</v>
      </c>
    </row>
    <row r="25" spans="1:51" ht="15.75" customHeight="1" x14ac:dyDescent="0.3">
      <c r="A25" s="4">
        <v>3205036</v>
      </c>
      <c r="B25" s="4" t="s">
        <v>76</v>
      </c>
      <c r="C25" s="5">
        <v>2022</v>
      </c>
      <c r="D25" s="6" t="s">
        <v>53</v>
      </c>
      <c r="E25" s="6" t="s">
        <v>53</v>
      </c>
      <c r="F25" s="6" t="s">
        <v>53</v>
      </c>
      <c r="G25" s="6" t="s">
        <v>53</v>
      </c>
      <c r="H25" s="6" t="s">
        <v>53</v>
      </c>
      <c r="I25" s="6" t="s">
        <v>53</v>
      </c>
      <c r="J25" s="5">
        <v>0.68186563740066397</v>
      </c>
      <c r="K25" s="5">
        <v>0.71317281991310999</v>
      </c>
      <c r="L25" s="5" t="s">
        <v>53</v>
      </c>
      <c r="M25" s="5" t="s">
        <v>53</v>
      </c>
      <c r="N25" s="5">
        <v>0.52073183526894395</v>
      </c>
      <c r="O25" s="5">
        <v>0.54028096819276095</v>
      </c>
      <c r="P25" s="5">
        <v>0.55914707210119696</v>
      </c>
      <c r="Q25" s="5">
        <v>0.55498998348956297</v>
      </c>
      <c r="R25" s="5">
        <v>0.79442508710000004</v>
      </c>
      <c r="S25" s="5">
        <v>0.1056910569</v>
      </c>
      <c r="T25" s="5">
        <v>0.174796748</v>
      </c>
      <c r="U25" s="5">
        <v>0.45528455280000002</v>
      </c>
      <c r="V25" s="5">
        <v>0.26422764230000001</v>
      </c>
      <c r="W25" s="5">
        <v>0.79312388851428495</v>
      </c>
      <c r="X25" s="5">
        <v>4.5643153499999999E-2</v>
      </c>
      <c r="Y25" s="5">
        <v>0.28215767629999999</v>
      </c>
      <c r="Z25" s="5">
        <v>0.42323651449999999</v>
      </c>
      <c r="AA25" s="5">
        <v>0.2489626556</v>
      </c>
      <c r="AB25" s="5">
        <v>0.81257631261428498</v>
      </c>
      <c r="AC25" s="5">
        <v>5.5555555600000001E-2</v>
      </c>
      <c r="AD25" s="5">
        <v>0.2307692308</v>
      </c>
      <c r="AE25" s="5">
        <v>0.38888888889999901</v>
      </c>
      <c r="AF25" s="5">
        <v>0.32478632480000003</v>
      </c>
      <c r="AG25" s="5">
        <v>0.72649572648571403</v>
      </c>
      <c r="AH25" s="5">
        <v>0.102564102599999</v>
      </c>
      <c r="AI25" s="5">
        <v>0.29914529909999998</v>
      </c>
      <c r="AJ25" s="5">
        <v>0.32051282049999902</v>
      </c>
      <c r="AK25" s="5">
        <v>0.27777777780000001</v>
      </c>
      <c r="AL25" s="5">
        <v>0.88489208629999905</v>
      </c>
      <c r="AM25" s="5">
        <v>0.86379928319999999</v>
      </c>
      <c r="AN25" s="5">
        <v>0.91764705879999997</v>
      </c>
      <c r="AO25" s="5">
        <v>0.91764705879999997</v>
      </c>
      <c r="AP25" s="5" t="s">
        <v>53</v>
      </c>
      <c r="AQ25" s="5">
        <v>0.87697111924464999</v>
      </c>
      <c r="AR25" s="5" t="s">
        <v>53</v>
      </c>
      <c r="AS25" s="5">
        <v>0.92063092177412797</v>
      </c>
      <c r="AT25" s="5" t="s">
        <v>53</v>
      </c>
      <c r="AU25" s="5">
        <v>0.85002590585014004</v>
      </c>
      <c r="AV25" s="5" t="s">
        <v>53</v>
      </c>
      <c r="AW25" s="5">
        <v>0.85759403438463</v>
      </c>
      <c r="AX25" s="5" t="s">
        <v>53</v>
      </c>
      <c r="AY25" s="10" t="s">
        <v>53</v>
      </c>
    </row>
    <row r="26" spans="1:51" ht="15.75" customHeight="1" x14ac:dyDescent="0.3">
      <c r="A26" s="4">
        <v>3202207</v>
      </c>
      <c r="B26" s="4" t="s">
        <v>77</v>
      </c>
      <c r="C26" s="5">
        <v>2022</v>
      </c>
      <c r="D26" s="6" t="s">
        <v>53</v>
      </c>
      <c r="E26" s="6" t="s">
        <v>53</v>
      </c>
      <c r="F26" s="6" t="s">
        <v>53</v>
      </c>
      <c r="G26" s="6" t="s">
        <v>53</v>
      </c>
      <c r="H26" s="6" t="s">
        <v>53</v>
      </c>
      <c r="I26" s="6" t="s">
        <v>53</v>
      </c>
      <c r="J26" s="5">
        <v>0.64043019980812799</v>
      </c>
      <c r="K26" s="5">
        <v>0.57356688388310795</v>
      </c>
      <c r="L26" s="5" t="s">
        <v>53</v>
      </c>
      <c r="M26" s="5" t="s">
        <v>53</v>
      </c>
      <c r="N26" s="5">
        <v>0.50630986448878001</v>
      </c>
      <c r="O26" s="5">
        <v>0.47654152382175602</v>
      </c>
      <c r="P26" s="5">
        <v>0.52511220194603303</v>
      </c>
      <c r="Q26" s="5">
        <v>0.51094512116689395</v>
      </c>
      <c r="R26" s="5">
        <v>0.72832722838571395</v>
      </c>
      <c r="S26" s="5">
        <v>0.1495726496</v>
      </c>
      <c r="T26" s="5">
        <v>0.21367521369999901</v>
      </c>
      <c r="U26" s="5">
        <v>0.40598290599999998</v>
      </c>
      <c r="V26" s="5">
        <v>0.2307692308</v>
      </c>
      <c r="W26" s="5">
        <v>0.66847498494285695</v>
      </c>
      <c r="X26" s="5">
        <v>9.2827004199999993E-2</v>
      </c>
      <c r="Y26" s="5">
        <v>0.41772151899999999</v>
      </c>
      <c r="Z26" s="5">
        <v>0.32489451479999998</v>
      </c>
      <c r="AA26" s="5">
        <v>0.164556961999999</v>
      </c>
      <c r="AB26" s="5">
        <v>0.55679156900000004</v>
      </c>
      <c r="AC26" s="5">
        <v>0.25819672129999999</v>
      </c>
      <c r="AD26" s="5">
        <v>0.3237704918</v>
      </c>
      <c r="AE26" s="5">
        <v>0.2827868852</v>
      </c>
      <c r="AF26" s="5">
        <v>0.1352459016</v>
      </c>
      <c r="AG26" s="5">
        <v>0.49004683845714198</v>
      </c>
      <c r="AH26" s="5">
        <v>0.2827868852</v>
      </c>
      <c r="AI26" s="5">
        <v>0.39754098360000001</v>
      </c>
      <c r="AJ26" s="5">
        <v>0.26229508200000001</v>
      </c>
      <c r="AK26" s="5">
        <v>5.7377049199999898E-2</v>
      </c>
      <c r="AL26" s="5">
        <v>0.86666666670000003</v>
      </c>
      <c r="AM26" s="5">
        <v>0.87132352940000002</v>
      </c>
      <c r="AN26" s="5">
        <v>0.86219081269999998</v>
      </c>
      <c r="AO26" s="5">
        <v>0.86219081269999998</v>
      </c>
      <c r="AP26" s="5" t="s">
        <v>53</v>
      </c>
      <c r="AQ26" s="5">
        <v>0.92965569465294395</v>
      </c>
      <c r="AR26" s="5" t="s">
        <v>53</v>
      </c>
      <c r="AS26" s="5">
        <v>0.86213222184043803</v>
      </c>
      <c r="AT26" s="5" t="s">
        <v>53</v>
      </c>
      <c r="AU26" s="5">
        <v>0.80810223933980796</v>
      </c>
      <c r="AV26" s="5" t="s">
        <v>53</v>
      </c>
      <c r="AW26" s="5">
        <v>0.81777869240912504</v>
      </c>
      <c r="AX26" s="5" t="s">
        <v>53</v>
      </c>
      <c r="AY26" s="10" t="s">
        <v>53</v>
      </c>
    </row>
    <row r="27" spans="1:51" ht="15.75" customHeight="1" x14ac:dyDescent="0.3">
      <c r="A27" s="4">
        <v>3204609</v>
      </c>
      <c r="B27" s="4" t="s">
        <v>78</v>
      </c>
      <c r="C27" s="5">
        <v>2022</v>
      </c>
      <c r="D27" s="6" t="s">
        <v>53</v>
      </c>
      <c r="E27" s="6" t="s">
        <v>53</v>
      </c>
      <c r="F27" s="6" t="s">
        <v>53</v>
      </c>
      <c r="G27" s="6" t="s">
        <v>53</v>
      </c>
      <c r="H27" s="6" t="s">
        <v>53</v>
      </c>
      <c r="I27" s="6" t="s">
        <v>53</v>
      </c>
      <c r="J27" s="5">
        <v>0.67714731610995404</v>
      </c>
      <c r="K27" s="5">
        <v>0.65606313578544495</v>
      </c>
      <c r="L27" s="5" t="s">
        <v>53</v>
      </c>
      <c r="M27" s="5" t="s">
        <v>53</v>
      </c>
      <c r="N27" s="5">
        <v>0.51297542058815704</v>
      </c>
      <c r="O27" s="5">
        <v>0.54546800929967698</v>
      </c>
      <c r="P27" s="5">
        <v>0.61774910613580303</v>
      </c>
      <c r="Q27" s="5">
        <v>0.62667682333226604</v>
      </c>
      <c r="R27" s="5">
        <v>0.76190476191428502</v>
      </c>
      <c r="S27" s="5">
        <v>0.1415525114</v>
      </c>
      <c r="T27" s="5">
        <v>0.1689497717</v>
      </c>
      <c r="U27" s="5">
        <v>0.44748858450000001</v>
      </c>
      <c r="V27" s="5">
        <v>0.24200913239999999</v>
      </c>
      <c r="W27" s="5">
        <v>0.80447662941428499</v>
      </c>
      <c r="X27" s="5">
        <v>6.9124424000000004E-2</v>
      </c>
      <c r="Y27" s="5">
        <v>0.22119815670000001</v>
      </c>
      <c r="Z27" s="5">
        <v>0.4331797235</v>
      </c>
      <c r="AA27" s="5">
        <v>0.27649769590000001</v>
      </c>
      <c r="AB27" s="5">
        <v>0.72125435540000005</v>
      </c>
      <c r="AC27" s="5">
        <v>0.1138211382</v>
      </c>
      <c r="AD27" s="5">
        <v>0.28861788620000001</v>
      </c>
      <c r="AE27" s="5">
        <v>0.35365853660000002</v>
      </c>
      <c r="AF27" s="5">
        <v>0.243902439</v>
      </c>
      <c r="AG27" s="5">
        <v>0.62601626017142797</v>
      </c>
      <c r="AH27" s="5">
        <v>0.162601626</v>
      </c>
      <c r="AI27" s="5">
        <v>0.36991869919999998</v>
      </c>
      <c r="AJ27" s="5">
        <v>0.3495934959</v>
      </c>
      <c r="AK27" s="5">
        <v>0.1178861789</v>
      </c>
      <c r="AL27" s="5">
        <v>0.87951807230000001</v>
      </c>
      <c r="AM27" s="5">
        <v>0.875</v>
      </c>
      <c r="AN27" s="5">
        <v>0.8945454545</v>
      </c>
      <c r="AO27" s="5">
        <v>0.8945454545</v>
      </c>
      <c r="AP27" s="5" t="s">
        <v>53</v>
      </c>
      <c r="AQ27" s="5">
        <v>0.91339784997792905</v>
      </c>
      <c r="AR27" s="5" t="s">
        <v>53</v>
      </c>
      <c r="AS27" s="5">
        <v>0.90463960330014004</v>
      </c>
      <c r="AT27" s="5" t="s">
        <v>53</v>
      </c>
      <c r="AU27" s="5">
        <v>0.78361477286262105</v>
      </c>
      <c r="AV27" s="5" t="s">
        <v>53</v>
      </c>
      <c r="AW27" s="5">
        <v>0.84178466717031697</v>
      </c>
      <c r="AX27" s="5" t="s">
        <v>53</v>
      </c>
      <c r="AY27" s="10" t="s">
        <v>53</v>
      </c>
    </row>
    <row r="28" spans="1:51" ht="15.75" customHeight="1" x14ac:dyDescent="0.3">
      <c r="A28" s="4">
        <v>3205002</v>
      </c>
      <c r="B28" s="4" t="s">
        <v>79</v>
      </c>
      <c r="C28" s="5">
        <v>2022</v>
      </c>
      <c r="D28" s="6" t="s">
        <v>53</v>
      </c>
      <c r="E28" s="6" t="s">
        <v>53</v>
      </c>
      <c r="F28" s="6" t="s">
        <v>53</v>
      </c>
      <c r="G28" s="6" t="s">
        <v>53</v>
      </c>
      <c r="H28" s="6" t="s">
        <v>53</v>
      </c>
      <c r="I28" s="6" t="s">
        <v>53</v>
      </c>
      <c r="J28" s="5">
        <v>0.62014253162552502</v>
      </c>
      <c r="K28" s="5">
        <v>0.58280878681947401</v>
      </c>
      <c r="L28" s="5" t="s">
        <v>53</v>
      </c>
      <c r="M28" s="5" t="s">
        <v>53</v>
      </c>
      <c r="N28" s="5">
        <v>0.485898164955061</v>
      </c>
      <c r="O28" s="5">
        <v>0.45246978802003601</v>
      </c>
      <c r="P28" s="5">
        <v>0.49004586432590302</v>
      </c>
      <c r="Q28" s="5">
        <v>0.47123749862632602</v>
      </c>
      <c r="R28" s="5">
        <v>0.70237224379999996</v>
      </c>
      <c r="S28" s="5">
        <v>0.174103877099999</v>
      </c>
      <c r="T28" s="5">
        <v>0.21616678859999999</v>
      </c>
      <c r="U28" s="5">
        <v>0.40764447700000001</v>
      </c>
      <c r="V28" s="5">
        <v>0.20208485740000001</v>
      </c>
      <c r="W28" s="5">
        <v>0.64836584090000005</v>
      </c>
      <c r="X28" s="5">
        <v>0.11568265679999901</v>
      </c>
      <c r="Y28" s="5">
        <v>0.41291512920000001</v>
      </c>
      <c r="Z28" s="5">
        <v>0.37398523989999999</v>
      </c>
      <c r="AA28" s="5">
        <v>9.7416974199999895E-2</v>
      </c>
      <c r="AB28" s="5">
        <v>0.595916784342857</v>
      </c>
      <c r="AC28" s="5">
        <v>0.2065154159</v>
      </c>
      <c r="AD28" s="5">
        <v>0.34574364940000002</v>
      </c>
      <c r="AE28" s="5">
        <v>0.314523948</v>
      </c>
      <c r="AF28" s="5">
        <v>0.1332169866</v>
      </c>
      <c r="AG28" s="5">
        <v>0.49844115355714202</v>
      </c>
      <c r="AH28" s="5">
        <v>0.25915822290000001</v>
      </c>
      <c r="AI28" s="5">
        <v>0.42420109119999999</v>
      </c>
      <c r="AJ28" s="5">
        <v>0.25896336710000001</v>
      </c>
      <c r="AK28" s="5">
        <v>5.7677318800000002E-2</v>
      </c>
      <c r="AL28" s="5">
        <v>0.85866834169999995</v>
      </c>
      <c r="AM28" s="5">
        <v>0.84886452619999997</v>
      </c>
      <c r="AN28" s="5">
        <v>0.85806988350000002</v>
      </c>
      <c r="AO28" s="5">
        <v>0.85391014979999902</v>
      </c>
      <c r="AP28" s="5" t="s">
        <v>53</v>
      </c>
      <c r="AQ28" s="5">
        <v>0.90233682951858596</v>
      </c>
      <c r="AR28" s="5" t="s">
        <v>53</v>
      </c>
      <c r="AS28" s="5">
        <v>0.93629776821696797</v>
      </c>
      <c r="AT28" s="5" t="s">
        <v>53</v>
      </c>
      <c r="AU28" s="5">
        <v>0.85458041849542199</v>
      </c>
      <c r="AV28" s="5" t="s">
        <v>53</v>
      </c>
      <c r="AW28" s="5">
        <v>0.88783715681489905</v>
      </c>
      <c r="AX28" s="5" t="s">
        <v>53</v>
      </c>
      <c r="AY28" s="10" t="s">
        <v>53</v>
      </c>
    </row>
    <row r="29" spans="1:51" ht="15.75" customHeight="1" x14ac:dyDescent="0.3">
      <c r="A29" s="4">
        <v>3205309</v>
      </c>
      <c r="B29" s="4" t="s">
        <v>80</v>
      </c>
      <c r="C29" s="5">
        <v>2022</v>
      </c>
      <c r="D29" s="6" t="s">
        <v>53</v>
      </c>
      <c r="E29" s="6" t="s">
        <v>53</v>
      </c>
      <c r="F29" s="6" t="s">
        <v>53</v>
      </c>
      <c r="G29" s="6" t="s">
        <v>53</v>
      </c>
      <c r="H29" s="6" t="s">
        <v>53</v>
      </c>
      <c r="I29" s="6" t="s">
        <v>53</v>
      </c>
      <c r="J29" s="5">
        <v>0.62348975315333</v>
      </c>
      <c r="K29" s="5">
        <v>0.60863617882959797</v>
      </c>
      <c r="L29" s="5" t="s">
        <v>53</v>
      </c>
      <c r="M29" s="5" t="s">
        <v>53</v>
      </c>
      <c r="N29" s="5">
        <v>0.48744758704101399</v>
      </c>
      <c r="O29" s="5">
        <v>0.45581719854084402</v>
      </c>
      <c r="P29" s="5">
        <v>0.53970677513112697</v>
      </c>
      <c r="Q29" s="5">
        <v>0.52269454558664696</v>
      </c>
      <c r="R29" s="5">
        <v>0.70942339198571402</v>
      </c>
      <c r="S29" s="5">
        <v>0.1724010359</v>
      </c>
      <c r="T29" s="5">
        <v>0.20680725119999999</v>
      </c>
      <c r="U29" s="5">
        <v>0.42249352569999998</v>
      </c>
      <c r="V29" s="5">
        <v>0.198298187199999</v>
      </c>
      <c r="W29" s="5">
        <v>0.65551605259999901</v>
      </c>
      <c r="X29" s="5">
        <v>0.11199095019999999</v>
      </c>
      <c r="Y29" s="5">
        <v>0.40686274509999998</v>
      </c>
      <c r="Z29" s="5">
        <v>0.37254901959999998</v>
      </c>
      <c r="AA29" s="5">
        <v>0.1085972851</v>
      </c>
      <c r="AB29" s="5">
        <v>0.62470358848571395</v>
      </c>
      <c r="AC29" s="5">
        <v>0.19254887499999901</v>
      </c>
      <c r="AD29" s="5">
        <v>0.31980818889999901</v>
      </c>
      <c r="AE29" s="5">
        <v>0.31538177789999999</v>
      </c>
      <c r="AF29" s="5">
        <v>0.17226115819999999</v>
      </c>
      <c r="AG29" s="5">
        <v>0.54466919517142798</v>
      </c>
      <c r="AH29" s="5">
        <v>0.22713864310000001</v>
      </c>
      <c r="AI29" s="5">
        <v>0.39933628319999998</v>
      </c>
      <c r="AJ29" s="5">
        <v>0.28134218290000002</v>
      </c>
      <c r="AK29" s="5">
        <v>9.2182890899999995E-2</v>
      </c>
      <c r="AL29" s="5">
        <v>0.86247606889999995</v>
      </c>
      <c r="AM29" s="5">
        <v>0.8475551294</v>
      </c>
      <c r="AN29" s="5">
        <v>0.88105297370000002</v>
      </c>
      <c r="AO29" s="5">
        <v>0.88137796560000004</v>
      </c>
      <c r="AP29" s="5" t="s">
        <v>53</v>
      </c>
      <c r="AQ29" s="5">
        <v>0.89306624159611203</v>
      </c>
      <c r="AR29" s="5" t="s">
        <v>53</v>
      </c>
      <c r="AS29" s="5">
        <v>0.90321643113114602</v>
      </c>
      <c r="AT29" s="5" t="s">
        <v>53</v>
      </c>
      <c r="AU29" s="5">
        <v>0.81330368425625599</v>
      </c>
      <c r="AV29" s="5" t="s">
        <v>53</v>
      </c>
      <c r="AW29" s="5">
        <v>0.84758368539690598</v>
      </c>
      <c r="AX29" s="5" t="s">
        <v>53</v>
      </c>
      <c r="AY29" s="10" t="s">
        <v>53</v>
      </c>
    </row>
    <row r="30" spans="1:51" ht="15.75" customHeight="1" x14ac:dyDescent="0.3">
      <c r="A30" s="4">
        <v>3201308</v>
      </c>
      <c r="B30" s="4" t="s">
        <v>81</v>
      </c>
      <c r="C30" s="5">
        <v>2022</v>
      </c>
      <c r="D30" s="6" t="s">
        <v>53</v>
      </c>
      <c r="E30" s="6" t="s">
        <v>53</v>
      </c>
      <c r="F30" s="6" t="s">
        <v>53</v>
      </c>
      <c r="G30" s="6" t="s">
        <v>53</v>
      </c>
      <c r="H30" s="6" t="s">
        <v>53</v>
      </c>
      <c r="I30" s="6" t="s">
        <v>53</v>
      </c>
      <c r="J30" s="5">
        <v>0.65396255759886202</v>
      </c>
      <c r="K30" s="5">
        <v>0.60754558327809505</v>
      </c>
      <c r="L30" s="5" t="s">
        <v>53</v>
      </c>
      <c r="M30" s="5" t="s">
        <v>53</v>
      </c>
      <c r="N30" s="5">
        <v>0.48792172367753101</v>
      </c>
      <c r="O30" s="5">
        <v>0.53333242478515797</v>
      </c>
      <c r="P30" s="5">
        <v>0.493006029685289</v>
      </c>
      <c r="Q30" s="5">
        <v>0.48560545184399101</v>
      </c>
      <c r="R30" s="5">
        <v>0.69912114428571404</v>
      </c>
      <c r="S30" s="5">
        <v>0.16260554890000001</v>
      </c>
      <c r="T30" s="5">
        <v>0.24197828709999999</v>
      </c>
      <c r="U30" s="5">
        <v>0.39445114599999997</v>
      </c>
      <c r="V30" s="5">
        <v>0.2009650181</v>
      </c>
      <c r="W30" s="5">
        <v>0.786789327157142</v>
      </c>
      <c r="X30" s="5">
        <v>6.6864051300000005E-2</v>
      </c>
      <c r="Y30" s="5">
        <v>0.2561065877</v>
      </c>
      <c r="Z30" s="5">
        <v>0.41993585</v>
      </c>
      <c r="AA30" s="5">
        <v>0.257093511</v>
      </c>
      <c r="AB30" s="5">
        <v>0.62279222219999997</v>
      </c>
      <c r="AC30" s="5">
        <v>0.207395856499999</v>
      </c>
      <c r="AD30" s="5">
        <v>0.29717086209999999</v>
      </c>
      <c r="AE30" s="5">
        <v>0.3074181332</v>
      </c>
      <c r="AF30" s="5">
        <v>0.1880151481</v>
      </c>
      <c r="AG30" s="5">
        <v>0.53733006468571398</v>
      </c>
      <c r="AH30" s="5">
        <v>0.22821484289999999</v>
      </c>
      <c r="AI30" s="5">
        <v>0.41029641189999999</v>
      </c>
      <c r="AJ30" s="5">
        <v>0.28326275909999998</v>
      </c>
      <c r="AK30" s="5">
        <v>7.82259862E-2</v>
      </c>
      <c r="AL30" s="5">
        <v>0.87669204739999995</v>
      </c>
      <c r="AM30" s="5">
        <v>0.8586864407</v>
      </c>
      <c r="AN30" s="5">
        <v>0.88313987800000004</v>
      </c>
      <c r="AO30" s="5">
        <v>0.88274640959999995</v>
      </c>
      <c r="AP30" s="5" t="s">
        <v>53</v>
      </c>
      <c r="AQ30" s="5">
        <v>0.917663931959391</v>
      </c>
      <c r="AR30" s="5" t="s">
        <v>53</v>
      </c>
      <c r="AS30" s="5">
        <v>0.96649659830674595</v>
      </c>
      <c r="AT30" s="5" t="s">
        <v>53</v>
      </c>
      <c r="AU30" s="5">
        <v>0.81909740728040403</v>
      </c>
      <c r="AV30" s="5" t="s">
        <v>53</v>
      </c>
      <c r="AW30" s="5">
        <v>0.86275360258300504</v>
      </c>
      <c r="AX30" s="5" t="s">
        <v>53</v>
      </c>
      <c r="AY30" s="10" t="s">
        <v>53</v>
      </c>
    </row>
    <row r="31" spans="1:51" ht="15.75" customHeight="1" x14ac:dyDescent="0.3">
      <c r="A31" s="4">
        <v>3203346</v>
      </c>
      <c r="B31" s="4" t="s">
        <v>82</v>
      </c>
      <c r="C31" s="5">
        <v>2022</v>
      </c>
      <c r="D31" s="6" t="s">
        <v>53</v>
      </c>
      <c r="E31" s="6" t="s">
        <v>53</v>
      </c>
      <c r="F31" s="6" t="s">
        <v>53</v>
      </c>
      <c r="G31" s="6" t="s">
        <v>53</v>
      </c>
      <c r="H31" s="6" t="s">
        <v>53</v>
      </c>
      <c r="I31" s="6" t="s">
        <v>53</v>
      </c>
      <c r="J31" s="5">
        <v>0.68766051313099297</v>
      </c>
      <c r="K31" s="5">
        <v>0.72241774608689402</v>
      </c>
      <c r="L31" s="5" t="s">
        <v>53</v>
      </c>
      <c r="M31" s="5" t="s">
        <v>53</v>
      </c>
      <c r="N31" s="5">
        <v>0.53523445760505395</v>
      </c>
      <c r="O31" s="5">
        <v>0.51203388392595806</v>
      </c>
      <c r="P31" s="5">
        <v>0.567589814119415</v>
      </c>
      <c r="Q31" s="5">
        <v>0.58383493552688304</v>
      </c>
      <c r="R31" s="5">
        <v>0.79176755448571401</v>
      </c>
      <c r="S31" s="5">
        <v>0.118644067799999</v>
      </c>
      <c r="T31" s="5">
        <v>0.15677966099999999</v>
      </c>
      <c r="U31" s="5">
        <v>0.37711864409999901</v>
      </c>
      <c r="V31" s="5">
        <v>0.3474576271</v>
      </c>
      <c r="W31" s="5">
        <v>0.75030012001428503</v>
      </c>
      <c r="X31" s="5">
        <v>5.0420168099999899E-2</v>
      </c>
      <c r="Y31" s="5">
        <v>0.34873949580000002</v>
      </c>
      <c r="Z31" s="5">
        <v>0.4033613445</v>
      </c>
      <c r="AA31" s="5">
        <v>0.19747899159999999</v>
      </c>
      <c r="AB31" s="5">
        <v>0.79609817485714296</v>
      </c>
      <c r="AC31" s="5">
        <v>7.0484581500000004E-2</v>
      </c>
      <c r="AD31" s="5">
        <v>0.2334801762</v>
      </c>
      <c r="AE31" s="5">
        <v>0.34801762110000001</v>
      </c>
      <c r="AF31" s="5">
        <v>0.34801762110000001</v>
      </c>
      <c r="AG31" s="5">
        <v>0.74952800507142803</v>
      </c>
      <c r="AH31" s="5">
        <v>9.6916299600000005E-2</v>
      </c>
      <c r="AI31" s="5">
        <v>0.26872246700000002</v>
      </c>
      <c r="AJ31" s="5">
        <v>0.3392070485</v>
      </c>
      <c r="AK31" s="5">
        <v>0.29515418500000001</v>
      </c>
      <c r="AL31" s="5">
        <v>0.921875</v>
      </c>
      <c r="AM31" s="5">
        <v>0.92607003889999995</v>
      </c>
      <c r="AN31" s="5">
        <v>0.93801652889999998</v>
      </c>
      <c r="AO31" s="5">
        <v>0.93801652889999998</v>
      </c>
      <c r="AP31" s="5" t="s">
        <v>53</v>
      </c>
      <c r="AQ31" s="5">
        <v>0.88959773343099002</v>
      </c>
      <c r="AR31" s="5" t="s">
        <v>53</v>
      </c>
      <c r="AS31" s="5">
        <v>0.89622042828872295</v>
      </c>
      <c r="AT31" s="5" t="s">
        <v>53</v>
      </c>
      <c r="AU31" s="5">
        <v>0.82985823676440795</v>
      </c>
      <c r="AV31" s="5" t="s">
        <v>53</v>
      </c>
      <c r="AW31" s="5">
        <v>0.83635074223364902</v>
      </c>
      <c r="AX31" s="5" t="s">
        <v>53</v>
      </c>
      <c r="AY31" s="10" t="s">
        <v>53</v>
      </c>
    </row>
    <row r="32" spans="1:51" ht="15.75" customHeight="1" x14ac:dyDescent="0.3">
      <c r="A32" s="4">
        <v>3204500</v>
      </c>
      <c r="B32" s="4" t="s">
        <v>83</v>
      </c>
      <c r="C32" s="5">
        <v>2022</v>
      </c>
      <c r="D32" s="6" t="s">
        <v>53</v>
      </c>
      <c r="E32" s="6" t="s">
        <v>53</v>
      </c>
      <c r="F32" s="6" t="s">
        <v>53</v>
      </c>
      <c r="G32" s="6" t="s">
        <v>53</v>
      </c>
      <c r="H32" s="6" t="s">
        <v>53</v>
      </c>
      <c r="I32" s="6" t="s">
        <v>53</v>
      </c>
      <c r="J32" s="5">
        <v>0.65223477212192105</v>
      </c>
      <c r="K32" s="5">
        <v>0.64202906316613595</v>
      </c>
      <c r="L32" s="5" t="s">
        <v>53</v>
      </c>
      <c r="M32" s="5" t="s">
        <v>53</v>
      </c>
      <c r="N32" s="5">
        <v>0.50738308450077496</v>
      </c>
      <c r="O32" s="5">
        <v>0.51121209680844504</v>
      </c>
      <c r="P32" s="5">
        <v>0.52744459666816101</v>
      </c>
      <c r="Q32" s="5">
        <v>0.51529131240293102</v>
      </c>
      <c r="R32" s="5">
        <v>0.73287671231428497</v>
      </c>
      <c r="S32" s="5">
        <v>0.15753424660000001</v>
      </c>
      <c r="T32" s="5">
        <v>0.19178082190000001</v>
      </c>
      <c r="U32" s="5">
        <v>0.36301369859999999</v>
      </c>
      <c r="V32" s="5">
        <v>0.28767123290000002</v>
      </c>
      <c r="W32" s="5">
        <v>0.76773566572857099</v>
      </c>
      <c r="X32" s="5">
        <v>8.8435374099999894E-2</v>
      </c>
      <c r="Y32" s="5">
        <v>0.25170068029999998</v>
      </c>
      <c r="Z32" s="5">
        <v>0.49659863949999999</v>
      </c>
      <c r="AA32" s="5">
        <v>0.16326530609999901</v>
      </c>
      <c r="AB32" s="5">
        <v>0.69505494505714205</v>
      </c>
      <c r="AC32" s="5">
        <v>0.1217948718</v>
      </c>
      <c r="AD32" s="5">
        <v>0.32051282049999902</v>
      </c>
      <c r="AE32" s="5">
        <v>0.35256410259999998</v>
      </c>
      <c r="AF32" s="5">
        <v>0.20512820509999999</v>
      </c>
      <c r="AG32" s="5">
        <v>0.58801843317142799</v>
      </c>
      <c r="AH32" s="5">
        <v>0.16129032259999901</v>
      </c>
      <c r="AI32" s="5">
        <v>0.4387096774</v>
      </c>
      <c r="AJ32" s="5">
        <v>0.28387096769999998</v>
      </c>
      <c r="AK32" s="5">
        <v>0.1161290323</v>
      </c>
      <c r="AL32" s="5">
        <v>0.84393063580000005</v>
      </c>
      <c r="AM32" s="5">
        <v>0.84482758619999998</v>
      </c>
      <c r="AN32" s="5">
        <v>0.91228070179999998</v>
      </c>
      <c r="AO32" s="5">
        <v>0.9064327485</v>
      </c>
      <c r="AP32" s="5" t="s">
        <v>53</v>
      </c>
      <c r="AQ32" s="5">
        <v>0.87056918942694095</v>
      </c>
      <c r="AR32" s="5" t="s">
        <v>53</v>
      </c>
      <c r="AS32" s="5">
        <v>0.85654076418414105</v>
      </c>
      <c r="AT32" s="5" t="s">
        <v>53</v>
      </c>
      <c r="AU32" s="5">
        <v>0.84051521906209803</v>
      </c>
      <c r="AV32" s="5" t="s">
        <v>53</v>
      </c>
      <c r="AW32" s="5">
        <v>0.86279058661463903</v>
      </c>
      <c r="AX32" s="5" t="s">
        <v>53</v>
      </c>
      <c r="AY32" s="10" t="s">
        <v>53</v>
      </c>
    </row>
    <row r="33" spans="1:51" ht="15.75" customHeight="1" x14ac:dyDescent="0.3">
      <c r="A33" s="4">
        <v>3205101</v>
      </c>
      <c r="B33" s="4" t="s">
        <v>84</v>
      </c>
      <c r="C33" s="5">
        <v>2022</v>
      </c>
      <c r="D33" s="6" t="s">
        <v>53</v>
      </c>
      <c r="E33" s="6" t="s">
        <v>53</v>
      </c>
      <c r="F33" s="6" t="s">
        <v>53</v>
      </c>
      <c r="G33" s="6" t="s">
        <v>53</v>
      </c>
      <c r="H33" s="6" t="s">
        <v>53</v>
      </c>
      <c r="I33" s="6" t="s">
        <v>53</v>
      </c>
      <c r="J33" s="5">
        <v>0.679964741364118</v>
      </c>
      <c r="K33" s="5">
        <v>0.63273003742393497</v>
      </c>
      <c r="L33" s="5" t="s">
        <v>53</v>
      </c>
      <c r="M33" s="5" t="s">
        <v>53</v>
      </c>
      <c r="N33" s="5">
        <v>0.52277640561011596</v>
      </c>
      <c r="O33" s="5">
        <v>0.51469073190898895</v>
      </c>
      <c r="P33" s="5">
        <v>0.55919531809683298</v>
      </c>
      <c r="Q33" s="5">
        <v>0.54985339300844105</v>
      </c>
      <c r="R33" s="5">
        <v>0.77407498161428501</v>
      </c>
      <c r="S33" s="5">
        <v>0.1166380789</v>
      </c>
      <c r="T33" s="5">
        <v>0.19125214409999999</v>
      </c>
      <c r="U33" s="5">
        <v>0.41938250429999901</v>
      </c>
      <c r="V33" s="5">
        <v>0.27272727270000002</v>
      </c>
      <c r="W33" s="5">
        <v>0.75777496837142799</v>
      </c>
      <c r="X33" s="5">
        <v>7.7876106200000003E-2</v>
      </c>
      <c r="Y33" s="5">
        <v>0.2876106195</v>
      </c>
      <c r="Z33" s="5">
        <v>0.41592920350000001</v>
      </c>
      <c r="AA33" s="5">
        <v>0.2185840708</v>
      </c>
      <c r="AB33" s="5">
        <v>0.66930484102857102</v>
      </c>
      <c r="AC33" s="5">
        <v>0.14496768239999999</v>
      </c>
      <c r="AD33" s="5">
        <v>0.32502308399999902</v>
      </c>
      <c r="AE33" s="5">
        <v>0.32132963990000002</v>
      </c>
      <c r="AF33" s="5">
        <v>0.2086795937</v>
      </c>
      <c r="AG33" s="5">
        <v>0.57222075521428495</v>
      </c>
      <c r="AH33" s="5">
        <v>0.1922365989</v>
      </c>
      <c r="AI33" s="5">
        <v>0.41219963030000001</v>
      </c>
      <c r="AJ33" s="5">
        <v>0.28650646949999897</v>
      </c>
      <c r="AK33" s="5">
        <v>0.10905730130000001</v>
      </c>
      <c r="AL33" s="5">
        <v>0.92319873320000001</v>
      </c>
      <c r="AM33" s="5">
        <v>0.89825119239999995</v>
      </c>
      <c r="AN33" s="5">
        <v>0.9062761506</v>
      </c>
      <c r="AO33" s="5">
        <v>0.90543933050000003</v>
      </c>
      <c r="AP33" s="5" t="s">
        <v>53</v>
      </c>
      <c r="AQ33" s="5">
        <v>0.90662826867117197</v>
      </c>
      <c r="AR33" s="5" t="s">
        <v>53</v>
      </c>
      <c r="AS33" s="5">
        <v>0.95285335686277195</v>
      </c>
      <c r="AT33" s="5" t="s">
        <v>53</v>
      </c>
      <c r="AU33" s="5">
        <v>0.85893225412877705</v>
      </c>
      <c r="AV33" s="5" t="s">
        <v>53</v>
      </c>
      <c r="AW33" s="5">
        <v>0.90340938660950298</v>
      </c>
      <c r="AX33" s="5" t="s">
        <v>53</v>
      </c>
      <c r="AY33" s="10" t="s">
        <v>53</v>
      </c>
    </row>
    <row r="34" spans="1:51" ht="15.75" customHeight="1" x14ac:dyDescent="0.3">
      <c r="A34" s="4">
        <v>3200359</v>
      </c>
      <c r="B34" s="4" t="s">
        <v>85</v>
      </c>
      <c r="C34" s="5">
        <v>2022</v>
      </c>
      <c r="D34" s="6" t="s">
        <v>53</v>
      </c>
      <c r="E34" s="6" t="s">
        <v>53</v>
      </c>
      <c r="F34" s="6" t="s">
        <v>53</v>
      </c>
      <c r="G34" s="6" t="s">
        <v>53</v>
      </c>
      <c r="H34" s="6" t="s">
        <v>53</v>
      </c>
      <c r="I34" s="6" t="s">
        <v>53</v>
      </c>
      <c r="J34" s="5">
        <v>0.67687216778417703</v>
      </c>
      <c r="K34" s="5">
        <v>0.70756418996928405</v>
      </c>
      <c r="L34" s="5" t="s">
        <v>53</v>
      </c>
      <c r="M34" s="5" t="s">
        <v>53</v>
      </c>
      <c r="N34" s="5">
        <v>0.48544398286658302</v>
      </c>
      <c r="O34" s="5">
        <v>0.59095404271744201</v>
      </c>
      <c r="P34" s="5">
        <v>0.59411417447866699</v>
      </c>
      <c r="Q34" s="5">
        <v>0.58018284347423699</v>
      </c>
      <c r="R34" s="5">
        <v>0.68253968251428498</v>
      </c>
      <c r="S34" s="5">
        <v>0.18518518519999999</v>
      </c>
      <c r="T34" s="5">
        <v>0.2314814815</v>
      </c>
      <c r="U34" s="5">
        <v>0.36111111109999999</v>
      </c>
      <c r="V34" s="5">
        <v>0.22222222219999899</v>
      </c>
      <c r="W34" s="5">
        <v>0.81782437748571402</v>
      </c>
      <c r="X34" s="5">
        <v>4.5871559599999903E-2</v>
      </c>
      <c r="Y34" s="5">
        <v>0.2385321101</v>
      </c>
      <c r="Z34" s="5">
        <v>0.28440366969999997</v>
      </c>
      <c r="AA34" s="5">
        <v>0.4311926606</v>
      </c>
      <c r="AB34" s="5">
        <v>0.77344877337142803</v>
      </c>
      <c r="AC34" s="5">
        <v>7.0707070699999999E-2</v>
      </c>
      <c r="AD34" s="5">
        <v>0.27272727270000002</v>
      </c>
      <c r="AE34" s="5">
        <v>0.36363636360000001</v>
      </c>
      <c r="AF34" s="5">
        <v>0.29292929290000003</v>
      </c>
      <c r="AG34" s="5">
        <v>0.72157434405714205</v>
      </c>
      <c r="AH34" s="5">
        <v>0.13265306120000001</v>
      </c>
      <c r="AI34" s="5">
        <v>0.25510204079999999</v>
      </c>
      <c r="AJ34" s="5">
        <v>0.3979591837</v>
      </c>
      <c r="AK34" s="5">
        <v>0.21428571430000001</v>
      </c>
      <c r="AL34" s="5">
        <v>0.9152542373</v>
      </c>
      <c r="AM34" s="5">
        <v>0.91596638659999996</v>
      </c>
      <c r="AN34" s="5">
        <v>0.9519230769</v>
      </c>
      <c r="AO34" s="5">
        <v>0.9423076923</v>
      </c>
      <c r="AP34" s="5" t="s">
        <v>53</v>
      </c>
      <c r="AQ34" s="5">
        <v>0.80043088045265698</v>
      </c>
      <c r="AR34" s="5" t="s">
        <v>53</v>
      </c>
      <c r="AS34" s="5">
        <v>0.83414014418980797</v>
      </c>
      <c r="AT34" s="5" t="s">
        <v>53</v>
      </c>
      <c r="AU34" s="5">
        <v>0.86198469415474299</v>
      </c>
      <c r="AV34" s="5" t="s">
        <v>53</v>
      </c>
      <c r="AW34" s="5">
        <v>0.86825797409180505</v>
      </c>
      <c r="AX34" s="5" t="s">
        <v>53</v>
      </c>
      <c r="AY34" s="10" t="s">
        <v>53</v>
      </c>
    </row>
    <row r="35" spans="1:51" ht="15.75" customHeight="1" x14ac:dyDescent="0.3">
      <c r="A35" s="4">
        <v>3200805</v>
      </c>
      <c r="B35" s="4" t="s">
        <v>86</v>
      </c>
      <c r="C35" s="5">
        <v>2022</v>
      </c>
      <c r="D35" s="6" t="s">
        <v>53</v>
      </c>
      <c r="E35" s="6" t="s">
        <v>53</v>
      </c>
      <c r="F35" s="6" t="s">
        <v>53</v>
      </c>
      <c r="G35" s="6" t="s">
        <v>53</v>
      </c>
      <c r="H35" s="6" t="s">
        <v>53</v>
      </c>
      <c r="I35" s="6" t="s">
        <v>53</v>
      </c>
      <c r="J35" s="5">
        <v>0.67109342041460895</v>
      </c>
      <c r="K35" s="5">
        <v>0.60195469517617295</v>
      </c>
      <c r="L35" s="5" t="s">
        <v>53</v>
      </c>
      <c r="M35" s="5" t="s">
        <v>53</v>
      </c>
      <c r="N35" s="5">
        <v>0.494430177463764</v>
      </c>
      <c r="O35" s="5">
        <v>0.55965603407739895</v>
      </c>
      <c r="P35" s="5">
        <v>0.51223803142789504</v>
      </c>
      <c r="Q35" s="5">
        <v>0.49166372942803799</v>
      </c>
      <c r="R35" s="5">
        <v>0.70987654318571403</v>
      </c>
      <c r="S35" s="5">
        <v>0.16666666669999999</v>
      </c>
      <c r="T35" s="5">
        <v>0.21604938269999999</v>
      </c>
      <c r="U35" s="5">
        <v>0.37962962959999902</v>
      </c>
      <c r="V35" s="5">
        <v>0.237654321</v>
      </c>
      <c r="W35" s="5">
        <v>0.81959430297142799</v>
      </c>
      <c r="X35" s="5">
        <v>6.6465256799999997E-2</v>
      </c>
      <c r="Y35" s="5">
        <v>0.19939577040000001</v>
      </c>
      <c r="Z35" s="5">
        <v>0.3776435045</v>
      </c>
      <c r="AA35" s="5">
        <v>0.35649546830000001</v>
      </c>
      <c r="AB35" s="5">
        <v>0.58808063097142804</v>
      </c>
      <c r="AC35" s="5">
        <v>0.23312883440000001</v>
      </c>
      <c r="AD35" s="5">
        <v>0.31288343559999998</v>
      </c>
      <c r="AE35" s="5">
        <v>0.3006134969</v>
      </c>
      <c r="AF35" s="5">
        <v>0.15337423310000001</v>
      </c>
      <c r="AG35" s="5">
        <v>0.521341463414285</v>
      </c>
      <c r="AH35" s="5">
        <v>0.24695121950000001</v>
      </c>
      <c r="AI35" s="5">
        <v>0.40548780489999903</v>
      </c>
      <c r="AJ35" s="5">
        <v>0.243902439</v>
      </c>
      <c r="AK35" s="5">
        <v>0.1036585366</v>
      </c>
      <c r="AL35" s="5">
        <v>0.87804878050000001</v>
      </c>
      <c r="AM35" s="5">
        <v>0.9068493151</v>
      </c>
      <c r="AN35" s="5">
        <v>0.89560439560000005</v>
      </c>
      <c r="AO35" s="5">
        <v>0.90109890109999902</v>
      </c>
      <c r="AP35" s="5" t="s">
        <v>53</v>
      </c>
      <c r="AQ35" s="5">
        <v>0.95080749920528496</v>
      </c>
      <c r="AR35" s="5" t="s">
        <v>53</v>
      </c>
      <c r="AS35" s="5">
        <v>1.0052122067700999</v>
      </c>
      <c r="AT35" s="5" t="s">
        <v>53</v>
      </c>
      <c r="AU35" s="5">
        <v>0.927056511427235</v>
      </c>
      <c r="AV35" s="5" t="s">
        <v>53</v>
      </c>
      <c r="AW35" s="5">
        <v>0.92441127189394401</v>
      </c>
      <c r="AX35" s="5" t="s">
        <v>53</v>
      </c>
      <c r="AY35" s="10" t="s">
        <v>53</v>
      </c>
    </row>
    <row r="36" spans="1:51" ht="15.75" customHeight="1" x14ac:dyDescent="0.3">
      <c r="A36" s="4">
        <v>3201506</v>
      </c>
      <c r="B36" s="4" t="s">
        <v>87</v>
      </c>
      <c r="C36" s="5">
        <v>2022</v>
      </c>
      <c r="D36" s="6" t="s">
        <v>53</v>
      </c>
      <c r="E36" s="6" t="s">
        <v>53</v>
      </c>
      <c r="F36" s="6" t="s">
        <v>53</v>
      </c>
      <c r="G36" s="6" t="s">
        <v>53</v>
      </c>
      <c r="H36" s="6" t="s">
        <v>53</v>
      </c>
      <c r="I36" s="6" t="s">
        <v>53</v>
      </c>
      <c r="J36" s="5">
        <v>0.67802928269259</v>
      </c>
      <c r="K36" s="5">
        <v>0.65491838502777699</v>
      </c>
      <c r="L36" s="5" t="s">
        <v>53</v>
      </c>
      <c r="M36" s="5" t="s">
        <v>53</v>
      </c>
      <c r="N36" s="5">
        <v>0.52473023546894904</v>
      </c>
      <c r="O36" s="5">
        <v>0.51808617246310096</v>
      </c>
      <c r="P36" s="5">
        <v>0.53138979372164796</v>
      </c>
      <c r="Q36" s="5">
        <v>0.52898125588784795</v>
      </c>
      <c r="R36" s="5">
        <v>0.78451524492857105</v>
      </c>
      <c r="S36" s="5">
        <v>0.1095123901</v>
      </c>
      <c r="T36" s="5">
        <v>0.1854516387</v>
      </c>
      <c r="U36" s="5">
        <v>0.43964828140000001</v>
      </c>
      <c r="V36" s="5">
        <v>0.26538768979999999</v>
      </c>
      <c r="W36" s="5">
        <v>0.76891781940000004</v>
      </c>
      <c r="X36" s="5">
        <v>5.5329536200000001E-2</v>
      </c>
      <c r="Y36" s="5">
        <v>0.3075671277</v>
      </c>
      <c r="Z36" s="5">
        <v>0.42310821809999999</v>
      </c>
      <c r="AA36" s="5">
        <v>0.21399511799999901</v>
      </c>
      <c r="AB36" s="5">
        <v>0.71175406864285695</v>
      </c>
      <c r="AC36" s="5">
        <v>0.1223628692</v>
      </c>
      <c r="AD36" s="5">
        <v>0.2902953586</v>
      </c>
      <c r="AE36" s="5">
        <v>0.39409282699999998</v>
      </c>
      <c r="AF36" s="5">
        <v>0.19324894510000001</v>
      </c>
      <c r="AG36" s="5">
        <v>0.627654440157142</v>
      </c>
      <c r="AH36" s="5">
        <v>0.14358108110000001</v>
      </c>
      <c r="AI36" s="5">
        <v>0.40033783779999998</v>
      </c>
      <c r="AJ36" s="5">
        <v>0.33108108110000001</v>
      </c>
      <c r="AK36" s="5">
        <v>0.125</v>
      </c>
      <c r="AL36" s="5">
        <v>0.89549033639999998</v>
      </c>
      <c r="AM36" s="5">
        <v>0.88100358420000002</v>
      </c>
      <c r="AN36" s="5">
        <v>0.9108378171</v>
      </c>
      <c r="AO36" s="5">
        <v>0.91006917759999995</v>
      </c>
      <c r="AP36" s="5" t="s">
        <v>53</v>
      </c>
      <c r="AQ36" s="5">
        <v>0.91473115935708904</v>
      </c>
      <c r="AR36" s="5" t="s">
        <v>53</v>
      </c>
      <c r="AS36" s="5">
        <v>0.92940497668560496</v>
      </c>
      <c r="AT36" s="5" t="s">
        <v>53</v>
      </c>
      <c r="AU36" s="5">
        <v>0.86020289973865305</v>
      </c>
      <c r="AV36" s="5" t="s">
        <v>53</v>
      </c>
      <c r="AW36" s="5">
        <v>0.87016629081295205</v>
      </c>
      <c r="AX36" s="5" t="s">
        <v>53</v>
      </c>
      <c r="AY36" s="10" t="s">
        <v>53</v>
      </c>
    </row>
    <row r="37" spans="1:51" ht="15.75" customHeight="1" x14ac:dyDescent="0.3">
      <c r="A37" s="4">
        <v>3202256</v>
      </c>
      <c r="B37" s="4" t="s">
        <v>88</v>
      </c>
      <c r="C37" s="5">
        <v>2022</v>
      </c>
      <c r="D37" s="6" t="s">
        <v>53</v>
      </c>
      <c r="E37" s="6" t="s">
        <v>53</v>
      </c>
      <c r="F37" s="6" t="s">
        <v>53</v>
      </c>
      <c r="G37" s="6" t="s">
        <v>53</v>
      </c>
      <c r="H37" s="6" t="s">
        <v>53</v>
      </c>
      <c r="I37" s="6" t="s">
        <v>53</v>
      </c>
      <c r="J37" s="5">
        <v>0.72592051109935296</v>
      </c>
      <c r="K37" s="5">
        <v>0.64774168778559205</v>
      </c>
      <c r="L37" s="5" t="s">
        <v>53</v>
      </c>
      <c r="M37" s="5" t="s">
        <v>53</v>
      </c>
      <c r="N37" s="5">
        <v>0.55376021846522405</v>
      </c>
      <c r="O37" s="5">
        <v>0.55604647374892802</v>
      </c>
      <c r="P37" s="5">
        <v>0.56548847444545103</v>
      </c>
      <c r="Q37" s="5">
        <v>0.55598452429557399</v>
      </c>
      <c r="R37" s="5">
        <v>0.82197802195714198</v>
      </c>
      <c r="S37" s="5">
        <v>0.1076923077</v>
      </c>
      <c r="T37" s="5">
        <v>0.1230769231</v>
      </c>
      <c r="U37" s="5">
        <v>0.47692307690000002</v>
      </c>
      <c r="V37" s="5">
        <v>0.29230769229999998</v>
      </c>
      <c r="W37" s="5">
        <v>0.84175824171428504</v>
      </c>
      <c r="X37" s="5">
        <v>6.1538461499999898E-2</v>
      </c>
      <c r="Y37" s="5">
        <v>0.16923076919999999</v>
      </c>
      <c r="Z37" s="5">
        <v>0.47692307690000002</v>
      </c>
      <c r="AA37" s="5">
        <v>0.29230769229999998</v>
      </c>
      <c r="AB37" s="5">
        <v>0.71026156947142804</v>
      </c>
      <c r="AC37" s="5">
        <v>0.11267605629999999</v>
      </c>
      <c r="AD37" s="5">
        <v>0.30985915489999999</v>
      </c>
      <c r="AE37" s="5">
        <v>0.35211267610000002</v>
      </c>
      <c r="AF37" s="5">
        <v>0.2253521127</v>
      </c>
      <c r="AG37" s="5">
        <v>0.62698412701428496</v>
      </c>
      <c r="AH37" s="5">
        <v>0.11111111109999899</v>
      </c>
      <c r="AI37" s="5">
        <v>0.45833333329999998</v>
      </c>
      <c r="AJ37" s="5">
        <v>0.30555555559999997</v>
      </c>
      <c r="AK37" s="5">
        <v>0.125</v>
      </c>
      <c r="AL37" s="5">
        <v>0.97014925370000005</v>
      </c>
      <c r="AM37" s="5">
        <v>0.95588235290000001</v>
      </c>
      <c r="AN37" s="5">
        <v>0.87654320990000001</v>
      </c>
      <c r="AO37" s="5">
        <v>0.88888888889999995</v>
      </c>
      <c r="AP37" s="5" t="s">
        <v>53</v>
      </c>
      <c r="AQ37" s="5">
        <v>0.99180003549008799</v>
      </c>
      <c r="AR37" s="5" t="s">
        <v>53</v>
      </c>
      <c r="AS37" s="5">
        <v>0.89324619526431603</v>
      </c>
      <c r="AT37" s="5" t="s">
        <v>53</v>
      </c>
      <c r="AU37" s="5">
        <v>0.81606918940746298</v>
      </c>
      <c r="AV37" s="5" t="s">
        <v>53</v>
      </c>
      <c r="AW37" s="5">
        <v>0.85964488436536302</v>
      </c>
      <c r="AX37" s="5" t="s">
        <v>53</v>
      </c>
      <c r="AY37" s="10" t="s">
        <v>53</v>
      </c>
    </row>
    <row r="38" spans="1:51" ht="15.75" customHeight="1" x14ac:dyDescent="0.3">
      <c r="A38" s="4">
        <v>3202702</v>
      </c>
      <c r="B38" s="4" t="s">
        <v>89</v>
      </c>
      <c r="C38" s="5">
        <v>2022</v>
      </c>
      <c r="D38" s="6" t="s">
        <v>53</v>
      </c>
      <c r="E38" s="6" t="s">
        <v>53</v>
      </c>
      <c r="F38" s="6" t="s">
        <v>53</v>
      </c>
      <c r="G38" s="6" t="s">
        <v>53</v>
      </c>
      <c r="H38" s="6" t="s">
        <v>53</v>
      </c>
      <c r="I38" s="6" t="s">
        <v>53</v>
      </c>
      <c r="J38" s="5">
        <v>0.67877885770075197</v>
      </c>
      <c r="K38" s="5">
        <v>0.64142018405803003</v>
      </c>
      <c r="L38" s="5" t="s">
        <v>53</v>
      </c>
      <c r="M38" s="5" t="s">
        <v>53</v>
      </c>
      <c r="N38" s="5">
        <v>0.52278712884695799</v>
      </c>
      <c r="O38" s="5">
        <v>0.52070095228689495</v>
      </c>
      <c r="P38" s="5">
        <v>0.56947195780135196</v>
      </c>
      <c r="Q38" s="5">
        <v>0.57091548104469003</v>
      </c>
      <c r="R38" s="5">
        <v>0.800865800871428</v>
      </c>
      <c r="S38" s="5">
        <v>9.0909090900000003E-2</v>
      </c>
      <c r="T38" s="5">
        <v>0.18939393939999999</v>
      </c>
      <c r="U38" s="5">
        <v>0.47727272729999998</v>
      </c>
      <c r="V38" s="5">
        <v>0.24242424239999999</v>
      </c>
      <c r="W38" s="5">
        <v>0.77142857138571397</v>
      </c>
      <c r="X38" s="5">
        <v>5.9259259299999999E-2</v>
      </c>
      <c r="Y38" s="5">
        <v>0.29629629629999998</v>
      </c>
      <c r="Z38" s="5">
        <v>0.42962962960000001</v>
      </c>
      <c r="AA38" s="5">
        <v>0.2148148148</v>
      </c>
      <c r="AB38" s="5">
        <v>0.650210084071428</v>
      </c>
      <c r="AC38" s="5">
        <v>0.198529411799999</v>
      </c>
      <c r="AD38" s="5">
        <v>0.26470588239999998</v>
      </c>
      <c r="AE38" s="5">
        <v>0.24264705880000001</v>
      </c>
      <c r="AF38" s="5">
        <v>0.29411764709999999</v>
      </c>
      <c r="AG38" s="5">
        <v>0.63386243385714203</v>
      </c>
      <c r="AH38" s="5">
        <v>0.22222222219999899</v>
      </c>
      <c r="AI38" s="5">
        <v>0.25185185189999998</v>
      </c>
      <c r="AJ38" s="5">
        <v>0.33333333329999998</v>
      </c>
      <c r="AK38" s="5">
        <v>0.1925925926</v>
      </c>
      <c r="AL38" s="5">
        <v>0.87417218539999997</v>
      </c>
      <c r="AM38" s="5">
        <v>0.89403973510000001</v>
      </c>
      <c r="AN38" s="5">
        <v>0.88311688309999903</v>
      </c>
      <c r="AO38" s="5">
        <v>0.8766233766</v>
      </c>
      <c r="AP38" s="5" t="s">
        <v>53</v>
      </c>
      <c r="AQ38" s="5">
        <v>0.88419634269241199</v>
      </c>
      <c r="AR38" s="5" t="s">
        <v>53</v>
      </c>
      <c r="AS38" s="5">
        <v>0.94613833124839497</v>
      </c>
      <c r="AT38" s="5" t="s">
        <v>53</v>
      </c>
      <c r="AU38" s="5">
        <v>0.82553645292419597</v>
      </c>
      <c r="AV38" s="5" t="s">
        <v>53</v>
      </c>
      <c r="AW38" s="5">
        <v>0.78955293181484199</v>
      </c>
      <c r="AX38" s="5" t="s">
        <v>53</v>
      </c>
      <c r="AY38" s="10" t="s">
        <v>53</v>
      </c>
    </row>
    <row r="39" spans="1:51" ht="15.75" customHeight="1" x14ac:dyDescent="0.3">
      <c r="A39" s="4">
        <v>3202900</v>
      </c>
      <c r="B39" s="4" t="s">
        <v>90</v>
      </c>
      <c r="C39" s="5">
        <v>2022</v>
      </c>
      <c r="D39" s="6" t="s">
        <v>53</v>
      </c>
      <c r="E39" s="6" t="s">
        <v>53</v>
      </c>
      <c r="F39" s="6" t="s">
        <v>53</v>
      </c>
      <c r="G39" s="6" t="s">
        <v>53</v>
      </c>
      <c r="H39" s="6" t="s">
        <v>53</v>
      </c>
      <c r="I39" s="6" t="s">
        <v>53</v>
      </c>
      <c r="J39" s="5">
        <v>0.70096300180052895</v>
      </c>
      <c r="K39" s="5">
        <v>0.71807046510718398</v>
      </c>
      <c r="L39" s="5" t="s">
        <v>53</v>
      </c>
      <c r="M39" s="5" t="s">
        <v>53</v>
      </c>
      <c r="N39" s="5">
        <v>0.54185103574138105</v>
      </c>
      <c r="O39" s="5">
        <v>0.57648843134057504</v>
      </c>
      <c r="P39" s="5">
        <v>0.61527727809936195</v>
      </c>
      <c r="Q39" s="5">
        <v>0.67528453817751199</v>
      </c>
      <c r="R39" s="5">
        <v>0.76130198911428504</v>
      </c>
      <c r="S39" s="5">
        <v>5.0632911399999897E-2</v>
      </c>
      <c r="T39" s="5">
        <v>0.32911392409999901</v>
      </c>
      <c r="U39" s="5">
        <v>0.2405063291</v>
      </c>
      <c r="V39" s="5">
        <v>0.37974683539999998</v>
      </c>
      <c r="W39" s="5">
        <v>0.85025817552857097</v>
      </c>
      <c r="X39" s="5">
        <v>6.02409639E-2</v>
      </c>
      <c r="Y39" s="5">
        <v>0.156626506</v>
      </c>
      <c r="Z39" s="5">
        <v>0.42168674699999997</v>
      </c>
      <c r="AA39" s="5">
        <v>0.36144578309999997</v>
      </c>
      <c r="AB39" s="5">
        <v>0.78796992481428496</v>
      </c>
      <c r="AC39" s="5">
        <v>7.36842105E-2</v>
      </c>
      <c r="AD39" s="5">
        <v>0.2421052632</v>
      </c>
      <c r="AE39" s="5">
        <v>0.4210526316</v>
      </c>
      <c r="AF39" s="5">
        <v>0.26315789470000001</v>
      </c>
      <c r="AG39" s="5">
        <v>0.754887218071428</v>
      </c>
      <c r="AH39" s="5">
        <v>9.4736842099999996E-2</v>
      </c>
      <c r="AI39" s="5">
        <v>0.26315789470000001</v>
      </c>
      <c r="AJ39" s="5">
        <v>0.34736842109999999</v>
      </c>
      <c r="AK39" s="5">
        <v>0.29473684210000001</v>
      </c>
      <c r="AL39" s="5">
        <v>0.87777777779999999</v>
      </c>
      <c r="AM39" s="5">
        <v>0.92222222220000005</v>
      </c>
      <c r="AN39" s="5">
        <v>0.95</v>
      </c>
      <c r="AO39" s="5">
        <v>0.95</v>
      </c>
      <c r="AP39" s="5" t="s">
        <v>53</v>
      </c>
      <c r="AQ39" s="5">
        <v>0.84296612608982102</v>
      </c>
      <c r="AR39" s="5" t="s">
        <v>53</v>
      </c>
      <c r="AS39" s="5">
        <v>0.82559770518805797</v>
      </c>
      <c r="AT39" s="5" t="s">
        <v>53</v>
      </c>
      <c r="AU39" s="5">
        <v>0.80243293916207303</v>
      </c>
      <c r="AV39" s="5" t="s">
        <v>53</v>
      </c>
      <c r="AW39" s="5">
        <v>0.84511411352568799</v>
      </c>
      <c r="AX39" s="5" t="s">
        <v>53</v>
      </c>
      <c r="AY39" s="10" t="s">
        <v>53</v>
      </c>
    </row>
    <row r="40" spans="1:51" ht="15.75" customHeight="1" x14ac:dyDescent="0.3">
      <c r="A40" s="4">
        <v>3203353</v>
      </c>
      <c r="B40" s="4" t="s">
        <v>91</v>
      </c>
      <c r="C40" s="5">
        <v>2022</v>
      </c>
      <c r="D40" s="6" t="s">
        <v>53</v>
      </c>
      <c r="E40" s="6" t="s">
        <v>53</v>
      </c>
      <c r="F40" s="6" t="s">
        <v>53</v>
      </c>
      <c r="G40" s="6" t="s">
        <v>53</v>
      </c>
      <c r="H40" s="6" t="s">
        <v>53</v>
      </c>
      <c r="I40" s="6" t="s">
        <v>53</v>
      </c>
      <c r="J40" s="5">
        <v>0.67929135925426998</v>
      </c>
      <c r="K40" s="5">
        <v>0.66084556575240505</v>
      </c>
      <c r="L40" s="5" t="s">
        <v>53</v>
      </c>
      <c r="M40" s="5" t="s">
        <v>53</v>
      </c>
      <c r="N40" s="5">
        <v>0.52410388883891901</v>
      </c>
      <c r="O40" s="5">
        <v>0.52466431127725899</v>
      </c>
      <c r="P40" s="5">
        <v>0.57395951154012004</v>
      </c>
      <c r="Q40" s="5">
        <v>0.57066444029912999</v>
      </c>
      <c r="R40" s="5">
        <v>0.76899696057142797</v>
      </c>
      <c r="S40" s="5">
        <v>0.11347517729999999</v>
      </c>
      <c r="T40" s="5">
        <v>0.2056737589</v>
      </c>
      <c r="U40" s="5">
        <v>0.43971631210000001</v>
      </c>
      <c r="V40" s="5">
        <v>0.24113475179999999</v>
      </c>
      <c r="W40" s="5">
        <v>0.81318681321428499</v>
      </c>
      <c r="X40" s="5">
        <v>6.2937062899999993E-2</v>
      </c>
      <c r="Y40" s="5">
        <v>0.21678321680000001</v>
      </c>
      <c r="Z40" s="5">
        <v>0.51048951050000002</v>
      </c>
      <c r="AA40" s="5">
        <v>0.20979020979999999</v>
      </c>
      <c r="AB40" s="5">
        <v>0.69861751151428497</v>
      </c>
      <c r="AC40" s="5">
        <v>0.16129032259999901</v>
      </c>
      <c r="AD40" s="5">
        <v>0.245161290299999</v>
      </c>
      <c r="AE40" s="5">
        <v>0.34838709680000002</v>
      </c>
      <c r="AF40" s="5">
        <v>0.245161290299999</v>
      </c>
      <c r="AG40" s="5">
        <v>0.63594470042857099</v>
      </c>
      <c r="AH40" s="5">
        <v>0.13548387100000001</v>
      </c>
      <c r="AI40" s="5">
        <v>0.4</v>
      </c>
      <c r="AJ40" s="5">
        <v>0.28387096769999998</v>
      </c>
      <c r="AK40" s="5">
        <v>0.1806451613</v>
      </c>
      <c r="AL40" s="5">
        <v>0.88124999999999998</v>
      </c>
      <c r="AM40" s="5">
        <v>0.88271604940000004</v>
      </c>
      <c r="AN40" s="5">
        <v>0.9064327485</v>
      </c>
      <c r="AO40" s="5">
        <v>0.9064327485</v>
      </c>
      <c r="AP40" s="5" t="s">
        <v>53</v>
      </c>
      <c r="AQ40" s="5">
        <v>0.84527616722869503</v>
      </c>
      <c r="AR40" s="5" t="s">
        <v>53</v>
      </c>
      <c r="AS40" s="5">
        <v>0.87354600965020202</v>
      </c>
      <c r="AT40" s="5" t="s">
        <v>53</v>
      </c>
      <c r="AU40" s="5">
        <v>0.745954276570445</v>
      </c>
      <c r="AV40" s="5" t="s">
        <v>53</v>
      </c>
      <c r="AW40" s="5">
        <v>0.84018191916136498</v>
      </c>
      <c r="AX40" s="5" t="s">
        <v>53</v>
      </c>
      <c r="AY40" s="10" t="s">
        <v>53</v>
      </c>
    </row>
    <row r="41" spans="1:51" ht="15.75" customHeight="1" x14ac:dyDescent="0.3">
      <c r="A41" s="4">
        <v>3204005</v>
      </c>
      <c r="B41" s="4" t="s">
        <v>92</v>
      </c>
      <c r="C41" s="5">
        <v>2022</v>
      </c>
      <c r="D41" s="6" t="s">
        <v>53</v>
      </c>
      <c r="E41" s="6" t="s">
        <v>53</v>
      </c>
      <c r="F41" s="6" t="s">
        <v>53</v>
      </c>
      <c r="G41" s="6" t="s">
        <v>53</v>
      </c>
      <c r="H41" s="6" t="s">
        <v>53</v>
      </c>
      <c r="I41" s="6" t="s">
        <v>53</v>
      </c>
      <c r="J41" s="5">
        <v>0.71921987320883596</v>
      </c>
      <c r="K41" s="5">
        <v>0.64581574752178506</v>
      </c>
      <c r="L41" s="5" t="s">
        <v>53</v>
      </c>
      <c r="M41" s="5" t="s">
        <v>53</v>
      </c>
      <c r="N41" s="5">
        <v>0.54731415817193996</v>
      </c>
      <c r="O41" s="5">
        <v>0.59153342185412605</v>
      </c>
      <c r="P41" s="5">
        <v>0.56687971689550998</v>
      </c>
      <c r="Q41" s="5">
        <v>0.56912088662560101</v>
      </c>
      <c r="R41" s="5">
        <v>0.84704968941428505</v>
      </c>
      <c r="S41" s="5">
        <v>3.8043478300000003E-2</v>
      </c>
      <c r="T41" s="5">
        <v>0.2010869565</v>
      </c>
      <c r="U41" s="5">
        <v>0.50543478259999997</v>
      </c>
      <c r="V41" s="5">
        <v>0.25543478260000002</v>
      </c>
      <c r="W41" s="5">
        <v>0.86631016034285702</v>
      </c>
      <c r="X41" s="5">
        <v>2.67379679E-2</v>
      </c>
      <c r="Y41" s="5">
        <v>0.18716577539999901</v>
      </c>
      <c r="Z41" s="5">
        <v>0.36363636360000001</v>
      </c>
      <c r="AA41" s="5">
        <v>0.42245989299999998</v>
      </c>
      <c r="AB41" s="5">
        <v>0.70552147247142805</v>
      </c>
      <c r="AC41" s="5">
        <v>0.14723926379999999</v>
      </c>
      <c r="AD41" s="5">
        <v>0.2576687117</v>
      </c>
      <c r="AE41" s="5">
        <v>0.38650306749999902</v>
      </c>
      <c r="AF41" s="5">
        <v>0.2085889571</v>
      </c>
      <c r="AG41" s="5">
        <v>0.57405784402857096</v>
      </c>
      <c r="AH41" s="5">
        <v>0.2085889571</v>
      </c>
      <c r="AI41" s="5">
        <v>0.3803680982</v>
      </c>
      <c r="AJ41" s="5">
        <v>0.32515337420000001</v>
      </c>
      <c r="AK41" s="5">
        <v>8.5889570600000006E-2</v>
      </c>
      <c r="AL41" s="5">
        <v>0.8846153846</v>
      </c>
      <c r="AM41" s="5">
        <v>0.90338164249999997</v>
      </c>
      <c r="AN41" s="5">
        <v>0.93142857140000002</v>
      </c>
      <c r="AO41" s="5">
        <v>0.93142857140000002</v>
      </c>
      <c r="AP41" s="5" t="s">
        <v>53</v>
      </c>
      <c r="AQ41" s="5">
        <v>0.94117102467505498</v>
      </c>
      <c r="AR41" s="5" t="s">
        <v>53</v>
      </c>
      <c r="AS41" s="5">
        <v>0.961552999964703</v>
      </c>
      <c r="AT41" s="5" t="s">
        <v>53</v>
      </c>
      <c r="AU41" s="5">
        <v>0.78855188498859796</v>
      </c>
      <c r="AV41" s="5" t="s">
        <v>53</v>
      </c>
      <c r="AW41" s="5">
        <v>0.85380553112469404</v>
      </c>
      <c r="AX41" s="5" t="s">
        <v>53</v>
      </c>
      <c r="AY41" s="10" t="s">
        <v>53</v>
      </c>
    </row>
    <row r="42" spans="1:51" ht="15.75" customHeight="1" x14ac:dyDescent="0.3">
      <c r="A42" s="4">
        <v>3204658</v>
      </c>
      <c r="B42" s="4" t="s">
        <v>93</v>
      </c>
      <c r="C42" s="5">
        <v>2022</v>
      </c>
      <c r="D42" s="6" t="s">
        <v>53</v>
      </c>
      <c r="E42" s="6" t="s">
        <v>53</v>
      </c>
      <c r="F42" s="6" t="s">
        <v>53</v>
      </c>
      <c r="G42" s="6" t="s">
        <v>53</v>
      </c>
      <c r="H42" s="6" t="s">
        <v>53</v>
      </c>
      <c r="I42" s="6" t="s">
        <v>53</v>
      </c>
      <c r="J42" s="5">
        <v>0.72842728939605805</v>
      </c>
      <c r="K42" s="5">
        <v>0.65120046623991501</v>
      </c>
      <c r="L42" s="5" t="s">
        <v>53</v>
      </c>
      <c r="M42" s="5" t="s">
        <v>53</v>
      </c>
      <c r="N42" s="5">
        <v>0.55185561643009795</v>
      </c>
      <c r="O42" s="5">
        <v>0.62260555839228804</v>
      </c>
      <c r="P42" s="5">
        <v>0.57465511336411501</v>
      </c>
      <c r="Q42" s="5">
        <v>0.58883932584430698</v>
      </c>
      <c r="R42" s="5">
        <v>0.83789260387142805</v>
      </c>
      <c r="S42" s="5">
        <v>2.83687943E-2</v>
      </c>
      <c r="T42" s="5">
        <v>0.2340425532</v>
      </c>
      <c r="U42" s="5">
        <v>0.46099290779999902</v>
      </c>
      <c r="V42" s="5">
        <v>0.27659574469999998</v>
      </c>
      <c r="W42" s="5">
        <v>0.89564336382857102</v>
      </c>
      <c r="X42" s="5">
        <v>3.5460992900000002E-2</v>
      </c>
      <c r="Y42" s="5">
        <v>0.1205673759</v>
      </c>
      <c r="Z42" s="5">
        <v>0.3262411348</v>
      </c>
      <c r="AA42" s="5">
        <v>0.51773049650000003</v>
      </c>
      <c r="AB42" s="5">
        <v>0.67886658795714205</v>
      </c>
      <c r="AC42" s="5">
        <v>9.9173553699999903E-2</v>
      </c>
      <c r="AD42" s="5">
        <v>0.38842975209999903</v>
      </c>
      <c r="AE42" s="5">
        <v>0.33884297519999901</v>
      </c>
      <c r="AF42" s="5">
        <v>0.173553719</v>
      </c>
      <c r="AG42" s="5">
        <v>0.58559622197142802</v>
      </c>
      <c r="AH42" s="5">
        <v>0.173553719</v>
      </c>
      <c r="AI42" s="5">
        <v>0.42148760330000001</v>
      </c>
      <c r="AJ42" s="5">
        <v>0.2561983471</v>
      </c>
      <c r="AK42" s="5">
        <v>0.14876033059999999</v>
      </c>
      <c r="AL42" s="5">
        <v>0.89240506330000002</v>
      </c>
      <c r="AM42" s="5">
        <v>0.89240506330000002</v>
      </c>
      <c r="AN42" s="5">
        <v>0.9527559055</v>
      </c>
      <c r="AO42" s="5">
        <v>0.9527559055</v>
      </c>
      <c r="AP42" s="5" t="s">
        <v>53</v>
      </c>
      <c r="AQ42" s="5">
        <v>0.93758407542240296</v>
      </c>
      <c r="AR42" s="5" t="s">
        <v>53</v>
      </c>
      <c r="AS42" s="5">
        <v>0.94078857495575596</v>
      </c>
      <c r="AT42" s="5" t="s">
        <v>53</v>
      </c>
      <c r="AU42" s="5">
        <v>0.79464742246063302</v>
      </c>
      <c r="AV42" s="5" t="s">
        <v>53</v>
      </c>
      <c r="AW42" s="5">
        <v>0.81740800726627105</v>
      </c>
      <c r="AX42" s="5" t="s">
        <v>53</v>
      </c>
      <c r="AY42" s="10" t="s">
        <v>53</v>
      </c>
    </row>
    <row r="43" spans="1:51" ht="15.75" customHeight="1" x14ac:dyDescent="0.3">
      <c r="A43" s="4">
        <v>3204955</v>
      </c>
      <c r="B43" s="4" t="s">
        <v>94</v>
      </c>
      <c r="C43" s="5">
        <v>2022</v>
      </c>
      <c r="D43" s="6" t="s">
        <v>53</v>
      </c>
      <c r="E43" s="6" t="s">
        <v>53</v>
      </c>
      <c r="F43" s="6" t="s">
        <v>53</v>
      </c>
      <c r="G43" s="6" t="s">
        <v>53</v>
      </c>
      <c r="H43" s="6" t="s">
        <v>53</v>
      </c>
      <c r="I43" s="6" t="s">
        <v>53</v>
      </c>
      <c r="J43" s="5">
        <v>0.72793167154697302</v>
      </c>
      <c r="K43" s="5">
        <v>0.71040929507794004</v>
      </c>
      <c r="L43" s="5" t="s">
        <v>53</v>
      </c>
      <c r="M43" s="5" t="s">
        <v>53</v>
      </c>
      <c r="N43" s="5">
        <v>0.55947884594558195</v>
      </c>
      <c r="O43" s="5">
        <v>0.56297900267720802</v>
      </c>
      <c r="P43" s="5">
        <v>0.62860216909488398</v>
      </c>
      <c r="Q43" s="5">
        <v>0.60940743352300897</v>
      </c>
      <c r="R43" s="5">
        <v>0.86734693872857105</v>
      </c>
      <c r="S43" s="5">
        <v>7.1428571400000002E-2</v>
      </c>
      <c r="T43" s="5">
        <v>0.1071428571</v>
      </c>
      <c r="U43" s="5">
        <v>0.5</v>
      </c>
      <c r="V43" s="5">
        <v>0.32142857139999997</v>
      </c>
      <c r="W43" s="5">
        <v>0.80102040818571396</v>
      </c>
      <c r="X43" s="5">
        <v>3.5714285700000001E-2</v>
      </c>
      <c r="Y43" s="5">
        <v>0.28571428569999902</v>
      </c>
      <c r="Z43" s="5">
        <v>0.33928571429999999</v>
      </c>
      <c r="AA43" s="5">
        <v>0.33928571429999999</v>
      </c>
      <c r="AB43" s="5">
        <v>0.77901785714285698</v>
      </c>
      <c r="AC43" s="5">
        <v>7.8125E-2</v>
      </c>
      <c r="AD43" s="5">
        <v>0.25</v>
      </c>
      <c r="AE43" s="5">
        <v>0.328125</v>
      </c>
      <c r="AF43" s="5">
        <v>0.34375</v>
      </c>
      <c r="AG43" s="5">
        <v>0.72991071428571397</v>
      </c>
      <c r="AH43" s="5">
        <v>4.6875E-2</v>
      </c>
      <c r="AI43" s="5">
        <v>0.390625</v>
      </c>
      <c r="AJ43" s="5">
        <v>0.359375</v>
      </c>
      <c r="AK43" s="5">
        <v>0.203125</v>
      </c>
      <c r="AL43" s="5">
        <v>0.94915254239999902</v>
      </c>
      <c r="AM43" s="5">
        <v>0.94915254239999902</v>
      </c>
      <c r="AN43" s="5">
        <v>0.94117647059999998</v>
      </c>
      <c r="AO43" s="5">
        <v>0.94117647059999998</v>
      </c>
      <c r="AP43" s="5" t="s">
        <v>53</v>
      </c>
      <c r="AQ43" s="5">
        <v>0.89354475954383905</v>
      </c>
      <c r="AR43" s="5" t="s">
        <v>53</v>
      </c>
      <c r="AS43" s="5">
        <v>0.90350516147418503</v>
      </c>
      <c r="AT43" s="5" t="s">
        <v>53</v>
      </c>
      <c r="AU43" s="5">
        <v>0.79292108398803696</v>
      </c>
      <c r="AV43" s="5" t="s">
        <v>53</v>
      </c>
      <c r="AW43" s="5">
        <v>0.87611200219126695</v>
      </c>
      <c r="AX43" s="5" t="s">
        <v>53</v>
      </c>
      <c r="AY43" s="10" t="s">
        <v>53</v>
      </c>
    </row>
    <row r="44" spans="1:51" ht="15.75" customHeight="1" x14ac:dyDescent="0.3">
      <c r="A44" s="4">
        <v>3200201</v>
      </c>
      <c r="B44" s="4" t="s">
        <v>95</v>
      </c>
      <c r="C44" s="5">
        <v>2022</v>
      </c>
      <c r="D44" s="6" t="s">
        <v>53</v>
      </c>
      <c r="E44" s="6" t="s">
        <v>53</v>
      </c>
      <c r="F44" s="6" t="s">
        <v>53</v>
      </c>
      <c r="G44" s="6" t="s">
        <v>53</v>
      </c>
      <c r="H44" s="6" t="s">
        <v>53</v>
      </c>
      <c r="I44" s="6" t="s">
        <v>53</v>
      </c>
      <c r="J44" s="5">
        <v>0.73506888482443999</v>
      </c>
      <c r="K44" s="5">
        <v>0.65242590098685604</v>
      </c>
      <c r="L44" s="5" t="s">
        <v>53</v>
      </c>
      <c r="M44" s="5" t="s">
        <v>53</v>
      </c>
      <c r="N44" s="5">
        <v>0.56563897962155796</v>
      </c>
      <c r="O44" s="5">
        <v>0.62179694161843602</v>
      </c>
      <c r="P44" s="5">
        <v>0.52071490818555799</v>
      </c>
      <c r="Q44" s="5">
        <v>0.50739638865526404</v>
      </c>
      <c r="R44" s="5">
        <v>0.82716049377142797</v>
      </c>
      <c r="S44" s="5">
        <v>5.7613168700000002E-2</v>
      </c>
      <c r="T44" s="5">
        <v>0.20164609049999899</v>
      </c>
      <c r="U44" s="5">
        <v>0.38683127569999998</v>
      </c>
      <c r="V44" s="5">
        <v>0.35390946499999998</v>
      </c>
      <c r="W44" s="5">
        <v>0.88996960488571397</v>
      </c>
      <c r="X44" s="5">
        <v>4.6808510599999999E-2</v>
      </c>
      <c r="Y44" s="5">
        <v>0.1106382979</v>
      </c>
      <c r="Z44" s="5">
        <v>0.34893617020000001</v>
      </c>
      <c r="AA44" s="5">
        <v>0.49361702129999901</v>
      </c>
      <c r="AB44" s="5">
        <v>0.71936758889999997</v>
      </c>
      <c r="AC44" s="5">
        <v>0.1225296443</v>
      </c>
      <c r="AD44" s="5">
        <v>0.2766798419</v>
      </c>
      <c r="AE44" s="5">
        <v>0.34387351779999997</v>
      </c>
      <c r="AF44" s="5">
        <v>0.25691699600000001</v>
      </c>
      <c r="AG44" s="5">
        <v>0.56691134952857103</v>
      </c>
      <c r="AH44" s="5">
        <v>0.22529644269999999</v>
      </c>
      <c r="AI44" s="5">
        <v>0.36363636360000001</v>
      </c>
      <c r="AJ44" s="5">
        <v>0.30039525690000002</v>
      </c>
      <c r="AK44" s="5">
        <v>0.1106719368</v>
      </c>
      <c r="AL44" s="5">
        <v>0.92395437259999902</v>
      </c>
      <c r="AM44" s="5">
        <v>0.89353612169999996</v>
      </c>
      <c r="AN44" s="5">
        <v>0.94052044609999996</v>
      </c>
      <c r="AO44" s="5">
        <v>0.94052044609999996</v>
      </c>
      <c r="AP44" s="5" t="s">
        <v>53</v>
      </c>
      <c r="AQ44" s="5">
        <v>0.95528317499918303</v>
      </c>
      <c r="AR44" s="5" t="s">
        <v>53</v>
      </c>
      <c r="AS44" s="5">
        <v>0.96128882933616799</v>
      </c>
      <c r="AT44" s="5" t="s">
        <v>53</v>
      </c>
      <c r="AU44" s="5">
        <v>0.88547803954521798</v>
      </c>
      <c r="AV44" s="5" t="s">
        <v>53</v>
      </c>
      <c r="AW44" s="5">
        <v>0.88071112434949494</v>
      </c>
      <c r="AX44" s="5" t="s">
        <v>53</v>
      </c>
      <c r="AY44" s="10" t="s">
        <v>53</v>
      </c>
    </row>
    <row r="45" spans="1:51" ht="15.75" customHeight="1" x14ac:dyDescent="0.3">
      <c r="A45" s="4">
        <v>3200508</v>
      </c>
      <c r="B45" s="4" t="s">
        <v>96</v>
      </c>
      <c r="C45" s="5">
        <v>2022</v>
      </c>
      <c r="D45" s="6" t="s">
        <v>53</v>
      </c>
      <c r="E45" s="6" t="s">
        <v>53</v>
      </c>
      <c r="F45" s="6" t="s">
        <v>53</v>
      </c>
      <c r="G45" s="6" t="s">
        <v>53</v>
      </c>
      <c r="H45" s="6" t="s">
        <v>53</v>
      </c>
      <c r="I45" s="6" t="s">
        <v>53</v>
      </c>
      <c r="J45" s="5">
        <v>0.62965693598410799</v>
      </c>
      <c r="K45" s="5">
        <v>0.57250335435315802</v>
      </c>
      <c r="L45" s="5" t="s">
        <v>53</v>
      </c>
      <c r="M45" s="5" t="s">
        <v>53</v>
      </c>
      <c r="N45" s="5">
        <v>0.47056451303003999</v>
      </c>
      <c r="O45" s="5">
        <v>0.44371898866119702</v>
      </c>
      <c r="P45" s="5">
        <v>0.453569859540494</v>
      </c>
      <c r="Q45" s="5">
        <v>0.45984755508736602</v>
      </c>
      <c r="R45" s="5">
        <v>0.66398390344285696</v>
      </c>
      <c r="S45" s="5">
        <v>0.23943661969999999</v>
      </c>
      <c r="T45" s="5">
        <v>0.16901408449999999</v>
      </c>
      <c r="U45" s="5">
        <v>0.36619718309999999</v>
      </c>
      <c r="V45" s="5">
        <v>0.2253521127</v>
      </c>
      <c r="W45" s="5">
        <v>0.65277777771428502</v>
      </c>
      <c r="X45" s="5">
        <v>0.180555555599999</v>
      </c>
      <c r="Y45" s="5">
        <v>0.29166666670000002</v>
      </c>
      <c r="Z45" s="5">
        <v>0.45833333329999998</v>
      </c>
      <c r="AA45" s="5">
        <v>6.9444444399999999E-2</v>
      </c>
      <c r="AB45" s="5">
        <v>0.5324675324</v>
      </c>
      <c r="AC45" s="5">
        <v>0.27272727270000002</v>
      </c>
      <c r="AD45" s="5">
        <v>0.34090909089999999</v>
      </c>
      <c r="AE45" s="5">
        <v>0.18181818180000001</v>
      </c>
      <c r="AF45" s="5">
        <v>0.2045454545</v>
      </c>
      <c r="AG45" s="5">
        <v>0.43344155838571402</v>
      </c>
      <c r="AH45" s="5">
        <v>0.30681818179999998</v>
      </c>
      <c r="AI45" s="5">
        <v>0.4545454545</v>
      </c>
      <c r="AJ45" s="5">
        <v>0.18181818180000001</v>
      </c>
      <c r="AK45" s="5">
        <v>5.6818181799999999E-2</v>
      </c>
      <c r="AL45" s="5">
        <v>0.93421052630000001</v>
      </c>
      <c r="AM45" s="5">
        <v>0.94736842109999997</v>
      </c>
      <c r="AN45" s="5">
        <v>0.89795918369999905</v>
      </c>
      <c r="AO45" s="5">
        <v>0.89795918369999905</v>
      </c>
      <c r="AP45" s="5" t="s">
        <v>53</v>
      </c>
      <c r="AQ45" s="5">
        <v>0.84694249421340395</v>
      </c>
      <c r="AR45" s="5" t="s">
        <v>53</v>
      </c>
      <c r="AS45" s="5">
        <v>0.89668991296869405</v>
      </c>
      <c r="AT45" s="5" t="s">
        <v>53</v>
      </c>
      <c r="AU45" s="5">
        <v>0.91042917463594897</v>
      </c>
      <c r="AV45" s="5" t="s">
        <v>53</v>
      </c>
      <c r="AW45" s="5">
        <v>0.88899208360721804</v>
      </c>
      <c r="AX45" s="5" t="s">
        <v>53</v>
      </c>
      <c r="AY45" s="10" t="s">
        <v>53</v>
      </c>
    </row>
    <row r="46" spans="1:51" ht="15.75" customHeight="1" x14ac:dyDescent="0.3">
      <c r="A46" s="4">
        <v>3201100</v>
      </c>
      <c r="B46" s="4" t="s">
        <v>97</v>
      </c>
      <c r="C46" s="5">
        <v>2022</v>
      </c>
      <c r="D46" s="6" t="s">
        <v>53</v>
      </c>
      <c r="E46" s="6" t="s">
        <v>53</v>
      </c>
      <c r="F46" s="6" t="s">
        <v>53</v>
      </c>
      <c r="G46" s="6" t="s">
        <v>53</v>
      </c>
      <c r="H46" s="6" t="s">
        <v>53</v>
      </c>
      <c r="I46" s="6" t="s">
        <v>53</v>
      </c>
      <c r="J46" s="5">
        <v>0.67875621557028398</v>
      </c>
      <c r="K46" s="5">
        <v>0.59437397818812499</v>
      </c>
      <c r="L46" s="5" t="s">
        <v>53</v>
      </c>
      <c r="M46" s="5" t="s">
        <v>53</v>
      </c>
      <c r="N46" s="5">
        <v>0.51141140603657897</v>
      </c>
      <c r="O46" s="5">
        <v>0.58870951117512305</v>
      </c>
      <c r="P46" s="5">
        <v>0.54480552152489603</v>
      </c>
      <c r="Q46" s="5">
        <v>0.55426364777945003</v>
      </c>
      <c r="R46" s="5">
        <v>0.73445378148571405</v>
      </c>
      <c r="S46" s="5">
        <v>0.1647058824</v>
      </c>
      <c r="T46" s="5">
        <v>0.1764705882</v>
      </c>
      <c r="U46" s="5">
        <v>0.4</v>
      </c>
      <c r="V46" s="5">
        <v>0.25882352939999997</v>
      </c>
      <c r="W46" s="5">
        <v>0.82922824301428499</v>
      </c>
      <c r="X46" s="5">
        <v>4.5977011499999998E-2</v>
      </c>
      <c r="Y46" s="5">
        <v>0.21839080459999999</v>
      </c>
      <c r="Z46" s="5">
        <v>0.34482758619999998</v>
      </c>
      <c r="AA46" s="5">
        <v>0.39080459769999998</v>
      </c>
      <c r="AB46" s="5">
        <v>0.58123249292857104</v>
      </c>
      <c r="AC46" s="5">
        <v>0.24509803920000001</v>
      </c>
      <c r="AD46" s="5">
        <v>0.30392156860000002</v>
      </c>
      <c r="AE46" s="5">
        <v>0.33333333329999998</v>
      </c>
      <c r="AF46" s="5">
        <v>0.1176470588</v>
      </c>
      <c r="AG46" s="5">
        <v>0.52521008394285695</v>
      </c>
      <c r="AH46" s="5">
        <v>0.2843137255</v>
      </c>
      <c r="AI46" s="5">
        <v>0.33333333329999998</v>
      </c>
      <c r="AJ46" s="5">
        <v>0.30392156860000002</v>
      </c>
      <c r="AK46" s="5">
        <v>7.8431372499999999E-2</v>
      </c>
      <c r="AL46" s="5">
        <v>0.85</v>
      </c>
      <c r="AM46" s="5">
        <v>0.87</v>
      </c>
      <c r="AN46" s="5">
        <v>0.9026548673</v>
      </c>
      <c r="AO46" s="5">
        <v>0.9026548673</v>
      </c>
      <c r="AP46" s="5" t="s">
        <v>53</v>
      </c>
      <c r="AQ46" s="5">
        <v>0.93134343192798397</v>
      </c>
      <c r="AR46" s="5" t="s">
        <v>53</v>
      </c>
      <c r="AS46" s="5">
        <v>1.0479190382276899</v>
      </c>
      <c r="AT46" s="5" t="s">
        <v>53</v>
      </c>
      <c r="AU46" s="5">
        <v>0.86089337545456801</v>
      </c>
      <c r="AV46" s="5" t="s">
        <v>53</v>
      </c>
      <c r="AW46" s="5">
        <v>0.825813261121635</v>
      </c>
      <c r="AX46" s="5" t="s">
        <v>53</v>
      </c>
      <c r="AY46" s="10" t="s">
        <v>53</v>
      </c>
    </row>
    <row r="47" spans="1:51" ht="15.75" customHeight="1" x14ac:dyDescent="0.3">
      <c r="A47" s="4">
        <v>3201803</v>
      </c>
      <c r="B47" s="4" t="s">
        <v>98</v>
      </c>
      <c r="C47" s="5">
        <v>2022</v>
      </c>
      <c r="D47" s="6" t="s">
        <v>53</v>
      </c>
      <c r="E47" s="6" t="s">
        <v>53</v>
      </c>
      <c r="F47" s="6" t="s">
        <v>53</v>
      </c>
      <c r="G47" s="6" t="s">
        <v>53</v>
      </c>
      <c r="H47" s="6" t="s">
        <v>53</v>
      </c>
      <c r="I47" s="6" t="s">
        <v>53</v>
      </c>
      <c r="J47" s="5">
        <v>0.67589586642073796</v>
      </c>
      <c r="K47" s="5">
        <v>0.63692141501578803</v>
      </c>
      <c r="L47" s="5" t="s">
        <v>53</v>
      </c>
      <c r="M47" s="5" t="s">
        <v>53</v>
      </c>
      <c r="N47" s="5">
        <v>0.47938879001741502</v>
      </c>
      <c r="O47" s="5">
        <v>0.53229089878470903</v>
      </c>
      <c r="P47" s="5">
        <v>0.49733185998470197</v>
      </c>
      <c r="Q47" s="5">
        <v>0.51754443129482997</v>
      </c>
      <c r="R47" s="5">
        <v>0.704081632685714</v>
      </c>
      <c r="S47" s="5">
        <v>0.14285714289999901</v>
      </c>
      <c r="T47" s="5">
        <v>0.26785714290000001</v>
      </c>
      <c r="U47" s="5">
        <v>0.41071428570000001</v>
      </c>
      <c r="V47" s="5">
        <v>0.1785714286</v>
      </c>
      <c r="W47" s="5">
        <v>0.84415584415714195</v>
      </c>
      <c r="X47" s="5">
        <v>7.2727272699999998E-2</v>
      </c>
      <c r="Y47" s="5">
        <v>0.1454545455</v>
      </c>
      <c r="Z47" s="5">
        <v>0.50909090909999999</v>
      </c>
      <c r="AA47" s="5">
        <v>0.27272727270000002</v>
      </c>
      <c r="AB47" s="5">
        <v>0.65238095241428495</v>
      </c>
      <c r="AC47" s="5">
        <v>0.233333333299999</v>
      </c>
      <c r="AD47" s="5">
        <v>0.2</v>
      </c>
      <c r="AE47" s="5">
        <v>0.31666666669999999</v>
      </c>
      <c r="AF47" s="5">
        <v>0.25</v>
      </c>
      <c r="AG47" s="5">
        <v>0.56428571429999996</v>
      </c>
      <c r="AH47" s="5">
        <v>0.28333333329999999</v>
      </c>
      <c r="AI47" s="5">
        <v>0.2666666667</v>
      </c>
      <c r="AJ47" s="5">
        <v>0.25</v>
      </c>
      <c r="AK47" s="5">
        <v>0.2</v>
      </c>
      <c r="AL47" s="5">
        <v>0.94915254239999902</v>
      </c>
      <c r="AM47" s="5">
        <v>0.93220338979999995</v>
      </c>
      <c r="AN47" s="5">
        <v>0.9375</v>
      </c>
      <c r="AO47" s="5">
        <v>0.9375</v>
      </c>
      <c r="AP47" s="5" t="s">
        <v>53</v>
      </c>
      <c r="AQ47" s="5">
        <v>0.92478411687158102</v>
      </c>
      <c r="AR47" s="5" t="s">
        <v>53</v>
      </c>
      <c r="AS47" s="5">
        <v>0.89736775440273497</v>
      </c>
      <c r="AT47" s="5" t="s">
        <v>53</v>
      </c>
      <c r="AU47" s="5">
        <v>0.83474893689457297</v>
      </c>
      <c r="AV47" s="5" t="s">
        <v>53</v>
      </c>
      <c r="AW47" s="5">
        <v>0.92191517919209498</v>
      </c>
      <c r="AX47" s="5" t="s">
        <v>53</v>
      </c>
      <c r="AY47" s="10" t="s">
        <v>53</v>
      </c>
    </row>
    <row r="48" spans="1:51" ht="15.75" customHeight="1" x14ac:dyDescent="0.3">
      <c r="A48" s="4">
        <v>3202009</v>
      </c>
      <c r="B48" s="4" t="s">
        <v>99</v>
      </c>
      <c r="C48" s="5">
        <v>2022</v>
      </c>
      <c r="D48" s="6" t="s">
        <v>53</v>
      </c>
      <c r="E48" s="6" t="s">
        <v>53</v>
      </c>
      <c r="F48" s="6" t="s">
        <v>53</v>
      </c>
      <c r="G48" s="6" t="s">
        <v>53</v>
      </c>
      <c r="H48" s="6" t="s">
        <v>53</v>
      </c>
      <c r="I48" s="6" t="s">
        <v>53</v>
      </c>
      <c r="J48" s="5">
        <v>0.70474834555758004</v>
      </c>
      <c r="K48" s="5">
        <v>0.66442899460266802</v>
      </c>
      <c r="L48" s="5" t="s">
        <v>53</v>
      </c>
      <c r="M48" s="5" t="s">
        <v>53</v>
      </c>
      <c r="N48" s="5">
        <v>0.50631161369898503</v>
      </c>
      <c r="O48" s="5">
        <v>0.61341364453585301</v>
      </c>
      <c r="P48" s="5">
        <v>0.53780587192477203</v>
      </c>
      <c r="Q48" s="5">
        <v>0.53647464257746402</v>
      </c>
      <c r="R48" s="5">
        <v>0.733990147757142</v>
      </c>
      <c r="S48" s="5">
        <v>0.1034482759</v>
      </c>
      <c r="T48" s="5">
        <v>0.2844827586</v>
      </c>
      <c r="U48" s="5">
        <v>0.41379310339999997</v>
      </c>
      <c r="V48" s="5">
        <v>0.19827586210000001</v>
      </c>
      <c r="W48" s="5">
        <v>0.88621997467142799</v>
      </c>
      <c r="X48" s="5">
        <v>1.7699115000000001E-2</v>
      </c>
      <c r="Y48" s="5">
        <v>0.1681415929</v>
      </c>
      <c r="Z48" s="5">
        <v>0.3362831858</v>
      </c>
      <c r="AA48" s="5">
        <v>0.47787610619999998</v>
      </c>
      <c r="AB48" s="5">
        <v>0.70467032969999999</v>
      </c>
      <c r="AC48" s="5">
        <v>8.6538461499999997E-2</v>
      </c>
      <c r="AD48" s="5">
        <v>0.3653846154</v>
      </c>
      <c r="AE48" s="5">
        <v>0.375</v>
      </c>
      <c r="AF48" s="5">
        <v>0.1730769231</v>
      </c>
      <c r="AG48" s="5">
        <v>0.61813186809999998</v>
      </c>
      <c r="AH48" s="5">
        <v>0.1730769231</v>
      </c>
      <c r="AI48" s="5">
        <v>0.3653846154</v>
      </c>
      <c r="AJ48" s="5">
        <v>0.3173076923</v>
      </c>
      <c r="AK48" s="5">
        <v>0.1442307692</v>
      </c>
      <c r="AL48" s="5">
        <v>0.93548387099999997</v>
      </c>
      <c r="AM48" s="5">
        <v>0.91129032259999998</v>
      </c>
      <c r="AN48" s="5">
        <v>0.9541284404</v>
      </c>
      <c r="AO48" s="5">
        <v>0.9541284404</v>
      </c>
      <c r="AP48" s="5" t="s">
        <v>53</v>
      </c>
      <c r="AQ48" s="5">
        <v>0.89874053528950704</v>
      </c>
      <c r="AR48" s="5" t="s">
        <v>53</v>
      </c>
      <c r="AS48" s="5">
        <v>0.90639526608174203</v>
      </c>
      <c r="AT48" s="5" t="s">
        <v>53</v>
      </c>
      <c r="AU48" s="5">
        <v>0.86412658623855398</v>
      </c>
      <c r="AV48" s="5" t="s">
        <v>53</v>
      </c>
      <c r="AW48" s="5">
        <v>0.83087091545506797</v>
      </c>
      <c r="AX48" s="5" t="s">
        <v>53</v>
      </c>
      <c r="AY48" s="10" t="s">
        <v>53</v>
      </c>
    </row>
    <row r="49" spans="1:51" ht="15.75" customHeight="1" x14ac:dyDescent="0.3">
      <c r="A49" s="4">
        <v>3202306</v>
      </c>
      <c r="B49" s="4" t="s">
        <v>100</v>
      </c>
      <c r="C49" s="5">
        <v>2022</v>
      </c>
      <c r="D49" s="6" t="s">
        <v>53</v>
      </c>
      <c r="E49" s="6" t="s">
        <v>53</v>
      </c>
      <c r="F49" s="6" t="s">
        <v>53</v>
      </c>
      <c r="G49" s="6" t="s">
        <v>53</v>
      </c>
      <c r="H49" s="6" t="s">
        <v>53</v>
      </c>
      <c r="I49" s="6" t="s">
        <v>53</v>
      </c>
      <c r="J49" s="5">
        <v>0.65555525867199904</v>
      </c>
      <c r="K49" s="5">
        <v>0.65184441162526396</v>
      </c>
      <c r="L49" s="5" t="s">
        <v>53</v>
      </c>
      <c r="M49" s="5" t="s">
        <v>53</v>
      </c>
      <c r="N49" s="5">
        <v>0.49427351396501801</v>
      </c>
      <c r="O49" s="5">
        <v>0.479882108966039</v>
      </c>
      <c r="P49" s="5">
        <v>0.55197695305587402</v>
      </c>
      <c r="Q49" s="5">
        <v>0.53512790800135801</v>
      </c>
      <c r="R49" s="5">
        <v>0.71304706861428502</v>
      </c>
      <c r="S49" s="5">
        <v>0.16473988439999901</v>
      </c>
      <c r="T49" s="5">
        <v>0.21387283239999999</v>
      </c>
      <c r="U49" s="5">
        <v>0.38439306359999997</v>
      </c>
      <c r="V49" s="5">
        <v>0.23699421970000001</v>
      </c>
      <c r="W49" s="5">
        <v>0.70402053037142798</v>
      </c>
      <c r="X49" s="5">
        <v>7.1856287399999996E-2</v>
      </c>
      <c r="Y49" s="5">
        <v>0.39221556889999998</v>
      </c>
      <c r="Z49" s="5">
        <v>0.4131736527</v>
      </c>
      <c r="AA49" s="5">
        <v>0.12275449099999999</v>
      </c>
      <c r="AB49" s="5">
        <v>0.69750093247142797</v>
      </c>
      <c r="AC49" s="5">
        <v>0.1488250653</v>
      </c>
      <c r="AD49" s="5">
        <v>0.26892950389999998</v>
      </c>
      <c r="AE49" s="5">
        <v>0.38642297650000001</v>
      </c>
      <c r="AF49" s="5">
        <v>0.1958224543</v>
      </c>
      <c r="AG49" s="5">
        <v>0.58448340171428503</v>
      </c>
      <c r="AH49" s="5">
        <v>0.18276762399999999</v>
      </c>
      <c r="AI49" s="5">
        <v>0.407310705</v>
      </c>
      <c r="AJ49" s="5">
        <v>0.27154046999999998</v>
      </c>
      <c r="AK49" s="5">
        <v>0.13838120099999901</v>
      </c>
      <c r="AL49" s="5">
        <v>0.94277929159999996</v>
      </c>
      <c r="AM49" s="5">
        <v>0.92520775619999995</v>
      </c>
      <c r="AN49" s="5">
        <v>0.94103194099999998</v>
      </c>
      <c r="AO49" s="5">
        <v>0.94103194099999998</v>
      </c>
      <c r="AP49" s="5" t="s">
        <v>53</v>
      </c>
      <c r="AQ49" s="5">
        <v>0.88533717105916498</v>
      </c>
      <c r="AR49" s="5" t="s">
        <v>53</v>
      </c>
      <c r="AS49" s="5">
        <v>0.89868493528707105</v>
      </c>
      <c r="AT49" s="5" t="s">
        <v>53</v>
      </c>
      <c r="AU49" s="5">
        <v>0.83940598835716296</v>
      </c>
      <c r="AV49" s="5" t="s">
        <v>53</v>
      </c>
      <c r="AW49" s="5">
        <v>0.87921610809010697</v>
      </c>
      <c r="AX49" s="5" t="s">
        <v>53</v>
      </c>
      <c r="AY49" s="10" t="s">
        <v>53</v>
      </c>
    </row>
    <row r="50" spans="1:51" ht="15.75" customHeight="1" x14ac:dyDescent="0.3">
      <c r="A50" s="4">
        <v>3202454</v>
      </c>
      <c r="B50" s="4" t="s">
        <v>101</v>
      </c>
      <c r="C50" s="5">
        <v>2022</v>
      </c>
      <c r="D50" s="6" t="s">
        <v>53</v>
      </c>
      <c r="E50" s="6" t="s">
        <v>53</v>
      </c>
      <c r="F50" s="6" t="s">
        <v>53</v>
      </c>
      <c r="G50" s="6" t="s">
        <v>53</v>
      </c>
      <c r="H50" s="6" t="s">
        <v>53</v>
      </c>
      <c r="I50" s="6" t="s">
        <v>53</v>
      </c>
      <c r="J50" s="5">
        <v>0.70426947973596998</v>
      </c>
      <c r="K50" s="5">
        <v>0.644602478789712</v>
      </c>
      <c r="L50" s="5" t="s">
        <v>53</v>
      </c>
      <c r="M50" s="5" t="s">
        <v>53</v>
      </c>
      <c r="N50" s="5">
        <v>0.52493029904481503</v>
      </c>
      <c r="O50" s="5">
        <v>0.58374468911620003</v>
      </c>
      <c r="P50" s="5">
        <v>0.498213966653342</v>
      </c>
      <c r="Q50" s="5">
        <v>0.48741938279444202</v>
      </c>
      <c r="R50" s="5">
        <v>0.78964803304285702</v>
      </c>
      <c r="S50" s="5">
        <v>9.2753623199999996E-2</v>
      </c>
      <c r="T50" s="5">
        <v>0.20579710139999999</v>
      </c>
      <c r="U50" s="5">
        <v>0.43768115940000002</v>
      </c>
      <c r="V50" s="5">
        <v>0.26376811589999999</v>
      </c>
      <c r="W50" s="5">
        <v>0.84883720932857099</v>
      </c>
      <c r="X50" s="5">
        <v>3.4883720899999998E-2</v>
      </c>
      <c r="Y50" s="5">
        <v>0.20348837209999901</v>
      </c>
      <c r="Z50" s="5">
        <v>0.3895348837</v>
      </c>
      <c r="AA50" s="5">
        <v>0.37209302329999999</v>
      </c>
      <c r="AB50" s="5">
        <v>0.68140028287142795</v>
      </c>
      <c r="AC50" s="5">
        <v>0.1559405941</v>
      </c>
      <c r="AD50" s="5">
        <v>0.28465346530000002</v>
      </c>
      <c r="AE50" s="5">
        <v>0.35891089110000002</v>
      </c>
      <c r="AF50" s="5">
        <v>0.20049504949999999</v>
      </c>
      <c r="AG50" s="5">
        <v>0.59978730944285696</v>
      </c>
      <c r="AH50" s="5">
        <v>0.17617865999999999</v>
      </c>
      <c r="AI50" s="5">
        <v>0.39205955329999997</v>
      </c>
      <c r="AJ50" s="5">
        <v>0.3076923077</v>
      </c>
      <c r="AK50" s="5">
        <v>0.1240694789</v>
      </c>
      <c r="AL50" s="5">
        <v>0.90789473679999999</v>
      </c>
      <c r="AM50" s="5">
        <v>0.9052631579</v>
      </c>
      <c r="AN50" s="5">
        <v>0.92027334849999998</v>
      </c>
      <c r="AO50" s="5">
        <v>0.91799544420000001</v>
      </c>
      <c r="AP50" s="5" t="s">
        <v>53</v>
      </c>
      <c r="AQ50" s="5">
        <v>0.93730726879262805</v>
      </c>
      <c r="AR50" s="5" t="s">
        <v>53</v>
      </c>
      <c r="AS50" s="5">
        <v>0.97830154042308703</v>
      </c>
      <c r="AT50" s="5" t="s">
        <v>53</v>
      </c>
      <c r="AU50" s="5">
        <v>0.82931001216342504</v>
      </c>
      <c r="AV50" s="5" t="s">
        <v>53</v>
      </c>
      <c r="AW50" s="5">
        <v>0.88774343614310902</v>
      </c>
      <c r="AX50" s="5" t="s">
        <v>53</v>
      </c>
      <c r="AY50" s="10" t="s">
        <v>53</v>
      </c>
    </row>
    <row r="51" spans="1:51" ht="15.75" customHeight="1" x14ac:dyDescent="0.3">
      <c r="A51" s="4">
        <v>3202553</v>
      </c>
      <c r="B51" s="4" t="s">
        <v>102</v>
      </c>
      <c r="C51" s="5">
        <v>2022</v>
      </c>
      <c r="D51" s="6" t="s">
        <v>53</v>
      </c>
      <c r="E51" s="6" t="s">
        <v>53</v>
      </c>
      <c r="F51" s="6" t="s">
        <v>53</v>
      </c>
      <c r="G51" s="6" t="s">
        <v>53</v>
      </c>
      <c r="H51" s="6" t="s">
        <v>53</v>
      </c>
      <c r="I51" s="6" t="s">
        <v>53</v>
      </c>
      <c r="J51" s="5">
        <v>0.69216052839671804</v>
      </c>
      <c r="K51" s="5">
        <v>0.60495475541249899</v>
      </c>
      <c r="L51" s="5" t="s">
        <v>53</v>
      </c>
      <c r="M51" s="5" t="s">
        <v>53</v>
      </c>
      <c r="N51" s="5">
        <v>0.494428835052385</v>
      </c>
      <c r="O51" s="5">
        <v>0.59753903400144204</v>
      </c>
      <c r="P51" s="5">
        <v>0.53172153348461604</v>
      </c>
      <c r="Q51" s="5">
        <v>0.53067655960861904</v>
      </c>
      <c r="R51" s="5">
        <v>0.71537622680000001</v>
      </c>
      <c r="S51" s="5">
        <v>0.11450381679999901</v>
      </c>
      <c r="T51" s="5">
        <v>0.29770992369999999</v>
      </c>
      <c r="U51" s="5">
        <v>0.42748091599999999</v>
      </c>
      <c r="V51" s="5">
        <v>0.1603053435</v>
      </c>
      <c r="W51" s="5">
        <v>0.92281105985714196</v>
      </c>
      <c r="X51" s="5">
        <v>8.0645161000000003E-3</v>
      </c>
      <c r="Y51" s="5">
        <v>0.12096774189999999</v>
      </c>
      <c r="Z51" s="5">
        <v>0.48387096769999999</v>
      </c>
      <c r="AA51" s="5">
        <v>0.38709677419999999</v>
      </c>
      <c r="AB51" s="5">
        <v>0.59657947684285695</v>
      </c>
      <c r="AC51" s="5">
        <v>0.19014084510000001</v>
      </c>
      <c r="AD51" s="5">
        <v>0.37323943659999997</v>
      </c>
      <c r="AE51" s="5">
        <v>0.29577464790000002</v>
      </c>
      <c r="AF51" s="5">
        <v>0.14084507039999999</v>
      </c>
      <c r="AG51" s="5">
        <v>0.51773049647142799</v>
      </c>
      <c r="AH51" s="5">
        <v>0.25531914890000001</v>
      </c>
      <c r="AI51" s="5">
        <v>0.39716312059999997</v>
      </c>
      <c r="AJ51" s="5">
        <v>0.27659574469999998</v>
      </c>
      <c r="AK51" s="5">
        <v>7.0921985800000004E-2</v>
      </c>
      <c r="AL51" s="5">
        <v>0.91608391609999995</v>
      </c>
      <c r="AM51" s="5">
        <v>0.87323943660000003</v>
      </c>
      <c r="AN51" s="5">
        <v>0.91612903229999998</v>
      </c>
      <c r="AO51" s="5">
        <v>0.90967741939999902</v>
      </c>
      <c r="AP51" s="5" t="s">
        <v>53</v>
      </c>
      <c r="AQ51" s="5">
        <v>0.98437993555071501</v>
      </c>
      <c r="AR51" s="5" t="s">
        <v>53</v>
      </c>
      <c r="AS51" s="5">
        <v>1.02142598049682</v>
      </c>
      <c r="AT51" s="5" t="s">
        <v>53</v>
      </c>
      <c r="AU51" s="5">
        <v>0.82269453506698698</v>
      </c>
      <c r="AV51" s="5" t="s">
        <v>53</v>
      </c>
      <c r="AW51" s="5">
        <v>0.89438267293134099</v>
      </c>
      <c r="AX51" s="5" t="s">
        <v>53</v>
      </c>
      <c r="AY51" s="10" t="s">
        <v>53</v>
      </c>
    </row>
    <row r="52" spans="1:51" ht="15.75" customHeight="1" x14ac:dyDescent="0.3">
      <c r="A52" s="4">
        <v>3202652</v>
      </c>
      <c r="B52" s="4" t="s">
        <v>103</v>
      </c>
      <c r="C52" s="5">
        <v>2022</v>
      </c>
      <c r="D52" s="6" t="s">
        <v>53</v>
      </c>
      <c r="E52" s="6" t="s">
        <v>53</v>
      </c>
      <c r="F52" s="6" t="s">
        <v>53</v>
      </c>
      <c r="G52" s="6" t="s">
        <v>53</v>
      </c>
      <c r="H52" s="6" t="s">
        <v>53</v>
      </c>
      <c r="I52" s="6" t="s">
        <v>53</v>
      </c>
      <c r="J52" s="5">
        <v>0.67159369584941497</v>
      </c>
      <c r="K52" s="5">
        <v>0.64903379286146001</v>
      </c>
      <c r="L52" s="5" t="s">
        <v>53</v>
      </c>
      <c r="M52" s="5" t="s">
        <v>53</v>
      </c>
      <c r="N52" s="5">
        <v>0.48707499642071</v>
      </c>
      <c r="O52" s="5">
        <v>0.55076271733743998</v>
      </c>
      <c r="P52" s="5">
        <v>0.50561944118568203</v>
      </c>
      <c r="Q52" s="5">
        <v>0.49950844837657099</v>
      </c>
      <c r="R52" s="5">
        <v>0.692895339928571</v>
      </c>
      <c r="S52" s="5">
        <v>0.16042780749999999</v>
      </c>
      <c r="T52" s="5">
        <v>0.25668449199999999</v>
      </c>
      <c r="U52" s="5">
        <v>0.36363636360000001</v>
      </c>
      <c r="V52" s="5">
        <v>0.21925133689999901</v>
      </c>
      <c r="W52" s="5">
        <v>0.813899613914285</v>
      </c>
      <c r="X52" s="5">
        <v>3.7837837799999899E-2</v>
      </c>
      <c r="Y52" s="5">
        <v>0.25945945949999999</v>
      </c>
      <c r="Z52" s="5">
        <v>0.427027027</v>
      </c>
      <c r="AA52" s="5">
        <v>0.27567567570000001</v>
      </c>
      <c r="AB52" s="5">
        <v>0.689265536685714</v>
      </c>
      <c r="AC52" s="5">
        <v>0.10734463280000001</v>
      </c>
      <c r="AD52" s="5">
        <v>0.35593220339999998</v>
      </c>
      <c r="AE52" s="5">
        <v>0.33333333329999998</v>
      </c>
      <c r="AF52" s="5">
        <v>0.20338983050000001</v>
      </c>
      <c r="AG52" s="5">
        <v>0.65133171914285704</v>
      </c>
      <c r="AH52" s="5">
        <v>0.15819209040000001</v>
      </c>
      <c r="AI52" s="5">
        <v>0.33333333329999998</v>
      </c>
      <c r="AJ52" s="5">
        <v>0.40677966100000001</v>
      </c>
      <c r="AK52" s="5">
        <v>0.10169491529999999</v>
      </c>
      <c r="AL52" s="5">
        <v>0.92574257429999995</v>
      </c>
      <c r="AM52" s="5">
        <v>0.91133004929999994</v>
      </c>
      <c r="AN52" s="5">
        <v>0.89393939389999999</v>
      </c>
      <c r="AO52" s="5">
        <v>0.89393939389999999</v>
      </c>
      <c r="AP52" s="5" t="s">
        <v>53</v>
      </c>
      <c r="AQ52" s="5">
        <v>0.91430604269653004</v>
      </c>
      <c r="AR52" s="5" t="s">
        <v>53</v>
      </c>
      <c r="AS52" s="5">
        <v>0.92875055753313196</v>
      </c>
      <c r="AT52" s="5" t="s">
        <v>53</v>
      </c>
      <c r="AU52" s="5">
        <v>0.82307494064164399</v>
      </c>
      <c r="AV52" s="5" t="s">
        <v>53</v>
      </c>
      <c r="AW52" s="5">
        <v>0.84263707164712798</v>
      </c>
      <c r="AX52" s="5" t="s">
        <v>53</v>
      </c>
      <c r="AY52" s="10" t="s">
        <v>53</v>
      </c>
    </row>
    <row r="53" spans="1:51" ht="15.75" customHeight="1" x14ac:dyDescent="0.3">
      <c r="A53" s="4">
        <v>3203007</v>
      </c>
      <c r="B53" s="4" t="s">
        <v>104</v>
      </c>
      <c r="C53" s="5">
        <v>2022</v>
      </c>
      <c r="D53" s="6" t="s">
        <v>53</v>
      </c>
      <c r="E53" s="6" t="s">
        <v>53</v>
      </c>
      <c r="F53" s="6" t="s">
        <v>53</v>
      </c>
      <c r="G53" s="6" t="s">
        <v>53</v>
      </c>
      <c r="H53" s="6" t="s">
        <v>53</v>
      </c>
      <c r="I53" s="6" t="s">
        <v>53</v>
      </c>
      <c r="J53" s="5">
        <v>0.67292877249647998</v>
      </c>
      <c r="K53" s="5">
        <v>0.60931077471119299</v>
      </c>
      <c r="L53" s="5" t="s">
        <v>53</v>
      </c>
      <c r="M53" s="5" t="s">
        <v>53</v>
      </c>
      <c r="N53" s="5">
        <v>0.50099519544971205</v>
      </c>
      <c r="O53" s="5">
        <v>0.52785407668997497</v>
      </c>
      <c r="P53" s="5">
        <v>0.52340773510485195</v>
      </c>
      <c r="Q53" s="5">
        <v>0.52834038818336504</v>
      </c>
      <c r="R53" s="5">
        <v>0.73901098897142803</v>
      </c>
      <c r="S53" s="5">
        <v>0.1071428571</v>
      </c>
      <c r="T53" s="5">
        <v>0.2692307692</v>
      </c>
      <c r="U53" s="5">
        <v>0.46428571429999999</v>
      </c>
      <c r="V53" s="5">
        <v>0.15934065929999999</v>
      </c>
      <c r="W53" s="5">
        <v>0.82671174972857098</v>
      </c>
      <c r="X53" s="5">
        <v>2.95857987999999E-2</v>
      </c>
      <c r="Y53" s="5">
        <v>0.25147928990000001</v>
      </c>
      <c r="Z53" s="5">
        <v>0.55917159760000001</v>
      </c>
      <c r="AA53" s="5">
        <v>0.15976331359999901</v>
      </c>
      <c r="AB53" s="5">
        <v>0.66031746037142802</v>
      </c>
      <c r="AC53" s="5">
        <v>0.16666666669999999</v>
      </c>
      <c r="AD53" s="5">
        <v>0.30277777779999998</v>
      </c>
      <c r="AE53" s="5">
        <v>0.32500000000000001</v>
      </c>
      <c r="AF53" s="5">
        <v>0.2055555556</v>
      </c>
      <c r="AG53" s="5">
        <v>0.55039682537142798</v>
      </c>
      <c r="AH53" s="5">
        <v>0.23055555559999999</v>
      </c>
      <c r="AI53" s="5">
        <v>0.38333333330000002</v>
      </c>
      <c r="AJ53" s="5">
        <v>0.27777777780000001</v>
      </c>
      <c r="AK53" s="5">
        <v>0.1083333333</v>
      </c>
      <c r="AL53" s="5">
        <v>0.91687657430000002</v>
      </c>
      <c r="AM53" s="5">
        <v>0.86005089059999995</v>
      </c>
      <c r="AN53" s="5">
        <v>0.82949308759999996</v>
      </c>
      <c r="AO53" s="5">
        <v>0.82949308759999996</v>
      </c>
      <c r="AP53" s="5" t="s">
        <v>53</v>
      </c>
      <c r="AQ53" s="5">
        <v>0.94137919602096298</v>
      </c>
      <c r="AR53" s="5" t="s">
        <v>53</v>
      </c>
      <c r="AS53" s="5">
        <v>0.91744677892178605</v>
      </c>
      <c r="AT53" s="5" t="s">
        <v>53</v>
      </c>
      <c r="AU53" s="5">
        <v>0.779762783489657</v>
      </c>
      <c r="AV53" s="5" t="s">
        <v>53</v>
      </c>
      <c r="AW53" s="5">
        <v>0.80930835809689505</v>
      </c>
      <c r="AX53" s="5" t="s">
        <v>53</v>
      </c>
      <c r="AY53" s="10" t="s">
        <v>53</v>
      </c>
    </row>
    <row r="54" spans="1:51" ht="15.75" customHeight="1" x14ac:dyDescent="0.3">
      <c r="A54" s="4">
        <v>3203700</v>
      </c>
      <c r="B54" s="4" t="s">
        <v>105</v>
      </c>
      <c r="C54" s="5">
        <v>2022</v>
      </c>
      <c r="D54" s="6" t="s">
        <v>53</v>
      </c>
      <c r="E54" s="6" t="s">
        <v>53</v>
      </c>
      <c r="F54" s="6" t="s">
        <v>53</v>
      </c>
      <c r="G54" s="6" t="s">
        <v>53</v>
      </c>
      <c r="H54" s="6" t="s">
        <v>53</v>
      </c>
      <c r="I54" s="6" t="s">
        <v>53</v>
      </c>
      <c r="J54" s="5">
        <v>0.74797988130541904</v>
      </c>
      <c r="K54" s="5">
        <v>0.71611104951092097</v>
      </c>
      <c r="L54" s="5" t="s">
        <v>53</v>
      </c>
      <c r="M54" s="5" t="s">
        <v>53</v>
      </c>
      <c r="N54" s="5">
        <v>0.56243644242588697</v>
      </c>
      <c r="O54" s="5">
        <v>0.674938210441835</v>
      </c>
      <c r="P54" s="5">
        <v>0.61277971734461301</v>
      </c>
      <c r="Q54" s="5">
        <v>0.592490232687784</v>
      </c>
      <c r="R54" s="5">
        <v>0.84954407298571399</v>
      </c>
      <c r="S54" s="5">
        <v>5.31914894E-2</v>
      </c>
      <c r="T54" s="5">
        <v>0.17021276599999999</v>
      </c>
      <c r="U54" s="5">
        <v>0.42553191489999997</v>
      </c>
      <c r="V54" s="5">
        <v>0.3510638298</v>
      </c>
      <c r="W54" s="5">
        <v>0.92970521541428497</v>
      </c>
      <c r="X54" s="5">
        <v>1.5873015899999999E-2</v>
      </c>
      <c r="Y54" s="5">
        <v>9.5238095199999998E-2</v>
      </c>
      <c r="Z54" s="5">
        <v>0.23280423280000001</v>
      </c>
      <c r="AA54" s="5">
        <v>0.6560846561</v>
      </c>
      <c r="AB54" s="5">
        <v>0.80327868852857098</v>
      </c>
      <c r="AC54" s="5">
        <v>6.5573770500000003E-2</v>
      </c>
      <c r="AD54" s="5">
        <v>0.2295081967</v>
      </c>
      <c r="AE54" s="5">
        <v>0.37704918030000001</v>
      </c>
      <c r="AF54" s="5">
        <v>0.32786885249999997</v>
      </c>
      <c r="AG54" s="5">
        <v>0.74629195940000004</v>
      </c>
      <c r="AH54" s="5">
        <v>0.10382513660000001</v>
      </c>
      <c r="AI54" s="5">
        <v>0.26229508200000001</v>
      </c>
      <c r="AJ54" s="5">
        <v>0.4262295082</v>
      </c>
      <c r="AK54" s="5">
        <v>0.20765027320000001</v>
      </c>
      <c r="AL54" s="5">
        <v>0.89523809519999997</v>
      </c>
      <c r="AM54" s="5">
        <v>0.89573459720000004</v>
      </c>
      <c r="AN54" s="5">
        <v>0.93846153849999903</v>
      </c>
      <c r="AO54" s="5">
        <v>0.93846153849999903</v>
      </c>
      <c r="AP54" s="5" t="s">
        <v>53</v>
      </c>
      <c r="AQ54" s="5">
        <v>0.96266855083915204</v>
      </c>
      <c r="AR54" s="5" t="s">
        <v>53</v>
      </c>
      <c r="AS54" s="5">
        <v>0.91706753800539798</v>
      </c>
      <c r="AT54" s="5" t="s">
        <v>53</v>
      </c>
      <c r="AU54" s="5">
        <v>0.852611243174342</v>
      </c>
      <c r="AV54" s="5" t="s">
        <v>53</v>
      </c>
      <c r="AW54" s="5">
        <v>0.86659332362955799</v>
      </c>
      <c r="AX54" s="5" t="s">
        <v>53</v>
      </c>
      <c r="AY54" s="10" t="s">
        <v>53</v>
      </c>
    </row>
    <row r="55" spans="1:51" ht="15.75" customHeight="1" x14ac:dyDescent="0.3">
      <c r="A55" s="4">
        <v>3204807</v>
      </c>
      <c r="B55" s="4" t="s">
        <v>106</v>
      </c>
      <c r="C55" s="5">
        <v>2022</v>
      </c>
      <c r="D55" s="6" t="s">
        <v>53</v>
      </c>
      <c r="E55" s="6" t="s">
        <v>53</v>
      </c>
      <c r="F55" s="6" t="s">
        <v>53</v>
      </c>
      <c r="G55" s="6" t="s">
        <v>53</v>
      </c>
      <c r="H55" s="6" t="s">
        <v>53</v>
      </c>
      <c r="I55" s="6" t="s">
        <v>53</v>
      </c>
      <c r="J55" s="5">
        <v>0.665933616289483</v>
      </c>
      <c r="K55" s="5">
        <v>0.62565369284796701</v>
      </c>
      <c r="L55" s="5" t="s">
        <v>53</v>
      </c>
      <c r="M55" s="5" t="s">
        <v>53</v>
      </c>
      <c r="N55" s="5">
        <v>0.48701617863406998</v>
      </c>
      <c r="O55" s="5">
        <v>0.56565431084631201</v>
      </c>
      <c r="P55" s="5">
        <v>0.52116100368887996</v>
      </c>
      <c r="Q55" s="5">
        <v>0.50212657935550098</v>
      </c>
      <c r="R55" s="5">
        <v>0.68300312819999998</v>
      </c>
      <c r="S55" s="5">
        <v>0.17518248180000001</v>
      </c>
      <c r="T55" s="5">
        <v>0.24817518249999901</v>
      </c>
      <c r="U55" s="5">
        <v>0.37226277369999999</v>
      </c>
      <c r="V55" s="5">
        <v>0.20437956199999999</v>
      </c>
      <c r="W55" s="5">
        <v>0.82724252489999905</v>
      </c>
      <c r="X55" s="5">
        <v>6.2015503899999998E-2</v>
      </c>
      <c r="Y55" s="5">
        <v>0.19379844960000001</v>
      </c>
      <c r="Z55" s="5">
        <v>0.40310077519999998</v>
      </c>
      <c r="AA55" s="5">
        <v>0.34108527129999999</v>
      </c>
      <c r="AB55" s="5">
        <v>0.60767590614285705</v>
      </c>
      <c r="AC55" s="5">
        <v>0.23880597009999999</v>
      </c>
      <c r="AD55" s="5">
        <v>0.2686567164</v>
      </c>
      <c r="AE55" s="5">
        <v>0.32089552240000002</v>
      </c>
      <c r="AF55" s="5">
        <v>0.17164179099999999</v>
      </c>
      <c r="AG55" s="5">
        <v>0.571428571471428</v>
      </c>
      <c r="AH55" s="5">
        <v>0.19402985070000001</v>
      </c>
      <c r="AI55" s="5">
        <v>0.41044776119999998</v>
      </c>
      <c r="AJ55" s="5">
        <v>0.32089552240000002</v>
      </c>
      <c r="AK55" s="5">
        <v>7.4626865700000003E-2</v>
      </c>
      <c r="AL55" s="5">
        <v>0.90728476819999904</v>
      </c>
      <c r="AM55" s="5">
        <v>0.85430463579999905</v>
      </c>
      <c r="AN55" s="5">
        <v>0.93706293709999999</v>
      </c>
      <c r="AO55" s="5">
        <v>0.93706293709999999</v>
      </c>
      <c r="AP55" s="5" t="s">
        <v>53</v>
      </c>
      <c r="AQ55" s="5">
        <v>0.891217385283121</v>
      </c>
      <c r="AR55" s="5" t="s">
        <v>53</v>
      </c>
      <c r="AS55" s="5">
        <v>0.97845084017697403</v>
      </c>
      <c r="AT55" s="5" t="s">
        <v>53</v>
      </c>
      <c r="AU55" s="5">
        <v>0.82249689919743396</v>
      </c>
      <c r="AV55" s="5" t="s">
        <v>53</v>
      </c>
      <c r="AW55" s="5">
        <v>0.82773508709555499</v>
      </c>
      <c r="AX55" s="5" t="s">
        <v>53</v>
      </c>
      <c r="AY55" s="10" t="s">
        <v>53</v>
      </c>
    </row>
    <row r="56" spans="1:51" ht="15.75" customHeight="1" x14ac:dyDescent="0.3">
      <c r="A56" s="4">
        <v>3200607</v>
      </c>
      <c r="B56" s="4" t="s">
        <v>107</v>
      </c>
      <c r="C56" s="5">
        <v>2022</v>
      </c>
      <c r="D56" s="6" t="s">
        <v>53</v>
      </c>
      <c r="E56" s="6" t="s">
        <v>53</v>
      </c>
      <c r="F56" s="6" t="s">
        <v>53</v>
      </c>
      <c r="G56" s="6" t="s">
        <v>53</v>
      </c>
      <c r="H56" s="6" t="s">
        <v>53</v>
      </c>
      <c r="I56" s="6" t="s">
        <v>53</v>
      </c>
      <c r="J56" s="5">
        <v>0.64071879443301105</v>
      </c>
      <c r="K56" s="5">
        <v>0.63361360291097202</v>
      </c>
      <c r="L56" s="5" t="s">
        <v>53</v>
      </c>
      <c r="M56" s="5" t="s">
        <v>53</v>
      </c>
      <c r="N56" s="5">
        <v>0.50824029565097295</v>
      </c>
      <c r="O56" s="5">
        <v>0.46142685111359799</v>
      </c>
      <c r="P56" s="5">
        <v>0.545794438110625</v>
      </c>
      <c r="Q56" s="5">
        <v>0.53520625007310896</v>
      </c>
      <c r="R56" s="5">
        <v>0.74717285948571399</v>
      </c>
      <c r="S56" s="5">
        <v>0.15266558969999999</v>
      </c>
      <c r="T56" s="5">
        <v>0.17528271409999999</v>
      </c>
      <c r="U56" s="5">
        <v>0.41437802909999999</v>
      </c>
      <c r="V56" s="5">
        <v>0.25767366719999901</v>
      </c>
      <c r="W56" s="5">
        <v>0.67984281087142795</v>
      </c>
      <c r="X56" s="5">
        <v>9.5469255700000005E-2</v>
      </c>
      <c r="Y56" s="5">
        <v>0.39320388350000002</v>
      </c>
      <c r="Z56" s="5">
        <v>0.4207119741</v>
      </c>
      <c r="AA56" s="5">
        <v>9.0614886699999994E-2</v>
      </c>
      <c r="AB56" s="5">
        <v>0.67505612671428505</v>
      </c>
      <c r="AC56" s="5">
        <v>0.17038875099999901</v>
      </c>
      <c r="AD56" s="5">
        <v>0.27047146399999999</v>
      </c>
      <c r="AE56" s="5">
        <v>0.31844499590000003</v>
      </c>
      <c r="AF56" s="5">
        <v>0.2406947891</v>
      </c>
      <c r="AG56" s="5">
        <v>0.58893093661428497</v>
      </c>
      <c r="AH56" s="5">
        <v>0.19867549669999901</v>
      </c>
      <c r="AI56" s="5">
        <v>0.37168874169999999</v>
      </c>
      <c r="AJ56" s="5">
        <v>0.32947019869999999</v>
      </c>
      <c r="AK56" s="5">
        <v>0.1001655629</v>
      </c>
      <c r="AL56" s="5">
        <v>0.86392184230000002</v>
      </c>
      <c r="AM56" s="5">
        <v>0.86312849159999905</v>
      </c>
      <c r="AN56" s="5">
        <v>0.88571428569999999</v>
      </c>
      <c r="AO56" s="5">
        <v>0.88498168499999996</v>
      </c>
      <c r="AP56" s="5" t="s">
        <v>53</v>
      </c>
      <c r="AQ56" s="5">
        <v>0.87749706876198597</v>
      </c>
      <c r="AR56" s="5" t="s">
        <v>53</v>
      </c>
      <c r="AS56" s="5">
        <v>0.88646970966029104</v>
      </c>
      <c r="AT56" s="5" t="s">
        <v>53</v>
      </c>
      <c r="AU56" s="5">
        <v>0.82650878335399303</v>
      </c>
      <c r="AV56" s="5" t="s">
        <v>53</v>
      </c>
      <c r="AW56" s="5">
        <v>0.84841983305056901</v>
      </c>
      <c r="AX56" s="5" t="s">
        <v>53</v>
      </c>
      <c r="AY56" s="10" t="s">
        <v>53</v>
      </c>
    </row>
    <row r="57" spans="1:51" ht="15.75" customHeight="1" x14ac:dyDescent="0.3">
      <c r="A57" s="4">
        <v>3202504</v>
      </c>
      <c r="B57" s="4" t="s">
        <v>108</v>
      </c>
      <c r="C57" s="5">
        <v>2022</v>
      </c>
      <c r="D57" s="6" t="s">
        <v>53</v>
      </c>
      <c r="E57" s="6" t="s">
        <v>53</v>
      </c>
      <c r="F57" s="6" t="s">
        <v>53</v>
      </c>
      <c r="G57" s="6" t="s">
        <v>53</v>
      </c>
      <c r="H57" s="6" t="s">
        <v>53</v>
      </c>
      <c r="I57" s="6" t="s">
        <v>53</v>
      </c>
      <c r="J57" s="5">
        <v>0.63334176352287097</v>
      </c>
      <c r="K57" s="5">
        <v>0.61092492894866401</v>
      </c>
      <c r="L57" s="5" t="s">
        <v>53</v>
      </c>
      <c r="M57" s="5" t="s">
        <v>53</v>
      </c>
      <c r="N57" s="5">
        <v>0.501547404795601</v>
      </c>
      <c r="O57" s="5">
        <v>0.439974681356671</v>
      </c>
      <c r="P57" s="5">
        <v>0.55591822441256</v>
      </c>
      <c r="Q57" s="5">
        <v>0.53933845815205606</v>
      </c>
      <c r="R57" s="5">
        <v>0.76955161624285695</v>
      </c>
      <c r="S57" s="5">
        <v>0.16788321170000001</v>
      </c>
      <c r="T57" s="5">
        <v>0.1094890511</v>
      </c>
      <c r="U57" s="5">
        <v>0.47445255469999997</v>
      </c>
      <c r="V57" s="5">
        <v>0.24817518249999901</v>
      </c>
      <c r="W57" s="5">
        <v>0.65043290041428503</v>
      </c>
      <c r="X57" s="5">
        <v>9.84848485E-2</v>
      </c>
      <c r="Y57" s="5">
        <v>0.43939393939999999</v>
      </c>
      <c r="Z57" s="5">
        <v>0.40909090910000001</v>
      </c>
      <c r="AA57" s="5">
        <v>5.3030302999999897E-2</v>
      </c>
      <c r="AB57" s="5">
        <v>0.66386554615714199</v>
      </c>
      <c r="AC57" s="5">
        <v>0.1764705882</v>
      </c>
      <c r="AD57" s="5">
        <v>0.27941176470000001</v>
      </c>
      <c r="AE57" s="5">
        <v>0.33088235290000001</v>
      </c>
      <c r="AF57" s="5">
        <v>0.2132352941</v>
      </c>
      <c r="AG57" s="5">
        <v>0.521008403414285</v>
      </c>
      <c r="AH57" s="5">
        <v>0.26470588239999998</v>
      </c>
      <c r="AI57" s="5">
        <v>0.375</v>
      </c>
      <c r="AJ57" s="5">
        <v>0.26470588239999998</v>
      </c>
      <c r="AK57" s="5">
        <v>9.5588235299999894E-2</v>
      </c>
      <c r="AL57" s="5">
        <v>0.86163522009999904</v>
      </c>
      <c r="AM57" s="5">
        <v>0.85161290320000005</v>
      </c>
      <c r="AN57" s="5">
        <v>0.87179487179999904</v>
      </c>
      <c r="AO57" s="5">
        <v>0.87179487179999904</v>
      </c>
      <c r="AP57" s="5" t="s">
        <v>53</v>
      </c>
      <c r="AQ57" s="5">
        <v>0.94955012365197899</v>
      </c>
      <c r="AR57" s="5" t="s">
        <v>53</v>
      </c>
      <c r="AS57" s="5">
        <v>0.92548557737923998</v>
      </c>
      <c r="AT57" s="5" t="s">
        <v>53</v>
      </c>
      <c r="AU57" s="5">
        <v>0.78320493064718399</v>
      </c>
      <c r="AV57" s="5" t="s">
        <v>53</v>
      </c>
      <c r="AW57" s="5">
        <v>0.80243757551605099</v>
      </c>
      <c r="AX57" s="5" t="s">
        <v>53</v>
      </c>
      <c r="AY57" s="10" t="s">
        <v>53</v>
      </c>
    </row>
    <row r="58" spans="1:51" ht="15.75" customHeight="1" x14ac:dyDescent="0.3">
      <c r="A58" s="4">
        <v>3203130</v>
      </c>
      <c r="B58" s="4" t="s">
        <v>109</v>
      </c>
      <c r="C58" s="5">
        <v>2022</v>
      </c>
      <c r="D58" s="6" t="s">
        <v>53</v>
      </c>
      <c r="E58" s="6" t="s">
        <v>53</v>
      </c>
      <c r="F58" s="6" t="s">
        <v>53</v>
      </c>
      <c r="G58" s="6" t="s">
        <v>53</v>
      </c>
      <c r="H58" s="6" t="s">
        <v>53</v>
      </c>
      <c r="I58" s="6" t="s">
        <v>53</v>
      </c>
      <c r="J58" s="5">
        <v>0.68016288793556201</v>
      </c>
      <c r="K58" s="5">
        <v>0.68990761066466599</v>
      </c>
      <c r="L58" s="5" t="s">
        <v>53</v>
      </c>
      <c r="M58" s="5" t="s">
        <v>53</v>
      </c>
      <c r="N58" s="5">
        <v>0.54605771185167895</v>
      </c>
      <c r="O58" s="5">
        <v>0.48242201442886201</v>
      </c>
      <c r="P58" s="5">
        <v>0.55191062574817795</v>
      </c>
      <c r="Q58" s="5">
        <v>0.51940788891002099</v>
      </c>
      <c r="R58" s="5">
        <v>0.81393298057142804</v>
      </c>
      <c r="S58" s="5">
        <v>8.0246913599999997E-2</v>
      </c>
      <c r="T58" s="5">
        <v>0.18518518519999999</v>
      </c>
      <c r="U58" s="5">
        <v>0.41975308639999998</v>
      </c>
      <c r="V58" s="5">
        <v>0.31481481480000001</v>
      </c>
      <c r="W58" s="5">
        <v>0.70905923348571398</v>
      </c>
      <c r="X58" s="5">
        <v>8.5365853699999994E-2</v>
      </c>
      <c r="Y58" s="5">
        <v>0.35975609759999999</v>
      </c>
      <c r="Z58" s="5">
        <v>0.40243902440000001</v>
      </c>
      <c r="AA58" s="5">
        <v>0.15243902439999901</v>
      </c>
      <c r="AB58" s="5">
        <v>0.76132404177142798</v>
      </c>
      <c r="AC58" s="5">
        <v>0.10975609759999901</v>
      </c>
      <c r="AD58" s="5">
        <v>0.2256097561</v>
      </c>
      <c r="AE58" s="5">
        <v>0.25</v>
      </c>
      <c r="AF58" s="5">
        <v>0.41463414630000001</v>
      </c>
      <c r="AG58" s="5">
        <v>0.69686411142857096</v>
      </c>
      <c r="AH58" s="5">
        <v>0.1219512195</v>
      </c>
      <c r="AI58" s="5">
        <v>0.31707317069999902</v>
      </c>
      <c r="AJ58" s="5">
        <v>0.34146341460000001</v>
      </c>
      <c r="AK58" s="5">
        <v>0.2195121951</v>
      </c>
      <c r="AL58" s="5">
        <v>0.90502793299999995</v>
      </c>
      <c r="AM58" s="5">
        <v>0.91111111109999998</v>
      </c>
      <c r="AN58" s="5">
        <v>0.88172043010000001</v>
      </c>
      <c r="AO58" s="5">
        <v>0.88172043010000001</v>
      </c>
      <c r="AP58" s="5" t="s">
        <v>53</v>
      </c>
      <c r="AQ58" s="5">
        <v>0.90470543042537199</v>
      </c>
      <c r="AR58" s="5" t="s">
        <v>53</v>
      </c>
      <c r="AS58" s="5">
        <v>0.86419455622455499</v>
      </c>
      <c r="AT58" s="5" t="s">
        <v>53</v>
      </c>
      <c r="AU58" s="5">
        <v>0.783353900231745</v>
      </c>
      <c r="AV58" s="5" t="s">
        <v>53</v>
      </c>
      <c r="AW58" s="5">
        <v>0.80705252644768499</v>
      </c>
      <c r="AX58" s="5" t="s">
        <v>53</v>
      </c>
      <c r="AY58" s="10" t="s">
        <v>53</v>
      </c>
    </row>
    <row r="59" spans="1:51" ht="15.75" customHeight="1" x14ac:dyDescent="0.3">
      <c r="A59" s="4">
        <v>3203205</v>
      </c>
      <c r="B59" s="4" t="s">
        <v>110</v>
      </c>
      <c r="C59" s="5">
        <v>2022</v>
      </c>
      <c r="D59" s="6" t="s">
        <v>53</v>
      </c>
      <c r="E59" s="6" t="s">
        <v>53</v>
      </c>
      <c r="F59" s="6" t="s">
        <v>53</v>
      </c>
      <c r="G59" s="6" t="s">
        <v>53</v>
      </c>
      <c r="H59" s="6" t="s">
        <v>53</v>
      </c>
      <c r="I59" s="6" t="s">
        <v>53</v>
      </c>
      <c r="J59" s="5">
        <v>0.61829791511870302</v>
      </c>
      <c r="K59" s="5">
        <v>0.63139765813903503</v>
      </c>
      <c r="L59" s="5" t="s">
        <v>53</v>
      </c>
      <c r="M59" s="5" t="s">
        <v>53</v>
      </c>
      <c r="N59" s="5">
        <v>0.47509855089837999</v>
      </c>
      <c r="O59" s="5">
        <v>0.44475659186737199</v>
      </c>
      <c r="P59" s="5">
        <v>0.53146733363202003</v>
      </c>
      <c r="Q59" s="5">
        <v>0.52183682170101997</v>
      </c>
      <c r="R59" s="5">
        <v>0.69365381999999998</v>
      </c>
      <c r="S59" s="5">
        <v>0.18922783599999901</v>
      </c>
      <c r="T59" s="5">
        <v>0.204957102</v>
      </c>
      <c r="U59" s="5">
        <v>0.42612011440000003</v>
      </c>
      <c r="V59" s="5">
        <v>0.17969494759999999</v>
      </c>
      <c r="W59" s="5">
        <v>0.63072645115714199</v>
      </c>
      <c r="X59" s="5">
        <v>0.12652068129999999</v>
      </c>
      <c r="Y59" s="5">
        <v>0.42481751820000002</v>
      </c>
      <c r="Z59" s="5">
        <v>0.36350364959999998</v>
      </c>
      <c r="AA59" s="5">
        <v>8.5158150899999993E-2</v>
      </c>
      <c r="AB59" s="5">
        <v>0.65327654001428503</v>
      </c>
      <c r="AC59" s="5">
        <v>0.18027522939999999</v>
      </c>
      <c r="AD59" s="5">
        <v>0.29128440369999897</v>
      </c>
      <c r="AE59" s="5">
        <v>0.31834862390000002</v>
      </c>
      <c r="AF59" s="5">
        <v>0.21009174309999901</v>
      </c>
      <c r="AG59" s="5">
        <v>0.57450851901428501</v>
      </c>
      <c r="AH59" s="5">
        <v>0.2087155963</v>
      </c>
      <c r="AI59" s="5">
        <v>0.37935779819999998</v>
      </c>
      <c r="AJ59" s="5">
        <v>0.28486238530000002</v>
      </c>
      <c r="AK59" s="5">
        <v>0.12706422019999999</v>
      </c>
      <c r="AL59" s="5">
        <v>0.88560574079999999</v>
      </c>
      <c r="AM59" s="5">
        <v>0.86855452239999997</v>
      </c>
      <c r="AN59" s="5">
        <v>0.90606816290000003</v>
      </c>
      <c r="AO59" s="5">
        <v>0.90606816290000003</v>
      </c>
      <c r="AP59" s="5" t="s">
        <v>53</v>
      </c>
      <c r="AQ59" s="5">
        <v>0.88876465125474102</v>
      </c>
      <c r="AR59" s="5" t="s">
        <v>53</v>
      </c>
      <c r="AS59" s="5">
        <v>0.91955802897276195</v>
      </c>
      <c r="AT59" s="5" t="s">
        <v>53</v>
      </c>
      <c r="AU59" s="5">
        <v>0.81375514178824704</v>
      </c>
      <c r="AV59" s="5" t="s">
        <v>53</v>
      </c>
      <c r="AW59" s="5">
        <v>0.84307614717092105</v>
      </c>
      <c r="AX59" s="5" t="s">
        <v>53</v>
      </c>
      <c r="AY59" s="10" t="s">
        <v>53</v>
      </c>
    </row>
    <row r="60" spans="1:51" ht="15.75" customHeight="1" x14ac:dyDescent="0.3">
      <c r="A60" s="4">
        <v>3204351</v>
      </c>
      <c r="B60" s="4" t="s">
        <v>111</v>
      </c>
      <c r="C60" s="5">
        <v>2022</v>
      </c>
      <c r="D60" s="6" t="s">
        <v>53</v>
      </c>
      <c r="E60" s="6" t="s">
        <v>53</v>
      </c>
      <c r="F60" s="6" t="s">
        <v>53</v>
      </c>
      <c r="G60" s="6" t="s">
        <v>53</v>
      </c>
      <c r="H60" s="6" t="s">
        <v>53</v>
      </c>
      <c r="I60" s="6" t="s">
        <v>53</v>
      </c>
      <c r="J60" s="5">
        <v>0.693679222120832</v>
      </c>
      <c r="K60" s="5">
        <v>0.62844679991327801</v>
      </c>
      <c r="L60" s="5" t="s">
        <v>53</v>
      </c>
      <c r="M60" s="5" t="s">
        <v>53</v>
      </c>
      <c r="N60" s="5">
        <v>0.53179818542254098</v>
      </c>
      <c r="O60" s="5">
        <v>0.57593823810606204</v>
      </c>
      <c r="P60" s="5">
        <v>0.52881325673379298</v>
      </c>
      <c r="Q60" s="5">
        <v>0.51245986092309803</v>
      </c>
      <c r="R60" s="5">
        <v>0.79381443299999899</v>
      </c>
      <c r="S60" s="5">
        <v>0.12371134019999901</v>
      </c>
      <c r="T60" s="5">
        <v>0.1443298969</v>
      </c>
      <c r="U60" s="5">
        <v>0.42955326459999998</v>
      </c>
      <c r="V60" s="5">
        <v>0.30240549829999902</v>
      </c>
      <c r="W60" s="5">
        <v>0.82310642382857102</v>
      </c>
      <c r="X60" s="5">
        <v>6.3758389299999996E-2</v>
      </c>
      <c r="Y60" s="5">
        <v>0.19798657720000001</v>
      </c>
      <c r="Z60" s="5">
        <v>0.36241610739999902</v>
      </c>
      <c r="AA60" s="5">
        <v>0.37583892619999998</v>
      </c>
      <c r="AB60" s="5">
        <v>0.66233766237142799</v>
      </c>
      <c r="AC60" s="5">
        <v>0.16783216779999999</v>
      </c>
      <c r="AD60" s="5">
        <v>0.29720279719999998</v>
      </c>
      <c r="AE60" s="5">
        <v>0.31118881120000003</v>
      </c>
      <c r="AF60" s="5">
        <v>0.22377622379999901</v>
      </c>
      <c r="AG60" s="5">
        <v>0.59740259742857105</v>
      </c>
      <c r="AH60" s="5">
        <v>0.1888111888</v>
      </c>
      <c r="AI60" s="5">
        <v>0.37412587409999998</v>
      </c>
      <c r="AJ60" s="5">
        <v>0.3461538462</v>
      </c>
      <c r="AK60" s="5">
        <v>9.0909090900000003E-2</v>
      </c>
      <c r="AL60" s="5">
        <v>0.86094674559999995</v>
      </c>
      <c r="AM60" s="5">
        <v>0.88427299699999995</v>
      </c>
      <c r="AN60" s="5">
        <v>0.87195121949999999</v>
      </c>
      <c r="AO60" s="5">
        <v>0.87195121949999999</v>
      </c>
      <c r="AP60" s="5" t="s">
        <v>53</v>
      </c>
      <c r="AQ60" s="5">
        <v>0.906068705655802</v>
      </c>
      <c r="AR60" s="5" t="s">
        <v>53</v>
      </c>
      <c r="AS60" s="5">
        <v>0.91654151891090097</v>
      </c>
      <c r="AT60" s="5" t="s">
        <v>53</v>
      </c>
      <c r="AU60" s="5">
        <v>0.80658575361118501</v>
      </c>
      <c r="AV60" s="5" t="s">
        <v>53</v>
      </c>
      <c r="AW60" s="5">
        <v>0.84132054733371897</v>
      </c>
      <c r="AX60" s="5" t="s">
        <v>53</v>
      </c>
      <c r="AY60" s="10" t="s">
        <v>53</v>
      </c>
    </row>
    <row r="61" spans="1:51" ht="15.75" customHeight="1" x14ac:dyDescent="0.3">
      <c r="A61" s="4">
        <v>3205010</v>
      </c>
      <c r="B61" s="4" t="s">
        <v>112</v>
      </c>
      <c r="C61" s="5">
        <v>2022</v>
      </c>
      <c r="D61" s="6" t="s">
        <v>53</v>
      </c>
      <c r="E61" s="6" t="s">
        <v>53</v>
      </c>
      <c r="F61" s="6" t="s">
        <v>53</v>
      </c>
      <c r="G61" s="6" t="s">
        <v>53</v>
      </c>
      <c r="H61" s="6" t="s">
        <v>53</v>
      </c>
      <c r="I61" s="6" t="s">
        <v>53</v>
      </c>
      <c r="J61" s="5">
        <v>0.64623595413793899</v>
      </c>
      <c r="K61" s="5">
        <v>0.58683511525500998</v>
      </c>
      <c r="L61" s="5" t="s">
        <v>53</v>
      </c>
      <c r="M61" s="5" t="s">
        <v>53</v>
      </c>
      <c r="N61" s="5">
        <v>0.473345787847329</v>
      </c>
      <c r="O61" s="5">
        <v>0.50510149406155902</v>
      </c>
      <c r="P61" s="5">
        <v>0.509612990043946</v>
      </c>
      <c r="Q61" s="5">
        <v>0.47408630971443899</v>
      </c>
      <c r="R61" s="5">
        <v>0.67674196624285698</v>
      </c>
      <c r="S61" s="5">
        <v>0.2138084633</v>
      </c>
      <c r="T61" s="5">
        <v>0.1915367483</v>
      </c>
      <c r="U61" s="5">
        <v>0.39866369709999999</v>
      </c>
      <c r="V61" s="5">
        <v>0.195991091299999</v>
      </c>
      <c r="W61" s="5">
        <v>0.75782005799999996</v>
      </c>
      <c r="X61" s="5">
        <v>6.5462753999999998E-2</v>
      </c>
      <c r="Y61" s="5">
        <v>0.30925507899999999</v>
      </c>
      <c r="Z61" s="5">
        <v>0.45146726860000003</v>
      </c>
      <c r="AA61" s="5">
        <v>0.1738148984</v>
      </c>
      <c r="AB61" s="5">
        <v>0.59318826869999997</v>
      </c>
      <c r="AC61" s="5">
        <v>0.2251655629</v>
      </c>
      <c r="AD61" s="5">
        <v>0.31788079469999903</v>
      </c>
      <c r="AE61" s="5">
        <v>0.33554083890000003</v>
      </c>
      <c r="AF61" s="5">
        <v>0.1214128035</v>
      </c>
      <c r="AG61" s="5">
        <v>0.46042257959999999</v>
      </c>
      <c r="AH61" s="5">
        <v>0.29359823400000001</v>
      </c>
      <c r="AI61" s="5">
        <v>0.43046357619999998</v>
      </c>
      <c r="AJ61" s="5">
        <v>0.23620309049999999</v>
      </c>
      <c r="AK61" s="5">
        <v>3.97350993E-2</v>
      </c>
      <c r="AL61" s="5">
        <v>0.90707070709999904</v>
      </c>
      <c r="AM61" s="5">
        <v>0.89858012169999901</v>
      </c>
      <c r="AN61" s="5">
        <v>0.91330645160000001</v>
      </c>
      <c r="AO61" s="5">
        <v>0.91330645160000001</v>
      </c>
      <c r="AP61" s="5" t="s">
        <v>53</v>
      </c>
      <c r="AQ61" s="5">
        <v>0.93518273388606998</v>
      </c>
      <c r="AR61" s="5" t="s">
        <v>53</v>
      </c>
      <c r="AS61" s="5">
        <v>0.99314716951740201</v>
      </c>
      <c r="AT61" s="5" t="s">
        <v>53</v>
      </c>
      <c r="AU61" s="5">
        <v>0.76637202908495705</v>
      </c>
      <c r="AV61" s="5" t="s">
        <v>53</v>
      </c>
      <c r="AW61" s="5">
        <v>0.81974937868208198</v>
      </c>
      <c r="AX61" s="5" t="s">
        <v>53</v>
      </c>
      <c r="AY61" s="10" t="s">
        <v>53</v>
      </c>
    </row>
    <row r="62" spans="1:51" ht="15.75" customHeight="1" x14ac:dyDescent="0.3">
      <c r="A62" s="4">
        <v>3201001</v>
      </c>
      <c r="B62" s="4" t="s">
        <v>113</v>
      </c>
      <c r="C62" s="5">
        <v>2022</v>
      </c>
      <c r="D62" s="6" t="s">
        <v>53</v>
      </c>
      <c r="E62" s="6" t="s">
        <v>53</v>
      </c>
      <c r="F62" s="6" t="s">
        <v>53</v>
      </c>
      <c r="G62" s="6" t="s">
        <v>53</v>
      </c>
      <c r="H62" s="6" t="s">
        <v>53</v>
      </c>
      <c r="I62" s="6" t="s">
        <v>53</v>
      </c>
      <c r="J62" s="5">
        <v>0.67508357754412196</v>
      </c>
      <c r="K62" s="5">
        <v>0.61259949356259602</v>
      </c>
      <c r="L62" s="5" t="s">
        <v>53</v>
      </c>
      <c r="M62" s="5" t="s">
        <v>53</v>
      </c>
      <c r="N62" s="5">
        <v>0.510826394262759</v>
      </c>
      <c r="O62" s="5">
        <v>0.50704195664075702</v>
      </c>
      <c r="P62" s="5">
        <v>0.56187053921519003</v>
      </c>
      <c r="Q62" s="5">
        <v>0.54183285485607102</v>
      </c>
      <c r="R62" s="5">
        <v>0.77254588979999905</v>
      </c>
      <c r="S62" s="5">
        <v>0.12849162010000001</v>
      </c>
      <c r="T62" s="5">
        <v>0.1731843575</v>
      </c>
      <c r="U62" s="5">
        <v>0.4636871508</v>
      </c>
      <c r="V62" s="5">
        <v>0.23463687149999901</v>
      </c>
      <c r="W62" s="5">
        <v>0.73322809787142795</v>
      </c>
      <c r="X62" s="5">
        <v>7.7348066299999907E-2</v>
      </c>
      <c r="Y62" s="5">
        <v>0.331491712699999</v>
      </c>
      <c r="Z62" s="5">
        <v>0.4033149171</v>
      </c>
      <c r="AA62" s="5">
        <v>0.18784530390000001</v>
      </c>
      <c r="AB62" s="5">
        <v>0.64249084247142796</v>
      </c>
      <c r="AC62" s="5">
        <v>0.16410256409999999</v>
      </c>
      <c r="AD62" s="5">
        <v>0.33846153849999999</v>
      </c>
      <c r="AE62" s="5">
        <v>0.29743589739999998</v>
      </c>
      <c r="AF62" s="5">
        <v>0.2</v>
      </c>
      <c r="AG62" s="5">
        <v>0.51868131871428502</v>
      </c>
      <c r="AH62" s="5">
        <v>0.24102564099999901</v>
      </c>
      <c r="AI62" s="5">
        <v>0.4205128205</v>
      </c>
      <c r="AJ62" s="5">
        <v>0.25128205129999998</v>
      </c>
      <c r="AK62" s="5">
        <v>8.7179487200000003E-2</v>
      </c>
      <c r="AL62" s="5">
        <v>0.92268041239999998</v>
      </c>
      <c r="AM62" s="5">
        <v>0.92820512820000001</v>
      </c>
      <c r="AN62" s="5">
        <v>0.90277777779999901</v>
      </c>
      <c r="AO62" s="5">
        <v>0.90277777779999901</v>
      </c>
      <c r="AP62" s="5" t="s">
        <v>53</v>
      </c>
      <c r="AQ62" s="5">
        <v>0.94012909564858804</v>
      </c>
      <c r="AR62" s="5" t="s">
        <v>53</v>
      </c>
      <c r="AS62" s="5">
        <v>0.895052351768716</v>
      </c>
      <c r="AT62" s="5" t="s">
        <v>53</v>
      </c>
      <c r="AU62" s="5">
        <v>0.74843273365677498</v>
      </c>
      <c r="AV62" s="5" t="s">
        <v>53</v>
      </c>
      <c r="AW62" s="5">
        <v>0.79493790317026602</v>
      </c>
      <c r="AX62" s="5" t="s">
        <v>53</v>
      </c>
      <c r="AY62" s="10" t="s">
        <v>53</v>
      </c>
    </row>
    <row r="63" spans="1:51" ht="15.75" customHeight="1" x14ac:dyDescent="0.3">
      <c r="A63" s="4">
        <v>3203502</v>
      </c>
      <c r="B63" s="4" t="s">
        <v>114</v>
      </c>
      <c r="C63" s="5">
        <v>2022</v>
      </c>
      <c r="D63" s="6" t="s">
        <v>53</v>
      </c>
      <c r="E63" s="6" t="s">
        <v>53</v>
      </c>
      <c r="F63" s="6" t="s">
        <v>53</v>
      </c>
      <c r="G63" s="6" t="s">
        <v>53</v>
      </c>
      <c r="H63" s="6" t="s">
        <v>53</v>
      </c>
      <c r="I63" s="6" t="s">
        <v>53</v>
      </c>
      <c r="J63" s="5">
        <v>0.638295390580636</v>
      </c>
      <c r="K63" s="5">
        <v>0.62131184740162004</v>
      </c>
      <c r="L63" s="5" t="s">
        <v>53</v>
      </c>
      <c r="M63" s="5" t="s">
        <v>53</v>
      </c>
      <c r="N63" s="5">
        <v>0.51132299030234696</v>
      </c>
      <c r="O63" s="5">
        <v>0.49536234737465901</v>
      </c>
      <c r="P63" s="5">
        <v>0.51033613762183005</v>
      </c>
      <c r="Q63" s="5">
        <v>0.49999497390651099</v>
      </c>
      <c r="R63" s="5">
        <v>0.73329712120000001</v>
      </c>
      <c r="S63" s="5">
        <v>0.1102661597</v>
      </c>
      <c r="T63" s="5">
        <v>0.27376425859999998</v>
      </c>
      <c r="U63" s="5">
        <v>0.3574144487</v>
      </c>
      <c r="V63" s="5">
        <v>0.2585551331</v>
      </c>
      <c r="W63" s="5">
        <v>0.75122216190000002</v>
      </c>
      <c r="X63" s="5">
        <v>8.3650190099999994E-2</v>
      </c>
      <c r="Y63" s="5">
        <v>0.288973384</v>
      </c>
      <c r="Z63" s="5">
        <v>0.47528517110000001</v>
      </c>
      <c r="AA63" s="5">
        <v>0.15209125479999999</v>
      </c>
      <c r="AB63" s="5">
        <v>0.62237762247142803</v>
      </c>
      <c r="AC63" s="5">
        <v>0.1958041958</v>
      </c>
      <c r="AD63" s="5">
        <v>0.31818181820000002</v>
      </c>
      <c r="AE63" s="5">
        <v>0.3461538462</v>
      </c>
      <c r="AF63" s="5">
        <v>0.13986013990000001</v>
      </c>
      <c r="AG63" s="5">
        <v>0.52862120454285699</v>
      </c>
      <c r="AH63" s="5">
        <v>0.19860627180000001</v>
      </c>
      <c r="AI63" s="5">
        <v>0.47735191639999902</v>
      </c>
      <c r="AJ63" s="5">
        <v>0.26829268290000002</v>
      </c>
      <c r="AK63" s="5">
        <v>5.57491289E-2</v>
      </c>
      <c r="AL63" s="5">
        <v>0.80674846629999997</v>
      </c>
      <c r="AM63" s="5">
        <v>0.79696969699999998</v>
      </c>
      <c r="AN63" s="5">
        <v>0.95333333330000003</v>
      </c>
      <c r="AO63" s="5">
        <v>0.9566666667</v>
      </c>
      <c r="AP63" s="5" t="s">
        <v>53</v>
      </c>
      <c r="AQ63" s="5">
        <v>0.92930602485926095</v>
      </c>
      <c r="AR63" s="5" t="s">
        <v>53</v>
      </c>
      <c r="AS63" s="5">
        <v>0.95460803800071403</v>
      </c>
      <c r="AT63" s="5" t="s">
        <v>53</v>
      </c>
      <c r="AU63" s="5">
        <v>0.80006997191658802</v>
      </c>
      <c r="AV63" s="5" t="s">
        <v>53</v>
      </c>
      <c r="AW63" s="5">
        <v>0.83366506003359997</v>
      </c>
      <c r="AX63" s="5" t="s">
        <v>53</v>
      </c>
      <c r="AY63" s="10" t="s">
        <v>53</v>
      </c>
    </row>
    <row r="64" spans="1:51" ht="15.75" customHeight="1" x14ac:dyDescent="0.3">
      <c r="A64" s="4">
        <v>3203601</v>
      </c>
      <c r="B64" s="4" t="s">
        <v>115</v>
      </c>
      <c r="C64" s="5">
        <v>2022</v>
      </c>
      <c r="D64" s="6" t="s">
        <v>53</v>
      </c>
      <c r="E64" s="6" t="s">
        <v>53</v>
      </c>
      <c r="F64" s="6" t="s">
        <v>53</v>
      </c>
      <c r="G64" s="6" t="s">
        <v>53</v>
      </c>
      <c r="H64" s="6" t="s">
        <v>53</v>
      </c>
      <c r="I64" s="6" t="s">
        <v>53</v>
      </c>
      <c r="J64" s="5">
        <v>0.65325148135532995</v>
      </c>
      <c r="K64" s="5">
        <v>0.65643597016593103</v>
      </c>
      <c r="L64" s="5" t="s">
        <v>53</v>
      </c>
      <c r="M64" s="5" t="s">
        <v>53</v>
      </c>
      <c r="N64" s="5">
        <v>0.46624028839169701</v>
      </c>
      <c r="O64" s="5">
        <v>0.53066384314267701</v>
      </c>
      <c r="P64" s="5">
        <v>0.54805338057985997</v>
      </c>
      <c r="Q64" s="5">
        <v>0.54374353015815002</v>
      </c>
      <c r="R64" s="5">
        <v>0.60714285711428495</v>
      </c>
      <c r="S64" s="5">
        <v>0.2045454545</v>
      </c>
      <c r="T64" s="5">
        <v>0.3295454545</v>
      </c>
      <c r="U64" s="5">
        <v>0.26136363639999999</v>
      </c>
      <c r="V64" s="5">
        <v>0.2045454545</v>
      </c>
      <c r="W64" s="5">
        <v>0.79734219267142803</v>
      </c>
      <c r="X64" s="5">
        <v>6.9767441900000005E-2</v>
      </c>
      <c r="Y64" s="5">
        <v>0.23255813950000001</v>
      </c>
      <c r="Z64" s="5">
        <v>0.45348837209999998</v>
      </c>
      <c r="AA64" s="5">
        <v>0.244186046499999</v>
      </c>
      <c r="AB64" s="5">
        <v>0.72</v>
      </c>
      <c r="AC64" s="5">
        <v>0.12</v>
      </c>
      <c r="AD64" s="5">
        <v>0.28000000000000003</v>
      </c>
      <c r="AE64" s="5">
        <v>0.42</v>
      </c>
      <c r="AF64" s="5">
        <v>0.18</v>
      </c>
      <c r="AG64" s="5">
        <v>0.64571428571428502</v>
      </c>
      <c r="AH64" s="5">
        <v>0.16</v>
      </c>
      <c r="AI64" s="5">
        <v>0.34</v>
      </c>
      <c r="AJ64" s="5">
        <v>0.42</v>
      </c>
      <c r="AK64" s="5">
        <v>0.08</v>
      </c>
      <c r="AL64" s="5">
        <v>0.94623655909999904</v>
      </c>
      <c r="AM64" s="5">
        <v>0.94505494509999999</v>
      </c>
      <c r="AN64" s="5">
        <v>0.90909090910000001</v>
      </c>
      <c r="AO64" s="5">
        <v>0.90909090910000001</v>
      </c>
      <c r="AP64" s="5" t="s">
        <v>53</v>
      </c>
      <c r="AQ64" s="5">
        <v>0.92434312943862096</v>
      </c>
      <c r="AR64" s="5" t="s">
        <v>53</v>
      </c>
      <c r="AS64" s="5">
        <v>0.90321104675840502</v>
      </c>
      <c r="AT64" s="5" t="s">
        <v>53</v>
      </c>
      <c r="AU64" s="5">
        <v>0.956615502455477</v>
      </c>
      <c r="AV64" s="5" t="s">
        <v>53</v>
      </c>
      <c r="AW64" s="5">
        <v>0.84132799210995501</v>
      </c>
      <c r="AX64" s="5" t="s">
        <v>53</v>
      </c>
      <c r="AY64" s="10" t="s">
        <v>53</v>
      </c>
    </row>
    <row r="65" spans="1:51" ht="15.75" customHeight="1" x14ac:dyDescent="0.3">
      <c r="A65" s="4">
        <v>3203908</v>
      </c>
      <c r="B65" s="4" t="s">
        <v>116</v>
      </c>
      <c r="C65" s="5">
        <v>2022</v>
      </c>
      <c r="D65" s="6" t="s">
        <v>53</v>
      </c>
      <c r="E65" s="6" t="s">
        <v>53</v>
      </c>
      <c r="F65" s="6" t="s">
        <v>53</v>
      </c>
      <c r="G65" s="6" t="s">
        <v>53</v>
      </c>
      <c r="H65" s="6" t="s">
        <v>53</v>
      </c>
      <c r="I65" s="6" t="s">
        <v>53</v>
      </c>
      <c r="J65" s="5">
        <v>0.69264226363265402</v>
      </c>
      <c r="K65" s="5">
        <v>0.69455911526757697</v>
      </c>
      <c r="L65" s="5" t="s">
        <v>53</v>
      </c>
      <c r="M65" s="5" t="s">
        <v>53</v>
      </c>
      <c r="N65" s="5">
        <v>0.53301736124023202</v>
      </c>
      <c r="O65" s="5">
        <v>0.53895337633149698</v>
      </c>
      <c r="P65" s="5">
        <v>0.59808854597140904</v>
      </c>
      <c r="Q65" s="5">
        <v>0.60820979560802702</v>
      </c>
      <c r="R65" s="5">
        <v>0.79049341248571403</v>
      </c>
      <c r="S65" s="5">
        <v>8.8607594899999906E-2</v>
      </c>
      <c r="T65" s="5">
        <v>0.21157323689999999</v>
      </c>
      <c r="U65" s="5">
        <v>0.42495479199999903</v>
      </c>
      <c r="V65" s="5">
        <v>0.27486437609999997</v>
      </c>
      <c r="W65" s="5">
        <v>0.80519480521428499</v>
      </c>
      <c r="X65" s="5">
        <v>5.45454545E-2</v>
      </c>
      <c r="Y65" s="5">
        <v>0.24545454549999901</v>
      </c>
      <c r="Z65" s="5">
        <v>0.44909090909999999</v>
      </c>
      <c r="AA65" s="5">
        <v>0.25090909090000002</v>
      </c>
      <c r="AB65" s="5">
        <v>0.76623376618571404</v>
      </c>
      <c r="AC65" s="5">
        <v>9.2764378499999994E-2</v>
      </c>
      <c r="AD65" s="5">
        <v>0.24675324679999999</v>
      </c>
      <c r="AE65" s="5">
        <v>0.35064935060000002</v>
      </c>
      <c r="AF65" s="5">
        <v>0.30983302410000002</v>
      </c>
      <c r="AG65" s="5">
        <v>0.69873484454285695</v>
      </c>
      <c r="AH65" s="5">
        <v>0.1125461255</v>
      </c>
      <c r="AI65" s="5">
        <v>0.3302583026</v>
      </c>
      <c r="AJ65" s="5">
        <v>0.34132841329999902</v>
      </c>
      <c r="AK65" s="5">
        <v>0.21586715869999901</v>
      </c>
      <c r="AL65" s="5">
        <v>0.90655737700000005</v>
      </c>
      <c r="AM65" s="5">
        <v>0.89869281049999905</v>
      </c>
      <c r="AN65" s="5">
        <v>0.91511035649999894</v>
      </c>
      <c r="AO65" s="5">
        <v>0.92020373509999998</v>
      </c>
      <c r="AP65" s="5" t="s">
        <v>53</v>
      </c>
      <c r="AQ65" s="5">
        <v>0.86891880810258704</v>
      </c>
      <c r="AR65" s="5" t="s">
        <v>53</v>
      </c>
      <c r="AS65" s="5">
        <v>0.87976726681239303</v>
      </c>
      <c r="AT65" s="5" t="s">
        <v>53</v>
      </c>
      <c r="AU65" s="5">
        <v>0.78572452497829903</v>
      </c>
      <c r="AV65" s="5" t="s">
        <v>53</v>
      </c>
      <c r="AW65" s="5">
        <v>0.77604912236457302</v>
      </c>
      <c r="AX65" s="5" t="s">
        <v>53</v>
      </c>
      <c r="AY65" s="10" t="s">
        <v>53</v>
      </c>
    </row>
    <row r="66" spans="1:51" ht="15.75" customHeight="1" x14ac:dyDescent="0.3">
      <c r="A66" s="4">
        <v>3204104</v>
      </c>
      <c r="B66" s="4" t="s">
        <v>117</v>
      </c>
      <c r="C66" s="5">
        <v>2022</v>
      </c>
      <c r="D66" s="6" t="s">
        <v>53</v>
      </c>
      <c r="E66" s="6" t="s">
        <v>53</v>
      </c>
      <c r="F66" s="6" t="s">
        <v>53</v>
      </c>
      <c r="G66" s="6" t="s">
        <v>53</v>
      </c>
      <c r="H66" s="6" t="s">
        <v>53</v>
      </c>
      <c r="I66" s="6" t="s">
        <v>53</v>
      </c>
      <c r="J66" s="5">
        <v>0.67171901032769599</v>
      </c>
      <c r="K66" s="5">
        <v>0.60045980720129499</v>
      </c>
      <c r="L66" s="5" t="s">
        <v>53</v>
      </c>
      <c r="M66" s="5" t="s">
        <v>53</v>
      </c>
      <c r="N66" s="5">
        <v>0.52247349293786405</v>
      </c>
      <c r="O66" s="5">
        <v>0.50179468915311398</v>
      </c>
      <c r="P66" s="5">
        <v>0.53154596581580205</v>
      </c>
      <c r="Q66" s="5">
        <v>0.52882098559643098</v>
      </c>
      <c r="R66" s="5">
        <v>0.76970005087142801</v>
      </c>
      <c r="S66" s="5">
        <v>0.12455516010000001</v>
      </c>
      <c r="T66" s="5">
        <v>0.1850533808</v>
      </c>
      <c r="U66" s="5">
        <v>0.39857651249999998</v>
      </c>
      <c r="V66" s="5">
        <v>0.29181494659999901</v>
      </c>
      <c r="W66" s="5">
        <v>0.74974670720000003</v>
      </c>
      <c r="X66" s="5">
        <v>6.3829787200000002E-2</v>
      </c>
      <c r="Y66" s="5">
        <v>0.3262411348</v>
      </c>
      <c r="Z66" s="5">
        <v>0.44680851059999999</v>
      </c>
      <c r="AA66" s="5">
        <v>0.1631205674</v>
      </c>
      <c r="AB66" s="5">
        <v>0.59405501327142796</v>
      </c>
      <c r="AC66" s="5">
        <v>0.20186335399999999</v>
      </c>
      <c r="AD66" s="5">
        <v>0.35714285709999999</v>
      </c>
      <c r="AE66" s="5">
        <v>0.26397515529999999</v>
      </c>
      <c r="AF66" s="5">
        <v>0.17701863349999999</v>
      </c>
      <c r="AG66" s="5">
        <v>0.53303571428571395</v>
      </c>
      <c r="AH66" s="5">
        <v>0.24374999999999999</v>
      </c>
      <c r="AI66" s="5">
        <v>0.390625</v>
      </c>
      <c r="AJ66" s="5">
        <v>0.26874999999999999</v>
      </c>
      <c r="AK66" s="5">
        <v>9.6875000000000003E-2</v>
      </c>
      <c r="AL66" s="5">
        <v>0.89776357829999998</v>
      </c>
      <c r="AM66" s="5">
        <v>0.89523809519999997</v>
      </c>
      <c r="AN66" s="5">
        <v>0.8846153846</v>
      </c>
      <c r="AO66" s="5">
        <v>0.87912087909999903</v>
      </c>
      <c r="AP66" s="5" t="s">
        <v>53</v>
      </c>
      <c r="AQ66" s="5">
        <v>0.885972555412884</v>
      </c>
      <c r="AR66" s="5" t="s">
        <v>53</v>
      </c>
      <c r="AS66" s="5">
        <v>0.94847269994361405</v>
      </c>
      <c r="AT66" s="5" t="s">
        <v>53</v>
      </c>
      <c r="AU66" s="5">
        <v>0.74728576890009402</v>
      </c>
      <c r="AV66" s="5" t="s">
        <v>53</v>
      </c>
      <c r="AW66" s="5">
        <v>0.79939991884244299</v>
      </c>
      <c r="AX66" s="5" t="s">
        <v>53</v>
      </c>
      <c r="AY66" s="10" t="s">
        <v>53</v>
      </c>
    </row>
    <row r="67" spans="1:51" ht="15.75" customHeight="1" x14ac:dyDescent="0.3">
      <c r="A67" s="4">
        <v>3204252</v>
      </c>
      <c r="B67" s="4" t="s">
        <v>118</v>
      </c>
      <c r="C67" s="5">
        <v>2022</v>
      </c>
      <c r="D67" s="6" t="s">
        <v>53</v>
      </c>
      <c r="E67" s="6" t="s">
        <v>53</v>
      </c>
      <c r="F67" s="6" t="s">
        <v>53</v>
      </c>
      <c r="G67" s="6" t="s">
        <v>53</v>
      </c>
      <c r="H67" s="6" t="s">
        <v>53</v>
      </c>
      <c r="I67" s="6" t="s">
        <v>53</v>
      </c>
      <c r="J67" s="5">
        <v>0.70597083064704103</v>
      </c>
      <c r="K67" s="5">
        <v>0.65280464597535903</v>
      </c>
      <c r="L67" s="5" t="s">
        <v>53</v>
      </c>
      <c r="M67" s="5" t="s">
        <v>53</v>
      </c>
      <c r="N67" s="5">
        <v>0.50706748735177998</v>
      </c>
      <c r="O67" s="5">
        <v>0.610679748800393</v>
      </c>
      <c r="P67" s="5">
        <v>0.52250640277003002</v>
      </c>
      <c r="Q67" s="5">
        <v>0.532842824287034</v>
      </c>
      <c r="R67" s="5">
        <v>0.71592775042857104</v>
      </c>
      <c r="S67" s="5">
        <v>3.4482758599999899E-2</v>
      </c>
      <c r="T67" s="5">
        <v>0.43678160919999998</v>
      </c>
      <c r="U67" s="5">
        <v>0.34482758619999998</v>
      </c>
      <c r="V67" s="5">
        <v>0.18390804599999999</v>
      </c>
      <c r="W67" s="5">
        <v>0.92605042007142802</v>
      </c>
      <c r="X67" s="5">
        <v>0</v>
      </c>
      <c r="Y67" s="5">
        <v>0.12941176469999999</v>
      </c>
      <c r="Z67" s="5">
        <v>0.43529411759999997</v>
      </c>
      <c r="AA67" s="5">
        <v>0.43529411759999997</v>
      </c>
      <c r="AB67" s="5">
        <v>0.67142857138571399</v>
      </c>
      <c r="AC67" s="5">
        <v>0.14444444440000001</v>
      </c>
      <c r="AD67" s="5">
        <v>0.32222222219999902</v>
      </c>
      <c r="AE67" s="5">
        <v>0.33333333329999998</v>
      </c>
      <c r="AF67" s="5">
        <v>0.2</v>
      </c>
      <c r="AG67" s="5">
        <v>0.60634920637142797</v>
      </c>
      <c r="AH67" s="5">
        <v>0.22222222219999899</v>
      </c>
      <c r="AI67" s="5">
        <v>0.3</v>
      </c>
      <c r="AJ67" s="5">
        <v>0.37777777779999999</v>
      </c>
      <c r="AK67" s="5">
        <v>0.1</v>
      </c>
      <c r="AL67" s="5">
        <v>0.93548387099999997</v>
      </c>
      <c r="AM67" s="5">
        <v>0.91397849460000002</v>
      </c>
      <c r="AN67" s="5">
        <v>0.95744680849999997</v>
      </c>
      <c r="AO67" s="5">
        <v>0.95744680849999997</v>
      </c>
      <c r="AP67" s="5" t="s">
        <v>53</v>
      </c>
      <c r="AQ67" s="5">
        <v>0.94590922627545904</v>
      </c>
      <c r="AR67" s="5" t="s">
        <v>53</v>
      </c>
      <c r="AS67" s="5">
        <v>0.98459538147665004</v>
      </c>
      <c r="AT67" s="5" t="s">
        <v>53</v>
      </c>
      <c r="AU67" s="5">
        <v>0.784191278776041</v>
      </c>
      <c r="AV67" s="5" t="s">
        <v>53</v>
      </c>
      <c r="AW67" s="5">
        <v>0.73996895659168305</v>
      </c>
      <c r="AX67" s="5" t="s">
        <v>53</v>
      </c>
      <c r="AY67" s="10" t="s">
        <v>53</v>
      </c>
    </row>
    <row r="68" spans="1:51" ht="15.75" customHeight="1" x14ac:dyDescent="0.3">
      <c r="A68" s="4">
        <v>3204708</v>
      </c>
      <c r="B68" s="4" t="s">
        <v>119</v>
      </c>
      <c r="C68" s="5">
        <v>2022</v>
      </c>
      <c r="D68" s="6" t="s">
        <v>53</v>
      </c>
      <c r="E68" s="6" t="s">
        <v>53</v>
      </c>
      <c r="F68" s="6" t="s">
        <v>53</v>
      </c>
      <c r="G68" s="6" t="s">
        <v>53</v>
      </c>
      <c r="H68" s="6" t="s">
        <v>53</v>
      </c>
      <c r="I68" s="6" t="s">
        <v>53</v>
      </c>
      <c r="J68" s="5">
        <v>0.72862325950363505</v>
      </c>
      <c r="K68" s="5">
        <v>0.69804606026367699</v>
      </c>
      <c r="L68" s="5" t="s">
        <v>53</v>
      </c>
      <c r="M68" s="5" t="s">
        <v>53</v>
      </c>
      <c r="N68" s="5">
        <v>0.56677534737934598</v>
      </c>
      <c r="O68" s="5">
        <v>0.55806878703844498</v>
      </c>
      <c r="P68" s="5">
        <v>0.56967044033760506</v>
      </c>
      <c r="Q68" s="5">
        <v>0.562296752964066</v>
      </c>
      <c r="R68" s="5">
        <v>0.85714285718571404</v>
      </c>
      <c r="S68" s="5">
        <v>7.9019073600000003E-2</v>
      </c>
      <c r="T68" s="5">
        <v>0.1117166213</v>
      </c>
      <c r="U68" s="5">
        <v>0.42234332429999999</v>
      </c>
      <c r="V68" s="5">
        <v>0.38692098089999999</v>
      </c>
      <c r="W68" s="5">
        <v>0.84405082794285702</v>
      </c>
      <c r="X68" s="5">
        <v>2.96495957E-2</v>
      </c>
      <c r="Y68" s="5">
        <v>0.22102425879999901</v>
      </c>
      <c r="Z68" s="5">
        <v>0.47439353099999998</v>
      </c>
      <c r="AA68" s="5">
        <v>0.27493261460000001</v>
      </c>
      <c r="AB68" s="5">
        <v>0.77341532635714205</v>
      </c>
      <c r="AC68" s="5">
        <v>9.60264901E-2</v>
      </c>
      <c r="AD68" s="5">
        <v>0.22847682120000001</v>
      </c>
      <c r="AE68" s="5">
        <v>0.35761589399999999</v>
      </c>
      <c r="AF68" s="5">
        <v>0.31788079469999903</v>
      </c>
      <c r="AG68" s="5">
        <v>0.69197911724285699</v>
      </c>
      <c r="AH68" s="5">
        <v>0.12956810629999899</v>
      </c>
      <c r="AI68" s="5">
        <v>0.3122923588</v>
      </c>
      <c r="AJ68" s="5">
        <v>0.30564784049999999</v>
      </c>
      <c r="AK68" s="5">
        <v>0.25249169439999902</v>
      </c>
      <c r="AL68" s="5">
        <v>0.93384223919999998</v>
      </c>
      <c r="AM68" s="5">
        <v>0.9392405063</v>
      </c>
      <c r="AN68" s="5">
        <v>0.92923076920000003</v>
      </c>
      <c r="AO68" s="5">
        <v>0.92615384619999996</v>
      </c>
      <c r="AP68" s="5" t="s">
        <v>53</v>
      </c>
      <c r="AQ68" s="5">
        <v>0.91007211984230496</v>
      </c>
      <c r="AR68" s="5" t="s">
        <v>53</v>
      </c>
      <c r="AS68" s="5">
        <v>0.91720250200849296</v>
      </c>
      <c r="AT68" s="5" t="s">
        <v>53</v>
      </c>
      <c r="AU68" s="5">
        <v>0.82489381569619002</v>
      </c>
      <c r="AV68" s="5" t="s">
        <v>53</v>
      </c>
      <c r="AW68" s="5">
        <v>0.857037743567727</v>
      </c>
      <c r="AX68" s="5" t="s">
        <v>53</v>
      </c>
      <c r="AY68" s="10" t="s">
        <v>53</v>
      </c>
    </row>
    <row r="69" spans="1:51" ht="15.75" customHeight="1" x14ac:dyDescent="0.3">
      <c r="A69" s="4">
        <v>3205150</v>
      </c>
      <c r="B69" s="4" t="s">
        <v>120</v>
      </c>
      <c r="C69" s="5">
        <v>2022</v>
      </c>
      <c r="D69" s="6" t="s">
        <v>53</v>
      </c>
      <c r="E69" s="6" t="s">
        <v>53</v>
      </c>
      <c r="F69" s="6" t="s">
        <v>53</v>
      </c>
      <c r="G69" s="6" t="s">
        <v>53</v>
      </c>
      <c r="H69" s="6" t="s">
        <v>53</v>
      </c>
      <c r="I69" s="6" t="s">
        <v>53</v>
      </c>
      <c r="J69" s="5">
        <v>0.66490782622059996</v>
      </c>
      <c r="K69" s="5">
        <v>0.63064401696652495</v>
      </c>
      <c r="L69" s="5" t="s">
        <v>53</v>
      </c>
      <c r="M69" s="5" t="s">
        <v>53</v>
      </c>
      <c r="N69" s="5">
        <v>0.52248331383050906</v>
      </c>
      <c r="O69" s="5">
        <v>0.48223754214652398</v>
      </c>
      <c r="P69" s="5">
        <v>0.56939806625475398</v>
      </c>
      <c r="Q69" s="5">
        <v>0.55531365339520899</v>
      </c>
      <c r="R69" s="5">
        <v>0.77267080741428495</v>
      </c>
      <c r="S69" s="5">
        <v>0.1130434783</v>
      </c>
      <c r="T69" s="5">
        <v>0.2</v>
      </c>
      <c r="U69" s="5">
        <v>0.45217391299999998</v>
      </c>
      <c r="V69" s="5">
        <v>0.23478260870000001</v>
      </c>
      <c r="W69" s="5">
        <v>0.7389162561</v>
      </c>
      <c r="X69" s="5">
        <v>3.4482758599999899E-2</v>
      </c>
      <c r="Y69" s="5">
        <v>0.3965517241</v>
      </c>
      <c r="Z69" s="5">
        <v>0.43965517239999902</v>
      </c>
      <c r="AA69" s="5">
        <v>0.1293103448</v>
      </c>
      <c r="AB69" s="5">
        <v>0.64</v>
      </c>
      <c r="AC69" s="5">
        <v>0.2</v>
      </c>
      <c r="AD69" s="5">
        <v>0.28000000000000003</v>
      </c>
      <c r="AE69" s="5">
        <v>0.32799999999999901</v>
      </c>
      <c r="AF69" s="5">
        <v>0.192</v>
      </c>
      <c r="AG69" s="5">
        <v>0.58057142857142796</v>
      </c>
      <c r="AH69" s="5">
        <v>0.2</v>
      </c>
      <c r="AI69" s="5">
        <v>0.38400000000000001</v>
      </c>
      <c r="AJ69" s="5">
        <v>0.32799999999999901</v>
      </c>
      <c r="AK69" s="5">
        <v>8.7999999999999995E-2</v>
      </c>
      <c r="AL69" s="5">
        <v>0.8846153846</v>
      </c>
      <c r="AM69" s="5">
        <v>0.89230769229999995</v>
      </c>
      <c r="AN69" s="5">
        <v>0.91240875909999997</v>
      </c>
      <c r="AO69" s="5">
        <v>0.91240875909999997</v>
      </c>
      <c r="AP69" s="5" t="s">
        <v>53</v>
      </c>
      <c r="AQ69" s="5">
        <v>0.95351305460737101</v>
      </c>
      <c r="AR69" s="5" t="s">
        <v>53</v>
      </c>
      <c r="AS69" s="5">
        <v>0.92586178079335502</v>
      </c>
      <c r="AT69" s="5" t="s">
        <v>53</v>
      </c>
      <c r="AU69" s="5">
        <v>0.79500424127545799</v>
      </c>
      <c r="AV69" s="5" t="s">
        <v>53</v>
      </c>
      <c r="AW69" s="5">
        <v>0.89590713121298704</v>
      </c>
      <c r="AX69" s="5" t="s">
        <v>53</v>
      </c>
      <c r="AY69" s="10" t="s">
        <v>53</v>
      </c>
    </row>
    <row r="70" spans="1:51" ht="15.75" customHeight="1" x14ac:dyDescent="0.3">
      <c r="A70" s="4">
        <v>3205176</v>
      </c>
      <c r="B70" s="4" t="s">
        <v>121</v>
      </c>
      <c r="C70" s="5">
        <v>2022</v>
      </c>
      <c r="D70" s="6" t="s">
        <v>53</v>
      </c>
      <c r="E70" s="6" t="s">
        <v>53</v>
      </c>
      <c r="F70" s="6" t="s">
        <v>53</v>
      </c>
      <c r="G70" s="6" t="s">
        <v>53</v>
      </c>
      <c r="H70" s="6" t="s">
        <v>53</v>
      </c>
      <c r="I70" s="6" t="s">
        <v>53</v>
      </c>
      <c r="J70" s="5">
        <v>0.70734907779032796</v>
      </c>
      <c r="K70" s="5">
        <v>0.67100765605474399</v>
      </c>
      <c r="L70" s="5" t="s">
        <v>53</v>
      </c>
      <c r="M70" s="5" t="s">
        <v>53</v>
      </c>
      <c r="N70" s="5">
        <v>0.54508205842858903</v>
      </c>
      <c r="O70" s="5">
        <v>0.59306397119447296</v>
      </c>
      <c r="P70" s="5">
        <v>0.56563777960716899</v>
      </c>
      <c r="Q70" s="5">
        <v>0.59391585005553205</v>
      </c>
      <c r="R70" s="5">
        <v>0.80824544587142799</v>
      </c>
      <c r="S70" s="5">
        <v>0.10738255029999901</v>
      </c>
      <c r="T70" s="5">
        <v>0.1476510067</v>
      </c>
      <c r="U70" s="5">
        <v>0.37583892619999998</v>
      </c>
      <c r="V70" s="5">
        <v>0.3691275168</v>
      </c>
      <c r="W70" s="5">
        <v>0.82118561707142801</v>
      </c>
      <c r="X70" s="5">
        <v>8.1632653099999994E-2</v>
      </c>
      <c r="Y70" s="5">
        <v>0.1700680272</v>
      </c>
      <c r="Z70" s="5">
        <v>0.2993197279</v>
      </c>
      <c r="AA70" s="5">
        <v>0.44897959180000002</v>
      </c>
      <c r="AB70" s="5">
        <v>0.71924029719999905</v>
      </c>
      <c r="AC70" s="5">
        <v>9.2485549099999995E-2</v>
      </c>
      <c r="AD70" s="5">
        <v>0.32947976879999902</v>
      </c>
      <c r="AE70" s="5">
        <v>0.3179190751</v>
      </c>
      <c r="AF70" s="5">
        <v>0.26011560690000002</v>
      </c>
      <c r="AG70" s="5">
        <v>0.71015689514285696</v>
      </c>
      <c r="AH70" s="5">
        <v>0.1213872832</v>
      </c>
      <c r="AI70" s="5">
        <v>0.29479768789999999</v>
      </c>
      <c r="AJ70" s="5">
        <v>0.3930635838</v>
      </c>
      <c r="AK70" s="5">
        <v>0.1907514451</v>
      </c>
      <c r="AL70" s="5">
        <v>0.89221556889999998</v>
      </c>
      <c r="AM70" s="5">
        <v>0.88023952100000002</v>
      </c>
      <c r="AN70" s="5">
        <v>0.87817258879999904</v>
      </c>
      <c r="AO70" s="5">
        <v>0.87817258879999904</v>
      </c>
      <c r="AP70" s="5" t="s">
        <v>53</v>
      </c>
      <c r="AQ70" s="5">
        <v>0.89465068727432195</v>
      </c>
      <c r="AR70" s="5" t="s">
        <v>53</v>
      </c>
      <c r="AS70" s="5">
        <v>0.89395451985988095</v>
      </c>
      <c r="AT70" s="5" t="s">
        <v>53</v>
      </c>
      <c r="AU70" s="5">
        <v>0.863690779221021</v>
      </c>
      <c r="AV70" s="5" t="s">
        <v>53</v>
      </c>
      <c r="AW70" s="5">
        <v>0.87471740962882805</v>
      </c>
      <c r="AX70" s="5" t="s">
        <v>53</v>
      </c>
      <c r="AY70" s="10" t="s">
        <v>53</v>
      </c>
    </row>
    <row r="71" spans="1:51" ht="15.75" customHeight="1" x14ac:dyDescent="0.3">
      <c r="A71" s="4">
        <v>3201605</v>
      </c>
      <c r="B71" s="4" t="s">
        <v>122</v>
      </c>
      <c r="C71" s="5">
        <v>2022</v>
      </c>
      <c r="D71" s="6" t="s">
        <v>53</v>
      </c>
      <c r="E71" s="6" t="s">
        <v>53</v>
      </c>
      <c r="F71" s="6" t="s">
        <v>53</v>
      </c>
      <c r="G71" s="6" t="s">
        <v>53</v>
      </c>
      <c r="H71" s="6" t="s">
        <v>53</v>
      </c>
      <c r="I71" s="6" t="s">
        <v>53</v>
      </c>
      <c r="J71" s="5">
        <v>0.63275302777247</v>
      </c>
      <c r="K71" s="5">
        <v>0.62267851051697498</v>
      </c>
      <c r="L71" s="5" t="s">
        <v>53</v>
      </c>
      <c r="M71" s="5" t="s">
        <v>53</v>
      </c>
      <c r="N71" s="5">
        <v>0.46717264005795101</v>
      </c>
      <c r="O71" s="5">
        <v>0.46837986673614102</v>
      </c>
      <c r="P71" s="5">
        <v>0.52638268324500204</v>
      </c>
      <c r="Q71" s="5">
        <v>0.50248532331378204</v>
      </c>
      <c r="R71" s="5">
        <v>0.66875981155714204</v>
      </c>
      <c r="S71" s="5">
        <v>0.1868131868</v>
      </c>
      <c r="T71" s="5">
        <v>0.25274725269999998</v>
      </c>
      <c r="U71" s="5">
        <v>0.40109890110000002</v>
      </c>
      <c r="V71" s="5">
        <v>0.15934065929999999</v>
      </c>
      <c r="W71" s="5">
        <v>0.67787114844285701</v>
      </c>
      <c r="X71" s="5">
        <v>6.4425770300000004E-2</v>
      </c>
      <c r="Y71" s="5">
        <v>0.45098039219999903</v>
      </c>
      <c r="Z71" s="5">
        <v>0.38375350139999997</v>
      </c>
      <c r="AA71" s="5">
        <v>0.1008403361</v>
      </c>
      <c r="AB71" s="5">
        <v>0.63250263254285699</v>
      </c>
      <c r="AC71" s="5">
        <v>0.19901719900000001</v>
      </c>
      <c r="AD71" s="5">
        <v>0.29484029480000001</v>
      </c>
      <c r="AE71" s="5">
        <v>0.32678132679999999</v>
      </c>
      <c r="AF71" s="5">
        <v>0.17936117939999999</v>
      </c>
      <c r="AG71" s="5">
        <v>0.53281853278571401</v>
      </c>
      <c r="AH71" s="5">
        <v>0.2186732187</v>
      </c>
      <c r="AI71" s="5">
        <v>0.43488943489999998</v>
      </c>
      <c r="AJ71" s="5">
        <v>0.28009828009999999</v>
      </c>
      <c r="AK71" s="5">
        <v>6.6339066299999999E-2</v>
      </c>
      <c r="AL71" s="5">
        <v>0.92857142859999997</v>
      </c>
      <c r="AM71" s="5">
        <v>0.91538461540000005</v>
      </c>
      <c r="AN71" s="5">
        <v>0.94212962960000002</v>
      </c>
      <c r="AO71" s="5">
        <v>0.94212962960000002</v>
      </c>
      <c r="AP71" s="5" t="s">
        <v>53</v>
      </c>
      <c r="AQ71" s="5">
        <v>0.90416297727179695</v>
      </c>
      <c r="AR71" s="5" t="s">
        <v>53</v>
      </c>
      <c r="AS71" s="5">
        <v>0.90241102350840097</v>
      </c>
      <c r="AT71" s="5" t="s">
        <v>53</v>
      </c>
      <c r="AU71" s="5">
        <v>0.81554594201043595</v>
      </c>
      <c r="AV71" s="5" t="s">
        <v>53</v>
      </c>
      <c r="AW71" s="5">
        <v>0.87945959014519004</v>
      </c>
      <c r="AX71" s="5" t="s">
        <v>53</v>
      </c>
      <c r="AY71" s="10" t="s">
        <v>53</v>
      </c>
    </row>
    <row r="72" spans="1:51" ht="15.75" customHeight="1" x14ac:dyDescent="0.3">
      <c r="A72" s="4">
        <v>3203056</v>
      </c>
      <c r="B72" s="4" t="s">
        <v>123</v>
      </c>
      <c r="C72" s="5">
        <v>2022</v>
      </c>
      <c r="D72" s="6" t="s">
        <v>53</v>
      </c>
      <c r="E72" s="6" t="s">
        <v>53</v>
      </c>
      <c r="F72" s="6" t="s">
        <v>53</v>
      </c>
      <c r="G72" s="6" t="s">
        <v>53</v>
      </c>
      <c r="H72" s="6" t="s">
        <v>53</v>
      </c>
      <c r="I72" s="6" t="s">
        <v>53</v>
      </c>
      <c r="J72" s="5">
        <v>0.706018303518262</v>
      </c>
      <c r="K72" s="5">
        <v>0.65697607363146304</v>
      </c>
      <c r="L72" s="5" t="s">
        <v>53</v>
      </c>
      <c r="M72" s="5" t="s">
        <v>53</v>
      </c>
      <c r="N72" s="5">
        <v>0.53908208707389604</v>
      </c>
      <c r="O72" s="5">
        <v>0.55956161706618301</v>
      </c>
      <c r="P72" s="5">
        <v>0.537687724857148</v>
      </c>
      <c r="Q72" s="5">
        <v>0.547330014633861</v>
      </c>
      <c r="R72" s="5">
        <v>0.78242198675714203</v>
      </c>
      <c r="S72" s="5">
        <v>0.10420841679999999</v>
      </c>
      <c r="T72" s="5">
        <v>0.19839679360000001</v>
      </c>
      <c r="U72" s="5">
        <v>0.35470941879999901</v>
      </c>
      <c r="V72" s="5">
        <v>0.34268537069999999</v>
      </c>
      <c r="W72" s="5">
        <v>0.83483048394285697</v>
      </c>
      <c r="X72" s="5">
        <v>4.46247465E-2</v>
      </c>
      <c r="Y72" s="5">
        <v>0.2109533469</v>
      </c>
      <c r="Z72" s="5">
        <v>0.46653144019999998</v>
      </c>
      <c r="AA72" s="5">
        <v>0.27789046649999999</v>
      </c>
      <c r="AB72" s="5">
        <v>0.69618864814285697</v>
      </c>
      <c r="AC72" s="5">
        <v>0.1305182342</v>
      </c>
      <c r="AD72" s="5">
        <v>0.30326295590000002</v>
      </c>
      <c r="AE72" s="5">
        <v>0.36468330129999998</v>
      </c>
      <c r="AF72" s="5">
        <v>0.2015355086</v>
      </c>
      <c r="AG72" s="5">
        <v>0.61502604885714196</v>
      </c>
      <c r="AH72" s="5">
        <v>0.1919385797</v>
      </c>
      <c r="AI72" s="5">
        <v>0.33781190019999902</v>
      </c>
      <c r="AJ72" s="5">
        <v>0.33781190019999902</v>
      </c>
      <c r="AK72" s="5">
        <v>0.13243762000000001</v>
      </c>
      <c r="AL72" s="5">
        <v>0.92923649909999995</v>
      </c>
      <c r="AM72" s="5">
        <v>0.92149532710000004</v>
      </c>
      <c r="AN72" s="5">
        <v>0.94213381559999998</v>
      </c>
      <c r="AO72" s="5">
        <v>0.94213381559999998</v>
      </c>
      <c r="AP72" s="5" t="s">
        <v>53</v>
      </c>
      <c r="AQ72" s="5">
        <v>0.88358547338731797</v>
      </c>
      <c r="AR72" s="5" t="s">
        <v>53</v>
      </c>
      <c r="AS72" s="5">
        <v>0.90376044279119605</v>
      </c>
      <c r="AT72" s="5" t="s">
        <v>53</v>
      </c>
      <c r="AU72" s="5">
        <v>0.83735840665017902</v>
      </c>
      <c r="AV72" s="5" t="s">
        <v>53</v>
      </c>
      <c r="AW72" s="5">
        <v>0.84478697703774697</v>
      </c>
      <c r="AX72" s="5" t="s">
        <v>53</v>
      </c>
      <c r="AY72" s="10" t="s">
        <v>53</v>
      </c>
    </row>
    <row r="73" spans="1:51" ht="15.75" customHeight="1" x14ac:dyDescent="0.3">
      <c r="A73" s="4">
        <v>3204054</v>
      </c>
      <c r="B73" s="4" t="s">
        <v>124</v>
      </c>
      <c r="C73" s="5">
        <v>2022</v>
      </c>
      <c r="D73" s="6" t="s">
        <v>53</v>
      </c>
      <c r="E73" s="6" t="s">
        <v>53</v>
      </c>
      <c r="F73" s="6" t="s">
        <v>53</v>
      </c>
      <c r="G73" s="6" t="s">
        <v>53</v>
      </c>
      <c r="H73" s="6" t="s">
        <v>53</v>
      </c>
      <c r="I73" s="6" t="s">
        <v>53</v>
      </c>
      <c r="J73" s="5">
        <v>0.72646122585085704</v>
      </c>
      <c r="K73" s="5">
        <v>0.64011497897458802</v>
      </c>
      <c r="L73" s="5" t="s">
        <v>53</v>
      </c>
      <c r="M73" s="5" t="s">
        <v>53</v>
      </c>
      <c r="N73" s="5">
        <v>0.52614968410824103</v>
      </c>
      <c r="O73" s="5">
        <v>0.66011581498835503</v>
      </c>
      <c r="P73" s="5">
        <v>0.51960154224903499</v>
      </c>
      <c r="Q73" s="5">
        <v>0.51237245054784997</v>
      </c>
      <c r="R73" s="5">
        <v>0.78272852555714201</v>
      </c>
      <c r="S73" s="5">
        <v>9.9678456600000007E-2</v>
      </c>
      <c r="T73" s="5">
        <v>0.20578778140000001</v>
      </c>
      <c r="U73" s="5">
        <v>0.4180064309</v>
      </c>
      <c r="V73" s="5">
        <v>0.2765273312</v>
      </c>
      <c r="W73" s="5">
        <v>0.950966525271428</v>
      </c>
      <c r="X73" s="5">
        <v>1.32013201E-2</v>
      </c>
      <c r="Y73" s="5">
        <v>6.2706270600000003E-2</v>
      </c>
      <c r="Z73" s="5">
        <v>0.37623762379999998</v>
      </c>
      <c r="AA73" s="5">
        <v>0.5478547855</v>
      </c>
      <c r="AB73" s="5">
        <v>0.64907914382857101</v>
      </c>
      <c r="AC73" s="5">
        <v>0.14982578399999999</v>
      </c>
      <c r="AD73" s="5">
        <v>0.3519163763</v>
      </c>
      <c r="AE73" s="5">
        <v>0.31010452960000001</v>
      </c>
      <c r="AF73" s="5">
        <v>0.1881533101</v>
      </c>
      <c r="AG73" s="5">
        <v>0.58685913392857103</v>
      </c>
      <c r="AH73" s="5">
        <v>0.20209059230000001</v>
      </c>
      <c r="AI73" s="5">
        <v>0.36933797909999999</v>
      </c>
      <c r="AJ73" s="5">
        <v>0.2961672474</v>
      </c>
      <c r="AK73" s="5">
        <v>0.1324041812</v>
      </c>
      <c r="AL73" s="5">
        <v>0.90670553939999998</v>
      </c>
      <c r="AM73" s="5">
        <v>0.88081395349999902</v>
      </c>
      <c r="AN73" s="5">
        <v>0.93181818179999998</v>
      </c>
      <c r="AO73" s="5">
        <v>0.93181818179999998</v>
      </c>
      <c r="AP73" s="5" t="s">
        <v>53</v>
      </c>
      <c r="AQ73" s="5">
        <v>0.87500789354750697</v>
      </c>
      <c r="AR73" s="5" t="s">
        <v>53</v>
      </c>
      <c r="AS73" s="5">
        <v>0.90273607193707806</v>
      </c>
      <c r="AT73" s="5" t="s">
        <v>53</v>
      </c>
      <c r="AU73" s="5">
        <v>0.75812278697604596</v>
      </c>
      <c r="AV73" s="5" t="s">
        <v>53</v>
      </c>
      <c r="AW73" s="5">
        <v>0.79769431269050595</v>
      </c>
      <c r="AX73" s="5" t="s">
        <v>53</v>
      </c>
      <c r="AY73" s="10" t="s">
        <v>53</v>
      </c>
    </row>
    <row r="74" spans="1:51" ht="15.75" customHeight="1" x14ac:dyDescent="0.3">
      <c r="A74" s="4">
        <v>3204906</v>
      </c>
      <c r="B74" s="4" t="s">
        <v>125</v>
      </c>
      <c r="C74" s="5">
        <v>2022</v>
      </c>
      <c r="D74" s="6" t="s">
        <v>53</v>
      </c>
      <c r="E74" s="6" t="s">
        <v>53</v>
      </c>
      <c r="F74" s="6" t="s">
        <v>53</v>
      </c>
      <c r="G74" s="6" t="s">
        <v>53</v>
      </c>
      <c r="H74" s="6" t="s">
        <v>53</v>
      </c>
      <c r="I74" s="6" t="s">
        <v>53</v>
      </c>
      <c r="J74" s="5">
        <v>0.59028788716436098</v>
      </c>
      <c r="K74" s="5">
        <v>0.57953776885465702</v>
      </c>
      <c r="L74" s="5" t="s">
        <v>53</v>
      </c>
      <c r="M74" s="5" t="s">
        <v>53</v>
      </c>
      <c r="N74" s="5">
        <v>0.453420595813465</v>
      </c>
      <c r="O74" s="5">
        <v>0.43309188576232299</v>
      </c>
      <c r="P74" s="5">
        <v>0.49719569612436298</v>
      </c>
      <c r="Q74" s="5">
        <v>0.48619975401729898</v>
      </c>
      <c r="R74" s="5">
        <v>0.64126527678571399</v>
      </c>
      <c r="S74" s="5">
        <v>0.22070452909999999</v>
      </c>
      <c r="T74" s="5">
        <v>0.24155283969999999</v>
      </c>
      <c r="U74" s="5">
        <v>0.3874910137</v>
      </c>
      <c r="V74" s="5">
        <v>0.15025161749999999</v>
      </c>
      <c r="W74" s="5">
        <v>0.61512484649999999</v>
      </c>
      <c r="X74" s="5">
        <v>0.14828080229999999</v>
      </c>
      <c r="Y74" s="5">
        <v>0.41404011460000001</v>
      </c>
      <c r="Z74" s="5">
        <v>0.37320916910000002</v>
      </c>
      <c r="AA74" s="5">
        <v>6.4469914000000003E-2</v>
      </c>
      <c r="AB74" s="5">
        <v>0.59128121162857095</v>
      </c>
      <c r="AC74" s="5">
        <v>0.21633237820000001</v>
      </c>
      <c r="AD74" s="5">
        <v>0.33667621779999901</v>
      </c>
      <c r="AE74" s="5">
        <v>0.30945558740000001</v>
      </c>
      <c r="AF74" s="5">
        <v>0.1375358166</v>
      </c>
      <c r="AG74" s="5">
        <v>0.47718182748571403</v>
      </c>
      <c r="AH74" s="5">
        <v>0.26848528360000001</v>
      </c>
      <c r="AI74" s="5">
        <v>0.44508255559999998</v>
      </c>
      <c r="AJ74" s="5">
        <v>0.21679827709999999</v>
      </c>
      <c r="AK74" s="5">
        <v>6.9633883699999996E-2</v>
      </c>
      <c r="AL74" s="5">
        <v>0.83997584540000003</v>
      </c>
      <c r="AM74" s="5">
        <v>0.83944678289999997</v>
      </c>
      <c r="AN74" s="5">
        <v>0.86013555139999998</v>
      </c>
      <c r="AO74" s="5">
        <v>0.85828712259999995</v>
      </c>
      <c r="AP74" s="5" t="s">
        <v>53</v>
      </c>
      <c r="AQ74" s="5">
        <v>0.88165229139800705</v>
      </c>
      <c r="AR74" s="5" t="s">
        <v>53</v>
      </c>
      <c r="AS74" s="5">
        <v>0.92187338418004205</v>
      </c>
      <c r="AT74" s="5" t="s">
        <v>53</v>
      </c>
      <c r="AU74" s="5">
        <v>0.81565961934111697</v>
      </c>
      <c r="AV74" s="5" t="s">
        <v>53</v>
      </c>
      <c r="AW74" s="5">
        <v>0.862141028112964</v>
      </c>
      <c r="AX74" s="5" t="s">
        <v>53</v>
      </c>
      <c r="AY74" s="10" t="s">
        <v>53</v>
      </c>
    </row>
    <row r="75" spans="1:51" ht="15.75" customHeight="1" x14ac:dyDescent="0.3">
      <c r="A75" s="4">
        <v>3200300</v>
      </c>
      <c r="B75" s="4" t="s">
        <v>126</v>
      </c>
      <c r="C75" s="5">
        <v>2022</v>
      </c>
      <c r="D75" s="6" t="s">
        <v>53</v>
      </c>
      <c r="E75" s="6" t="s">
        <v>53</v>
      </c>
      <c r="F75" s="6" t="s">
        <v>53</v>
      </c>
      <c r="G75" s="6" t="s">
        <v>53</v>
      </c>
      <c r="H75" s="6" t="s">
        <v>53</v>
      </c>
      <c r="I75" s="6" t="s">
        <v>53</v>
      </c>
      <c r="J75" s="5">
        <v>0.75987767381760196</v>
      </c>
      <c r="K75" s="5">
        <v>0.73433666921715801</v>
      </c>
      <c r="L75" s="5" t="s">
        <v>53</v>
      </c>
      <c r="M75" s="5" t="s">
        <v>53</v>
      </c>
      <c r="N75" s="5">
        <v>0.56373088295530605</v>
      </c>
      <c r="O75" s="5">
        <v>0.67842267719433802</v>
      </c>
      <c r="P75" s="5">
        <v>0.59389322893654395</v>
      </c>
      <c r="Q75" s="5">
        <v>0.59933710732316803</v>
      </c>
      <c r="R75" s="5">
        <v>0.84425349082857104</v>
      </c>
      <c r="S75" s="5">
        <v>2.2556390999999999E-2</v>
      </c>
      <c r="T75" s="5">
        <v>0.23308270679999901</v>
      </c>
      <c r="U75" s="5">
        <v>0.37593984959999999</v>
      </c>
      <c r="V75" s="5">
        <v>0.36842105259999902</v>
      </c>
      <c r="W75" s="5">
        <v>0.95918367342857103</v>
      </c>
      <c r="X75" s="5">
        <v>1.5037594E-2</v>
      </c>
      <c r="Y75" s="5">
        <v>4.5112781999999997E-2</v>
      </c>
      <c r="Z75" s="5">
        <v>0.25563909769999998</v>
      </c>
      <c r="AA75" s="5">
        <v>0.68421052630000001</v>
      </c>
      <c r="AB75" s="5">
        <v>0.84632034637142795</v>
      </c>
      <c r="AC75" s="5">
        <v>4.5454545499999999E-2</v>
      </c>
      <c r="AD75" s="5">
        <v>0.18939393939999999</v>
      </c>
      <c r="AE75" s="5">
        <v>0.32575757579999998</v>
      </c>
      <c r="AF75" s="5">
        <v>0.43939393939999999</v>
      </c>
      <c r="AG75" s="5">
        <v>0.75865800874285705</v>
      </c>
      <c r="AH75" s="5">
        <v>9.84848485E-2</v>
      </c>
      <c r="AI75" s="5">
        <v>0.25</v>
      </c>
      <c r="AJ75" s="5">
        <v>0.2954545455</v>
      </c>
      <c r="AK75" s="5">
        <v>0.35606060610000001</v>
      </c>
      <c r="AL75" s="5">
        <v>0.93006993010000005</v>
      </c>
      <c r="AM75" s="5">
        <v>0.93006993010000005</v>
      </c>
      <c r="AN75" s="5">
        <v>0.90410958899999905</v>
      </c>
      <c r="AO75" s="5">
        <v>0.90410958899999905</v>
      </c>
      <c r="AP75" s="5" t="s">
        <v>53</v>
      </c>
      <c r="AQ75" s="5">
        <v>0.92448149930082102</v>
      </c>
      <c r="AR75" s="5" t="s">
        <v>53</v>
      </c>
      <c r="AS75" s="5">
        <v>0.92701347012308399</v>
      </c>
      <c r="AT75" s="5" t="s">
        <v>53</v>
      </c>
      <c r="AU75" s="5">
        <v>0.86555501186661898</v>
      </c>
      <c r="AV75" s="5" t="s">
        <v>53</v>
      </c>
      <c r="AW75" s="5">
        <v>0.88686738243091701</v>
      </c>
      <c r="AX75" s="5" t="s">
        <v>53</v>
      </c>
      <c r="AY75" s="10" t="s">
        <v>53</v>
      </c>
    </row>
    <row r="76" spans="1:51" ht="15.75" customHeight="1" x14ac:dyDescent="0.3">
      <c r="A76" s="4">
        <v>3200409</v>
      </c>
      <c r="B76" s="4" t="s">
        <v>127</v>
      </c>
      <c r="C76" s="5">
        <v>2022</v>
      </c>
      <c r="D76" s="6" t="s">
        <v>53</v>
      </c>
      <c r="E76" s="6" t="s">
        <v>53</v>
      </c>
      <c r="F76" s="6" t="s">
        <v>53</v>
      </c>
      <c r="G76" s="6" t="s">
        <v>53</v>
      </c>
      <c r="H76" s="6" t="s">
        <v>53</v>
      </c>
      <c r="I76" s="6" t="s">
        <v>53</v>
      </c>
      <c r="J76" s="5">
        <v>0.69693035977190898</v>
      </c>
      <c r="K76" s="5">
        <v>0.73012494654353999</v>
      </c>
      <c r="L76" s="5" t="s">
        <v>53</v>
      </c>
      <c r="M76" s="5" t="s">
        <v>53</v>
      </c>
      <c r="N76" s="5">
        <v>0.54736281017934896</v>
      </c>
      <c r="O76" s="5">
        <v>0.52866419970837897</v>
      </c>
      <c r="P76" s="5">
        <v>0.60365144863258702</v>
      </c>
      <c r="Q76" s="5">
        <v>0.617893139932293</v>
      </c>
      <c r="R76" s="5">
        <v>0.811813186771428</v>
      </c>
      <c r="S76" s="5">
        <v>9.6153846200000004E-2</v>
      </c>
      <c r="T76" s="5">
        <v>0.1610576923</v>
      </c>
      <c r="U76" s="5">
        <v>0.4014423077</v>
      </c>
      <c r="V76" s="5">
        <v>0.3413461538</v>
      </c>
      <c r="W76" s="5">
        <v>0.79490806215714205</v>
      </c>
      <c r="X76" s="5">
        <v>5.9405940599999998E-2</v>
      </c>
      <c r="Y76" s="5">
        <v>0.254950495</v>
      </c>
      <c r="Z76" s="5">
        <v>0.46287128709999997</v>
      </c>
      <c r="AA76" s="5">
        <v>0.22277227719999901</v>
      </c>
      <c r="AB76" s="5">
        <v>0.85215532601428501</v>
      </c>
      <c r="AC76" s="5">
        <v>4.2394014999999903E-2</v>
      </c>
      <c r="AD76" s="5">
        <v>0.1845386534</v>
      </c>
      <c r="AE76" s="5">
        <v>0.43142144639999902</v>
      </c>
      <c r="AF76" s="5">
        <v>0.34164588530000001</v>
      </c>
      <c r="AG76" s="5">
        <v>0.75062344132857095</v>
      </c>
      <c r="AH76" s="5">
        <v>6.9825436399999996E-2</v>
      </c>
      <c r="AI76" s="5">
        <v>0.31421446380000001</v>
      </c>
      <c r="AJ76" s="5">
        <v>0.40897755609999997</v>
      </c>
      <c r="AK76" s="5">
        <v>0.20698254360000001</v>
      </c>
      <c r="AL76" s="5">
        <v>0.91028446389999995</v>
      </c>
      <c r="AM76" s="5">
        <v>0.89183222959999997</v>
      </c>
      <c r="AN76" s="5">
        <v>0.94575471699999902</v>
      </c>
      <c r="AO76" s="5">
        <v>0.94575471699999902</v>
      </c>
      <c r="AP76" s="5" t="s">
        <v>53</v>
      </c>
      <c r="AQ76" s="5">
        <v>0.94695263210457703</v>
      </c>
      <c r="AR76" s="5" t="s">
        <v>53</v>
      </c>
      <c r="AS76" s="5">
        <v>0.94334048895863298</v>
      </c>
      <c r="AT76" s="5" t="s">
        <v>53</v>
      </c>
      <c r="AU76" s="5">
        <v>0.87648074824300604</v>
      </c>
      <c r="AV76" s="5" t="s">
        <v>53</v>
      </c>
      <c r="AW76" s="5">
        <v>0.83778362616598201</v>
      </c>
      <c r="AX76" s="5" t="s">
        <v>53</v>
      </c>
      <c r="AY76" s="10" t="s">
        <v>53</v>
      </c>
    </row>
    <row r="77" spans="1:51" ht="15.75" customHeight="1" x14ac:dyDescent="0.3">
      <c r="A77" s="4">
        <v>3202405</v>
      </c>
      <c r="B77" s="4" t="s">
        <v>128</v>
      </c>
      <c r="C77" s="5">
        <v>2022</v>
      </c>
      <c r="D77" s="6" t="s">
        <v>53</v>
      </c>
      <c r="E77" s="6" t="s">
        <v>53</v>
      </c>
      <c r="F77" s="6" t="s">
        <v>53</v>
      </c>
      <c r="G77" s="6" t="s">
        <v>53</v>
      </c>
      <c r="H77" s="6" t="s">
        <v>53</v>
      </c>
      <c r="I77" s="6" t="s">
        <v>53</v>
      </c>
      <c r="J77" s="5">
        <v>0.64688823388783201</v>
      </c>
      <c r="K77" s="5">
        <v>0.62794123139355695</v>
      </c>
      <c r="L77" s="5" t="s">
        <v>53</v>
      </c>
      <c r="M77" s="5" t="s">
        <v>53</v>
      </c>
      <c r="N77" s="5">
        <v>0.51520770054669696</v>
      </c>
      <c r="O77" s="5">
        <v>0.47619772768697299</v>
      </c>
      <c r="P77" s="5">
        <v>0.55487246705972904</v>
      </c>
      <c r="Q77" s="5">
        <v>0.54053678898929702</v>
      </c>
      <c r="R77" s="5">
        <v>0.758028792971428</v>
      </c>
      <c r="S77" s="5">
        <v>0.1304909561</v>
      </c>
      <c r="T77" s="5">
        <v>0.1950904393</v>
      </c>
      <c r="U77" s="5">
        <v>0.42118863049999999</v>
      </c>
      <c r="V77" s="5">
        <v>0.25322997419999999</v>
      </c>
      <c r="W77" s="5">
        <v>0.70380162275714198</v>
      </c>
      <c r="X77" s="5">
        <v>9.3809827699999904E-2</v>
      </c>
      <c r="Y77" s="5">
        <v>0.35417996169999999</v>
      </c>
      <c r="Z77" s="5">
        <v>0.43714103379999902</v>
      </c>
      <c r="AA77" s="5">
        <v>0.1148691768</v>
      </c>
      <c r="AB77" s="5">
        <v>0.69618616682857104</v>
      </c>
      <c r="AC77" s="5">
        <v>0.130575307</v>
      </c>
      <c r="AD77" s="5">
        <v>0.30316742079999998</v>
      </c>
      <c r="AE77" s="5">
        <v>0.35294117649999901</v>
      </c>
      <c r="AF77" s="5">
        <v>0.21331609570000001</v>
      </c>
      <c r="AG77" s="5">
        <v>0.59178386385714199</v>
      </c>
      <c r="AH77" s="5">
        <v>0.18393782380000001</v>
      </c>
      <c r="AI77" s="5">
        <v>0.3924870466</v>
      </c>
      <c r="AJ77" s="5">
        <v>0.33743523320000002</v>
      </c>
      <c r="AK77" s="5">
        <v>8.6139896399999999E-2</v>
      </c>
      <c r="AL77" s="5">
        <v>0.84821917810000003</v>
      </c>
      <c r="AM77" s="5">
        <v>0.85769020249999905</v>
      </c>
      <c r="AN77" s="5">
        <v>0.85234159779999996</v>
      </c>
      <c r="AO77" s="5">
        <v>0.85068870519999995</v>
      </c>
      <c r="AP77" s="5" t="s">
        <v>53</v>
      </c>
      <c r="AQ77" s="5">
        <v>0.90475241072669399</v>
      </c>
      <c r="AR77" s="5" t="s">
        <v>53</v>
      </c>
      <c r="AS77" s="5">
        <v>0.91119396138231801</v>
      </c>
      <c r="AT77" s="5" t="s">
        <v>53</v>
      </c>
      <c r="AU77" s="5">
        <v>0.82994096278325202</v>
      </c>
      <c r="AV77" s="5" t="s">
        <v>53</v>
      </c>
      <c r="AW77" s="5">
        <v>0.86150521153999204</v>
      </c>
      <c r="AX77" s="5" t="s">
        <v>53</v>
      </c>
      <c r="AY77" s="10" t="s">
        <v>53</v>
      </c>
    </row>
    <row r="78" spans="1:51" ht="15.75" customHeight="1" x14ac:dyDescent="0.3">
      <c r="A78" s="4">
        <v>3204203</v>
      </c>
      <c r="B78" s="4" t="s">
        <v>129</v>
      </c>
      <c r="C78" s="5">
        <v>2022</v>
      </c>
      <c r="D78" s="6" t="s">
        <v>53</v>
      </c>
      <c r="E78" s="6" t="s">
        <v>53</v>
      </c>
      <c r="F78" s="6" t="s">
        <v>53</v>
      </c>
      <c r="G78" s="6" t="s">
        <v>53</v>
      </c>
      <c r="H78" s="6" t="s">
        <v>53</v>
      </c>
      <c r="I78" s="6" t="s">
        <v>53</v>
      </c>
      <c r="J78" s="5">
        <v>0.69742072609094197</v>
      </c>
      <c r="K78" s="5">
        <v>0.676332197924854</v>
      </c>
      <c r="L78" s="5" t="s">
        <v>53</v>
      </c>
      <c r="M78" s="5" t="s">
        <v>53</v>
      </c>
      <c r="N78" s="5">
        <v>0.51103976204094803</v>
      </c>
      <c r="O78" s="5">
        <v>0.55962528609685902</v>
      </c>
      <c r="P78" s="5">
        <v>0.57720215205597503</v>
      </c>
      <c r="Q78" s="5">
        <v>0.57775341621629805</v>
      </c>
      <c r="R78" s="5">
        <v>0.77025440317142801</v>
      </c>
      <c r="S78" s="5">
        <v>0.101369863</v>
      </c>
      <c r="T78" s="5">
        <v>0.22465753419999901</v>
      </c>
      <c r="U78" s="5">
        <v>0.47671232879999997</v>
      </c>
      <c r="V78" s="5">
        <v>0.19726027399999899</v>
      </c>
      <c r="W78" s="5">
        <v>0.83333333328571402</v>
      </c>
      <c r="X78" s="5">
        <v>4.23728814E-2</v>
      </c>
      <c r="Y78" s="5">
        <v>0.217514124299999</v>
      </c>
      <c r="Z78" s="5">
        <v>0.42655367230000002</v>
      </c>
      <c r="AA78" s="5">
        <v>0.31355932199999997</v>
      </c>
      <c r="AB78" s="5">
        <v>0.73514739225714199</v>
      </c>
      <c r="AC78" s="5">
        <v>7.6190476199999996E-2</v>
      </c>
      <c r="AD78" s="5">
        <v>0.33015873019999997</v>
      </c>
      <c r="AE78" s="5">
        <v>0.38412698409999901</v>
      </c>
      <c r="AF78" s="5">
        <v>0.20952380949999999</v>
      </c>
      <c r="AG78" s="5">
        <v>0.66893424041428495</v>
      </c>
      <c r="AH78" s="5">
        <v>0.1333333333</v>
      </c>
      <c r="AI78" s="5">
        <v>0.34603174599999997</v>
      </c>
      <c r="AJ78" s="5">
        <v>0.37777777779999999</v>
      </c>
      <c r="AK78" s="5">
        <v>0.14285714289999901</v>
      </c>
      <c r="AL78" s="5">
        <v>0.94559585489999998</v>
      </c>
      <c r="AM78" s="5">
        <v>0.91472868219999903</v>
      </c>
      <c r="AN78" s="5">
        <v>0.92920353980000003</v>
      </c>
      <c r="AO78" s="5">
        <v>0.92920353980000003</v>
      </c>
      <c r="AP78" s="5" t="s">
        <v>53</v>
      </c>
      <c r="AQ78" s="5">
        <v>0.89783698877169305</v>
      </c>
      <c r="AR78" s="5" t="s">
        <v>53</v>
      </c>
      <c r="AS78" s="5">
        <v>0.95271941222666801</v>
      </c>
      <c r="AT78" s="5" t="s">
        <v>53</v>
      </c>
      <c r="AU78" s="5">
        <v>0.84887927575238897</v>
      </c>
      <c r="AV78" s="5" t="s">
        <v>53</v>
      </c>
      <c r="AW78" s="5">
        <v>0.88300921296708201</v>
      </c>
      <c r="AX78" s="5" t="s">
        <v>53</v>
      </c>
      <c r="AY78" s="10" t="s">
        <v>53</v>
      </c>
    </row>
    <row r="79" spans="1:51" ht="15.75" customHeight="1" x14ac:dyDescent="0.3">
      <c r="A79" s="4">
        <v>3205200</v>
      </c>
      <c r="B79" s="4" t="s">
        <v>130</v>
      </c>
      <c r="C79" s="5">
        <v>2022</v>
      </c>
      <c r="D79" s="6" t="s">
        <v>53</v>
      </c>
      <c r="E79" s="6" t="s">
        <v>53</v>
      </c>
      <c r="F79" s="6" t="s">
        <v>53</v>
      </c>
      <c r="G79" s="6" t="s">
        <v>53</v>
      </c>
      <c r="H79" s="6" t="s">
        <v>53</v>
      </c>
      <c r="I79" s="6" t="s">
        <v>53</v>
      </c>
      <c r="J79" s="5">
        <v>0.64547747813033296</v>
      </c>
      <c r="K79" s="5">
        <v>0.62198227811415996</v>
      </c>
      <c r="L79" s="5" t="s">
        <v>53</v>
      </c>
      <c r="M79" s="5" t="s">
        <v>53</v>
      </c>
      <c r="N79" s="5">
        <v>0.49395491030636701</v>
      </c>
      <c r="O79" s="5">
        <v>0.49351657472783</v>
      </c>
      <c r="P79" s="5">
        <v>0.529842548052054</v>
      </c>
      <c r="Q79" s="5">
        <v>0.51760034686193401</v>
      </c>
      <c r="R79" s="5">
        <v>0.72086418861428503</v>
      </c>
      <c r="S79" s="5">
        <v>0.1547559134</v>
      </c>
      <c r="T79" s="5">
        <v>0.21766482130000001</v>
      </c>
      <c r="U79" s="5">
        <v>0.41419224960000001</v>
      </c>
      <c r="V79" s="5">
        <v>0.21338701560000001</v>
      </c>
      <c r="W79" s="5">
        <v>0.72255790525714203</v>
      </c>
      <c r="X79" s="5">
        <v>9.2145015100000005E-2</v>
      </c>
      <c r="Y79" s="5">
        <v>0.32426988919999999</v>
      </c>
      <c r="Z79" s="5">
        <v>0.40684793549999998</v>
      </c>
      <c r="AA79" s="5">
        <v>0.17673716009999901</v>
      </c>
      <c r="AB79" s="5">
        <v>0.66318546199999995</v>
      </c>
      <c r="AC79" s="5">
        <v>0.16320143079999999</v>
      </c>
      <c r="AD79" s="5">
        <v>0.30382293760000001</v>
      </c>
      <c r="AE79" s="5">
        <v>0.32617929800000001</v>
      </c>
      <c r="AF79" s="5">
        <v>0.20679633359999999</v>
      </c>
      <c r="AG79" s="5">
        <v>0.56678931377142805</v>
      </c>
      <c r="AH79" s="5">
        <v>0.2060470325</v>
      </c>
      <c r="AI79" s="5">
        <v>0.39753639419999998</v>
      </c>
      <c r="AJ79" s="5">
        <v>0.29697648380000002</v>
      </c>
      <c r="AK79" s="5">
        <v>9.9440089600000003E-2</v>
      </c>
      <c r="AL79" s="5">
        <v>0.87244785949999903</v>
      </c>
      <c r="AM79" s="5">
        <v>0.87335092349999999</v>
      </c>
      <c r="AN79" s="5">
        <v>0.87619980409999998</v>
      </c>
      <c r="AO79" s="5">
        <v>0.87463271300000001</v>
      </c>
      <c r="AP79" s="5" t="s">
        <v>53</v>
      </c>
      <c r="AQ79" s="5">
        <v>0.899191766050218</v>
      </c>
      <c r="AR79" s="5" t="s">
        <v>53</v>
      </c>
      <c r="AS79" s="5">
        <v>0.92377082855710502</v>
      </c>
      <c r="AT79" s="5" t="s">
        <v>53</v>
      </c>
      <c r="AU79" s="5">
        <v>0.82568967474810695</v>
      </c>
      <c r="AV79" s="5" t="s">
        <v>53</v>
      </c>
      <c r="AW79" s="5">
        <v>0.86411538468271498</v>
      </c>
      <c r="AX79" s="5" t="s">
        <v>53</v>
      </c>
      <c r="AY79" s="10" t="s">
        <v>53</v>
      </c>
    </row>
    <row r="80" spans="1:51" ht="15.75" customHeight="1" x14ac:dyDescent="0.3">
      <c r="A80" s="4">
        <v>3200102</v>
      </c>
      <c r="B80" s="4" t="s">
        <v>52</v>
      </c>
      <c r="C80" s="7">
        <v>2023</v>
      </c>
      <c r="D80" s="4">
        <v>0.65481757638865579</v>
      </c>
      <c r="E80" s="4">
        <v>0.66016134577392249</v>
      </c>
      <c r="F80" s="4">
        <v>0.98199999999999998</v>
      </c>
      <c r="G80" s="4">
        <v>0.30269756231273387</v>
      </c>
      <c r="H80" s="8">
        <v>0.66540303433780401</v>
      </c>
      <c r="I80" s="4">
        <v>0.65229881292809999</v>
      </c>
      <c r="J80" s="4">
        <v>0.798769801841273</v>
      </c>
      <c r="K80" s="4">
        <v>0.72941222411985995</v>
      </c>
      <c r="L80" s="4">
        <v>0.53203626683433503</v>
      </c>
      <c r="M80" s="4">
        <v>0.57518540173633903</v>
      </c>
      <c r="N80" s="4">
        <v>0.67640522251455404</v>
      </c>
      <c r="O80" s="4">
        <v>0.61231357743096204</v>
      </c>
      <c r="P80" s="4">
        <v>0.58199832504899796</v>
      </c>
      <c r="Q80" s="4">
        <v>0.59946104666615696</v>
      </c>
      <c r="R80" s="4">
        <v>0.94360902255714296</v>
      </c>
      <c r="S80" s="8">
        <v>2.6315789499999999E-2</v>
      </c>
      <c r="T80" s="8">
        <v>5.2631578899999899E-2</v>
      </c>
      <c r="U80" s="8">
        <v>0.25</v>
      </c>
      <c r="V80" s="8">
        <v>0.67105263159999995</v>
      </c>
      <c r="W80" s="8">
        <v>0.89816124467142799</v>
      </c>
      <c r="X80" s="8">
        <v>2.6402640299999999E-2</v>
      </c>
      <c r="Y80" s="8">
        <v>0.13201320129999999</v>
      </c>
      <c r="Z80" s="8">
        <v>0.37953795379999999</v>
      </c>
      <c r="AA80" s="8">
        <v>0.46204620460000001</v>
      </c>
      <c r="AB80" s="8">
        <v>0.81771799629999997</v>
      </c>
      <c r="AC80" s="8">
        <v>6.1688311699999998E-2</v>
      </c>
      <c r="AD80" s="8">
        <v>0.211038961</v>
      </c>
      <c r="AE80" s="8">
        <v>0.39285714290000001</v>
      </c>
      <c r="AF80" s="8">
        <v>0.33441558440000002</v>
      </c>
      <c r="AG80" s="4">
        <v>0.75927643782857102</v>
      </c>
      <c r="AH80" s="4">
        <v>8.11688312E-2</v>
      </c>
      <c r="AI80" s="4">
        <v>0.27922077919999999</v>
      </c>
      <c r="AJ80" s="4">
        <v>0.38636363639999999</v>
      </c>
      <c r="AK80" s="4">
        <v>0.25324675320000001</v>
      </c>
      <c r="AL80" s="4">
        <v>0.96815286619999996</v>
      </c>
      <c r="AM80" s="4">
        <v>0.96805111819999901</v>
      </c>
      <c r="AN80" s="4">
        <v>0.94769230769999901</v>
      </c>
      <c r="AO80" s="4">
        <v>0.94769230769999901</v>
      </c>
      <c r="AP80" s="4" t="s">
        <v>131</v>
      </c>
      <c r="AQ80" s="4" t="s">
        <v>132</v>
      </c>
      <c r="AR80" s="4">
        <v>1</v>
      </c>
      <c r="AS80" s="4" t="s">
        <v>133</v>
      </c>
      <c r="AT80" s="4">
        <v>0</v>
      </c>
      <c r="AU80" s="4" t="s">
        <v>134</v>
      </c>
      <c r="AV80" s="4">
        <v>0</v>
      </c>
      <c r="AW80" s="4" t="s">
        <v>135</v>
      </c>
      <c r="AX80" s="4" t="s">
        <v>136</v>
      </c>
      <c r="AY80" s="11">
        <f>VLOOKUP(B80,[1]Página1!$A:$E,4,0)</f>
        <v>7049377.9900000002</v>
      </c>
    </row>
    <row r="81" spans="1:51" ht="15.75" customHeight="1" x14ac:dyDescent="0.3">
      <c r="A81" s="4">
        <v>3201159</v>
      </c>
      <c r="B81" s="4" t="s">
        <v>54</v>
      </c>
      <c r="C81" s="7">
        <v>2023</v>
      </c>
      <c r="D81" s="4">
        <v>0.52865925313285</v>
      </c>
      <c r="E81" s="4">
        <v>0.54501321876121422</v>
      </c>
      <c r="F81" s="4">
        <v>0.98099999999999998</v>
      </c>
      <c r="G81" s="4">
        <v>0</v>
      </c>
      <c r="H81" s="8">
        <v>0.41209986891906297</v>
      </c>
      <c r="I81" s="4">
        <v>0.74438324352443996</v>
      </c>
      <c r="J81" s="4">
        <v>0.69728582739798295</v>
      </c>
      <c r="K81" s="4">
        <v>0.72921619021071304</v>
      </c>
      <c r="L81" s="4">
        <v>0.126913910440142</v>
      </c>
      <c r="M81" s="4">
        <v>0.75955029683816699</v>
      </c>
      <c r="N81" s="4">
        <v>0.53400564494559</v>
      </c>
      <c r="O81" s="4">
        <v>0.53506393677153197</v>
      </c>
      <c r="P81" s="4">
        <v>0.58448260522200102</v>
      </c>
      <c r="Q81" s="4">
        <v>0.60258826069942395</v>
      </c>
      <c r="R81" s="4">
        <v>0.77766599605714204</v>
      </c>
      <c r="S81" s="8">
        <v>0.13380281690000001</v>
      </c>
      <c r="T81" s="8">
        <v>0.1549295775</v>
      </c>
      <c r="U81" s="8">
        <v>0.38732394370000001</v>
      </c>
      <c r="V81" s="8">
        <v>0.32394366200000002</v>
      </c>
      <c r="W81" s="8">
        <v>0.80784708241428504</v>
      </c>
      <c r="X81" s="8">
        <v>3.5211267599999999E-2</v>
      </c>
      <c r="Y81" s="8">
        <v>0.2746478873</v>
      </c>
      <c r="Z81" s="8">
        <v>0.4436619718</v>
      </c>
      <c r="AA81" s="8">
        <v>0.246478873199999</v>
      </c>
      <c r="AB81" s="8">
        <v>0.8259172521</v>
      </c>
      <c r="AC81" s="8">
        <v>4.9180327900000001E-2</v>
      </c>
      <c r="AD81" s="8">
        <v>0.21857923499999901</v>
      </c>
      <c r="AE81" s="8">
        <v>0.35519125680000002</v>
      </c>
      <c r="AF81" s="8">
        <v>0.37704918030000001</v>
      </c>
      <c r="AG81" s="4">
        <v>0.74707259954285699</v>
      </c>
      <c r="AH81" s="4">
        <v>8.7431693999999893E-2</v>
      </c>
      <c r="AI81" s="4">
        <v>0.2896174863</v>
      </c>
      <c r="AJ81" s="4">
        <v>0.32786885249999997</v>
      </c>
      <c r="AK81" s="4">
        <v>0.29508196720000002</v>
      </c>
      <c r="AL81" s="4">
        <v>0.9281045752</v>
      </c>
      <c r="AM81" s="4">
        <v>0.93421052630000001</v>
      </c>
      <c r="AN81" s="4">
        <v>0.9432989691</v>
      </c>
      <c r="AO81" s="4">
        <v>0.9432989691</v>
      </c>
      <c r="AP81" s="4">
        <v>0</v>
      </c>
      <c r="AQ81" s="4" t="s">
        <v>137</v>
      </c>
      <c r="AR81" s="4">
        <v>0</v>
      </c>
      <c r="AS81" s="4" t="s">
        <v>138</v>
      </c>
      <c r="AT81" s="4">
        <v>0</v>
      </c>
      <c r="AU81" s="4" t="s">
        <v>139</v>
      </c>
      <c r="AV81" s="4">
        <v>0</v>
      </c>
      <c r="AW81" s="4" t="s">
        <v>140</v>
      </c>
      <c r="AX81" s="4">
        <v>0</v>
      </c>
      <c r="AY81" s="11">
        <f>VLOOKUP(B81,[1]Página1!$A:$E,4,0)</f>
        <v>5691232.2400000002</v>
      </c>
    </row>
    <row r="82" spans="1:51" ht="15.75" customHeight="1" x14ac:dyDescent="0.3">
      <c r="A82" s="4">
        <v>3201704</v>
      </c>
      <c r="B82" s="4" t="s">
        <v>55</v>
      </c>
      <c r="C82" s="7">
        <v>2023</v>
      </c>
      <c r="D82" s="4">
        <v>0.65894721128820277</v>
      </c>
      <c r="E82" s="4">
        <v>0.64153731351875087</v>
      </c>
      <c r="F82" s="4">
        <v>0.98699999999999999</v>
      </c>
      <c r="G82" s="4">
        <v>0.41214061216718123</v>
      </c>
      <c r="H82" s="8">
        <v>0.58443742926922604</v>
      </c>
      <c r="I82" s="4">
        <v>0.72718713989303896</v>
      </c>
      <c r="J82" s="4">
        <v>0.76221470333692198</v>
      </c>
      <c r="K82" s="4">
        <v>0.73624208289138704</v>
      </c>
      <c r="L82" s="4">
        <v>0.40666015520152898</v>
      </c>
      <c r="M82" s="4">
        <v>0.71813219689469099</v>
      </c>
      <c r="N82" s="4">
        <v>0.60254714428810996</v>
      </c>
      <c r="O82" s="4">
        <v>0.59285255730601505</v>
      </c>
      <c r="P82" s="4">
        <v>0.59801013399987202</v>
      </c>
      <c r="Q82" s="4">
        <v>0.59257900634424798</v>
      </c>
      <c r="R82" s="4">
        <v>0.87510692904285703</v>
      </c>
      <c r="S82" s="8">
        <v>8.3832335300000005E-2</v>
      </c>
      <c r="T82" s="8">
        <v>7.1856287399999996E-2</v>
      </c>
      <c r="U82" s="8">
        <v>0.34131736529999901</v>
      </c>
      <c r="V82" s="8">
        <v>0.50299401199999905</v>
      </c>
      <c r="W82" s="8">
        <v>0.888984509528571</v>
      </c>
      <c r="X82" s="8">
        <v>1.8072289200000001E-2</v>
      </c>
      <c r="Y82" s="8">
        <v>0.16265060240000001</v>
      </c>
      <c r="Z82" s="8">
        <v>0.42771084339999998</v>
      </c>
      <c r="AA82" s="8">
        <v>0.39156626509999998</v>
      </c>
      <c r="AB82" s="8">
        <v>0.83166023171428505</v>
      </c>
      <c r="AC82" s="8">
        <v>3.2432432400000002E-2</v>
      </c>
      <c r="AD82" s="8">
        <v>0.23783783780000001</v>
      </c>
      <c r="AE82" s="8">
        <v>0.36756756759999998</v>
      </c>
      <c r="AF82" s="8">
        <v>0.36216216219999903</v>
      </c>
      <c r="AG82" s="4">
        <v>0.72972972972857097</v>
      </c>
      <c r="AH82" s="4">
        <v>9.7297297300000002E-2</v>
      </c>
      <c r="AI82" s="4">
        <v>0.30270270269999999</v>
      </c>
      <c r="AJ82" s="4">
        <v>0.33513513509999998</v>
      </c>
      <c r="AK82" s="4">
        <v>0.2648648649</v>
      </c>
      <c r="AL82" s="4">
        <v>0.9709302326</v>
      </c>
      <c r="AM82" s="4">
        <v>0.97076023389999999</v>
      </c>
      <c r="AN82" s="4">
        <v>0.97368421049999998</v>
      </c>
      <c r="AO82" s="4">
        <v>0.97368421049999998</v>
      </c>
      <c r="AP82" s="4" t="s">
        <v>141</v>
      </c>
      <c r="AQ82" s="4" t="s">
        <v>142</v>
      </c>
      <c r="AR82" s="4">
        <v>0</v>
      </c>
      <c r="AS82" s="4" t="s">
        <v>143</v>
      </c>
      <c r="AT82" s="4">
        <v>1</v>
      </c>
      <c r="AU82" s="4" t="s">
        <v>144</v>
      </c>
      <c r="AV82" s="4" t="s">
        <v>145</v>
      </c>
      <c r="AW82" s="4" t="s">
        <v>146</v>
      </c>
      <c r="AX82" s="4" t="s">
        <v>147</v>
      </c>
      <c r="AY82" s="11">
        <f>VLOOKUP(B82,[1]Página1!$A:$E,4,0)</f>
        <v>7346675.0099999998</v>
      </c>
    </row>
    <row r="83" spans="1:51" ht="15.75" customHeight="1" x14ac:dyDescent="0.3">
      <c r="A83" s="4">
        <v>3201902</v>
      </c>
      <c r="B83" s="4" t="s">
        <v>56</v>
      </c>
      <c r="C83" s="7">
        <v>2023</v>
      </c>
      <c r="D83" s="4">
        <v>0.67443002225455517</v>
      </c>
      <c r="E83" s="4">
        <v>0.61734278621253647</v>
      </c>
      <c r="F83" s="4">
        <v>0.9840000000000001</v>
      </c>
      <c r="G83" s="4">
        <v>0.63126714603853107</v>
      </c>
      <c r="H83" s="8">
        <v>0.61119754898834</v>
      </c>
      <c r="I83" s="4">
        <v>0.62656064204883</v>
      </c>
      <c r="J83" s="4">
        <v>0.76036913925040295</v>
      </c>
      <c r="K83" s="4">
        <v>0.72054589287256898</v>
      </c>
      <c r="L83" s="4">
        <v>0.462025958726277</v>
      </c>
      <c r="M83" s="4">
        <v>0.53257539122509101</v>
      </c>
      <c r="N83" s="4">
        <v>0.63150015119341396</v>
      </c>
      <c r="O83" s="4">
        <v>0.56585427168332503</v>
      </c>
      <c r="P83" s="4">
        <v>0.57649122619303805</v>
      </c>
      <c r="Q83" s="4">
        <v>0.58883500121152399</v>
      </c>
      <c r="R83" s="4">
        <v>0.88773185809999999</v>
      </c>
      <c r="S83" s="8">
        <v>7.9726651499999995E-2</v>
      </c>
      <c r="T83" s="8">
        <v>5.6947608199999999E-2</v>
      </c>
      <c r="U83" s="8">
        <v>0.27562642370000001</v>
      </c>
      <c r="V83" s="8">
        <v>0.58769931659999997</v>
      </c>
      <c r="W83" s="8">
        <v>0.85091743115714302</v>
      </c>
      <c r="X83" s="8">
        <v>3.8990825700000002E-2</v>
      </c>
      <c r="Y83" s="8">
        <v>0.192660550499999</v>
      </c>
      <c r="Z83" s="8">
        <v>0.48165137609999997</v>
      </c>
      <c r="AA83" s="8">
        <v>0.28669724769999999</v>
      </c>
      <c r="AB83" s="8">
        <v>0.82302212217142801</v>
      </c>
      <c r="AC83" s="8">
        <v>5.24934383E-2</v>
      </c>
      <c r="AD83" s="8">
        <v>0.217847769</v>
      </c>
      <c r="AE83" s="8">
        <v>0.43307086610000001</v>
      </c>
      <c r="AF83" s="8">
        <v>0.29658792649999999</v>
      </c>
      <c r="AG83" s="4">
        <v>0.752155980599999</v>
      </c>
      <c r="AH83" s="4">
        <v>0.102362204699999</v>
      </c>
      <c r="AI83" s="4">
        <v>0.25459317590000002</v>
      </c>
      <c r="AJ83" s="4">
        <v>0.38582677169999902</v>
      </c>
      <c r="AK83" s="4">
        <v>0.25721784780000001</v>
      </c>
      <c r="AL83" s="4">
        <v>0.96061269149999995</v>
      </c>
      <c r="AM83" s="4">
        <v>0.95404814000000004</v>
      </c>
      <c r="AN83" s="4">
        <v>0.9292682927</v>
      </c>
      <c r="AO83" s="4">
        <v>0.9292682927</v>
      </c>
      <c r="AP83" s="4" t="s">
        <v>148</v>
      </c>
      <c r="AQ83" s="4" t="s">
        <v>149</v>
      </c>
      <c r="AR83" s="4">
        <v>1</v>
      </c>
      <c r="AS83" s="4" t="s">
        <v>150</v>
      </c>
      <c r="AT83" s="4">
        <v>1</v>
      </c>
      <c r="AU83" s="4" t="s">
        <v>151</v>
      </c>
      <c r="AV83" s="4" t="s">
        <v>152</v>
      </c>
      <c r="AW83" s="4" t="s">
        <v>153</v>
      </c>
      <c r="AX83" s="4" t="s">
        <v>154</v>
      </c>
      <c r="AY83" s="11">
        <f>VLOOKUP(B83,[1]Página1!$A:$E,4,0)</f>
        <v>7260513.96</v>
      </c>
    </row>
    <row r="84" spans="1:51" ht="15.75" customHeight="1" x14ac:dyDescent="0.3">
      <c r="A84" s="4">
        <v>3203163</v>
      </c>
      <c r="B84" s="4" t="s">
        <v>57</v>
      </c>
      <c r="C84" s="7">
        <v>2023</v>
      </c>
      <c r="D84" s="4">
        <v>0.78476860146805183</v>
      </c>
      <c r="E84" s="4">
        <v>0.70024085924007395</v>
      </c>
      <c r="F84" s="4">
        <v>0.96400000000000008</v>
      </c>
      <c r="G84" s="4">
        <v>1</v>
      </c>
      <c r="H84" s="8">
        <v>0.75605428985721401</v>
      </c>
      <c r="I84" s="4">
        <v>0.61652071331436298</v>
      </c>
      <c r="J84" s="4">
        <v>0.79847616504893104</v>
      </c>
      <c r="K84" s="4">
        <v>0.76696425518037403</v>
      </c>
      <c r="L84" s="4">
        <v>0.71363241466549698</v>
      </c>
      <c r="M84" s="4">
        <v>0.46607717144835098</v>
      </c>
      <c r="N84" s="4">
        <v>0.64475285841684005</v>
      </c>
      <c r="O84" s="4">
        <v>0.66260881966582597</v>
      </c>
      <c r="P84" s="4">
        <v>0.61580712394420101</v>
      </c>
      <c r="Q84" s="4">
        <v>0.64321046726301101</v>
      </c>
      <c r="R84" s="4">
        <v>0.9338624338</v>
      </c>
      <c r="S84" s="8">
        <v>1.8518518500000001E-2</v>
      </c>
      <c r="T84" s="8">
        <v>8.3333333300000006E-2</v>
      </c>
      <c r="U84" s="8">
        <v>0.33333333329999998</v>
      </c>
      <c r="V84" s="8">
        <v>0.56481481479999995</v>
      </c>
      <c r="W84" s="8">
        <v>0.93915343925714301</v>
      </c>
      <c r="X84" s="8">
        <v>1.8518518500000001E-2</v>
      </c>
      <c r="Y84" s="8">
        <v>7.4074074099999998E-2</v>
      </c>
      <c r="Z84" s="8">
        <v>0.30555555559999997</v>
      </c>
      <c r="AA84" s="8">
        <v>0.60185185190000001</v>
      </c>
      <c r="AB84" s="8">
        <v>0.888888888942857</v>
      </c>
      <c r="AC84" s="8">
        <v>3.7037037000000002E-2</v>
      </c>
      <c r="AD84" s="8">
        <v>0.12962962959999999</v>
      </c>
      <c r="AE84" s="8">
        <v>0.41666666669999902</v>
      </c>
      <c r="AF84" s="8">
        <v>0.41666666669999902</v>
      </c>
      <c r="AG84" s="4">
        <v>0.85052910048571395</v>
      </c>
      <c r="AH84" s="4">
        <v>2.77777778E-2</v>
      </c>
      <c r="AI84" s="4">
        <v>0.21296296300000001</v>
      </c>
      <c r="AJ84" s="4">
        <v>0.4259259259</v>
      </c>
      <c r="AK84" s="4">
        <v>0.33333333329999998</v>
      </c>
      <c r="AL84" s="4">
        <v>0.94736842109999997</v>
      </c>
      <c r="AM84" s="4">
        <v>0.96428571429999999</v>
      </c>
      <c r="AN84" s="4">
        <v>0.93913043480000002</v>
      </c>
      <c r="AO84" s="4">
        <v>0.93913043480000002</v>
      </c>
      <c r="AP84" s="4">
        <v>1</v>
      </c>
      <c r="AQ84" s="4" t="s">
        <v>155</v>
      </c>
      <c r="AR84" s="4">
        <v>1</v>
      </c>
      <c r="AS84" s="4" t="s">
        <v>156</v>
      </c>
      <c r="AT84" s="4">
        <v>1</v>
      </c>
      <c r="AU84" s="4" t="s">
        <v>157</v>
      </c>
      <c r="AV84" s="4">
        <v>1</v>
      </c>
      <c r="AW84" s="4" t="s">
        <v>158</v>
      </c>
      <c r="AX84" s="4">
        <v>1</v>
      </c>
      <c r="AY84" s="11">
        <f>VLOOKUP(B84,[1]Página1!$A:$E,4,0)</f>
        <v>8448353.7200000007</v>
      </c>
    </row>
    <row r="85" spans="1:51" ht="15.75" customHeight="1" x14ac:dyDescent="0.3">
      <c r="A85" s="4">
        <v>3204559</v>
      </c>
      <c r="B85" s="4" t="s">
        <v>58</v>
      </c>
      <c r="C85" s="7">
        <v>2023</v>
      </c>
      <c r="D85" s="4">
        <v>0.75970067492315163</v>
      </c>
      <c r="E85" s="4">
        <v>0.70632088017197581</v>
      </c>
      <c r="F85" s="4">
        <v>0.96400000000000008</v>
      </c>
      <c r="G85" s="4">
        <v>0.80450705868512451</v>
      </c>
      <c r="H85" s="8">
        <v>0.75924893610935695</v>
      </c>
      <c r="I85" s="4">
        <v>0.62692879626590303</v>
      </c>
      <c r="J85" s="4">
        <v>0.77899888374072002</v>
      </c>
      <c r="K85" s="4">
        <v>0.73283990057039095</v>
      </c>
      <c r="L85" s="4">
        <v>0.739498988477993</v>
      </c>
      <c r="M85" s="4">
        <v>0.52101769196141601</v>
      </c>
      <c r="N85" s="4">
        <v>0.63594718737954203</v>
      </c>
      <c r="O85" s="4">
        <v>0.63228348660214695</v>
      </c>
      <c r="P85" s="4">
        <v>0.56962657131879102</v>
      </c>
      <c r="Q85" s="4">
        <v>0.60638514469134397</v>
      </c>
      <c r="R85" s="4">
        <v>0.89297347598571397</v>
      </c>
      <c r="S85" s="8">
        <v>5.86319218E-2</v>
      </c>
      <c r="T85" s="8">
        <v>8.4690553699999893E-2</v>
      </c>
      <c r="U85" s="8">
        <v>0.27035830620000001</v>
      </c>
      <c r="V85" s="8">
        <v>0.58631921819999999</v>
      </c>
      <c r="W85" s="8">
        <v>0.93531875288571398</v>
      </c>
      <c r="X85" s="8">
        <v>1.6286644999999999E-2</v>
      </c>
      <c r="Y85" s="8">
        <v>8.4690553699999893E-2</v>
      </c>
      <c r="Z85" s="8">
        <v>0.42671009769999901</v>
      </c>
      <c r="AA85" s="8">
        <v>0.47231270359999999</v>
      </c>
      <c r="AB85" s="8">
        <v>0.82512315271428505</v>
      </c>
      <c r="AC85" s="8">
        <v>4.4827586199999998E-2</v>
      </c>
      <c r="AD85" s="8">
        <v>0.2275862069</v>
      </c>
      <c r="AE85" s="8">
        <v>0.45172413789999999</v>
      </c>
      <c r="AF85" s="8">
        <v>0.27586206899999999</v>
      </c>
      <c r="AG85" s="4">
        <v>0.79014778322857104</v>
      </c>
      <c r="AH85" s="4">
        <v>7.5862068999999893E-2</v>
      </c>
      <c r="AI85" s="4">
        <v>0.23448275859999901</v>
      </c>
      <c r="AJ85" s="4">
        <v>0.43448275860000002</v>
      </c>
      <c r="AK85" s="4">
        <v>0.2551724138</v>
      </c>
      <c r="AL85" s="4">
        <v>0.93597560979999905</v>
      </c>
      <c r="AM85" s="4">
        <v>0.93883792049999903</v>
      </c>
      <c r="AN85" s="4">
        <v>0.94771241829999997</v>
      </c>
      <c r="AO85" s="4">
        <v>0.94771241829999997</v>
      </c>
      <c r="AP85" s="4" t="s">
        <v>159</v>
      </c>
      <c r="AQ85" s="4" t="s">
        <v>160</v>
      </c>
      <c r="AR85" s="4">
        <v>1</v>
      </c>
      <c r="AS85" s="4" t="s">
        <v>161</v>
      </c>
      <c r="AT85" s="4">
        <v>1</v>
      </c>
      <c r="AU85" s="4" t="s">
        <v>162</v>
      </c>
      <c r="AV85" s="4" t="s">
        <v>163</v>
      </c>
      <c r="AW85" s="4" t="s">
        <v>164</v>
      </c>
      <c r="AX85" s="4">
        <v>1</v>
      </c>
      <c r="AY85" s="11">
        <f>VLOOKUP(B85,[1]Página1!$A:$E,4,0)</f>
        <v>8178487.2800000003</v>
      </c>
    </row>
    <row r="86" spans="1:51" ht="15.75" customHeight="1" x14ac:dyDescent="0.3">
      <c r="A86" s="4">
        <v>3205069</v>
      </c>
      <c r="B86" s="4" t="s">
        <v>59</v>
      </c>
      <c r="C86" s="7">
        <v>2023</v>
      </c>
      <c r="D86" s="4">
        <v>0.76201751168823351</v>
      </c>
      <c r="E86" s="4">
        <v>0.71531073098319087</v>
      </c>
      <c r="F86" s="4">
        <v>0.99199999999999999</v>
      </c>
      <c r="G86" s="4">
        <v>0.75</v>
      </c>
      <c r="H86" s="8">
        <v>0.776705909935137</v>
      </c>
      <c r="I86" s="4">
        <v>0.62321796255527095</v>
      </c>
      <c r="J86" s="4">
        <v>0.732113569270324</v>
      </c>
      <c r="K86" s="4">
        <v>0.70368243259637497</v>
      </c>
      <c r="L86" s="4">
        <v>0.82129825059994899</v>
      </c>
      <c r="M86" s="4">
        <v>0.54275349251416705</v>
      </c>
      <c r="N86" s="4">
        <v>0.61069635780264797</v>
      </c>
      <c r="O86" s="4">
        <v>0.54403480265122295</v>
      </c>
      <c r="P86" s="4">
        <v>0.59353825830027396</v>
      </c>
      <c r="Q86" s="4">
        <v>0.54659175412808503</v>
      </c>
      <c r="R86" s="4">
        <v>0.909340659328571</v>
      </c>
      <c r="S86" s="8">
        <v>5.7692307700000001E-2</v>
      </c>
      <c r="T86" s="8">
        <v>5.7692307700000001E-2</v>
      </c>
      <c r="U86" s="8">
        <v>0.3653846154</v>
      </c>
      <c r="V86" s="8">
        <v>0.5192307692</v>
      </c>
      <c r="W86" s="8">
        <v>0.84313725490000002</v>
      </c>
      <c r="X86" s="8">
        <v>3.9215686299999997E-2</v>
      </c>
      <c r="Y86" s="8">
        <v>0.20588235290000001</v>
      </c>
      <c r="Z86" s="8">
        <v>0.5</v>
      </c>
      <c r="AA86" s="8">
        <v>0.25490196079999999</v>
      </c>
      <c r="AB86" s="8">
        <v>0.84948979589999896</v>
      </c>
      <c r="AC86" s="8">
        <v>1.7857142900000001E-2</v>
      </c>
      <c r="AD86" s="8">
        <v>0.23214285709999999</v>
      </c>
      <c r="AE86" s="8">
        <v>0.40178571429999999</v>
      </c>
      <c r="AF86" s="8">
        <v>0.34821428570000001</v>
      </c>
      <c r="AG86" s="4">
        <v>0.67857142861428499</v>
      </c>
      <c r="AH86" s="4">
        <v>0.1071428571</v>
      </c>
      <c r="AI86" s="4">
        <v>0.375</v>
      </c>
      <c r="AJ86" s="4">
        <v>0.36607142860000003</v>
      </c>
      <c r="AK86" s="4">
        <v>0.15178571429999899</v>
      </c>
      <c r="AL86" s="4">
        <v>0.88135593219999997</v>
      </c>
      <c r="AM86" s="4">
        <v>0.87179487179999904</v>
      </c>
      <c r="AN86" s="4">
        <v>0.91056910570000005</v>
      </c>
      <c r="AO86" s="4">
        <v>0.91056910570000005</v>
      </c>
      <c r="AP86" s="4" t="s">
        <v>165</v>
      </c>
      <c r="AQ86" s="4" t="s">
        <v>166</v>
      </c>
      <c r="AR86" s="4">
        <v>1</v>
      </c>
      <c r="AS86" s="4" t="s">
        <v>167</v>
      </c>
      <c r="AT86" s="4">
        <v>1</v>
      </c>
      <c r="AU86" s="4" t="s">
        <v>168</v>
      </c>
      <c r="AV86" s="4">
        <v>0</v>
      </c>
      <c r="AW86" s="4" t="s">
        <v>169</v>
      </c>
      <c r="AX86" s="4">
        <v>1</v>
      </c>
      <c r="AY86" s="11">
        <f>VLOOKUP(B86,[1]Página1!$A:$E,4,0)</f>
        <v>8203428.9699999997</v>
      </c>
    </row>
    <row r="87" spans="1:51" ht="15.75" customHeight="1" x14ac:dyDescent="0.3">
      <c r="A87" s="4">
        <v>3200169</v>
      </c>
      <c r="B87" s="4" t="s">
        <v>60</v>
      </c>
      <c r="C87" s="7">
        <v>2023</v>
      </c>
      <c r="D87" s="4">
        <v>0.70239656069965206</v>
      </c>
      <c r="E87" s="4">
        <v>0.73192125177393641</v>
      </c>
      <c r="F87" s="4">
        <v>0.996</v>
      </c>
      <c r="G87" s="4">
        <v>0.27101122971931052</v>
      </c>
      <c r="H87" s="8">
        <v>0.87508902427291202</v>
      </c>
      <c r="I87" s="4">
        <v>0.51716959302547205</v>
      </c>
      <c r="J87" s="4">
        <v>0.75017804854582404</v>
      </c>
      <c r="K87" s="4">
        <v>0.68820604565969701</v>
      </c>
      <c r="L87" s="4">
        <v>1</v>
      </c>
      <c r="M87" s="4">
        <v>0.34613314039124699</v>
      </c>
      <c r="N87" s="4">
        <v>0.595833512941077</v>
      </c>
      <c r="O87" s="4">
        <v>0.63164712359250796</v>
      </c>
      <c r="P87" s="4">
        <v>0.541121243155953</v>
      </c>
      <c r="Q87" s="4">
        <v>0.56226083229711998</v>
      </c>
      <c r="R87" s="4">
        <v>0.85966386557142804</v>
      </c>
      <c r="S87" s="8">
        <v>7.6470588199999995E-2</v>
      </c>
      <c r="T87" s="8">
        <v>0.1117647059</v>
      </c>
      <c r="U87" s="8">
        <v>0.35882352939999901</v>
      </c>
      <c r="V87" s="8">
        <v>0.45294117649999999</v>
      </c>
      <c r="W87" s="8">
        <v>0.90617075224285704</v>
      </c>
      <c r="X87" s="8">
        <v>2.95857987999999E-2</v>
      </c>
      <c r="Y87" s="8">
        <v>0.11242603549999999</v>
      </c>
      <c r="Z87" s="8">
        <v>0.23668639049999901</v>
      </c>
      <c r="AA87" s="8">
        <v>0.62130177509999995</v>
      </c>
      <c r="AB87" s="8">
        <v>0.73239436612857101</v>
      </c>
      <c r="AC87" s="8">
        <v>7.0422535199999997E-2</v>
      </c>
      <c r="AD87" s="8">
        <v>0.34507042249999997</v>
      </c>
      <c r="AE87" s="8">
        <v>0.34507042249999997</v>
      </c>
      <c r="AF87" s="8">
        <v>0.23943661969999999</v>
      </c>
      <c r="AG87" s="4">
        <v>0.72233400404285697</v>
      </c>
      <c r="AH87" s="4">
        <v>0.11267605629999999</v>
      </c>
      <c r="AI87" s="4">
        <v>0.28873239439999998</v>
      </c>
      <c r="AJ87" s="4">
        <v>0.38732394370000001</v>
      </c>
      <c r="AK87" s="4">
        <v>0.21126760559999999</v>
      </c>
      <c r="AL87" s="4">
        <v>0.90425531910000001</v>
      </c>
      <c r="AM87" s="4">
        <v>0.89893617019999905</v>
      </c>
      <c r="AN87" s="4">
        <v>0.92207792209999995</v>
      </c>
      <c r="AO87" s="4">
        <v>0.92207792209999995</v>
      </c>
      <c r="AP87" s="4" t="s">
        <v>170</v>
      </c>
      <c r="AQ87" s="4" t="s">
        <v>171</v>
      </c>
      <c r="AR87" s="4">
        <v>0</v>
      </c>
      <c r="AS87" s="4" t="s">
        <v>172</v>
      </c>
      <c r="AT87" s="4">
        <v>1</v>
      </c>
      <c r="AU87" s="4" t="s">
        <v>173</v>
      </c>
      <c r="AV87" s="4">
        <v>0</v>
      </c>
      <c r="AW87" s="4" t="s">
        <v>174</v>
      </c>
      <c r="AX87" s="4" t="s">
        <v>175</v>
      </c>
      <c r="AY87" s="11">
        <f>VLOOKUP(B87,[1]Página1!$A:$E,4,0)</f>
        <v>7561585.1399999997</v>
      </c>
    </row>
    <row r="88" spans="1:51" ht="15.75" customHeight="1" x14ac:dyDescent="0.3">
      <c r="A88" s="4">
        <v>3200136</v>
      </c>
      <c r="B88" s="4" t="s">
        <v>61</v>
      </c>
      <c r="C88" s="7">
        <v>2023</v>
      </c>
      <c r="D88" s="4">
        <v>0.77040001235428068</v>
      </c>
      <c r="E88" s="4">
        <v>0.715964324069716</v>
      </c>
      <c r="F88" s="4">
        <v>1</v>
      </c>
      <c r="G88" s="4">
        <v>0.79483323670319617</v>
      </c>
      <c r="H88" s="8">
        <v>0.77013340233805405</v>
      </c>
      <c r="I88" s="4">
        <v>0.63471070666720797</v>
      </c>
      <c r="J88" s="4">
        <v>0.81624413616695302</v>
      </c>
      <c r="K88" s="4">
        <v>0.73129917353599605</v>
      </c>
      <c r="L88" s="4">
        <v>0.72402266850915498</v>
      </c>
      <c r="M88" s="4">
        <v>0.53812223979842</v>
      </c>
      <c r="N88" s="4">
        <v>0.66010966766892998</v>
      </c>
      <c r="O88" s="4">
        <v>0.70193514228851595</v>
      </c>
      <c r="P88" s="4">
        <v>0.58175714770077003</v>
      </c>
      <c r="Q88" s="4">
        <v>0.60145127152178701</v>
      </c>
      <c r="R88" s="4">
        <v>0.96903096909999997</v>
      </c>
      <c r="S88" s="8">
        <v>6.9930069999999999E-3</v>
      </c>
      <c r="T88" s="8">
        <v>4.1958042000000001E-2</v>
      </c>
      <c r="U88" s="8">
        <v>0.34265734269999998</v>
      </c>
      <c r="V88" s="8">
        <v>0.60839160839999995</v>
      </c>
      <c r="W88" s="8">
        <v>0.97973657548571402</v>
      </c>
      <c r="X88" s="8">
        <v>0</v>
      </c>
      <c r="Y88" s="8">
        <v>3.5460992900000002E-2</v>
      </c>
      <c r="Z88" s="8">
        <v>0.1914893617</v>
      </c>
      <c r="AA88" s="8">
        <v>0.77304964539999999</v>
      </c>
      <c r="AB88" s="8">
        <v>0.82817182817142798</v>
      </c>
      <c r="AC88" s="8">
        <v>2.7972027999999999E-2</v>
      </c>
      <c r="AD88" s="8">
        <v>0.25174825169999998</v>
      </c>
      <c r="AE88" s="8">
        <v>0.39860139859999999</v>
      </c>
      <c r="AF88" s="8">
        <v>0.32167832169999999</v>
      </c>
      <c r="AG88" s="4">
        <v>0.77422577427142802</v>
      </c>
      <c r="AH88" s="4">
        <v>6.9930069900000003E-2</v>
      </c>
      <c r="AI88" s="4">
        <v>0.27272727270000002</v>
      </c>
      <c r="AJ88" s="4">
        <v>0.41258741259999998</v>
      </c>
      <c r="AK88" s="4">
        <v>0.24475524479999999</v>
      </c>
      <c r="AL88" s="4">
        <v>0.94078947369999999</v>
      </c>
      <c r="AM88" s="4">
        <v>0.93377483439999998</v>
      </c>
      <c r="AN88" s="4">
        <v>0.94078947369999999</v>
      </c>
      <c r="AO88" s="4">
        <v>0.94078947369999999</v>
      </c>
      <c r="AP88" s="4" t="s">
        <v>176</v>
      </c>
      <c r="AQ88" s="4" t="s">
        <v>177</v>
      </c>
      <c r="AR88" s="4">
        <v>1</v>
      </c>
      <c r="AS88" s="4" t="s">
        <v>178</v>
      </c>
      <c r="AT88" s="4">
        <v>1</v>
      </c>
      <c r="AU88" s="4" t="s">
        <v>179</v>
      </c>
      <c r="AV88" s="4">
        <v>1</v>
      </c>
      <c r="AW88" s="4" t="s">
        <v>180</v>
      </c>
      <c r="AX88" s="4" t="s">
        <v>181</v>
      </c>
      <c r="AY88" s="11">
        <f>VLOOKUP(B88,[1]Página1!$A:$E,4,0)</f>
        <v>8293670.0099999998</v>
      </c>
    </row>
    <row r="89" spans="1:51" ht="15.75" customHeight="1" x14ac:dyDescent="0.3">
      <c r="A89" s="4">
        <v>3200904</v>
      </c>
      <c r="B89" s="4" t="s">
        <v>62</v>
      </c>
      <c r="C89" s="7">
        <v>2023</v>
      </c>
      <c r="D89" s="4">
        <v>0.69046040960724198</v>
      </c>
      <c r="E89" s="4">
        <v>0.64321725732522128</v>
      </c>
      <c r="F89" s="4">
        <v>0.98</v>
      </c>
      <c r="G89" s="4">
        <v>0.62138886319724773</v>
      </c>
      <c r="H89" s="8">
        <v>0.645411119478291</v>
      </c>
      <c r="I89" s="4">
        <v>0.63992646409561504</v>
      </c>
      <c r="J89" s="4">
        <v>0.75494069273551101</v>
      </c>
      <c r="K89" s="4">
        <v>0.72564368320897499</v>
      </c>
      <c r="L89" s="4">
        <v>0.53588154622107198</v>
      </c>
      <c r="M89" s="4">
        <v>0.55420924498225399</v>
      </c>
      <c r="N89" s="4">
        <v>0.59762987886547003</v>
      </c>
      <c r="O89" s="4">
        <v>0.60698724253649405</v>
      </c>
      <c r="P89" s="4">
        <v>0.58475927147282103</v>
      </c>
      <c r="Q89" s="4">
        <v>0.59127394400593603</v>
      </c>
      <c r="R89" s="4">
        <v>0.87963774468571398</v>
      </c>
      <c r="S89" s="8">
        <v>6.5439672800000001E-2</v>
      </c>
      <c r="T89" s="8">
        <v>9.6114519400000001E-2</v>
      </c>
      <c r="U89" s="8">
        <v>0.37627811859999999</v>
      </c>
      <c r="V89" s="8">
        <v>0.46216768920000001</v>
      </c>
      <c r="W89" s="8">
        <v>0.88765033735714205</v>
      </c>
      <c r="X89" s="8">
        <v>3.4907597499999998E-2</v>
      </c>
      <c r="Y89" s="8">
        <v>0.13552361399999999</v>
      </c>
      <c r="Z89" s="8">
        <v>0.37577002049999902</v>
      </c>
      <c r="AA89" s="8">
        <v>0.45379876799999902</v>
      </c>
      <c r="AB89" s="8">
        <v>0.82765399737142797</v>
      </c>
      <c r="AC89" s="8">
        <v>5.0458715600000002E-2</v>
      </c>
      <c r="AD89" s="8">
        <v>0.21330275230000001</v>
      </c>
      <c r="AE89" s="8">
        <v>0.37614678899999998</v>
      </c>
      <c r="AF89" s="8">
        <v>0.36009174309999997</v>
      </c>
      <c r="AG89" s="4">
        <v>0.75819134994285697</v>
      </c>
      <c r="AH89" s="4">
        <v>9.6330275199999996E-2</v>
      </c>
      <c r="AI89" s="4">
        <v>0.25458715599999998</v>
      </c>
      <c r="AJ89" s="4">
        <v>0.42201834859999998</v>
      </c>
      <c r="AK89" s="4">
        <v>0.2270642202</v>
      </c>
      <c r="AL89" s="4">
        <v>0.93499043979999996</v>
      </c>
      <c r="AM89" s="4">
        <v>0.93295019159999903</v>
      </c>
      <c r="AN89" s="4">
        <v>0.93361884370000003</v>
      </c>
      <c r="AO89" s="4">
        <v>0.93361884370000003</v>
      </c>
      <c r="AP89" s="4" t="s">
        <v>182</v>
      </c>
      <c r="AQ89" s="4" t="s">
        <v>183</v>
      </c>
      <c r="AR89" s="4">
        <v>1</v>
      </c>
      <c r="AS89" s="4" t="s">
        <v>184</v>
      </c>
      <c r="AT89" s="4">
        <v>1</v>
      </c>
      <c r="AU89" s="4" t="s">
        <v>185</v>
      </c>
      <c r="AV89" s="4" t="s">
        <v>186</v>
      </c>
      <c r="AW89" s="4" t="s">
        <v>187</v>
      </c>
      <c r="AX89" s="4" t="s">
        <v>188</v>
      </c>
      <c r="AY89" s="11">
        <f>VLOOKUP(B89,[1]Página1!$A:$E,4,0)</f>
        <v>7433087.6100000003</v>
      </c>
    </row>
    <row r="90" spans="1:51" ht="15.75" customHeight="1" x14ac:dyDescent="0.3">
      <c r="A90" s="4">
        <v>3202108</v>
      </c>
      <c r="B90" s="4" t="s">
        <v>63</v>
      </c>
      <c r="C90" s="7">
        <v>2023</v>
      </c>
      <c r="D90" s="4">
        <v>0.7019715777684522</v>
      </c>
      <c r="E90" s="4">
        <v>0.71359327025775388</v>
      </c>
      <c r="F90" s="4">
        <v>1</v>
      </c>
      <c r="G90" s="4">
        <v>0.34970859058682996</v>
      </c>
      <c r="H90" s="8">
        <v>0.69366430646091803</v>
      </c>
      <c r="I90" s="4">
        <v>0.74348671595300697</v>
      </c>
      <c r="J90" s="4">
        <v>0.72099998832301404</v>
      </c>
      <c r="K90" s="4">
        <v>0.70061713120688895</v>
      </c>
      <c r="L90" s="4">
        <v>0.66632862459882203</v>
      </c>
      <c r="M90" s="4">
        <v>0.78635630069912499</v>
      </c>
      <c r="N90" s="4">
        <v>0.57189115028679804</v>
      </c>
      <c r="O90" s="4">
        <v>0.55173471885630299</v>
      </c>
      <c r="P90" s="4">
        <v>0.57052822473185305</v>
      </c>
      <c r="Q90" s="4">
        <v>0.56043936262427596</v>
      </c>
      <c r="R90" s="4">
        <v>0.82392026584285705</v>
      </c>
      <c r="S90" s="8">
        <v>0.12558139530000001</v>
      </c>
      <c r="T90" s="8">
        <v>8.8372092999999999E-2</v>
      </c>
      <c r="U90" s="8">
        <v>0.37209302329999999</v>
      </c>
      <c r="V90" s="8">
        <v>0.41395348839999901</v>
      </c>
      <c r="W90" s="8">
        <v>0.82843791724285598</v>
      </c>
      <c r="X90" s="8">
        <v>7.0093457900000003E-2</v>
      </c>
      <c r="Y90" s="8">
        <v>0.1775700935</v>
      </c>
      <c r="Z90" s="8">
        <v>0.4906542056</v>
      </c>
      <c r="AA90" s="8">
        <v>0.26168224299999998</v>
      </c>
      <c r="AB90" s="8">
        <v>0.76874115985714198</v>
      </c>
      <c r="AC90" s="8">
        <v>8.4158415799999997E-2</v>
      </c>
      <c r="AD90" s="8">
        <v>0.25742574260000001</v>
      </c>
      <c r="AE90" s="8">
        <v>0.31683168319999999</v>
      </c>
      <c r="AF90" s="8">
        <v>0.3415841584</v>
      </c>
      <c r="AG90" s="4">
        <v>0.69519094768571399</v>
      </c>
      <c r="AH90" s="4">
        <v>0.1237623762</v>
      </c>
      <c r="AI90" s="4">
        <v>0.31683168319999999</v>
      </c>
      <c r="AJ90" s="4">
        <v>0.37128712870000002</v>
      </c>
      <c r="AK90" s="4">
        <v>0.18811881189999999</v>
      </c>
      <c r="AL90" s="4">
        <v>0.93073593070000005</v>
      </c>
      <c r="AM90" s="4">
        <v>0.93043478260000001</v>
      </c>
      <c r="AN90" s="4">
        <v>0.93953488370000005</v>
      </c>
      <c r="AO90" s="4">
        <v>0.93953488370000005</v>
      </c>
      <c r="AP90" s="4" t="s">
        <v>189</v>
      </c>
      <c r="AQ90" s="4" t="s">
        <v>190</v>
      </c>
      <c r="AR90" s="4">
        <v>0</v>
      </c>
      <c r="AS90" s="4" t="s">
        <v>191</v>
      </c>
      <c r="AT90" s="4">
        <v>1</v>
      </c>
      <c r="AU90" s="4" t="s">
        <v>192</v>
      </c>
      <c r="AV90" s="4" t="s">
        <v>193</v>
      </c>
      <c r="AW90" s="4" t="s">
        <v>194</v>
      </c>
      <c r="AX90" s="4" t="s">
        <v>195</v>
      </c>
      <c r="AY90" s="11">
        <f>VLOOKUP(B90,[1]Página1!$A:$E,4,0)</f>
        <v>7557010.0300000003</v>
      </c>
    </row>
    <row r="91" spans="1:51" ht="15.75" customHeight="1" x14ac:dyDescent="0.3">
      <c r="A91" s="4">
        <v>3203304</v>
      </c>
      <c r="B91" s="4" t="s">
        <v>64</v>
      </c>
      <c r="C91" s="7">
        <v>2023</v>
      </c>
      <c r="D91" s="4">
        <v>0.81334067783181274</v>
      </c>
      <c r="E91" s="4">
        <v>0.83843171528006133</v>
      </c>
      <c r="F91" s="4">
        <v>0.99900000000000011</v>
      </c>
      <c r="G91" s="4">
        <v>0.51058984757179848</v>
      </c>
      <c r="H91" s="8">
        <v>0.82508609063513905</v>
      </c>
      <c r="I91" s="4">
        <v>0.85845015224744303</v>
      </c>
      <c r="J91" s="4">
        <v>0.81816163380949503</v>
      </c>
      <c r="K91" s="4">
        <v>0.77955038755097505</v>
      </c>
      <c r="L91" s="4">
        <v>0.83201054746078396</v>
      </c>
      <c r="M91" s="4">
        <v>0.93734991694391101</v>
      </c>
      <c r="N91" s="4">
        <v>0.69841244931063295</v>
      </c>
      <c r="O91" s="4">
        <v>0.66967499903866801</v>
      </c>
      <c r="P91" s="4">
        <v>0.63596865711061401</v>
      </c>
      <c r="Q91" s="4">
        <v>0.67259528429328896</v>
      </c>
      <c r="R91" s="4">
        <v>0.96497695854285703</v>
      </c>
      <c r="S91" s="8">
        <v>1.2903225799999999E-2</v>
      </c>
      <c r="T91" s="8">
        <v>3.8709677400000003E-2</v>
      </c>
      <c r="U91" s="8">
        <v>0.2193548387</v>
      </c>
      <c r="V91" s="8">
        <v>0.72903225809999905</v>
      </c>
      <c r="W91" s="8">
        <v>0.94360902257142798</v>
      </c>
      <c r="X91" s="8">
        <v>0</v>
      </c>
      <c r="Y91" s="8">
        <v>9.8684210499999994E-2</v>
      </c>
      <c r="Z91" s="8">
        <v>0.28947368420000003</v>
      </c>
      <c r="AA91" s="8">
        <v>0.61184210530000005</v>
      </c>
      <c r="AB91" s="8">
        <v>0.87554776508571397</v>
      </c>
      <c r="AC91" s="8">
        <v>3.6809816000000002E-2</v>
      </c>
      <c r="AD91" s="8">
        <v>0.15337423310000001</v>
      </c>
      <c r="AE91" s="8">
        <v>0.26993865029999897</v>
      </c>
      <c r="AF91" s="8">
        <v>0.53987730059999905</v>
      </c>
      <c r="AG91" s="4">
        <v>0.84837861531428505</v>
      </c>
      <c r="AH91" s="4">
        <v>4.2944785300000003E-2</v>
      </c>
      <c r="AI91" s="4">
        <v>0.1901840491</v>
      </c>
      <c r="AJ91" s="4">
        <v>0.33742331289999999</v>
      </c>
      <c r="AK91" s="4">
        <v>0.42944785279999997</v>
      </c>
      <c r="AL91" s="4">
        <v>0.94512195119999998</v>
      </c>
      <c r="AM91" s="4">
        <v>0.93827160489999994</v>
      </c>
      <c r="AN91" s="4">
        <v>0.94767441860000001</v>
      </c>
      <c r="AO91" s="4">
        <v>0.94767441860000001</v>
      </c>
      <c r="AP91" s="4" t="s">
        <v>196</v>
      </c>
      <c r="AQ91" s="4" t="s">
        <v>197</v>
      </c>
      <c r="AR91" s="4">
        <v>1</v>
      </c>
      <c r="AS91" s="4" t="s">
        <v>198</v>
      </c>
      <c r="AT91" s="4">
        <v>1</v>
      </c>
      <c r="AU91" s="4" t="s">
        <v>199</v>
      </c>
      <c r="AV91" s="4" t="s">
        <v>200</v>
      </c>
      <c r="AW91" s="4" t="s">
        <v>201</v>
      </c>
      <c r="AX91" s="4">
        <v>0</v>
      </c>
      <c r="AY91" s="11">
        <f>VLOOKUP(B91,[1]Página1!$A:$E,4,0)</f>
        <v>8755943.7599999998</v>
      </c>
    </row>
    <row r="92" spans="1:51" ht="15.75" customHeight="1" x14ac:dyDescent="0.3">
      <c r="A92" s="4">
        <v>3200706</v>
      </c>
      <c r="B92" s="4" t="s">
        <v>65</v>
      </c>
      <c r="C92" s="7">
        <v>2023</v>
      </c>
      <c r="D92" s="4">
        <v>0.83544467988934124</v>
      </c>
      <c r="E92" s="4">
        <v>0.76834954269905897</v>
      </c>
      <c r="F92" s="4">
        <v>0.9840000000000001</v>
      </c>
      <c r="G92" s="4">
        <v>1</v>
      </c>
      <c r="H92" s="8">
        <v>0.83287489736293296</v>
      </c>
      <c r="I92" s="4">
        <v>0.67156151070324699</v>
      </c>
      <c r="J92" s="4">
        <v>0.77875748034885195</v>
      </c>
      <c r="K92" s="4">
        <v>0.74245631190071004</v>
      </c>
      <c r="L92" s="4">
        <v>0.88699231437701298</v>
      </c>
      <c r="M92" s="4">
        <v>0.60066670950578505</v>
      </c>
      <c r="N92" s="4">
        <v>0.61046440554182801</v>
      </c>
      <c r="O92" s="4">
        <v>0.68340946617794696</v>
      </c>
      <c r="P92" s="4">
        <v>0.58261752278739498</v>
      </c>
      <c r="Q92" s="4">
        <v>0.61731898718687395</v>
      </c>
      <c r="R92" s="4">
        <v>0.87060041407142796</v>
      </c>
      <c r="S92" s="8">
        <v>5.0724637699999998E-2</v>
      </c>
      <c r="T92" s="8">
        <v>0.1376811594</v>
      </c>
      <c r="U92" s="8">
        <v>0.33333333329999998</v>
      </c>
      <c r="V92" s="8">
        <v>0.47826086959999897</v>
      </c>
      <c r="W92" s="8">
        <v>0.95238095239999998</v>
      </c>
      <c r="X92" s="8">
        <v>1.4492753599999899E-2</v>
      </c>
      <c r="Y92" s="8">
        <v>5.7971014500000001E-2</v>
      </c>
      <c r="Z92" s="8">
        <v>0.31159420290000001</v>
      </c>
      <c r="AA92" s="8">
        <v>0.61594202899999995</v>
      </c>
      <c r="AB92" s="8">
        <v>0.83697478991428498</v>
      </c>
      <c r="AC92" s="8">
        <v>5.8823529399999998E-2</v>
      </c>
      <c r="AD92" s="8">
        <v>0.18235294119999901</v>
      </c>
      <c r="AE92" s="8">
        <v>0.42352941179999998</v>
      </c>
      <c r="AF92" s="8">
        <v>0.3352941176</v>
      </c>
      <c r="AG92" s="4">
        <v>0.80336134454285701</v>
      </c>
      <c r="AH92" s="4">
        <v>5.8823529399999998E-2</v>
      </c>
      <c r="AI92" s="4">
        <v>0.2411764706</v>
      </c>
      <c r="AJ92" s="4">
        <v>0.4</v>
      </c>
      <c r="AK92" s="4">
        <v>0.3</v>
      </c>
      <c r="AL92" s="4">
        <v>0.93243243239999996</v>
      </c>
      <c r="AM92" s="4">
        <v>0.93243243239999996</v>
      </c>
      <c r="AN92" s="4">
        <v>0.94972067039999997</v>
      </c>
      <c r="AO92" s="4">
        <v>0.94972067039999997</v>
      </c>
      <c r="AP92" s="4">
        <v>1</v>
      </c>
      <c r="AQ92" s="4" t="s">
        <v>202</v>
      </c>
      <c r="AR92" s="4">
        <v>1</v>
      </c>
      <c r="AS92" s="4" t="s">
        <v>203</v>
      </c>
      <c r="AT92" s="4">
        <v>1</v>
      </c>
      <c r="AU92" s="4" t="s">
        <v>204</v>
      </c>
      <c r="AV92" s="4">
        <v>1</v>
      </c>
      <c r="AW92" s="4" t="s">
        <v>205</v>
      </c>
      <c r="AX92" s="4">
        <v>1</v>
      </c>
      <c r="AY92" s="11">
        <f>VLOOKUP(B92,[1]Página1!$A:$E,4,0)</f>
        <v>8993902.3499999996</v>
      </c>
    </row>
    <row r="93" spans="1:51" ht="15.75" customHeight="1" x14ac:dyDescent="0.3">
      <c r="A93" s="4">
        <v>3201209</v>
      </c>
      <c r="B93" s="4" t="s">
        <v>66</v>
      </c>
      <c r="C93" s="7">
        <v>2023</v>
      </c>
      <c r="D93" s="4">
        <v>0.70154979991045241</v>
      </c>
      <c r="E93" s="4">
        <v>0.68106456893307976</v>
      </c>
      <c r="F93" s="4">
        <v>0.95</v>
      </c>
      <c r="G93" s="4">
        <v>0.54869734438197693</v>
      </c>
      <c r="H93" s="8">
        <v>0.69992523190164702</v>
      </c>
      <c r="I93" s="4">
        <v>0.65277357448022799</v>
      </c>
      <c r="J93" s="4">
        <v>0.69042460519787296</v>
      </c>
      <c r="K93" s="4">
        <v>0.66718076372567503</v>
      </c>
      <c r="L93" s="4">
        <v>0.70942585860542096</v>
      </c>
      <c r="M93" s="4">
        <v>0.63836638523478095</v>
      </c>
      <c r="N93" s="4">
        <v>0.546161197145421</v>
      </c>
      <c r="O93" s="4">
        <v>0.52402403153194999</v>
      </c>
      <c r="P93" s="4">
        <v>0.539923506690966</v>
      </c>
      <c r="Q93" s="4">
        <v>0.53068095916173597</v>
      </c>
      <c r="R93" s="4">
        <v>0.78397212541428496</v>
      </c>
      <c r="S93" s="8">
        <v>0.1297353399</v>
      </c>
      <c r="T93" s="8">
        <v>0.15101193569999999</v>
      </c>
      <c r="U93" s="8">
        <v>0.352880124499999</v>
      </c>
      <c r="V93" s="8">
        <v>0.36637259989999998</v>
      </c>
      <c r="W93" s="8">
        <v>0.77983280315714198</v>
      </c>
      <c r="X93" s="8">
        <v>8.0787156899999907E-2</v>
      </c>
      <c r="Y93" s="8">
        <v>0.2439150699</v>
      </c>
      <c r="Z93" s="8">
        <v>0.44691869499999998</v>
      </c>
      <c r="AA93" s="8">
        <v>0.2283790782</v>
      </c>
      <c r="AB93" s="8">
        <v>0.73591440892857096</v>
      </c>
      <c r="AC93" s="8">
        <v>0.106142241399999</v>
      </c>
      <c r="AD93" s="8">
        <v>0.27640086209999998</v>
      </c>
      <c r="AE93" s="8">
        <v>0.35183189659999903</v>
      </c>
      <c r="AF93" s="8">
        <v>0.265625</v>
      </c>
      <c r="AG93" s="4">
        <v>0.63453536757142803</v>
      </c>
      <c r="AH93" s="4">
        <v>0.1580366775</v>
      </c>
      <c r="AI93" s="4">
        <v>0.3629989213</v>
      </c>
      <c r="AJ93" s="4">
        <v>0.32632146709999998</v>
      </c>
      <c r="AK93" s="4">
        <v>0.1526429342</v>
      </c>
      <c r="AL93" s="4">
        <v>0.90299906279999997</v>
      </c>
      <c r="AM93" s="4">
        <v>0.90742481200000003</v>
      </c>
      <c r="AN93" s="4">
        <v>0.91338582680000002</v>
      </c>
      <c r="AO93" s="4">
        <v>0.91240157479999995</v>
      </c>
      <c r="AP93" s="4" t="s">
        <v>206</v>
      </c>
      <c r="AQ93" s="4" t="s">
        <v>207</v>
      </c>
      <c r="AR93" s="4">
        <v>1</v>
      </c>
      <c r="AS93" s="4" t="s">
        <v>208</v>
      </c>
      <c r="AT93" s="4">
        <v>1</v>
      </c>
      <c r="AU93" s="4" t="s">
        <v>209</v>
      </c>
      <c r="AV93" s="4" t="s">
        <v>210</v>
      </c>
      <c r="AW93" s="4" t="s">
        <v>211</v>
      </c>
      <c r="AX93" s="4">
        <v>0</v>
      </c>
      <c r="AY93" s="11">
        <f>VLOOKUP(B93,[1]Página1!$A:$E,4,0)</f>
        <v>7552469.4199999999</v>
      </c>
    </row>
    <row r="94" spans="1:51" ht="15.75" customHeight="1" x14ac:dyDescent="0.3">
      <c r="A94" s="4">
        <v>3201407</v>
      </c>
      <c r="B94" s="4" t="s">
        <v>67</v>
      </c>
      <c r="C94" s="7">
        <v>2023</v>
      </c>
      <c r="D94" s="4">
        <v>0.68519080014579758</v>
      </c>
      <c r="E94" s="4">
        <v>0.59042470364509758</v>
      </c>
      <c r="F94" s="4">
        <v>0.96</v>
      </c>
      <c r="G94" s="4">
        <v>0.85262338396152926</v>
      </c>
      <c r="H94" s="8">
        <v>0.56613516619261395</v>
      </c>
      <c r="I94" s="4">
        <v>0.62685900982382203</v>
      </c>
      <c r="J94" s="4">
        <v>0.72942975129621002</v>
      </c>
      <c r="K94" s="4">
        <v>0.69375129330687402</v>
      </c>
      <c r="L94" s="4">
        <v>0.40284058108901699</v>
      </c>
      <c r="M94" s="4">
        <v>0.55996672634077005</v>
      </c>
      <c r="N94" s="4">
        <v>0.59277989439894097</v>
      </c>
      <c r="O94" s="4">
        <v>0.564111156979068</v>
      </c>
      <c r="P94" s="4">
        <v>0.55549469048722599</v>
      </c>
      <c r="Q94" s="4">
        <v>0.56126312826884395</v>
      </c>
      <c r="R94" s="4">
        <v>0.85525321241428498</v>
      </c>
      <c r="S94" s="8">
        <v>8.7301587299999997E-2</v>
      </c>
      <c r="T94" s="8">
        <v>0.1005291005</v>
      </c>
      <c r="U94" s="8">
        <v>0.335978836</v>
      </c>
      <c r="V94" s="8">
        <v>0.47619047619999999</v>
      </c>
      <c r="W94" s="8">
        <v>0.86407393148571399</v>
      </c>
      <c r="X94" s="8">
        <v>4.0431266799999997E-2</v>
      </c>
      <c r="Y94" s="8">
        <v>0.16711590300000001</v>
      </c>
      <c r="Z94" s="8">
        <v>0.5067385445</v>
      </c>
      <c r="AA94" s="8">
        <v>0.28571428569999902</v>
      </c>
      <c r="AB94" s="8">
        <v>0.77749999999999997</v>
      </c>
      <c r="AC94" s="8">
        <v>9.2499999999999999E-2</v>
      </c>
      <c r="AD94" s="8">
        <v>0.22750000000000001</v>
      </c>
      <c r="AE94" s="8">
        <v>0.40500000000000003</v>
      </c>
      <c r="AF94" s="8">
        <v>0.27500000000000002</v>
      </c>
      <c r="AG94" s="4">
        <v>0.68714285714285706</v>
      </c>
      <c r="AH94" s="4">
        <v>0.11</v>
      </c>
      <c r="AI94" s="4">
        <v>0.35499999999999998</v>
      </c>
      <c r="AJ94" s="4">
        <v>0.35</v>
      </c>
      <c r="AK94" s="4">
        <v>0.185</v>
      </c>
      <c r="AL94" s="4">
        <v>0.90214797140000003</v>
      </c>
      <c r="AM94" s="4">
        <v>0.88755980859999895</v>
      </c>
      <c r="AN94" s="4">
        <v>0.9259259259</v>
      </c>
      <c r="AO94" s="4">
        <v>0.9259259259</v>
      </c>
      <c r="AP94" s="4" t="s">
        <v>212</v>
      </c>
      <c r="AQ94" s="4" t="s">
        <v>213</v>
      </c>
      <c r="AR94" s="4">
        <v>1</v>
      </c>
      <c r="AS94" s="4" t="s">
        <v>214</v>
      </c>
      <c r="AT94" s="4">
        <v>1</v>
      </c>
      <c r="AU94" s="4" t="s">
        <v>215</v>
      </c>
      <c r="AV94" s="4" t="s">
        <v>216</v>
      </c>
      <c r="AW94" s="4" t="s">
        <v>217</v>
      </c>
      <c r="AX94" s="4">
        <v>1</v>
      </c>
      <c r="AY94" s="11">
        <f>VLOOKUP(B94,[1]Página1!$A:$E,4,0)</f>
        <v>7376358.1200000001</v>
      </c>
    </row>
    <row r="95" spans="1:51" ht="15.75" customHeight="1" x14ac:dyDescent="0.3">
      <c r="A95" s="4">
        <v>3202603</v>
      </c>
      <c r="B95" s="4" t="s">
        <v>68</v>
      </c>
      <c r="C95" s="7">
        <v>2023</v>
      </c>
      <c r="D95" s="4">
        <v>0.58748054198908817</v>
      </c>
      <c r="E95" s="4">
        <v>0.51302231172556412</v>
      </c>
      <c r="F95" s="4">
        <v>0.99299999999999999</v>
      </c>
      <c r="G95" s="4">
        <v>0.52943282520795543</v>
      </c>
      <c r="H95" s="8">
        <v>0.50360486229508605</v>
      </c>
      <c r="I95" s="4">
        <v>0.52714848587127905</v>
      </c>
      <c r="J95" s="4">
        <v>0.70708485923504905</v>
      </c>
      <c r="K95" s="4">
        <v>0.72950075106569701</v>
      </c>
      <c r="L95" s="4">
        <v>0.300124865355124</v>
      </c>
      <c r="M95" s="4">
        <v>0.32479622067686198</v>
      </c>
      <c r="N95" s="4">
        <v>0.58232277898531304</v>
      </c>
      <c r="O95" s="4">
        <v>0.54205674817942096</v>
      </c>
      <c r="P95" s="4">
        <v>0.59881453585742095</v>
      </c>
      <c r="Q95" s="4">
        <v>0.57824734312679604</v>
      </c>
      <c r="R95" s="4">
        <v>0.84769775671428504</v>
      </c>
      <c r="S95" s="8">
        <v>9.0909090900000003E-2</v>
      </c>
      <c r="T95" s="8">
        <v>0.1074380165</v>
      </c>
      <c r="U95" s="8">
        <v>0.36363636360000001</v>
      </c>
      <c r="V95" s="8">
        <v>0.43801652889999998</v>
      </c>
      <c r="W95" s="8">
        <v>0.82196162051428501</v>
      </c>
      <c r="X95" s="8">
        <v>3.7313432799999997E-2</v>
      </c>
      <c r="Y95" s="8">
        <v>0.2462686567</v>
      </c>
      <c r="Z95" s="8">
        <v>0.48507462689999897</v>
      </c>
      <c r="AA95" s="8">
        <v>0.2313432836</v>
      </c>
      <c r="AB95" s="8">
        <v>0.85518590992857102</v>
      </c>
      <c r="AC95" s="8">
        <v>2.73972603E-2</v>
      </c>
      <c r="AD95" s="8">
        <v>0.20547945209999999</v>
      </c>
      <c r="AE95" s="8">
        <v>0.38356164380000002</v>
      </c>
      <c r="AF95" s="8">
        <v>0.38356164380000002</v>
      </c>
      <c r="AG95" s="4">
        <v>0.71819960862857102</v>
      </c>
      <c r="AH95" s="4">
        <v>8.2191780800000003E-2</v>
      </c>
      <c r="AI95" s="4">
        <v>0.34931506849999999</v>
      </c>
      <c r="AJ95" s="4">
        <v>0.34931506849999999</v>
      </c>
      <c r="AK95" s="4">
        <v>0.21917808220000001</v>
      </c>
      <c r="AL95" s="4">
        <v>0.82312925169999995</v>
      </c>
      <c r="AM95" s="4">
        <v>0.91156462589999998</v>
      </c>
      <c r="AN95" s="4">
        <v>0.95424836599999996</v>
      </c>
      <c r="AO95" s="4">
        <v>0.95424836599999996</v>
      </c>
      <c r="AP95" s="4" t="s">
        <v>218</v>
      </c>
      <c r="AQ95" s="4" t="s">
        <v>219</v>
      </c>
      <c r="AR95" s="4">
        <v>1</v>
      </c>
      <c r="AS95" s="4" t="s">
        <v>220</v>
      </c>
      <c r="AT95" s="4">
        <v>1</v>
      </c>
      <c r="AU95" s="4" t="s">
        <v>221</v>
      </c>
      <c r="AV95" s="4">
        <v>0</v>
      </c>
      <c r="AW95" s="4" t="s">
        <v>222</v>
      </c>
      <c r="AX95" s="4" t="s">
        <v>223</v>
      </c>
      <c r="AY95" s="11">
        <f>VLOOKUP(B95,[1]Página1!$A:$E,4,0)</f>
        <v>6324467.3799999999</v>
      </c>
    </row>
    <row r="96" spans="1:51" ht="15.75" customHeight="1" x14ac:dyDescent="0.3">
      <c r="A96" s="4">
        <v>3202801</v>
      </c>
      <c r="B96" s="4" t="s">
        <v>69</v>
      </c>
      <c r="C96" s="7">
        <v>2023</v>
      </c>
      <c r="D96" s="4">
        <v>0.65360450269341219</v>
      </c>
      <c r="E96" s="4">
        <v>0.68214928956201759</v>
      </c>
      <c r="F96" s="4">
        <v>0.92400000000000004</v>
      </c>
      <c r="G96" s="4">
        <v>0.25</v>
      </c>
      <c r="H96" s="8">
        <v>0.67196932328321202</v>
      </c>
      <c r="I96" s="4">
        <v>0.69741923898022395</v>
      </c>
      <c r="J96" s="4">
        <v>0.69569550927911294</v>
      </c>
      <c r="K96" s="4">
        <v>0.67237246396537698</v>
      </c>
      <c r="L96" s="4">
        <v>0.64824313728731098</v>
      </c>
      <c r="M96" s="4">
        <v>0.72246601399507104</v>
      </c>
      <c r="N96" s="4">
        <v>0.53798260725579505</v>
      </c>
      <c r="O96" s="4">
        <v>0.55687032334759001</v>
      </c>
      <c r="P96" s="4">
        <v>0.54032345674432203</v>
      </c>
      <c r="Q96" s="4">
        <v>0.53391073277433199</v>
      </c>
      <c r="R96" s="4">
        <v>0.75320280399999995</v>
      </c>
      <c r="S96" s="8">
        <v>0.13367174279999999</v>
      </c>
      <c r="T96" s="8">
        <v>0.19796954310000001</v>
      </c>
      <c r="U96" s="8">
        <v>0.31641285959999998</v>
      </c>
      <c r="V96" s="8">
        <v>0.35194585449999999</v>
      </c>
      <c r="W96" s="8">
        <v>0.81509712322857097</v>
      </c>
      <c r="X96" s="8">
        <v>6.1962134299999999E-2</v>
      </c>
      <c r="Y96" s="8">
        <v>0.2151462995</v>
      </c>
      <c r="Z96" s="8">
        <v>0.4234079174</v>
      </c>
      <c r="AA96" s="8">
        <v>0.29948364890000001</v>
      </c>
      <c r="AB96" s="8">
        <v>0.74577572962857097</v>
      </c>
      <c r="AC96" s="8">
        <v>0.11290322579999899</v>
      </c>
      <c r="AD96" s="8">
        <v>0.24731182799999901</v>
      </c>
      <c r="AE96" s="8">
        <v>0.37096774189999998</v>
      </c>
      <c r="AF96" s="8">
        <v>0.2688172043</v>
      </c>
      <c r="AG96" s="4">
        <v>0.64618535585714199</v>
      </c>
      <c r="AH96" s="4">
        <v>0.14695340500000001</v>
      </c>
      <c r="AI96" s="4">
        <v>0.36200716849999998</v>
      </c>
      <c r="AJ96" s="4">
        <v>0.34946236559999999</v>
      </c>
      <c r="AK96" s="4">
        <v>0.1415770609</v>
      </c>
      <c r="AL96" s="4">
        <v>0.91770186339999904</v>
      </c>
      <c r="AM96" s="4">
        <v>0.90781250000000002</v>
      </c>
      <c r="AN96" s="4">
        <v>0.91927512359999997</v>
      </c>
      <c r="AO96" s="4">
        <v>0.91927512359999997</v>
      </c>
      <c r="AP96" s="4" t="s">
        <v>224</v>
      </c>
      <c r="AQ96" s="4" t="s">
        <v>225</v>
      </c>
      <c r="AR96" s="4">
        <v>0</v>
      </c>
      <c r="AS96" s="4" t="s">
        <v>226</v>
      </c>
      <c r="AT96" s="4">
        <v>1</v>
      </c>
      <c r="AU96" s="4" t="s">
        <v>227</v>
      </c>
      <c r="AV96" s="4">
        <v>0</v>
      </c>
      <c r="AW96" s="4" t="s">
        <v>228</v>
      </c>
      <c r="AX96" s="4">
        <v>0</v>
      </c>
      <c r="AY96" s="11">
        <f>VLOOKUP(B96,[1]Página1!$A:$E,4,0)</f>
        <v>7036318.7599999998</v>
      </c>
    </row>
    <row r="97" spans="1:51" ht="15.75" customHeight="1" x14ac:dyDescent="0.3">
      <c r="A97" s="4">
        <v>3203106</v>
      </c>
      <c r="B97" s="4" t="s">
        <v>70</v>
      </c>
      <c r="C97" s="7">
        <v>2023</v>
      </c>
      <c r="D97" s="4">
        <v>0.50822669409524157</v>
      </c>
      <c r="E97" s="4">
        <v>0.46246670585034511</v>
      </c>
      <c r="F97" s="4">
        <v>0.98</v>
      </c>
      <c r="G97" s="4">
        <v>0.25</v>
      </c>
      <c r="H97" s="8">
        <v>0.462793903410461</v>
      </c>
      <c r="I97" s="4">
        <v>0.46197590951016998</v>
      </c>
      <c r="J97" s="4">
        <v>0.70397421109652403</v>
      </c>
      <c r="K97" s="4">
        <v>0.69180857262838802</v>
      </c>
      <c r="L97" s="4">
        <v>0.22161359572439701</v>
      </c>
      <c r="M97" s="4">
        <v>0.232143246391953</v>
      </c>
      <c r="N97" s="4">
        <v>0.56433030334494305</v>
      </c>
      <c r="O97" s="4">
        <v>0.51281260844020904</v>
      </c>
      <c r="P97" s="4">
        <v>0.53944623222249499</v>
      </c>
      <c r="Q97" s="4">
        <v>0.54330032380534299</v>
      </c>
      <c r="R97" s="4">
        <v>0.79036348267142797</v>
      </c>
      <c r="S97" s="8">
        <v>0.1420118343</v>
      </c>
      <c r="T97" s="8">
        <v>0.1183431953</v>
      </c>
      <c r="U97" s="8">
        <v>0.30177514789999998</v>
      </c>
      <c r="V97" s="8">
        <v>0.43786982250000001</v>
      </c>
      <c r="W97" s="8">
        <v>0.775876817842857</v>
      </c>
      <c r="X97" s="8">
        <v>8.3832335300000005E-2</v>
      </c>
      <c r="Y97" s="8">
        <v>0.24550898199999999</v>
      </c>
      <c r="Z97" s="8">
        <v>0.49101796409999998</v>
      </c>
      <c r="AA97" s="8">
        <v>0.1796407186</v>
      </c>
      <c r="AB97" s="8">
        <v>0.73593073594285696</v>
      </c>
      <c r="AC97" s="8">
        <v>0.12121212119999999</v>
      </c>
      <c r="AD97" s="8">
        <v>0.25</v>
      </c>
      <c r="AE97" s="8">
        <v>0.3484848485</v>
      </c>
      <c r="AF97" s="8">
        <v>0.28030303029999998</v>
      </c>
      <c r="AG97" s="4">
        <v>0.67748917742857095</v>
      </c>
      <c r="AH97" s="4">
        <v>0.13636363639999999</v>
      </c>
      <c r="AI97" s="4">
        <v>0.32575757579999998</v>
      </c>
      <c r="AJ97" s="4">
        <v>0.39393939389999999</v>
      </c>
      <c r="AK97" s="4">
        <v>0.14393939389999999</v>
      </c>
      <c r="AL97" s="4">
        <v>0.94413407819999995</v>
      </c>
      <c r="AM97" s="4">
        <v>0.94350282489999904</v>
      </c>
      <c r="AN97" s="4">
        <v>0.97777777779999997</v>
      </c>
      <c r="AO97" s="4">
        <v>0.97777777779999997</v>
      </c>
      <c r="AP97" s="4" t="s">
        <v>224</v>
      </c>
      <c r="AQ97" s="4" t="s">
        <v>229</v>
      </c>
      <c r="AR97" s="4">
        <v>0</v>
      </c>
      <c r="AS97" s="4" t="s">
        <v>230</v>
      </c>
      <c r="AT97" s="4">
        <v>1</v>
      </c>
      <c r="AU97" s="4" t="s">
        <v>231</v>
      </c>
      <c r="AV97" s="4">
        <v>0</v>
      </c>
      <c r="AW97" s="4" t="s">
        <v>232</v>
      </c>
      <c r="AX97" s="4">
        <v>0</v>
      </c>
      <c r="AY97" s="11">
        <f>VLOOKUP(B97,[1]Página1!$A:$E,4,0)</f>
        <v>5471267.4199999999</v>
      </c>
    </row>
    <row r="98" spans="1:51" ht="15.75" customHeight="1" x14ac:dyDescent="0.3">
      <c r="A98" s="4">
        <v>3203320</v>
      </c>
      <c r="B98" s="4" t="s">
        <v>71</v>
      </c>
      <c r="C98" s="7">
        <v>2023</v>
      </c>
      <c r="D98" s="4">
        <v>0.80360600721591113</v>
      </c>
      <c r="E98" s="4">
        <v>0.73036572459415883</v>
      </c>
      <c r="F98" s="4">
        <v>0.94900000000000007</v>
      </c>
      <c r="G98" s="4">
        <v>1</v>
      </c>
      <c r="H98" s="8">
        <v>0.77454542883302102</v>
      </c>
      <c r="I98" s="4">
        <v>0.66409616823586504</v>
      </c>
      <c r="J98" s="4">
        <v>0.71414645805603205</v>
      </c>
      <c r="K98" s="4">
        <v>0.68659302817035905</v>
      </c>
      <c r="L98" s="4">
        <v>0.83494439961000999</v>
      </c>
      <c r="M98" s="4">
        <v>0.64159930830137002</v>
      </c>
      <c r="N98" s="4">
        <v>0.57310774026707501</v>
      </c>
      <c r="O98" s="4">
        <v>0.53228633084383303</v>
      </c>
      <c r="P98" s="4">
        <v>0.55632452049430103</v>
      </c>
      <c r="Q98" s="4">
        <v>0.55116101807999396</v>
      </c>
      <c r="R98" s="4">
        <v>0.85527544357142804</v>
      </c>
      <c r="S98" s="8">
        <v>8.4967320299999996E-2</v>
      </c>
      <c r="T98" s="8">
        <v>0.1045751634</v>
      </c>
      <c r="U98" s="8">
        <v>0.42156862750000001</v>
      </c>
      <c r="V98" s="8">
        <v>0.38888888889999901</v>
      </c>
      <c r="W98" s="8">
        <v>0.81454040291428498</v>
      </c>
      <c r="X98" s="8">
        <v>4.3760129699999997E-2</v>
      </c>
      <c r="Y98" s="8">
        <v>0.247974068099999</v>
      </c>
      <c r="Z98" s="8">
        <v>0.49432739060000003</v>
      </c>
      <c r="AA98" s="8">
        <v>0.2139384117</v>
      </c>
      <c r="AB98" s="8">
        <v>0.78100470954285695</v>
      </c>
      <c r="AC98" s="8">
        <v>7.8754578800000002E-2</v>
      </c>
      <c r="AD98" s="8">
        <v>0.24542124539999999</v>
      </c>
      <c r="AE98" s="8">
        <v>0.38278388279999997</v>
      </c>
      <c r="AF98" s="8">
        <v>0.29304029300000001</v>
      </c>
      <c r="AG98" s="4">
        <v>0.69511554617142801</v>
      </c>
      <c r="AH98" s="4">
        <v>0.1011029412</v>
      </c>
      <c r="AI98" s="4">
        <v>0.35661764709999999</v>
      </c>
      <c r="AJ98" s="4">
        <v>0.39154411760000002</v>
      </c>
      <c r="AK98" s="4">
        <v>0.1507352941</v>
      </c>
      <c r="AL98" s="4">
        <v>0.89736070379999999</v>
      </c>
      <c r="AM98" s="4">
        <v>0.91407407409999997</v>
      </c>
      <c r="AN98" s="4">
        <v>0.90247933879999997</v>
      </c>
      <c r="AO98" s="4">
        <v>0.89917355369999996</v>
      </c>
      <c r="AP98" s="4">
        <v>1</v>
      </c>
      <c r="AQ98" s="4" t="s">
        <v>233</v>
      </c>
      <c r="AR98" s="4">
        <v>1</v>
      </c>
      <c r="AS98" s="4" t="s">
        <v>234</v>
      </c>
      <c r="AT98" s="4">
        <v>1</v>
      </c>
      <c r="AU98" s="4" t="s">
        <v>235</v>
      </c>
      <c r="AV98" s="4">
        <v>1</v>
      </c>
      <c r="AW98" s="4" t="s">
        <v>236</v>
      </c>
      <c r="AX98" s="4">
        <v>1</v>
      </c>
      <c r="AY98" s="11">
        <f>VLOOKUP(B98,[1]Página1!$A:$E,4,0)</f>
        <v>8651146.0700000003</v>
      </c>
    </row>
    <row r="99" spans="1:51" ht="15.75" customHeight="1" x14ac:dyDescent="0.3">
      <c r="A99" s="4">
        <v>3203403</v>
      </c>
      <c r="B99" s="4" t="s">
        <v>72</v>
      </c>
      <c r="C99" s="7">
        <v>2023</v>
      </c>
      <c r="D99" s="4">
        <v>0.70675517865257109</v>
      </c>
      <c r="E99" s="4">
        <v>0.73978720880430482</v>
      </c>
      <c r="F99" s="4">
        <v>0.97099999999999997</v>
      </c>
      <c r="G99" s="4">
        <v>0.2883608832637185</v>
      </c>
      <c r="H99" s="8">
        <v>0.71707448006630603</v>
      </c>
      <c r="I99" s="4">
        <v>0.77385630191130095</v>
      </c>
      <c r="J99" s="4">
        <v>0.72318353811556402</v>
      </c>
      <c r="K99" s="4">
        <v>0.68874774664741001</v>
      </c>
      <c r="L99" s="4">
        <v>0.71096542201704904</v>
      </c>
      <c r="M99" s="4">
        <v>0.858964857175192</v>
      </c>
      <c r="N99" s="4">
        <v>0.579759282810417</v>
      </c>
      <c r="O99" s="4">
        <v>0.57778517375862404</v>
      </c>
      <c r="P99" s="4">
        <v>0.56826812546986405</v>
      </c>
      <c r="Q99" s="4">
        <v>0.54507308991977799</v>
      </c>
      <c r="R99" s="4">
        <v>0.82433114590000001</v>
      </c>
      <c r="S99" s="8">
        <v>8.8339222599999906E-2</v>
      </c>
      <c r="T99" s="8">
        <v>0.13427561839999999</v>
      </c>
      <c r="U99" s="8">
        <v>0.35335689049999902</v>
      </c>
      <c r="V99" s="8">
        <v>0.41342756180000001</v>
      </c>
      <c r="W99" s="8">
        <v>0.83400402415714203</v>
      </c>
      <c r="X99" s="8">
        <v>6.6901408499999995E-2</v>
      </c>
      <c r="Y99" s="8">
        <v>0.1549295775</v>
      </c>
      <c r="Z99" s="8">
        <v>0.38028169010000001</v>
      </c>
      <c r="AA99" s="8">
        <v>0.38732394370000001</v>
      </c>
      <c r="AB99" s="8">
        <v>0.77284199891428496</v>
      </c>
      <c r="AC99" s="8">
        <v>7.7738515899999999E-2</v>
      </c>
      <c r="AD99" s="8">
        <v>0.26148409890000002</v>
      </c>
      <c r="AE99" s="8">
        <v>0.31802120140000001</v>
      </c>
      <c r="AF99" s="8">
        <v>0.342756183699999</v>
      </c>
      <c r="AG99" s="4">
        <v>0.65471983848571402</v>
      </c>
      <c r="AH99" s="4">
        <v>0.16961130739999999</v>
      </c>
      <c r="AI99" s="4">
        <v>0.30742049469999999</v>
      </c>
      <c r="AJ99" s="4">
        <v>0.37102473499999999</v>
      </c>
      <c r="AK99" s="4">
        <v>0.15194346289999999</v>
      </c>
      <c r="AL99" s="4">
        <v>0.90415335459999902</v>
      </c>
      <c r="AM99" s="4">
        <v>0.91025641030000004</v>
      </c>
      <c r="AN99" s="4">
        <v>0.92786885249999995</v>
      </c>
      <c r="AO99" s="4">
        <v>0.92786885249999995</v>
      </c>
      <c r="AP99" s="4" t="s">
        <v>237</v>
      </c>
      <c r="AQ99" s="4" t="s">
        <v>238</v>
      </c>
      <c r="AR99" s="4">
        <v>0</v>
      </c>
      <c r="AS99" s="4" t="s">
        <v>239</v>
      </c>
      <c r="AT99" s="4">
        <v>1</v>
      </c>
      <c r="AU99" s="4" t="s">
        <v>240</v>
      </c>
      <c r="AV99" s="4" t="s">
        <v>241</v>
      </c>
      <c r="AW99" s="4" t="s">
        <v>242</v>
      </c>
      <c r="AX99" s="4" t="s">
        <v>243</v>
      </c>
      <c r="AY99" s="11">
        <f>VLOOKUP(B99,[1]Página1!$A:$E,4,0)</f>
        <v>7608507.4400000004</v>
      </c>
    </row>
    <row r="100" spans="1:51" ht="15.75" customHeight="1" x14ac:dyDescent="0.3">
      <c r="A100" s="4">
        <v>3203809</v>
      </c>
      <c r="B100" s="4" t="s">
        <v>73</v>
      </c>
      <c r="C100" s="7">
        <v>2023</v>
      </c>
      <c r="D100" s="4">
        <v>0.74282038484081359</v>
      </c>
      <c r="E100" s="4">
        <v>0.68118992121379385</v>
      </c>
      <c r="F100" s="4">
        <v>0.96</v>
      </c>
      <c r="G100" s="4">
        <v>0.81324959994105273</v>
      </c>
      <c r="H100" s="8">
        <v>0.70712038168143199</v>
      </c>
      <c r="I100" s="4">
        <v>0.64229423051233503</v>
      </c>
      <c r="J100" s="4">
        <v>0.71734719992269202</v>
      </c>
      <c r="K100" s="4">
        <v>0.70345094398899899</v>
      </c>
      <c r="L100" s="4">
        <v>0.69689356344017295</v>
      </c>
      <c r="M100" s="4">
        <v>0.58113751703567096</v>
      </c>
      <c r="N100" s="4">
        <v>0.54510499382742605</v>
      </c>
      <c r="O100" s="4">
        <v>0.54742038655803504</v>
      </c>
      <c r="P100" s="4">
        <v>0.55067217150288705</v>
      </c>
      <c r="Q100" s="4">
        <v>0.56005229387454003</v>
      </c>
      <c r="R100" s="4">
        <v>0.78195488728571405</v>
      </c>
      <c r="S100" s="8">
        <v>0.1052631579</v>
      </c>
      <c r="T100" s="8">
        <v>0.1973684211</v>
      </c>
      <c r="U100" s="8">
        <v>0.33552631579999997</v>
      </c>
      <c r="V100" s="8">
        <v>0.36184210529999999</v>
      </c>
      <c r="W100" s="8">
        <v>0.8475551295</v>
      </c>
      <c r="X100" s="8">
        <v>3.3557047E-2</v>
      </c>
      <c r="Y100" s="8">
        <v>0.20805369129999901</v>
      </c>
      <c r="Z100" s="8">
        <v>0.53691275169999997</v>
      </c>
      <c r="AA100" s="8">
        <v>0.2214765101</v>
      </c>
      <c r="AB100" s="8">
        <v>0.76190476187142797</v>
      </c>
      <c r="AC100" s="8">
        <v>9.4339622599999895E-2</v>
      </c>
      <c r="AD100" s="8">
        <v>0.25157232699999998</v>
      </c>
      <c r="AE100" s="8">
        <v>0.37106918239999997</v>
      </c>
      <c r="AF100" s="8">
        <v>0.28301886790000003</v>
      </c>
      <c r="AG100" s="4">
        <v>0.71698113208571401</v>
      </c>
      <c r="AH100" s="4">
        <v>0.106918239</v>
      </c>
      <c r="AI100" s="4">
        <v>0.3081761006</v>
      </c>
      <c r="AJ100" s="4">
        <v>0.40251572330000002</v>
      </c>
      <c r="AK100" s="4">
        <v>0.18238993709999901</v>
      </c>
      <c r="AL100" s="4">
        <v>0.97435897439999997</v>
      </c>
      <c r="AM100" s="4">
        <v>0.96129032260000002</v>
      </c>
      <c r="AN100" s="4">
        <v>0.96363636360000005</v>
      </c>
      <c r="AO100" s="4">
        <v>0.96363636360000005</v>
      </c>
      <c r="AP100" s="4" t="s">
        <v>244</v>
      </c>
      <c r="AQ100" s="4" t="s">
        <v>245</v>
      </c>
      <c r="AR100" s="4">
        <v>1</v>
      </c>
      <c r="AS100" s="4" t="s">
        <v>246</v>
      </c>
      <c r="AT100" s="4">
        <v>1</v>
      </c>
      <c r="AU100" s="4" t="s">
        <v>247</v>
      </c>
      <c r="AV100" s="4">
        <v>1</v>
      </c>
      <c r="AW100" s="4" t="s">
        <v>248</v>
      </c>
      <c r="AX100" s="4" t="s">
        <v>249</v>
      </c>
      <c r="AY100" s="11">
        <f>VLOOKUP(B100,[1]Página1!$A:$E,4,0)</f>
        <v>7996764.0800000001</v>
      </c>
    </row>
    <row r="101" spans="1:51" ht="15.75" customHeight="1" x14ac:dyDescent="0.3">
      <c r="A101" s="4">
        <v>3204302</v>
      </c>
      <c r="B101" s="4" t="s">
        <v>74</v>
      </c>
      <c r="C101" s="7">
        <v>2023</v>
      </c>
      <c r="D101" s="4">
        <v>0.70226279879159081</v>
      </c>
      <c r="E101" s="4">
        <v>0.67879908576610015</v>
      </c>
      <c r="F101" s="4">
        <v>0.94799999999999995</v>
      </c>
      <c r="G101" s="4">
        <v>0.56602292503547091</v>
      </c>
      <c r="H101" s="8">
        <v>0.67243862572674096</v>
      </c>
      <c r="I101" s="4">
        <v>0.68833977582513906</v>
      </c>
      <c r="J101" s="4">
        <v>0.70254432517285603</v>
      </c>
      <c r="K101" s="4">
        <v>0.68240597173470996</v>
      </c>
      <c r="L101" s="4">
        <v>0.64233292628062499</v>
      </c>
      <c r="M101" s="4">
        <v>0.69427357991556704</v>
      </c>
      <c r="N101" s="4">
        <v>0.54550572692412203</v>
      </c>
      <c r="O101" s="4">
        <v>0.53637139568524295</v>
      </c>
      <c r="P101" s="4">
        <v>0.54103148430913295</v>
      </c>
      <c r="Q101" s="4">
        <v>0.52800892670828004</v>
      </c>
      <c r="R101" s="4">
        <v>0.80501015569999901</v>
      </c>
      <c r="S101" s="8">
        <v>9.4786729899999894E-2</v>
      </c>
      <c r="T101" s="8">
        <v>0.17535545020000001</v>
      </c>
      <c r="U101" s="8">
        <v>0.40758293839999998</v>
      </c>
      <c r="V101" s="8">
        <v>0.3222748815</v>
      </c>
      <c r="W101" s="8">
        <v>0.78777472528571402</v>
      </c>
      <c r="X101" s="8">
        <v>5.2884615400000001E-2</v>
      </c>
      <c r="Y101" s="8">
        <v>0.2788461538</v>
      </c>
      <c r="Z101" s="8">
        <v>0.375</v>
      </c>
      <c r="AA101" s="8">
        <v>0.2932692308</v>
      </c>
      <c r="AB101" s="8">
        <v>0.774241302771428</v>
      </c>
      <c r="AC101" s="8">
        <v>5.6994818699999998E-2</v>
      </c>
      <c r="AD101" s="8">
        <v>0.29533678759999998</v>
      </c>
      <c r="AE101" s="8">
        <v>0.4352331606</v>
      </c>
      <c r="AF101" s="8">
        <v>0.21243523319999999</v>
      </c>
      <c r="AG101" s="4">
        <v>0.64544781647142802</v>
      </c>
      <c r="AH101" s="4">
        <v>0.1088082902</v>
      </c>
      <c r="AI101" s="4">
        <v>0.43005181349999999</v>
      </c>
      <c r="AJ101" s="4">
        <v>0.36269430049999901</v>
      </c>
      <c r="AK101" s="4">
        <v>9.8445595899999905E-2</v>
      </c>
      <c r="AL101" s="4">
        <v>0.92543859650000004</v>
      </c>
      <c r="AM101" s="4">
        <v>0.93273542600000003</v>
      </c>
      <c r="AN101" s="4">
        <v>0.95073891629999996</v>
      </c>
      <c r="AO101" s="4">
        <v>0.95073891629999996</v>
      </c>
      <c r="AP101" s="4" t="s">
        <v>250</v>
      </c>
      <c r="AQ101" s="4" t="s">
        <v>251</v>
      </c>
      <c r="AR101" s="4">
        <v>1</v>
      </c>
      <c r="AS101" s="4" t="s">
        <v>252</v>
      </c>
      <c r="AT101" s="4">
        <v>1</v>
      </c>
      <c r="AU101" s="4" t="s">
        <v>253</v>
      </c>
      <c r="AV101" s="4" t="s">
        <v>254</v>
      </c>
      <c r="AW101" s="4" t="s">
        <v>255</v>
      </c>
      <c r="AX101" s="4">
        <v>0</v>
      </c>
      <c r="AY101" s="11">
        <f>VLOOKUP(B101,[1]Página1!$A:$E,4,0)</f>
        <v>7560145.1399999997</v>
      </c>
    </row>
    <row r="102" spans="1:51" ht="15.75" customHeight="1" x14ac:dyDescent="0.3">
      <c r="A102" s="4">
        <v>3204401</v>
      </c>
      <c r="B102" s="4" t="s">
        <v>75</v>
      </c>
      <c r="C102" s="7">
        <v>2023</v>
      </c>
      <c r="D102" s="4">
        <v>0.71191404711909989</v>
      </c>
      <c r="E102" s="4">
        <v>0.69793345721693356</v>
      </c>
      <c r="F102" s="4">
        <v>0.94499999999999995</v>
      </c>
      <c r="G102" s="4">
        <v>0.54407084711497622</v>
      </c>
      <c r="H102" s="8">
        <v>0.75804447220125404</v>
      </c>
      <c r="I102" s="4">
        <v>0.60776693474045296</v>
      </c>
      <c r="J102" s="4">
        <v>0.76187308815257504</v>
      </c>
      <c r="K102" s="4">
        <v>0.73140850010466496</v>
      </c>
      <c r="L102" s="4">
        <v>0.75421585624993204</v>
      </c>
      <c r="M102" s="4">
        <v>0.48412536937624001</v>
      </c>
      <c r="N102" s="4">
        <v>0.62497620934073495</v>
      </c>
      <c r="O102" s="4">
        <v>0.61203039082677502</v>
      </c>
      <c r="P102" s="4">
        <v>0.59378576490896495</v>
      </c>
      <c r="Q102" s="4">
        <v>0.58373499525255301</v>
      </c>
      <c r="R102" s="4">
        <v>0.90225563905714201</v>
      </c>
      <c r="S102" s="8">
        <v>6.7669172900000005E-2</v>
      </c>
      <c r="T102" s="8">
        <v>5.2631578899999899E-2</v>
      </c>
      <c r="U102" s="8">
        <v>0.32330827069999901</v>
      </c>
      <c r="V102" s="8">
        <v>0.55639097739999999</v>
      </c>
      <c r="W102" s="8">
        <v>0.873254565014285</v>
      </c>
      <c r="X102" s="8">
        <v>4.5112781999999997E-2</v>
      </c>
      <c r="Y102" s="8">
        <v>0.14285714289999901</v>
      </c>
      <c r="Z102" s="8">
        <v>0.3383458647</v>
      </c>
      <c r="AA102" s="8">
        <v>0.47368421049999998</v>
      </c>
      <c r="AB102" s="8">
        <v>0.82312925172857099</v>
      </c>
      <c r="AC102" s="8">
        <v>3.1746031700000003E-2</v>
      </c>
      <c r="AD102" s="8">
        <v>0.253968254</v>
      </c>
      <c r="AE102" s="8">
        <v>0.30952380949999903</v>
      </c>
      <c r="AF102" s="8">
        <v>0.40476190480000002</v>
      </c>
      <c r="AG102" s="4">
        <v>0.74943310658571405</v>
      </c>
      <c r="AH102" s="4">
        <v>8.7301587299999997E-2</v>
      </c>
      <c r="AI102" s="4">
        <v>0.28571428569999902</v>
      </c>
      <c r="AJ102" s="4">
        <v>0.43650793649999903</v>
      </c>
      <c r="AK102" s="4">
        <v>0.1904761905</v>
      </c>
      <c r="AL102" s="4">
        <v>0.91724137929999905</v>
      </c>
      <c r="AM102" s="4">
        <v>0.91724137929999905</v>
      </c>
      <c r="AN102" s="4">
        <v>0.96183206109999997</v>
      </c>
      <c r="AO102" s="4">
        <v>0.96183206109999997</v>
      </c>
      <c r="AP102" s="4" t="s">
        <v>256</v>
      </c>
      <c r="AQ102" s="4" t="s">
        <v>257</v>
      </c>
      <c r="AR102" s="4">
        <v>1</v>
      </c>
      <c r="AS102" s="4" t="s">
        <v>258</v>
      </c>
      <c r="AT102" s="4">
        <v>1</v>
      </c>
      <c r="AU102" s="4" t="s">
        <v>259</v>
      </c>
      <c r="AV102" s="4" t="s">
        <v>260</v>
      </c>
      <c r="AW102" s="4" t="s">
        <v>261</v>
      </c>
      <c r="AX102" s="4" t="s">
        <v>262</v>
      </c>
      <c r="AY102" s="11">
        <f>VLOOKUP(B102,[1]Página1!$A:$E,4,0)</f>
        <v>7664044.7599999998</v>
      </c>
    </row>
    <row r="103" spans="1:51" ht="15.75" customHeight="1" x14ac:dyDescent="0.3">
      <c r="A103" s="4">
        <v>3205036</v>
      </c>
      <c r="B103" s="4" t="s">
        <v>76</v>
      </c>
      <c r="C103" s="7">
        <v>2023</v>
      </c>
      <c r="D103" s="4">
        <v>0.45121122015224796</v>
      </c>
      <c r="E103" s="4">
        <v>0.44089037569145662</v>
      </c>
      <c r="F103" s="4">
        <v>0.93599999999999994</v>
      </c>
      <c r="G103" s="4">
        <v>1.4586381121522295E-2</v>
      </c>
      <c r="H103" s="8">
        <v>0.50619837344545904</v>
      </c>
      <c r="I103" s="4">
        <v>0.34292837906045198</v>
      </c>
      <c r="J103" s="4">
        <v>0.69779884608818399</v>
      </c>
      <c r="K103" s="4">
        <v>0.68585675812090396</v>
      </c>
      <c r="L103" s="4">
        <v>0.31459790080273498</v>
      </c>
      <c r="M103" s="4">
        <v>0</v>
      </c>
      <c r="N103" s="4">
        <v>0.56619001217091902</v>
      </c>
      <c r="O103" s="4">
        <v>0.51503649265954199</v>
      </c>
      <c r="P103" s="4">
        <v>0.55914707210119696</v>
      </c>
      <c r="Q103" s="4">
        <v>0.55498998348956297</v>
      </c>
      <c r="R103" s="4">
        <v>0.82064650677142803</v>
      </c>
      <c r="S103" s="8">
        <v>0.10218978099999999</v>
      </c>
      <c r="T103" s="8">
        <v>0.13503649640000001</v>
      </c>
      <c r="U103" s="8">
        <v>0.37956204380000003</v>
      </c>
      <c r="V103" s="8">
        <v>0.38321167879999901</v>
      </c>
      <c r="W103" s="8">
        <v>0.76293995854285701</v>
      </c>
      <c r="X103" s="8">
        <v>9.4202898600000001E-2</v>
      </c>
      <c r="Y103" s="8">
        <v>0.25</v>
      </c>
      <c r="Z103" s="8">
        <v>0.4456521739</v>
      </c>
      <c r="AA103" s="8">
        <v>0.21014492749999999</v>
      </c>
      <c r="AB103" s="8">
        <v>0.77391304349999901</v>
      </c>
      <c r="AC103" s="8">
        <v>8.6956521699999997E-2</v>
      </c>
      <c r="AD103" s="8">
        <v>0.24347826089999999</v>
      </c>
      <c r="AE103" s="8">
        <v>0.37391304349999999</v>
      </c>
      <c r="AF103" s="8">
        <v>0.29565217389999998</v>
      </c>
      <c r="AG103" s="4">
        <v>0.68074534168571399</v>
      </c>
      <c r="AH103" s="4">
        <v>0.1130434783</v>
      </c>
      <c r="AI103" s="4">
        <v>0.36086956520000002</v>
      </c>
      <c r="AJ103" s="4">
        <v>0.31304347830000001</v>
      </c>
      <c r="AK103" s="4">
        <v>0.21304347830000001</v>
      </c>
      <c r="AL103" s="4">
        <v>0.89836065570000001</v>
      </c>
      <c r="AM103" s="4">
        <v>0.90789473679999999</v>
      </c>
      <c r="AN103" s="4">
        <v>0.90196078430000004</v>
      </c>
      <c r="AO103" s="4">
        <v>0.90196078430000004</v>
      </c>
      <c r="AP103" s="4" t="s">
        <v>263</v>
      </c>
      <c r="AQ103" s="4" t="s">
        <v>264</v>
      </c>
      <c r="AR103" s="4" t="s">
        <v>265</v>
      </c>
      <c r="AS103" s="4" t="s">
        <v>266</v>
      </c>
      <c r="AT103" s="4">
        <v>0</v>
      </c>
      <c r="AU103" s="4" t="s">
        <v>267</v>
      </c>
      <c r="AV103" s="4">
        <v>0</v>
      </c>
      <c r="AW103" s="4" t="s">
        <v>268</v>
      </c>
      <c r="AX103" s="4">
        <v>0</v>
      </c>
      <c r="AY103" s="11">
        <f>VLOOKUP(B103,[1]Página1!$A:$E,4,0)</f>
        <v>4857472.62</v>
      </c>
    </row>
    <row r="104" spans="1:51" ht="15.75" customHeight="1" x14ac:dyDescent="0.3">
      <c r="A104" s="4">
        <v>3202207</v>
      </c>
      <c r="B104" s="4" t="s">
        <v>77</v>
      </c>
      <c r="C104" s="7">
        <v>2023</v>
      </c>
      <c r="D104" s="4">
        <v>0.69156124616554926</v>
      </c>
      <c r="E104" s="4">
        <v>0.61443195225276415</v>
      </c>
      <c r="F104" s="4">
        <v>0.95299999999999996</v>
      </c>
      <c r="G104" s="4">
        <v>0.79005919725742879</v>
      </c>
      <c r="H104" s="8">
        <v>0.52762587250609905</v>
      </c>
      <c r="I104" s="4">
        <v>0.74464107187276096</v>
      </c>
      <c r="J104" s="4">
        <v>0.66792849178307201</v>
      </c>
      <c r="K104" s="4">
        <v>0.65374974018180299</v>
      </c>
      <c r="L104" s="4">
        <v>0.38732325322912597</v>
      </c>
      <c r="M104" s="4">
        <v>0.83553240356371905</v>
      </c>
      <c r="N104" s="4">
        <v>0.52894824830868303</v>
      </c>
      <c r="O104" s="4">
        <v>0.507793060530907</v>
      </c>
      <c r="P104" s="4">
        <v>0.52511220194603303</v>
      </c>
      <c r="Q104" s="4">
        <v>0.51094512116689395</v>
      </c>
      <c r="R104" s="4">
        <v>0.76254826257142805</v>
      </c>
      <c r="S104" s="8">
        <v>0.1396396396</v>
      </c>
      <c r="T104" s="8">
        <v>0.1711711712</v>
      </c>
      <c r="U104" s="8">
        <v>0.38738738740000001</v>
      </c>
      <c r="V104" s="8">
        <v>0.30180180179999999</v>
      </c>
      <c r="W104" s="8">
        <v>0.78304405878571404</v>
      </c>
      <c r="X104" s="8">
        <v>7.0093457900000003E-2</v>
      </c>
      <c r="Y104" s="8">
        <v>0.25700934580000001</v>
      </c>
      <c r="Z104" s="8">
        <v>0.52803738320000004</v>
      </c>
      <c r="AA104" s="8">
        <v>0.14485981309999901</v>
      </c>
      <c r="AB104" s="8">
        <v>0.73728222992857095</v>
      </c>
      <c r="AC104" s="8">
        <v>0.1317073171</v>
      </c>
      <c r="AD104" s="8">
        <v>0.22926829269999999</v>
      </c>
      <c r="AE104" s="8">
        <v>0.42439024390000002</v>
      </c>
      <c r="AF104" s="8">
        <v>0.21463414629999999</v>
      </c>
      <c r="AG104" s="4">
        <v>0.59024390250000003</v>
      </c>
      <c r="AH104" s="4">
        <v>0.21463414629999999</v>
      </c>
      <c r="AI104" s="4">
        <v>0.34146341460000001</v>
      </c>
      <c r="AJ104" s="4">
        <v>0.31219512199999999</v>
      </c>
      <c r="AK104" s="4">
        <v>0.1317073171</v>
      </c>
      <c r="AL104" s="4">
        <v>0.8671875</v>
      </c>
      <c r="AM104" s="4">
        <v>0.84920634919999904</v>
      </c>
      <c r="AN104" s="4">
        <v>0.91517857140000003</v>
      </c>
      <c r="AO104" s="4">
        <v>0.91517857140000003</v>
      </c>
      <c r="AP104" s="4" t="s">
        <v>269</v>
      </c>
      <c r="AQ104" s="4" t="s">
        <v>270</v>
      </c>
      <c r="AR104" s="4">
        <v>1</v>
      </c>
      <c r="AS104" s="4" t="s">
        <v>271</v>
      </c>
      <c r="AT104" s="4">
        <v>1</v>
      </c>
      <c r="AU104" s="4" t="s">
        <v>272</v>
      </c>
      <c r="AV104" s="4" t="s">
        <v>273</v>
      </c>
      <c r="AW104" s="4" t="s">
        <v>274</v>
      </c>
      <c r="AX104" s="4">
        <v>1</v>
      </c>
      <c r="AY104" s="11">
        <f>VLOOKUP(B104,[1]Página1!$A:$E,4,0)</f>
        <v>7444938.5700000003</v>
      </c>
    </row>
    <row r="105" spans="1:51" ht="15.75" customHeight="1" x14ac:dyDescent="0.3">
      <c r="A105" s="4">
        <v>3204609</v>
      </c>
      <c r="B105" s="4" t="s">
        <v>78</v>
      </c>
      <c r="C105" s="7">
        <v>2023</v>
      </c>
      <c r="D105" s="4">
        <v>0.73563073183594796</v>
      </c>
      <c r="E105" s="4">
        <v>0.75891442559648281</v>
      </c>
      <c r="F105" s="4">
        <v>0.998</v>
      </c>
      <c r="G105" s="4">
        <v>0.36460422612273319</v>
      </c>
      <c r="H105" s="8">
        <v>0.68729942094593699</v>
      </c>
      <c r="I105" s="4">
        <v>0.86633693257230104</v>
      </c>
      <c r="J105" s="4">
        <v>0.74342390169822703</v>
      </c>
      <c r="K105" s="4">
        <v>0.754586940575946</v>
      </c>
      <c r="L105" s="4">
        <v>0.63117494019364695</v>
      </c>
      <c r="M105" s="4">
        <v>0.97808692456865598</v>
      </c>
      <c r="N105" s="4">
        <v>0.63129117104880705</v>
      </c>
      <c r="O105" s="4">
        <v>0.57435995270721196</v>
      </c>
      <c r="P105" s="4">
        <v>0.61774910613580303</v>
      </c>
      <c r="Q105" s="4">
        <v>0.62667682333226604</v>
      </c>
      <c r="R105" s="4">
        <v>0.91428571431428496</v>
      </c>
      <c r="S105" s="8">
        <v>4.8648648599999997E-2</v>
      </c>
      <c r="T105" s="8">
        <v>6.4864864899999999E-2</v>
      </c>
      <c r="U105" s="8">
        <v>0.33513513509999998</v>
      </c>
      <c r="V105" s="8">
        <v>0.55135135140000002</v>
      </c>
      <c r="W105" s="8">
        <v>0.84011843079999904</v>
      </c>
      <c r="X105" s="8">
        <v>4.1450777199999997E-2</v>
      </c>
      <c r="Y105" s="8">
        <v>0.207253886</v>
      </c>
      <c r="Z105" s="8">
        <v>0.37823834200000001</v>
      </c>
      <c r="AA105" s="8">
        <v>0.37305699479999999</v>
      </c>
      <c r="AB105" s="8">
        <v>0.86725067388571397</v>
      </c>
      <c r="AC105" s="8">
        <v>5.1886792500000001E-2</v>
      </c>
      <c r="AD105" s="8">
        <v>0.14150943399999999</v>
      </c>
      <c r="AE105" s="8">
        <v>0.32547169809999998</v>
      </c>
      <c r="AF105" s="8">
        <v>0.48113207549999998</v>
      </c>
      <c r="AG105" s="4">
        <v>0.78773584898571403</v>
      </c>
      <c r="AH105" s="4">
        <v>8.0188679200000001E-2</v>
      </c>
      <c r="AI105" s="4">
        <v>0.23113207549999901</v>
      </c>
      <c r="AJ105" s="4">
        <v>0.37264150940000001</v>
      </c>
      <c r="AK105" s="4">
        <v>0.3160377358</v>
      </c>
      <c r="AL105" s="4">
        <v>0.8604651163</v>
      </c>
      <c r="AM105" s="4">
        <v>0.88940092169999996</v>
      </c>
      <c r="AN105" s="4">
        <v>0.94642857140000003</v>
      </c>
      <c r="AO105" s="4">
        <v>0.94642857140000003</v>
      </c>
      <c r="AP105" s="4" t="s">
        <v>275</v>
      </c>
      <c r="AQ105" s="4" t="s">
        <v>276</v>
      </c>
      <c r="AR105" s="4">
        <v>0</v>
      </c>
      <c r="AS105" s="4" t="s">
        <v>277</v>
      </c>
      <c r="AT105" s="4">
        <v>1</v>
      </c>
      <c r="AU105" s="4" t="s">
        <v>278</v>
      </c>
      <c r="AV105" s="4" t="s">
        <v>279</v>
      </c>
      <c r="AW105" s="4" t="s">
        <v>280</v>
      </c>
      <c r="AX105" s="4" t="s">
        <v>281</v>
      </c>
      <c r="AY105" s="11">
        <f>VLOOKUP(B105,[1]Página1!$A:$E,4,0)</f>
        <v>7919364.54</v>
      </c>
    </row>
    <row r="106" spans="1:51" ht="15.75" customHeight="1" x14ac:dyDescent="0.3">
      <c r="A106" s="4">
        <v>3205002</v>
      </c>
      <c r="B106" s="4" t="s">
        <v>79</v>
      </c>
      <c r="C106" s="7">
        <v>2023</v>
      </c>
      <c r="D106" s="4">
        <v>0.56605406210760312</v>
      </c>
      <c r="E106" s="4">
        <v>0.49772008872514739</v>
      </c>
      <c r="F106" s="4">
        <v>0.95099999999999996</v>
      </c>
      <c r="G106" s="4">
        <v>0.5</v>
      </c>
      <c r="H106" s="8">
        <v>0.51864260241086202</v>
      </c>
      <c r="I106" s="4">
        <v>0.46633631819657401</v>
      </c>
      <c r="J106" s="4">
        <v>0.64795929435367405</v>
      </c>
      <c r="K106" s="4">
        <v>0.59848857412198597</v>
      </c>
      <c r="L106" s="4">
        <v>0.38932591046805098</v>
      </c>
      <c r="M106" s="4">
        <v>0.33418406227116199</v>
      </c>
      <c r="N106" s="4">
        <v>0.52133973967684</v>
      </c>
      <c r="O106" s="4">
        <v>0.474083141374538</v>
      </c>
      <c r="P106" s="4">
        <v>0.49004586432590302</v>
      </c>
      <c r="Q106" s="4">
        <v>0.47123749862632602</v>
      </c>
      <c r="R106" s="4">
        <v>0.75411920134285704</v>
      </c>
      <c r="S106" s="8">
        <v>0.1423835282</v>
      </c>
      <c r="T106" s="8">
        <v>0.18112022329999999</v>
      </c>
      <c r="U106" s="8">
        <v>0.39626592220000001</v>
      </c>
      <c r="V106" s="8">
        <v>0.2802303263</v>
      </c>
      <c r="W106" s="8">
        <v>0.69862380604285701</v>
      </c>
      <c r="X106" s="8">
        <v>0.1017253774</v>
      </c>
      <c r="Y106" s="8">
        <v>0.3493889288</v>
      </c>
      <c r="Z106" s="8">
        <v>0.43170381019999998</v>
      </c>
      <c r="AA106" s="8">
        <v>0.1171818835</v>
      </c>
      <c r="AB106" s="8">
        <v>0.64764947505714199</v>
      </c>
      <c r="AC106" s="8">
        <v>0.17332268370000001</v>
      </c>
      <c r="AD106" s="8">
        <v>0.31329872199999997</v>
      </c>
      <c r="AE106" s="8">
        <v>0.35223642169999902</v>
      </c>
      <c r="AF106" s="8">
        <v>0.16114217249999899</v>
      </c>
      <c r="AG106" s="4">
        <v>0.51566617031428497</v>
      </c>
      <c r="AH106" s="4">
        <v>0.2415797915</v>
      </c>
      <c r="AI106" s="4">
        <v>0.42481956699999901</v>
      </c>
      <c r="AJ106" s="4">
        <v>0.26122694469999902</v>
      </c>
      <c r="AK106" s="4">
        <v>7.2373696900000006E-2</v>
      </c>
      <c r="AL106" s="4">
        <v>0.86245297219999995</v>
      </c>
      <c r="AM106" s="4">
        <v>0.84392537540000001</v>
      </c>
      <c r="AN106" s="4">
        <v>0.85271581819999998</v>
      </c>
      <c r="AO106" s="4">
        <v>0.84931040349999998</v>
      </c>
      <c r="AP106" s="4" t="s">
        <v>282</v>
      </c>
      <c r="AQ106" s="4" t="s">
        <v>283</v>
      </c>
      <c r="AR106" s="4">
        <v>1</v>
      </c>
      <c r="AS106" s="4" t="s">
        <v>284</v>
      </c>
      <c r="AT106" s="4">
        <v>1</v>
      </c>
      <c r="AU106" s="4" t="s">
        <v>285</v>
      </c>
      <c r="AV106" s="4">
        <v>0</v>
      </c>
      <c r="AW106" s="4" t="s">
        <v>286</v>
      </c>
      <c r="AX106" s="4">
        <v>0</v>
      </c>
      <c r="AY106" s="11">
        <f>VLOOKUP(B106,[1]Página1!$A:$E,4,0)</f>
        <v>6093802.5999999996</v>
      </c>
    </row>
    <row r="107" spans="1:51" ht="15.75" customHeight="1" x14ac:dyDescent="0.3">
      <c r="A107" s="4">
        <v>3205309</v>
      </c>
      <c r="B107" s="4" t="s">
        <v>80</v>
      </c>
      <c r="C107" s="7">
        <v>2023</v>
      </c>
      <c r="D107" s="4">
        <v>0.66112000078274769</v>
      </c>
      <c r="E107" s="4">
        <v>0.67208701492736789</v>
      </c>
      <c r="F107" s="4">
        <v>0.97</v>
      </c>
      <c r="G107" s="4">
        <v>0.3010606022239346</v>
      </c>
      <c r="H107" s="8">
        <v>0.68548223699875799</v>
      </c>
      <c r="I107" s="4">
        <v>0.65199418182028201</v>
      </c>
      <c r="J107" s="4">
        <v>0.69662977956141803</v>
      </c>
      <c r="K107" s="4">
        <v>0.66369919911515796</v>
      </c>
      <c r="L107" s="4">
        <v>0.67433469443609795</v>
      </c>
      <c r="M107" s="4">
        <v>0.64028916452540696</v>
      </c>
      <c r="N107" s="4">
        <v>0.55101965746391801</v>
      </c>
      <c r="O107" s="4">
        <v>0.51970618687192605</v>
      </c>
      <c r="P107" s="4">
        <v>0.53970677513112697</v>
      </c>
      <c r="Q107" s="4">
        <v>0.52269454558664696</v>
      </c>
      <c r="R107" s="4">
        <v>0.80720092918571396</v>
      </c>
      <c r="S107" s="8">
        <v>0.1010957936</v>
      </c>
      <c r="T107" s="8">
        <v>0.15800636270000001</v>
      </c>
      <c r="U107" s="8">
        <v>0.3948391658</v>
      </c>
      <c r="V107" s="8">
        <v>0.34464475080000001</v>
      </c>
      <c r="W107" s="8">
        <v>0.78211716349999905</v>
      </c>
      <c r="X107" s="8">
        <v>6.76258993E-2</v>
      </c>
      <c r="Y107" s="8">
        <v>0.26043165470000001</v>
      </c>
      <c r="Z107" s="8">
        <v>0.4697841727</v>
      </c>
      <c r="AA107" s="8">
        <v>0.20071942449999999</v>
      </c>
      <c r="AB107" s="8">
        <v>0.73701176595714202</v>
      </c>
      <c r="AC107" s="8">
        <v>0.107935314</v>
      </c>
      <c r="AD107" s="8">
        <v>0.27002632570000001</v>
      </c>
      <c r="AE107" s="8">
        <v>0.35953365929999997</v>
      </c>
      <c r="AF107" s="8">
        <v>0.26175253850000002</v>
      </c>
      <c r="AG107" s="4">
        <v>0.61496291522857105</v>
      </c>
      <c r="AH107" s="4">
        <v>0.179834462</v>
      </c>
      <c r="AI107" s="4">
        <v>0.35778781039999902</v>
      </c>
      <c r="AJ107" s="4">
        <v>0.3194130926</v>
      </c>
      <c r="AK107" s="4">
        <v>0.14221218960000001</v>
      </c>
      <c r="AL107" s="4">
        <v>0.91553398060000002</v>
      </c>
      <c r="AM107" s="4">
        <v>0.90760692129999998</v>
      </c>
      <c r="AN107" s="4">
        <v>0.91658048949999904</v>
      </c>
      <c r="AO107" s="4">
        <v>0.91623578080000001</v>
      </c>
      <c r="AP107" s="4" t="s">
        <v>287</v>
      </c>
      <c r="AQ107" s="4" t="s">
        <v>288</v>
      </c>
      <c r="AR107" s="4">
        <v>1</v>
      </c>
      <c r="AS107" s="4" t="s">
        <v>289</v>
      </c>
      <c r="AT107" s="4">
        <v>0</v>
      </c>
      <c r="AU107" s="4" t="s">
        <v>290</v>
      </c>
      <c r="AV107" s="4" t="s">
        <v>291</v>
      </c>
      <c r="AW107" s="4" t="s">
        <v>292</v>
      </c>
      <c r="AX107" s="4">
        <v>0</v>
      </c>
      <c r="AY107" s="11">
        <f>VLOOKUP(B107,[1]Página1!$A:$E,4,0)</f>
        <v>7117226.1600000001</v>
      </c>
    </row>
    <row r="108" spans="1:51" ht="15.75" customHeight="1" x14ac:dyDescent="0.3">
      <c r="A108" s="4">
        <v>3201308</v>
      </c>
      <c r="B108" s="4" t="s">
        <v>81</v>
      </c>
      <c r="C108" s="7">
        <v>2023</v>
      </c>
      <c r="D108" s="4">
        <v>0.55252545256683783</v>
      </c>
      <c r="E108" s="4">
        <v>0.45198836906978412</v>
      </c>
      <c r="F108" s="4">
        <v>0.97599999999999998</v>
      </c>
      <c r="G108" s="4">
        <v>0.59822396145325962</v>
      </c>
      <c r="H108" s="8">
        <v>0.46172954553635298</v>
      </c>
      <c r="I108" s="4">
        <v>0.43737660436992998</v>
      </c>
      <c r="J108" s="4">
        <v>0.66152150710662205</v>
      </c>
      <c r="K108" s="4">
        <v>0.61380314412696302</v>
      </c>
      <c r="L108" s="4">
        <v>0.26193758396608402</v>
      </c>
      <c r="M108" s="4">
        <v>0.26095006461289599</v>
      </c>
      <c r="N108" s="4">
        <v>0.52149104369153598</v>
      </c>
      <c r="O108" s="4">
        <v>0.50209370463509295</v>
      </c>
      <c r="P108" s="4">
        <v>0.493006029685289</v>
      </c>
      <c r="Q108" s="4">
        <v>0.48560545184399101</v>
      </c>
      <c r="R108" s="4">
        <v>0.73820812802857105</v>
      </c>
      <c r="S108" s="8">
        <v>0.15280172410000001</v>
      </c>
      <c r="T108" s="8">
        <v>0.1907327586</v>
      </c>
      <c r="U108" s="8">
        <v>0.35538793099999999</v>
      </c>
      <c r="V108" s="8">
        <v>0.30107758619999903</v>
      </c>
      <c r="W108" s="8">
        <v>0.74203095142857101</v>
      </c>
      <c r="X108" s="8">
        <v>9.4950366899999902E-2</v>
      </c>
      <c r="Y108" s="8">
        <v>0.28528269309999998</v>
      </c>
      <c r="Z108" s="8">
        <v>0.42706085459999998</v>
      </c>
      <c r="AA108" s="8">
        <v>0.19270608549999901</v>
      </c>
      <c r="AB108" s="8">
        <v>0.64031292184285704</v>
      </c>
      <c r="AC108" s="8">
        <v>0.17082626609999901</v>
      </c>
      <c r="AD108" s="8">
        <v>0.3305064211</v>
      </c>
      <c r="AE108" s="8">
        <v>0.31790646960000002</v>
      </c>
      <c r="AF108" s="8">
        <v>0.18076084319999999</v>
      </c>
      <c r="AG108" s="4">
        <v>0.544021343614285</v>
      </c>
      <c r="AH108" s="4">
        <v>0.22701916080000001</v>
      </c>
      <c r="AI108" s="4">
        <v>0.40067911709999998</v>
      </c>
      <c r="AJ108" s="4">
        <v>0.28377395100000002</v>
      </c>
      <c r="AK108" s="4">
        <v>8.8527771000000005E-2</v>
      </c>
      <c r="AL108" s="4">
        <v>0.87580218949999999</v>
      </c>
      <c r="AM108" s="4">
        <v>0.88350810300000004</v>
      </c>
      <c r="AN108" s="4">
        <v>0.88486277869999996</v>
      </c>
      <c r="AO108" s="4">
        <v>0.8840051458</v>
      </c>
      <c r="AP108" s="4" t="s">
        <v>293</v>
      </c>
      <c r="AQ108" s="4" t="s">
        <v>294</v>
      </c>
      <c r="AR108" s="4">
        <v>1</v>
      </c>
      <c r="AS108" s="4" t="s">
        <v>295</v>
      </c>
      <c r="AT108" s="4">
        <v>1</v>
      </c>
      <c r="AU108" s="4" t="s">
        <v>296</v>
      </c>
      <c r="AV108" s="4" t="s">
        <v>297</v>
      </c>
      <c r="AW108" s="4" t="s">
        <v>298</v>
      </c>
      <c r="AX108" s="4" t="s">
        <v>299</v>
      </c>
      <c r="AY108" s="11">
        <f>VLOOKUP(B108,[1]Página1!$A:$E,4,0)</f>
        <v>5948161.5999999996</v>
      </c>
    </row>
    <row r="109" spans="1:51" ht="15.75" customHeight="1" x14ac:dyDescent="0.3">
      <c r="A109" s="4">
        <v>3203346</v>
      </c>
      <c r="B109" s="4" t="s">
        <v>82</v>
      </c>
      <c r="C109" s="7">
        <v>2023</v>
      </c>
      <c r="D109" s="4">
        <v>0.61868817080017557</v>
      </c>
      <c r="E109" s="4">
        <v>0.54482631546062121</v>
      </c>
      <c r="F109" s="4">
        <v>0.9840000000000001</v>
      </c>
      <c r="G109" s="4">
        <v>0.59806499985160499</v>
      </c>
      <c r="H109" s="8">
        <v>0.61377309601501995</v>
      </c>
      <c r="I109" s="4">
        <v>0.441406144629022</v>
      </c>
      <c r="J109" s="4">
        <v>0.73231825042382204</v>
      </c>
      <c r="K109" s="4">
        <v>0.71649936906335998</v>
      </c>
      <c r="L109" s="4">
        <v>0.49522794160621803</v>
      </c>
      <c r="M109" s="4">
        <v>0.16631292019468299</v>
      </c>
      <c r="N109" s="4">
        <v>0.60306624619201299</v>
      </c>
      <c r="O109" s="4">
        <v>0.53153923089537702</v>
      </c>
      <c r="P109" s="4">
        <v>0.567589814119415</v>
      </c>
      <c r="Q109" s="4">
        <v>0.58383493552688304</v>
      </c>
      <c r="R109" s="4">
        <v>0.90644257709999898</v>
      </c>
      <c r="S109" s="8">
        <v>5.0980392200000002E-2</v>
      </c>
      <c r="T109" s="8">
        <v>7.4509803900000005E-2</v>
      </c>
      <c r="U109" s="8">
        <v>0.40784313729999999</v>
      </c>
      <c r="V109" s="8">
        <v>0.46666666669999901</v>
      </c>
      <c r="W109" s="8">
        <v>0.83163265307142797</v>
      </c>
      <c r="X109" s="8">
        <v>5.9523809499999997E-2</v>
      </c>
      <c r="Y109" s="8">
        <v>0.1904761905</v>
      </c>
      <c r="Z109" s="8">
        <v>0.56349206350000003</v>
      </c>
      <c r="AA109" s="8">
        <v>0.1865079365</v>
      </c>
      <c r="AB109" s="8">
        <v>0.80260818021428504</v>
      </c>
      <c r="AC109" s="8">
        <v>4.5643153499999999E-2</v>
      </c>
      <c r="AD109" s="8">
        <v>0.26556016599999999</v>
      </c>
      <c r="AE109" s="8">
        <v>0.41493775929999999</v>
      </c>
      <c r="AF109" s="8">
        <v>0.27385892119999999</v>
      </c>
      <c r="AG109" s="4">
        <v>0.72139893300000002</v>
      </c>
      <c r="AH109" s="4">
        <v>0.1244813278</v>
      </c>
      <c r="AI109" s="4">
        <v>0.26970954359999999</v>
      </c>
      <c r="AJ109" s="4">
        <v>0.356846473</v>
      </c>
      <c r="AK109" s="4">
        <v>0.2489626556</v>
      </c>
      <c r="AL109" s="4">
        <v>0.90425531910000001</v>
      </c>
      <c r="AM109" s="4">
        <v>0.90322580649999995</v>
      </c>
      <c r="AN109" s="4">
        <v>0.95256916999999997</v>
      </c>
      <c r="AO109" s="4">
        <v>0.95256916999999997</v>
      </c>
      <c r="AP109" s="4" t="s">
        <v>300</v>
      </c>
      <c r="AQ109" s="4" t="s">
        <v>301</v>
      </c>
      <c r="AR109" s="4">
        <v>1</v>
      </c>
      <c r="AS109" s="4" t="s">
        <v>302</v>
      </c>
      <c r="AT109" s="4">
        <v>1</v>
      </c>
      <c r="AU109" s="4" t="s">
        <v>303</v>
      </c>
      <c r="AV109" s="4" t="s">
        <v>304</v>
      </c>
      <c r="AW109" s="4" t="s">
        <v>305</v>
      </c>
      <c r="AX109" s="4" t="s">
        <v>306</v>
      </c>
      <c r="AY109" s="11">
        <f>VLOOKUP(B109,[1]Página1!$A:$E,4,0)</f>
        <v>6660430.2199999997</v>
      </c>
    </row>
    <row r="110" spans="1:51" ht="15.75" customHeight="1" x14ac:dyDescent="0.3">
      <c r="A110" s="4">
        <v>3204500</v>
      </c>
      <c r="B110" s="4" t="s">
        <v>83</v>
      </c>
      <c r="C110" s="7">
        <v>2023</v>
      </c>
      <c r="D110" s="4">
        <v>0.69822668040705627</v>
      </c>
      <c r="E110" s="4">
        <v>0.72106602150780019</v>
      </c>
      <c r="F110" s="4">
        <v>0.96799999999999997</v>
      </c>
      <c r="G110" s="4">
        <v>0.32186976901064102</v>
      </c>
      <c r="H110" s="8">
        <v>0.86469115125337304</v>
      </c>
      <c r="I110" s="4">
        <v>0.50562832688944004</v>
      </c>
      <c r="J110" s="4">
        <v>0.77060761133550204</v>
      </c>
      <c r="K110" s="4">
        <v>0.65991618034634403</v>
      </c>
      <c r="L110" s="4">
        <v>0.95877469117124303</v>
      </c>
      <c r="M110" s="4">
        <v>0.35134047343253699</v>
      </c>
      <c r="N110" s="4">
        <v>0.62545944143106602</v>
      </c>
      <c r="O110" s="4">
        <v>0.635663403234486</v>
      </c>
      <c r="P110" s="4">
        <v>0.52744459666816101</v>
      </c>
      <c r="Q110" s="4">
        <v>0.51529131240293102</v>
      </c>
      <c r="R110" s="4">
        <v>0.87884267635714197</v>
      </c>
      <c r="S110" s="8">
        <v>8.8607594899999906E-2</v>
      </c>
      <c r="T110" s="8">
        <v>5.6962025299999899E-2</v>
      </c>
      <c r="U110" s="8">
        <v>0.28481012659999999</v>
      </c>
      <c r="V110" s="8">
        <v>0.56962025319999998</v>
      </c>
      <c r="W110" s="8">
        <v>0.91558441555714198</v>
      </c>
      <c r="X110" s="8">
        <v>3.24675325E-2</v>
      </c>
      <c r="Y110" s="8">
        <v>9.0909090900000003E-2</v>
      </c>
      <c r="Z110" s="8">
        <v>0.32467532469999999</v>
      </c>
      <c r="AA110" s="8">
        <v>0.55194805189999996</v>
      </c>
      <c r="AB110" s="8">
        <v>0.73091976522857105</v>
      </c>
      <c r="AC110" s="8">
        <v>8.9041095899999895E-2</v>
      </c>
      <c r="AD110" s="8">
        <v>0.31506849320000002</v>
      </c>
      <c r="AE110" s="8">
        <v>0.39726027399999903</v>
      </c>
      <c r="AF110" s="8">
        <v>0.19863013699999901</v>
      </c>
      <c r="AG110" s="4">
        <v>0.59669582119999898</v>
      </c>
      <c r="AH110" s="4">
        <v>0.1700680272</v>
      </c>
      <c r="AI110" s="4">
        <v>0.40816326529999902</v>
      </c>
      <c r="AJ110" s="4">
        <v>0.28571428569999902</v>
      </c>
      <c r="AK110" s="4">
        <v>0.13605442179999999</v>
      </c>
      <c r="AL110" s="4">
        <v>0.93491124260000003</v>
      </c>
      <c r="AM110" s="4">
        <v>0.92215568859999997</v>
      </c>
      <c r="AN110" s="4">
        <v>0.92993630569999997</v>
      </c>
      <c r="AO110" s="4">
        <v>0.93630573249999904</v>
      </c>
      <c r="AP110" s="4" t="s">
        <v>307</v>
      </c>
      <c r="AQ110" s="4" t="s">
        <v>308</v>
      </c>
      <c r="AR110" s="4">
        <v>0</v>
      </c>
      <c r="AS110" s="4" t="s">
        <v>309</v>
      </c>
      <c r="AT110" s="4" t="s">
        <v>310</v>
      </c>
      <c r="AU110" s="4" t="s">
        <v>311</v>
      </c>
      <c r="AV110" s="4">
        <v>1</v>
      </c>
      <c r="AW110" s="4" t="s">
        <v>312</v>
      </c>
      <c r="AX110" s="4">
        <v>0</v>
      </c>
      <c r="AY110" s="11">
        <f>VLOOKUP(B110,[1]Página1!$A:$E,4,0)</f>
        <v>7516694.6799999997</v>
      </c>
    </row>
    <row r="111" spans="1:51" ht="15.75" customHeight="1" x14ac:dyDescent="0.3">
      <c r="A111" s="4">
        <v>3205101</v>
      </c>
      <c r="B111" s="4" t="s">
        <v>84</v>
      </c>
      <c r="C111" s="7">
        <v>2023</v>
      </c>
      <c r="D111" s="4">
        <v>0.66556759371832752</v>
      </c>
      <c r="E111" s="4">
        <v>0.61823786710874828</v>
      </c>
      <c r="F111" s="4">
        <v>0.99099999999999999</v>
      </c>
      <c r="G111" s="4">
        <v>0.56100724494802512</v>
      </c>
      <c r="H111" s="8">
        <v>0.58136020372312203</v>
      </c>
      <c r="I111" s="4">
        <v>0.67355436218718701</v>
      </c>
      <c r="J111" s="4">
        <v>0.71678394572205295</v>
      </c>
      <c r="K111" s="4">
        <v>0.68996194473167605</v>
      </c>
      <c r="L111" s="4">
        <v>0.44593646172419099</v>
      </c>
      <c r="M111" s="4">
        <v>0.65714677964269796</v>
      </c>
      <c r="N111" s="4">
        <v>0.57940581962281601</v>
      </c>
      <c r="O111" s="4">
        <v>0.55126354384032805</v>
      </c>
      <c r="P111" s="4">
        <v>0.55919531809683298</v>
      </c>
      <c r="Q111" s="4">
        <v>0.54985339300844105</v>
      </c>
      <c r="R111" s="4">
        <v>0.82198952875714304</v>
      </c>
      <c r="S111" s="8">
        <v>0.1012216405</v>
      </c>
      <c r="T111" s="8">
        <v>0.13438045379999999</v>
      </c>
      <c r="U111" s="8">
        <v>0.32286212910000001</v>
      </c>
      <c r="V111" s="8">
        <v>0.44153577659999999</v>
      </c>
      <c r="W111" s="8">
        <v>0.83546365918571397</v>
      </c>
      <c r="X111" s="8">
        <v>5.1754385999999999E-2</v>
      </c>
      <c r="Y111" s="8">
        <v>0.1973684211</v>
      </c>
      <c r="Z111" s="8">
        <v>0.47543859649999998</v>
      </c>
      <c r="AA111" s="8">
        <v>0.27543859650000002</v>
      </c>
      <c r="AB111" s="8">
        <v>0.78698727011428504</v>
      </c>
      <c r="AC111" s="8">
        <v>7.3267326699999996E-2</v>
      </c>
      <c r="AD111" s="8">
        <v>0.24455445539999901</v>
      </c>
      <c r="AE111" s="8">
        <v>0.3821782178</v>
      </c>
      <c r="AF111" s="8">
        <v>0.3</v>
      </c>
      <c r="AG111" s="4">
        <v>0.67991513432857098</v>
      </c>
      <c r="AH111" s="4">
        <v>0.1237623762</v>
      </c>
      <c r="AI111" s="4">
        <v>0.34356435639999999</v>
      </c>
      <c r="AJ111" s="4">
        <v>0.37128712870000002</v>
      </c>
      <c r="AK111" s="4">
        <v>0.16138613860000001</v>
      </c>
      <c r="AL111" s="4">
        <v>0.90449881610000005</v>
      </c>
      <c r="AM111" s="4">
        <v>0.9018987342</v>
      </c>
      <c r="AN111" s="4">
        <v>0.91734786560000003</v>
      </c>
      <c r="AO111" s="4">
        <v>0.91734786560000003</v>
      </c>
      <c r="AP111" s="4" t="s">
        <v>313</v>
      </c>
      <c r="AQ111" s="4" t="s">
        <v>314</v>
      </c>
      <c r="AR111" s="4">
        <v>1</v>
      </c>
      <c r="AS111" s="4" t="s">
        <v>315</v>
      </c>
      <c r="AT111" s="4">
        <v>1</v>
      </c>
      <c r="AU111" s="4" t="s">
        <v>316</v>
      </c>
      <c r="AV111" s="4" t="s">
        <v>317</v>
      </c>
      <c r="AW111" s="4" t="s">
        <v>318</v>
      </c>
      <c r="AX111" s="4">
        <v>0</v>
      </c>
      <c r="AY111" s="11">
        <f>VLOOKUP(B111,[1]Página1!$A:$E,4,0)</f>
        <v>7165106.3099999996</v>
      </c>
    </row>
    <row r="112" spans="1:51" ht="15.75" customHeight="1" x14ac:dyDescent="0.3">
      <c r="A112" s="4">
        <v>3200359</v>
      </c>
      <c r="B112" s="4" t="s">
        <v>85</v>
      </c>
      <c r="C112" s="7">
        <v>2023</v>
      </c>
      <c r="D112" s="4">
        <v>0.62545540059485161</v>
      </c>
      <c r="E112" s="4">
        <v>0.60444242464636933</v>
      </c>
      <c r="F112" s="4">
        <v>0.97599999999999998</v>
      </c>
      <c r="G112" s="4">
        <v>0.37297135561595435</v>
      </c>
      <c r="H112" s="8">
        <v>0.64909924798320895</v>
      </c>
      <c r="I112" s="4">
        <v>0.537457189641108</v>
      </c>
      <c r="J112" s="4">
        <v>0.73270398294201899</v>
      </c>
      <c r="K112" s="4">
        <v>0.72523729664536896</v>
      </c>
      <c r="L112" s="4">
        <v>0.56549451302440001</v>
      </c>
      <c r="M112" s="4">
        <v>0.34967708263684799</v>
      </c>
      <c r="N112" s="4">
        <v>0.54618613537347005</v>
      </c>
      <c r="O112" s="4">
        <v>0.65516252040703304</v>
      </c>
      <c r="P112" s="4">
        <v>0.59411417447866699</v>
      </c>
      <c r="Q112" s="4">
        <v>0.58018284347423699</v>
      </c>
      <c r="R112" s="4">
        <v>0.76101468631428504</v>
      </c>
      <c r="S112" s="8">
        <v>0.15887850470000001</v>
      </c>
      <c r="T112" s="8">
        <v>0.14018691589999999</v>
      </c>
      <c r="U112" s="8">
        <v>0.28037383179999997</v>
      </c>
      <c r="V112" s="8">
        <v>0.42056074770000001</v>
      </c>
      <c r="W112" s="8">
        <v>0.91054739651428496</v>
      </c>
      <c r="X112" s="8">
        <v>4.6728972000000001E-2</v>
      </c>
      <c r="Y112" s="8">
        <v>7.4766355100000001E-2</v>
      </c>
      <c r="Z112" s="8">
        <v>0.20560747660000001</v>
      </c>
      <c r="AA112" s="8">
        <v>0.672897196299999</v>
      </c>
      <c r="AB112" s="8">
        <v>0.82825040127142802</v>
      </c>
      <c r="AC112" s="8">
        <v>5.6179775299999998E-2</v>
      </c>
      <c r="AD112" s="8">
        <v>0.20224719099999999</v>
      </c>
      <c r="AE112" s="8">
        <v>0.3595505618</v>
      </c>
      <c r="AF112" s="8">
        <v>0.38202247189999999</v>
      </c>
      <c r="AG112" s="4">
        <v>0.71107544138571399</v>
      </c>
      <c r="AH112" s="4">
        <v>8.9887640399999996E-2</v>
      </c>
      <c r="AI112" s="4">
        <v>0.34831460669999997</v>
      </c>
      <c r="AJ112" s="4">
        <v>0.2808988764</v>
      </c>
      <c r="AK112" s="4">
        <v>0.2808988764</v>
      </c>
      <c r="AL112" s="4">
        <v>0.93043478260000001</v>
      </c>
      <c r="AM112" s="4">
        <v>0.93043478260000001</v>
      </c>
      <c r="AN112" s="4">
        <v>0.95698924730000001</v>
      </c>
      <c r="AO112" s="4">
        <v>0.95698924730000001</v>
      </c>
      <c r="AP112" s="4" t="s">
        <v>319</v>
      </c>
      <c r="AQ112" s="4" t="s">
        <v>320</v>
      </c>
      <c r="AR112" s="4" t="s">
        <v>321</v>
      </c>
      <c r="AS112" s="4" t="s">
        <v>322</v>
      </c>
      <c r="AT112" s="4">
        <v>1</v>
      </c>
      <c r="AU112" s="4" t="s">
        <v>323</v>
      </c>
      <c r="AV112" s="4">
        <v>0</v>
      </c>
      <c r="AW112" s="4" t="s">
        <v>324</v>
      </c>
      <c r="AX112" s="4">
        <v>0</v>
      </c>
      <c r="AY112" s="11">
        <f>VLOOKUP(B112,[1]Página1!$A:$E,4,0)</f>
        <v>6733282.21</v>
      </c>
    </row>
    <row r="113" spans="1:51" ht="15.75" customHeight="1" x14ac:dyDescent="0.3">
      <c r="A113" s="4">
        <v>3200805</v>
      </c>
      <c r="B113" s="4" t="s">
        <v>86</v>
      </c>
      <c r="C113" s="7">
        <v>2023</v>
      </c>
      <c r="D113" s="4">
        <v>0.59109782969251379</v>
      </c>
      <c r="E113" s="4">
        <v>0.53006832813216254</v>
      </c>
      <c r="F113" s="4">
        <v>0.96700000000000008</v>
      </c>
      <c r="G113" s="4">
        <v>0.5</v>
      </c>
      <c r="H113" s="8">
        <v>0.55500337247403797</v>
      </c>
      <c r="I113" s="4">
        <v>0.492665761619348</v>
      </c>
      <c r="J113" s="4">
        <v>0.70189722898971196</v>
      </c>
      <c r="K113" s="4">
        <v>0.62145472561041204</v>
      </c>
      <c r="L113" s="4">
        <v>0.40810951595836398</v>
      </c>
      <c r="M113" s="4">
        <v>0.36387679762828501</v>
      </c>
      <c r="N113" s="4">
        <v>0.56295429685154197</v>
      </c>
      <c r="O113" s="4">
        <v>0.55307142052839098</v>
      </c>
      <c r="P113" s="4">
        <v>0.51223803142789504</v>
      </c>
      <c r="Q113" s="4">
        <v>0.49166372942803799</v>
      </c>
      <c r="R113" s="4">
        <v>0.80574912892857098</v>
      </c>
      <c r="S113" s="8">
        <v>0.1158536585</v>
      </c>
      <c r="T113" s="8">
        <v>0.137195122</v>
      </c>
      <c r="U113" s="8">
        <v>0.34756097559999999</v>
      </c>
      <c r="V113" s="8">
        <v>0.3993902439</v>
      </c>
      <c r="W113" s="8">
        <v>0.82273519164285702</v>
      </c>
      <c r="X113" s="8">
        <v>5.1829268300000002E-2</v>
      </c>
      <c r="Y113" s="8">
        <v>0.2195121951</v>
      </c>
      <c r="Z113" s="8">
        <v>0.42987804879999902</v>
      </c>
      <c r="AA113" s="8">
        <v>0.29878048779999999</v>
      </c>
      <c r="AB113" s="8">
        <v>0.70790378005714205</v>
      </c>
      <c r="AC113" s="8">
        <v>0.1408934708</v>
      </c>
      <c r="AD113" s="8">
        <v>0.264604811</v>
      </c>
      <c r="AE113" s="8">
        <v>0.38487972510000001</v>
      </c>
      <c r="AF113" s="8">
        <v>0.20962199309999999</v>
      </c>
      <c r="AG113" s="4">
        <v>0.568973981314285</v>
      </c>
      <c r="AH113" s="4">
        <v>0.19931271479999901</v>
      </c>
      <c r="AI113" s="4">
        <v>0.40549828179999903</v>
      </c>
      <c r="AJ113" s="4">
        <v>0.31615120269999902</v>
      </c>
      <c r="AK113" s="4">
        <v>7.9037800699999994E-2</v>
      </c>
      <c r="AL113" s="4">
        <v>0.87234042550000002</v>
      </c>
      <c r="AM113" s="4">
        <v>0.88409703500000003</v>
      </c>
      <c r="AN113" s="4">
        <v>0.8434782609</v>
      </c>
      <c r="AO113" s="4">
        <v>0.8434782609</v>
      </c>
      <c r="AP113" s="4" t="s">
        <v>282</v>
      </c>
      <c r="AQ113" s="4" t="s">
        <v>325</v>
      </c>
      <c r="AR113" s="4">
        <v>1</v>
      </c>
      <c r="AS113" s="4" t="s">
        <v>326</v>
      </c>
      <c r="AT113" s="4">
        <v>1</v>
      </c>
      <c r="AU113" s="4" t="s">
        <v>327</v>
      </c>
      <c r="AV113" s="4">
        <v>0</v>
      </c>
      <c r="AW113" s="4" t="s">
        <v>328</v>
      </c>
      <c r="AX113" s="4">
        <v>0</v>
      </c>
      <c r="AY113" s="11">
        <f>VLOOKUP(B113,[1]Página1!$A:$E,4,0)</f>
        <v>6363408.96</v>
      </c>
    </row>
    <row r="114" spans="1:51" ht="15.75" customHeight="1" x14ac:dyDescent="0.3">
      <c r="A114" s="4">
        <v>3201506</v>
      </c>
      <c r="B114" s="4" t="s">
        <v>87</v>
      </c>
      <c r="C114" s="7">
        <v>2023</v>
      </c>
      <c r="D114" s="4">
        <v>0.5455087837429744</v>
      </c>
      <c r="E114" s="4">
        <v>0.50906285460439582</v>
      </c>
      <c r="F114" s="4">
        <v>0.97599999999999998</v>
      </c>
      <c r="G114" s="4">
        <v>0.28509857013264905</v>
      </c>
      <c r="H114" s="8">
        <v>0.54252259765554001</v>
      </c>
      <c r="I114" s="4">
        <v>0.45887324002767899</v>
      </c>
      <c r="J114" s="4">
        <v>0.70445660154705103</v>
      </c>
      <c r="K114" s="4">
        <v>0.66067671030237396</v>
      </c>
      <c r="L114" s="4">
        <v>0.38058859376402798</v>
      </c>
      <c r="M114" s="4">
        <v>0.25706976975298301</v>
      </c>
      <c r="N114" s="4">
        <v>0.58702639851188498</v>
      </c>
      <c r="O114" s="4">
        <v>0.52347376864243</v>
      </c>
      <c r="P114" s="4">
        <v>0.53138979372164796</v>
      </c>
      <c r="Q114" s="4">
        <v>0.52898125588784795</v>
      </c>
      <c r="R114" s="4">
        <v>0.83557726682857103</v>
      </c>
      <c r="S114" s="8">
        <v>0.1034195163</v>
      </c>
      <c r="T114" s="8">
        <v>0.10675562969999999</v>
      </c>
      <c r="U114" s="8">
        <v>0.32193494579999998</v>
      </c>
      <c r="V114" s="8">
        <v>0.46788990829999999</v>
      </c>
      <c r="W114" s="8">
        <v>0.79708599865714203</v>
      </c>
      <c r="X114" s="8">
        <v>6.88225539E-2</v>
      </c>
      <c r="Y114" s="8">
        <v>0.23466003319999901</v>
      </c>
      <c r="Z114" s="8">
        <v>0.50995024879999995</v>
      </c>
      <c r="AA114" s="8">
        <v>0.1865671642</v>
      </c>
      <c r="AB114" s="8">
        <v>0.73708206681428501</v>
      </c>
      <c r="AC114" s="8">
        <v>9.7678916800000001E-2</v>
      </c>
      <c r="AD114" s="8">
        <v>0.28916827849999999</v>
      </c>
      <c r="AE114" s="8">
        <v>0.38104448740000002</v>
      </c>
      <c r="AF114" s="8">
        <v>0.2321083172</v>
      </c>
      <c r="AG114" s="4">
        <v>0.64175186518571403</v>
      </c>
      <c r="AH114" s="4">
        <v>0.13829787230000001</v>
      </c>
      <c r="AI114" s="4">
        <v>0.38491295939999998</v>
      </c>
      <c r="AJ114" s="4">
        <v>0.35009671179999902</v>
      </c>
      <c r="AK114" s="4">
        <v>0.12669245649999999</v>
      </c>
      <c r="AL114" s="4">
        <v>0.87010159649999996</v>
      </c>
      <c r="AM114" s="4">
        <v>0.880934989</v>
      </c>
      <c r="AN114" s="4">
        <v>0.89291882560000002</v>
      </c>
      <c r="AO114" s="4">
        <v>0.89291882560000002</v>
      </c>
      <c r="AP114" s="4" t="s">
        <v>329</v>
      </c>
      <c r="AQ114" s="4" t="s">
        <v>330</v>
      </c>
      <c r="AR114" s="4">
        <v>0</v>
      </c>
      <c r="AS114" s="4" t="s">
        <v>331</v>
      </c>
      <c r="AT114" s="4">
        <v>1</v>
      </c>
      <c r="AU114" s="4" t="s">
        <v>332</v>
      </c>
      <c r="AV114" s="4" t="s">
        <v>333</v>
      </c>
      <c r="AW114" s="4" t="s">
        <v>334</v>
      </c>
      <c r="AX114" s="4" t="s">
        <v>335</v>
      </c>
      <c r="AY114" s="11">
        <f>VLOOKUP(B114,[1]Página1!$A:$E,4,0)</f>
        <v>5872624.3099999996</v>
      </c>
    </row>
    <row r="115" spans="1:51" ht="15.75" customHeight="1" x14ac:dyDescent="0.3">
      <c r="A115" s="4">
        <v>3202256</v>
      </c>
      <c r="B115" s="4" t="s">
        <v>88</v>
      </c>
      <c r="C115" s="7">
        <v>2023</v>
      </c>
      <c r="D115" s="4">
        <v>0.57954036074100679</v>
      </c>
      <c r="E115" s="4">
        <v>0.4550576582014384</v>
      </c>
      <c r="F115" s="4">
        <v>0.99</v>
      </c>
      <c r="G115" s="4">
        <v>0.75</v>
      </c>
      <c r="H115" s="8">
        <v>0.34591253680359701</v>
      </c>
      <c r="I115" s="4">
        <v>0.61877534029819903</v>
      </c>
      <c r="J115" s="4">
        <v>0.69182507360719403</v>
      </c>
      <c r="K115" s="4">
        <v>0.69077352873346998</v>
      </c>
      <c r="L115" s="4">
        <v>0</v>
      </c>
      <c r="M115" s="4">
        <v>0.54677715186292897</v>
      </c>
      <c r="N115" s="4">
        <v>0.50787648578842604</v>
      </c>
      <c r="O115" s="4">
        <v>0.59563715847833398</v>
      </c>
      <c r="P115" s="4">
        <v>0.56548847444545103</v>
      </c>
      <c r="Q115" s="4">
        <v>0.55598452429557399</v>
      </c>
      <c r="R115" s="4">
        <v>0.71428571428571397</v>
      </c>
      <c r="S115" s="8">
        <v>0.1951219512</v>
      </c>
      <c r="T115" s="8">
        <v>0.15853658539999901</v>
      </c>
      <c r="U115" s="8">
        <v>0.42682926830000001</v>
      </c>
      <c r="V115" s="8">
        <v>0.2195121951</v>
      </c>
      <c r="W115" s="8">
        <v>0.84479717817142796</v>
      </c>
      <c r="X115" s="8">
        <v>4.9382716E-2</v>
      </c>
      <c r="Y115" s="8">
        <v>0.18518518519999999</v>
      </c>
      <c r="Z115" s="8">
        <v>0.38271604939999998</v>
      </c>
      <c r="AA115" s="8">
        <v>0.38271604939999998</v>
      </c>
      <c r="AB115" s="8">
        <v>0.79107142857142798</v>
      </c>
      <c r="AC115" s="8">
        <v>3.7499999999999999E-2</v>
      </c>
      <c r="AD115" s="8">
        <v>0.3</v>
      </c>
      <c r="AE115" s="8">
        <v>0.35</v>
      </c>
      <c r="AF115" s="8">
        <v>0.3125</v>
      </c>
      <c r="AG115" s="4">
        <v>0.68535262201428504</v>
      </c>
      <c r="AH115" s="4">
        <v>0.12658227850000001</v>
      </c>
      <c r="AI115" s="4">
        <v>0.32911392409999901</v>
      </c>
      <c r="AJ115" s="4">
        <v>0.37974683539999998</v>
      </c>
      <c r="AK115" s="4">
        <v>0.164556961999999</v>
      </c>
      <c r="AL115" s="4">
        <v>0.91111111109999998</v>
      </c>
      <c r="AM115" s="4">
        <v>0.92045454550000005</v>
      </c>
      <c r="AN115" s="4">
        <v>0.90909090910000001</v>
      </c>
      <c r="AO115" s="4">
        <v>0.89772727269999997</v>
      </c>
      <c r="AP115" s="4" t="s">
        <v>165</v>
      </c>
      <c r="AQ115" s="4" t="s">
        <v>336</v>
      </c>
      <c r="AR115" s="4">
        <v>0</v>
      </c>
      <c r="AS115" s="4" t="s">
        <v>337</v>
      </c>
      <c r="AT115" s="4">
        <v>1</v>
      </c>
      <c r="AU115" s="4" t="s">
        <v>338</v>
      </c>
      <c r="AV115" s="4">
        <v>1</v>
      </c>
      <c r="AW115" s="4" t="s">
        <v>339</v>
      </c>
      <c r="AX115" s="4">
        <v>1</v>
      </c>
      <c r="AY115" s="11">
        <f>VLOOKUP(B115,[1]Página1!$A:$E,4,0)</f>
        <v>6238988.0999999996</v>
      </c>
    </row>
    <row r="116" spans="1:51" ht="15.75" customHeight="1" x14ac:dyDescent="0.3">
      <c r="A116" s="4">
        <v>3202702</v>
      </c>
      <c r="B116" s="4" t="s">
        <v>89</v>
      </c>
      <c r="C116" s="7">
        <v>2023</v>
      </c>
      <c r="D116" s="4">
        <v>0.67849352816787267</v>
      </c>
      <c r="E116" s="4">
        <v>0.6306577864335734</v>
      </c>
      <c r="F116" s="4">
        <v>0.99900000000000011</v>
      </c>
      <c r="G116" s="4">
        <v>0.58122051776247519</v>
      </c>
      <c r="H116" s="8">
        <v>0.589074426592192</v>
      </c>
      <c r="I116" s="4">
        <v>0.69303282619564399</v>
      </c>
      <c r="J116" s="4">
        <v>0.71787763389463599</v>
      </c>
      <c r="K116" s="4">
        <v>0.70210229092758203</v>
      </c>
      <c r="L116" s="4">
        <v>0.46027121928974801</v>
      </c>
      <c r="M116" s="4">
        <v>0.68396336146370595</v>
      </c>
      <c r="N116" s="4">
        <v>0.57612640261488601</v>
      </c>
      <c r="O116" s="4">
        <v>0.54560392119371104</v>
      </c>
      <c r="P116" s="4">
        <v>0.56947195780135196</v>
      </c>
      <c r="Q116" s="4">
        <v>0.57091548104469003</v>
      </c>
      <c r="R116" s="4">
        <v>0.81808035714285698</v>
      </c>
      <c r="S116" s="8">
        <v>0.1015625</v>
      </c>
      <c r="T116" s="8">
        <v>0.140625</v>
      </c>
      <c r="U116" s="8">
        <v>0.3203125</v>
      </c>
      <c r="V116" s="8">
        <v>0.4375</v>
      </c>
      <c r="W116" s="8">
        <v>0.83106575969999996</v>
      </c>
      <c r="X116" s="8">
        <v>5.5555555600000001E-2</v>
      </c>
      <c r="Y116" s="8">
        <v>0.198412698399999</v>
      </c>
      <c r="Z116" s="8">
        <v>0.4920634921</v>
      </c>
      <c r="AA116" s="8">
        <v>0.253968254</v>
      </c>
      <c r="AB116" s="8">
        <v>0.81224489798571398</v>
      </c>
      <c r="AC116" s="8">
        <v>5.71428571E-2</v>
      </c>
      <c r="AD116" s="8">
        <v>0.22857142859999999</v>
      </c>
      <c r="AE116" s="8">
        <v>0.42857142860000003</v>
      </c>
      <c r="AF116" s="8">
        <v>0.28571428569999902</v>
      </c>
      <c r="AG116" s="4">
        <v>0.71734693874285704</v>
      </c>
      <c r="AH116" s="4">
        <v>0.1071428571</v>
      </c>
      <c r="AI116" s="4">
        <v>0.3071428571</v>
      </c>
      <c r="AJ116" s="4">
        <v>0.37857142859999998</v>
      </c>
      <c r="AK116" s="4">
        <v>0.20714285709999999</v>
      </c>
      <c r="AL116" s="4">
        <v>0.92086330939999905</v>
      </c>
      <c r="AM116" s="4">
        <v>0.91970802919999906</v>
      </c>
      <c r="AN116" s="4">
        <v>0.90322580649999995</v>
      </c>
      <c r="AO116" s="4">
        <v>0.90322580649999995</v>
      </c>
      <c r="AP116" s="4" t="s">
        <v>340</v>
      </c>
      <c r="AQ116" s="4" t="s">
        <v>341</v>
      </c>
      <c r="AR116" s="4">
        <v>1</v>
      </c>
      <c r="AS116" s="4" t="s">
        <v>342</v>
      </c>
      <c r="AT116" s="4">
        <v>1</v>
      </c>
      <c r="AU116" s="4" t="s">
        <v>343</v>
      </c>
      <c r="AV116" s="4" t="s">
        <v>344</v>
      </c>
      <c r="AW116" s="4" t="s">
        <v>345</v>
      </c>
      <c r="AX116" s="4" t="s">
        <v>346</v>
      </c>
      <c r="AY116" s="11">
        <f>VLOOKUP(B116,[1]Página1!$A:$E,4,0)</f>
        <v>7304259.2599999998</v>
      </c>
    </row>
    <row r="117" spans="1:51" ht="15.75" customHeight="1" x14ac:dyDescent="0.3">
      <c r="A117" s="4">
        <v>3202900</v>
      </c>
      <c r="B117" s="4" t="s">
        <v>90</v>
      </c>
      <c r="C117" s="7">
        <v>2023</v>
      </c>
      <c r="D117" s="4">
        <v>0.71814380151106882</v>
      </c>
      <c r="E117" s="4">
        <v>0.70668988224338802</v>
      </c>
      <c r="F117" s="4">
        <v>0.9890000000000001</v>
      </c>
      <c r="G117" s="4">
        <v>0.50073922627131506</v>
      </c>
      <c r="H117" s="8">
        <v>0.67019852882639397</v>
      </c>
      <c r="I117" s="4">
        <v>0.76142691236887905</v>
      </c>
      <c r="J117" s="4">
        <v>0.75927929075277301</v>
      </c>
      <c r="K117" s="4">
        <v>0.78560786734421795</v>
      </c>
      <c r="L117" s="4">
        <v>0.58111776690001404</v>
      </c>
      <c r="M117" s="4">
        <v>0.73724595739353904</v>
      </c>
      <c r="N117" s="4">
        <v>0.60582438208732003</v>
      </c>
      <c r="O117" s="4">
        <v>0.60797487629360003</v>
      </c>
      <c r="P117" s="4">
        <v>0.61527727809936195</v>
      </c>
      <c r="Q117" s="4">
        <v>0.67528453817751199</v>
      </c>
      <c r="R117" s="4">
        <v>0.88428571428571401</v>
      </c>
      <c r="S117" s="8">
        <v>7.0000000000000007E-2</v>
      </c>
      <c r="T117" s="8">
        <v>0.08</v>
      </c>
      <c r="U117" s="8">
        <v>0.4</v>
      </c>
      <c r="V117" s="8">
        <v>0.45</v>
      </c>
      <c r="W117" s="8">
        <v>0.89837997059999997</v>
      </c>
      <c r="X117" s="8">
        <v>3.0927835099999999E-2</v>
      </c>
      <c r="Y117" s="8">
        <v>0.12371134019999901</v>
      </c>
      <c r="Z117" s="8">
        <v>0.42268041239999998</v>
      </c>
      <c r="AA117" s="8">
        <v>0.42268041239999998</v>
      </c>
      <c r="AB117" s="8">
        <v>0.868458274485714</v>
      </c>
      <c r="AC117" s="8">
        <v>2.9702970299999999E-2</v>
      </c>
      <c r="AD117" s="8">
        <v>0.17821782180000001</v>
      </c>
      <c r="AE117" s="8">
        <v>0.38613861389999998</v>
      </c>
      <c r="AF117" s="8">
        <v>0.4059405941</v>
      </c>
      <c r="AG117" s="4">
        <v>0.87411598311428496</v>
      </c>
      <c r="AH117" s="4">
        <v>2.9702970299999999E-2</v>
      </c>
      <c r="AI117" s="4">
        <v>0.1683168317</v>
      </c>
      <c r="AJ117" s="4">
        <v>0.4158415842</v>
      </c>
      <c r="AK117" s="4">
        <v>0.38613861389999998</v>
      </c>
      <c r="AL117" s="4">
        <v>0.93457943929999998</v>
      </c>
      <c r="AM117" s="4">
        <v>0.932692307699999</v>
      </c>
      <c r="AN117" s="4">
        <v>0.98058252429999904</v>
      </c>
      <c r="AO117" s="4">
        <v>0.98058252429999904</v>
      </c>
      <c r="AP117" s="4" t="s">
        <v>347</v>
      </c>
      <c r="AQ117" s="4" t="s">
        <v>348</v>
      </c>
      <c r="AR117" s="4" t="s">
        <v>349</v>
      </c>
      <c r="AS117" s="4" t="s">
        <v>350</v>
      </c>
      <c r="AT117" s="4">
        <v>1</v>
      </c>
      <c r="AU117" s="4" t="s">
        <v>351</v>
      </c>
      <c r="AV117" s="4" t="s">
        <v>352</v>
      </c>
      <c r="AW117" s="4" t="s">
        <v>353</v>
      </c>
      <c r="AX117" s="4" t="s">
        <v>354</v>
      </c>
      <c r="AY117" s="11">
        <f>VLOOKUP(B117,[1]Página1!$A:$E,4,0)</f>
        <v>7731110.6100000003</v>
      </c>
    </row>
    <row r="118" spans="1:51" ht="15.75" customHeight="1" x14ac:dyDescent="0.3">
      <c r="A118" s="4">
        <v>3203353</v>
      </c>
      <c r="B118" s="4" t="s">
        <v>91</v>
      </c>
      <c r="C118" s="7">
        <v>2023</v>
      </c>
      <c r="D118" s="4">
        <v>0.66237770253530259</v>
      </c>
      <c r="E118" s="4">
        <v>0.66051168038787056</v>
      </c>
      <c r="F118" s="4">
        <v>0.99900000000000011</v>
      </c>
      <c r="G118" s="4">
        <v>0.33446350842528821</v>
      </c>
      <c r="H118" s="8">
        <v>0.67804419427455898</v>
      </c>
      <c r="I118" s="4">
        <v>0.63421290955783705</v>
      </c>
      <c r="J118" s="4">
        <v>0.74273404120792696</v>
      </c>
      <c r="K118" s="4">
        <v>0.70590320503659798</v>
      </c>
      <c r="L118" s="4">
        <v>0.61335434734118999</v>
      </c>
      <c r="M118" s="4">
        <v>0.562522614079077</v>
      </c>
      <c r="N118" s="4">
        <v>0.59583756843243496</v>
      </c>
      <c r="O118" s="4">
        <v>0.59437816151955403</v>
      </c>
      <c r="P118" s="4">
        <v>0.57395951154012004</v>
      </c>
      <c r="Q118" s="4">
        <v>0.57066444029912999</v>
      </c>
      <c r="R118" s="4">
        <v>0.83732452518571399</v>
      </c>
      <c r="S118" s="8">
        <v>8.6705202299999895E-2</v>
      </c>
      <c r="T118" s="8">
        <v>0.13294797689999999</v>
      </c>
      <c r="U118" s="8">
        <v>0.27167630059999998</v>
      </c>
      <c r="V118" s="8">
        <v>0.50867052020000003</v>
      </c>
      <c r="W118" s="8">
        <v>0.86549707611428495</v>
      </c>
      <c r="X118" s="8">
        <v>4.0935672499999999E-2</v>
      </c>
      <c r="Y118" s="8">
        <v>0.16374269009999901</v>
      </c>
      <c r="Z118" s="8">
        <v>0.41520467840000003</v>
      </c>
      <c r="AA118" s="8">
        <v>0.38011695909999998</v>
      </c>
      <c r="AB118" s="8">
        <v>0.81326530609999903</v>
      </c>
      <c r="AC118" s="8">
        <v>6.4285714300000005E-2</v>
      </c>
      <c r="AD118" s="8">
        <v>0.21428571430000001</v>
      </c>
      <c r="AE118" s="8">
        <v>0.4142857143</v>
      </c>
      <c r="AF118" s="8">
        <v>0.3071428571</v>
      </c>
      <c r="AG118" s="4">
        <v>0.72653061231428495</v>
      </c>
      <c r="AH118" s="4">
        <v>0.11428571429999999</v>
      </c>
      <c r="AI118" s="4">
        <v>0.2785714286</v>
      </c>
      <c r="AJ118" s="4">
        <v>0.4428571429</v>
      </c>
      <c r="AK118" s="4">
        <v>0.1642857143</v>
      </c>
      <c r="AL118" s="4">
        <v>0.93010752689999998</v>
      </c>
      <c r="AM118" s="4">
        <v>0.93442622949999998</v>
      </c>
      <c r="AN118" s="4">
        <v>0.90909090910000001</v>
      </c>
      <c r="AO118" s="4">
        <v>0.90909090910000001</v>
      </c>
      <c r="AP118" s="4" t="s">
        <v>355</v>
      </c>
      <c r="AQ118" s="4" t="s">
        <v>356</v>
      </c>
      <c r="AR118" s="4" t="s">
        <v>357</v>
      </c>
      <c r="AS118" s="4" t="s">
        <v>358</v>
      </c>
      <c r="AT118" s="4">
        <v>1</v>
      </c>
      <c r="AU118" s="4" t="s">
        <v>359</v>
      </c>
      <c r="AV118" s="4" t="s">
        <v>360</v>
      </c>
      <c r="AW118" s="4" t="s">
        <v>361</v>
      </c>
      <c r="AX118" s="4" t="s">
        <v>362</v>
      </c>
      <c r="AY118" s="11">
        <f>VLOOKUP(B118,[1]Página1!$A:$E,4,0)</f>
        <v>7130765.8300000001</v>
      </c>
    </row>
    <row r="119" spans="1:51" ht="15.75" customHeight="1" x14ac:dyDescent="0.3">
      <c r="A119" s="4">
        <v>3204005</v>
      </c>
      <c r="B119" s="4" t="s">
        <v>92</v>
      </c>
      <c r="C119" s="7">
        <v>2023</v>
      </c>
      <c r="D119" s="4">
        <v>0.70239478523013066</v>
      </c>
      <c r="E119" s="4">
        <v>0.60514871382854984</v>
      </c>
      <c r="F119" s="4">
        <v>0.998</v>
      </c>
      <c r="G119" s="4">
        <v>0.86060457033430493</v>
      </c>
      <c r="H119" s="8">
        <v>0.56821646821476002</v>
      </c>
      <c r="I119" s="4">
        <v>0.66054708224923298</v>
      </c>
      <c r="J119" s="4">
        <v>0.74704629381203103</v>
      </c>
      <c r="K119" s="4">
        <v>0.69859049988384903</v>
      </c>
      <c r="L119" s="4">
        <v>0.38938664261748901</v>
      </c>
      <c r="M119" s="4">
        <v>0.62250366461461804</v>
      </c>
      <c r="N119" s="4">
        <v>0.58620259024398802</v>
      </c>
      <c r="O119" s="4">
        <v>0.61747243217274606</v>
      </c>
      <c r="P119" s="4">
        <v>0.56687971689550998</v>
      </c>
      <c r="Q119" s="4">
        <v>0.56912088662560101</v>
      </c>
      <c r="R119" s="4">
        <v>0.86559139787142803</v>
      </c>
      <c r="S119" s="8">
        <v>6.9892473099999894E-2</v>
      </c>
      <c r="T119" s="8">
        <v>0.11290322579999899</v>
      </c>
      <c r="U119" s="8">
        <v>0.39784946239999902</v>
      </c>
      <c r="V119" s="8">
        <v>0.41935483870000001</v>
      </c>
      <c r="W119" s="8">
        <v>0.87127158558571405</v>
      </c>
      <c r="X119" s="8">
        <v>4.3956044E-2</v>
      </c>
      <c r="Y119" s="8">
        <v>0.14835164839999901</v>
      </c>
      <c r="Z119" s="8">
        <v>0.33516483520000001</v>
      </c>
      <c r="AA119" s="8">
        <v>0.47252747249999999</v>
      </c>
      <c r="AB119" s="8">
        <v>0.78832752604285705</v>
      </c>
      <c r="AC119" s="8">
        <v>0.1036585366</v>
      </c>
      <c r="AD119" s="8">
        <v>0.1890243902</v>
      </c>
      <c r="AE119" s="8">
        <v>0.34146341460000001</v>
      </c>
      <c r="AF119" s="8">
        <v>0.36585365850000001</v>
      </c>
      <c r="AG119" s="4">
        <v>0.695993031385714</v>
      </c>
      <c r="AH119" s="4">
        <v>0.1158536585</v>
      </c>
      <c r="AI119" s="4">
        <v>0.32926829269999902</v>
      </c>
      <c r="AJ119" s="4">
        <v>0.32317073169999999</v>
      </c>
      <c r="AK119" s="4">
        <v>0.23170731709999901</v>
      </c>
      <c r="AL119" s="4">
        <v>0.92537313430000001</v>
      </c>
      <c r="AM119" s="4">
        <v>0.91919191919999998</v>
      </c>
      <c r="AN119" s="4">
        <v>0.91620111729999998</v>
      </c>
      <c r="AO119" s="4">
        <v>0.91620111729999998</v>
      </c>
      <c r="AP119" s="4" t="s">
        <v>363</v>
      </c>
      <c r="AQ119" s="4" t="s">
        <v>364</v>
      </c>
      <c r="AR119" s="4">
        <v>1</v>
      </c>
      <c r="AS119" s="4" t="s">
        <v>365</v>
      </c>
      <c r="AT119" s="4">
        <v>1</v>
      </c>
      <c r="AU119" s="4" t="s">
        <v>366</v>
      </c>
      <c r="AV119" s="4" t="s">
        <v>367</v>
      </c>
      <c r="AW119" s="4" t="s">
        <v>368</v>
      </c>
      <c r="AX119" s="4">
        <v>1</v>
      </c>
      <c r="AY119" s="11">
        <f>VLOOKUP(B119,[1]Página1!$A:$E,4,0)</f>
        <v>7561566.0300000003</v>
      </c>
    </row>
    <row r="120" spans="1:51" ht="15.75" customHeight="1" x14ac:dyDescent="0.3">
      <c r="A120" s="4">
        <v>3204658</v>
      </c>
      <c r="B120" s="4" t="s">
        <v>93</v>
      </c>
      <c r="C120" s="7">
        <v>2023</v>
      </c>
      <c r="D120" s="4">
        <v>0.69697066049006384</v>
      </c>
      <c r="E120" s="4">
        <v>0.64768816196743317</v>
      </c>
      <c r="F120" s="4">
        <v>0.998</v>
      </c>
      <c r="G120" s="4">
        <v>0.62592631408573773</v>
      </c>
      <c r="H120" s="8">
        <v>0.65046642698717205</v>
      </c>
      <c r="I120" s="4">
        <v>0.64352076443782402</v>
      </c>
      <c r="J120" s="4">
        <v>0.77756064354282595</v>
      </c>
      <c r="K120" s="4">
        <v>0.69947963841639105</v>
      </c>
      <c r="L120" s="4">
        <v>0.52337221043151805</v>
      </c>
      <c r="M120" s="4">
        <v>0.587561890459257</v>
      </c>
      <c r="N120" s="4">
        <v>0.63840574252656601</v>
      </c>
      <c r="O120" s="4">
        <v>0.67995263229928404</v>
      </c>
      <c r="P120" s="4">
        <v>0.57465511336411501</v>
      </c>
      <c r="Q120" s="4">
        <v>0.58883932584430698</v>
      </c>
      <c r="R120" s="4">
        <v>0.90544707087142795</v>
      </c>
      <c r="S120" s="8">
        <v>5.75539568E-2</v>
      </c>
      <c r="T120" s="8">
        <v>6.4748201399999997E-2</v>
      </c>
      <c r="U120" s="8">
        <v>0.31654676259999998</v>
      </c>
      <c r="V120" s="8">
        <v>0.56115107909999995</v>
      </c>
      <c r="W120" s="8">
        <v>0.94927536234285703</v>
      </c>
      <c r="X120" s="8">
        <v>2.1739130400000001E-2</v>
      </c>
      <c r="Y120" s="8">
        <v>5.0724637699999998E-2</v>
      </c>
      <c r="Z120" s="8">
        <v>0.31884057970000002</v>
      </c>
      <c r="AA120" s="8">
        <v>0.60869565219999999</v>
      </c>
      <c r="AB120" s="8">
        <v>0.75782312921428496</v>
      </c>
      <c r="AC120" s="8">
        <v>9.5238095199999998E-2</v>
      </c>
      <c r="AD120" s="8">
        <v>0.25714285710000001</v>
      </c>
      <c r="AE120" s="8">
        <v>0.29523809519999999</v>
      </c>
      <c r="AF120" s="8">
        <v>0.3523809524</v>
      </c>
      <c r="AG120" s="4">
        <v>0.70068027209999995</v>
      </c>
      <c r="AH120" s="4">
        <v>0.11428571429999999</v>
      </c>
      <c r="AI120" s="4">
        <v>0.323809523799999</v>
      </c>
      <c r="AJ120" s="4">
        <v>0.28571428569999902</v>
      </c>
      <c r="AK120" s="4">
        <v>0.27619047619999998</v>
      </c>
      <c r="AL120" s="4">
        <v>0.87974683539999998</v>
      </c>
      <c r="AM120" s="4">
        <v>0.87341772149999997</v>
      </c>
      <c r="AN120" s="4">
        <v>0.90517241380000002</v>
      </c>
      <c r="AO120" s="4">
        <v>0.90517241380000002</v>
      </c>
      <c r="AP120" s="4" t="s">
        <v>369</v>
      </c>
      <c r="AQ120" s="4" t="s">
        <v>370</v>
      </c>
      <c r="AR120" s="4">
        <v>1</v>
      </c>
      <c r="AS120" s="4" t="s">
        <v>371</v>
      </c>
      <c r="AT120" s="4">
        <v>1</v>
      </c>
      <c r="AU120" s="4" t="s">
        <v>372</v>
      </c>
      <c r="AV120" s="4" t="s">
        <v>373</v>
      </c>
      <c r="AW120" s="4" t="s">
        <v>374</v>
      </c>
      <c r="AX120" s="4" t="s">
        <v>375</v>
      </c>
      <c r="AY120" s="11">
        <f>VLOOKUP(B120,[1]Página1!$A:$E,4,0)</f>
        <v>7503173.1200000001</v>
      </c>
    </row>
    <row r="121" spans="1:51" ht="15.75" customHeight="1" x14ac:dyDescent="0.3">
      <c r="A121" s="4">
        <v>3204955</v>
      </c>
      <c r="B121" s="4" t="s">
        <v>94</v>
      </c>
      <c r="C121" s="7">
        <v>2023</v>
      </c>
      <c r="D121" s="4">
        <v>0.51671571118960569</v>
      </c>
      <c r="E121" s="4">
        <v>0.51492087677867449</v>
      </c>
      <c r="F121" s="4">
        <v>1</v>
      </c>
      <c r="G121" s="4">
        <v>4.180731629689053E-2</v>
      </c>
      <c r="H121" s="8">
        <v>0.40341125983332299</v>
      </c>
      <c r="I121" s="4">
        <v>0.68218530219670104</v>
      </c>
      <c r="J121" s="4">
        <v>0.70933853621248799</v>
      </c>
      <c r="K121" s="4">
        <v>0.76075404754733</v>
      </c>
      <c r="L121" s="4">
        <v>9.7483983454158499E-2</v>
      </c>
      <c r="M121" s="4">
        <v>0.60361655684607096</v>
      </c>
      <c r="N121" s="4">
        <v>0.56730097439704197</v>
      </c>
      <c r="O121" s="4">
        <v>0.52159437267759301</v>
      </c>
      <c r="P121" s="4">
        <v>0.62860216909488398</v>
      </c>
      <c r="Q121" s="4">
        <v>0.60940743352300897</v>
      </c>
      <c r="R121" s="4">
        <v>0.84197218712857103</v>
      </c>
      <c r="S121" s="8">
        <v>9.7345132700000003E-2</v>
      </c>
      <c r="T121" s="8">
        <v>0.10619469029999901</v>
      </c>
      <c r="U121" s="8">
        <v>0.37168141589999998</v>
      </c>
      <c r="V121" s="8">
        <v>0.42477876109999901</v>
      </c>
      <c r="W121" s="8">
        <v>0.77863577868571399</v>
      </c>
      <c r="X121" s="8">
        <v>7.2072072099999995E-2</v>
      </c>
      <c r="Y121" s="8">
        <v>0.26126126129999999</v>
      </c>
      <c r="Z121" s="8">
        <v>0.45045045049999999</v>
      </c>
      <c r="AA121" s="8">
        <v>0.21621621619999901</v>
      </c>
      <c r="AB121" s="8">
        <v>0.887445887428571</v>
      </c>
      <c r="AC121" s="8">
        <v>0</v>
      </c>
      <c r="AD121" s="8">
        <v>0.196969697</v>
      </c>
      <c r="AE121" s="8">
        <v>0.36363636360000001</v>
      </c>
      <c r="AF121" s="8">
        <v>0.43939393939999999</v>
      </c>
      <c r="AG121" s="4">
        <v>0.80952380951428504</v>
      </c>
      <c r="AH121" s="4">
        <v>6.0606060599999997E-2</v>
      </c>
      <c r="AI121" s="4">
        <v>0.2272727273</v>
      </c>
      <c r="AJ121" s="4">
        <v>0.43939393939999999</v>
      </c>
      <c r="AK121" s="4">
        <v>0.27272727270000002</v>
      </c>
      <c r="AL121" s="4">
        <v>0.92622950820000005</v>
      </c>
      <c r="AM121" s="4">
        <v>0.91735537190000005</v>
      </c>
      <c r="AN121" s="4">
        <v>0.95652173910000005</v>
      </c>
      <c r="AO121" s="4">
        <v>0.95652173910000005</v>
      </c>
      <c r="AP121" s="4" t="s">
        <v>376</v>
      </c>
      <c r="AQ121" s="4" t="s">
        <v>377</v>
      </c>
      <c r="AR121" s="4">
        <v>0</v>
      </c>
      <c r="AS121" s="4" t="s">
        <v>378</v>
      </c>
      <c r="AT121" s="4">
        <v>0</v>
      </c>
      <c r="AU121" s="4" t="s">
        <v>379</v>
      </c>
      <c r="AV121" s="4" t="s">
        <v>380</v>
      </c>
      <c r="AW121" s="4" t="s">
        <v>381</v>
      </c>
      <c r="AX121" s="4">
        <v>0</v>
      </c>
      <c r="AY121" s="11">
        <f>VLOOKUP(B121,[1]Página1!$A:$E,4,0)</f>
        <v>5562655.1500000004</v>
      </c>
    </row>
    <row r="122" spans="1:51" ht="15.75" customHeight="1" x14ac:dyDescent="0.3">
      <c r="A122" s="4">
        <v>3200201</v>
      </c>
      <c r="B122" s="4" t="s">
        <v>95</v>
      </c>
      <c r="C122" s="7">
        <v>2023</v>
      </c>
      <c r="D122" s="4">
        <v>0.52981176089992377</v>
      </c>
      <c r="E122" s="4">
        <v>0.38980251557131962</v>
      </c>
      <c r="F122" s="4">
        <v>0.96299999999999997</v>
      </c>
      <c r="G122" s="4">
        <v>0.75</v>
      </c>
      <c r="H122" s="8">
        <v>0.353400513415631</v>
      </c>
      <c r="I122" s="4">
        <v>0.44440551880485202</v>
      </c>
      <c r="J122" s="4">
        <v>0.70177302134917996</v>
      </c>
      <c r="K122" s="4">
        <v>0.65516991554413395</v>
      </c>
      <c r="L122" s="4">
        <v>5.0280054820819502E-3</v>
      </c>
      <c r="M122" s="4">
        <v>0.23364112206557</v>
      </c>
      <c r="N122" s="4">
        <v>0.55658549317987804</v>
      </c>
      <c r="O122" s="4">
        <v>0.520930604218941</v>
      </c>
      <c r="P122" s="4">
        <v>0.52071490818555799</v>
      </c>
      <c r="Q122" s="4">
        <v>0.50739638865526404</v>
      </c>
      <c r="R122" s="4">
        <v>0.79962894251428496</v>
      </c>
      <c r="S122" s="8">
        <v>0.12121212119999999</v>
      </c>
      <c r="T122" s="8">
        <v>0.13852813850000001</v>
      </c>
      <c r="U122" s="8">
        <v>0.35497835500000002</v>
      </c>
      <c r="V122" s="8">
        <v>0.3852813853</v>
      </c>
      <c r="W122" s="8">
        <v>0.77130325814285705</v>
      </c>
      <c r="X122" s="8">
        <v>0.100877193</v>
      </c>
      <c r="Y122" s="8">
        <v>0.22368421049999901</v>
      </c>
      <c r="Z122" s="8">
        <v>0.45175438600000001</v>
      </c>
      <c r="AA122" s="8">
        <v>0.22368421049999901</v>
      </c>
      <c r="AB122" s="8">
        <v>0.71841794569999995</v>
      </c>
      <c r="AC122" s="8">
        <v>0.111570247899999</v>
      </c>
      <c r="AD122" s="8">
        <v>0.29752066119999998</v>
      </c>
      <c r="AE122" s="8">
        <v>0.38842975209999903</v>
      </c>
      <c r="AF122" s="8">
        <v>0.20247933879999999</v>
      </c>
      <c r="AG122" s="4">
        <v>0.59799291617142802</v>
      </c>
      <c r="AH122" s="4">
        <v>0.16115702479999999</v>
      </c>
      <c r="AI122" s="4">
        <v>0.42148760330000001</v>
      </c>
      <c r="AJ122" s="4">
        <v>0.32231404959999999</v>
      </c>
      <c r="AK122" s="4">
        <v>9.5041322299999995E-2</v>
      </c>
      <c r="AL122" s="4">
        <v>0.93902439019999995</v>
      </c>
      <c r="AM122" s="4">
        <v>0.92682926830000001</v>
      </c>
      <c r="AN122" s="4">
        <v>0.93436293439999996</v>
      </c>
      <c r="AO122" s="4">
        <v>0.93436293439999996</v>
      </c>
      <c r="AP122" s="4" t="s">
        <v>165</v>
      </c>
      <c r="AQ122" s="4" t="s">
        <v>382</v>
      </c>
      <c r="AR122" s="4">
        <v>1</v>
      </c>
      <c r="AS122" s="4" t="s">
        <v>383</v>
      </c>
      <c r="AT122" s="4">
        <v>1</v>
      </c>
      <c r="AU122" s="4" t="s">
        <v>384</v>
      </c>
      <c r="AV122" s="4">
        <v>0</v>
      </c>
      <c r="AW122" s="4" t="s">
        <v>385</v>
      </c>
      <c r="AX122" s="4">
        <v>1</v>
      </c>
      <c r="AY122" s="11">
        <f>VLOOKUP(B122,[1]Página1!$A:$E,4,0)</f>
        <v>5703639.46</v>
      </c>
    </row>
    <row r="123" spans="1:51" ht="15.75" customHeight="1" x14ac:dyDescent="0.3">
      <c r="A123" s="4">
        <v>3200508</v>
      </c>
      <c r="B123" s="4" t="s">
        <v>96</v>
      </c>
      <c r="C123" s="7">
        <v>2023</v>
      </c>
      <c r="D123" s="4">
        <v>0.64582345057744373</v>
      </c>
      <c r="E123" s="4">
        <v>0.60824778653920542</v>
      </c>
      <c r="F123" s="4">
        <v>0.96700000000000008</v>
      </c>
      <c r="G123" s="4">
        <v>0.5</v>
      </c>
      <c r="H123" s="8">
        <v>0.72494599519891501</v>
      </c>
      <c r="I123" s="4">
        <v>0.43320047354963997</v>
      </c>
      <c r="J123" s="4">
        <v>0.71278005609228601</v>
      </c>
      <c r="K123" s="4">
        <v>0.58180338318910796</v>
      </c>
      <c r="L123" s="4">
        <v>0.737111934305544</v>
      </c>
      <c r="M123" s="4">
        <v>0.28459756391017299</v>
      </c>
      <c r="N123" s="4">
        <v>0.51838291831363403</v>
      </c>
      <c r="O123" s="4">
        <v>0.56215536168383695</v>
      </c>
      <c r="P123" s="4">
        <v>0.453569859540494</v>
      </c>
      <c r="Q123" s="4">
        <v>0.45984755508736602</v>
      </c>
      <c r="R123" s="4">
        <v>0.71985157702857105</v>
      </c>
      <c r="S123" s="8">
        <v>0.16883116879999999</v>
      </c>
      <c r="T123" s="8">
        <v>0.1948051948</v>
      </c>
      <c r="U123" s="8">
        <v>0.29870129870000001</v>
      </c>
      <c r="V123" s="8">
        <v>0.33766233769999998</v>
      </c>
      <c r="W123" s="8">
        <v>0.90095238097142805</v>
      </c>
      <c r="X123" s="8">
        <v>0</v>
      </c>
      <c r="Y123" s="8">
        <v>0.173333333299999</v>
      </c>
      <c r="Z123" s="8">
        <v>0.58666666670000001</v>
      </c>
      <c r="AA123" s="8">
        <v>0.24</v>
      </c>
      <c r="AB123" s="8">
        <v>0.55827067669999997</v>
      </c>
      <c r="AC123" s="8">
        <v>0.22368421049999901</v>
      </c>
      <c r="AD123" s="8">
        <v>0.38157894739999998</v>
      </c>
      <c r="AE123" s="8">
        <v>0.27631578950000002</v>
      </c>
      <c r="AF123" s="8">
        <v>0.11842105260000001</v>
      </c>
      <c r="AG123" s="4">
        <v>0.50187969915714203</v>
      </c>
      <c r="AH123" s="4">
        <v>0.25</v>
      </c>
      <c r="AI123" s="4">
        <v>0.43421052630000001</v>
      </c>
      <c r="AJ123" s="4">
        <v>0.26315789470000001</v>
      </c>
      <c r="AK123" s="4">
        <v>5.2631578899999899E-2</v>
      </c>
      <c r="AL123" s="4">
        <v>0.98717948719999904</v>
      </c>
      <c r="AM123" s="4">
        <v>0.98684210530000005</v>
      </c>
      <c r="AN123" s="4">
        <v>0.88372093019999998</v>
      </c>
      <c r="AO123" s="4">
        <v>0.88372093019999998</v>
      </c>
      <c r="AP123" s="4" t="s">
        <v>282</v>
      </c>
      <c r="AQ123" s="4" t="s">
        <v>386</v>
      </c>
      <c r="AR123" s="4">
        <v>1</v>
      </c>
      <c r="AS123" s="4" t="s">
        <v>387</v>
      </c>
      <c r="AT123" s="4">
        <v>1</v>
      </c>
      <c r="AU123" s="4" t="s">
        <v>388</v>
      </c>
      <c r="AV123" s="4">
        <v>0</v>
      </c>
      <c r="AW123" s="4" t="s">
        <v>389</v>
      </c>
      <c r="AX123" s="4">
        <v>0</v>
      </c>
      <c r="AY123" s="11">
        <f>VLOOKUP(B123,[1]Página1!$A:$E,4,0)</f>
        <v>6952552.5599999996</v>
      </c>
    </row>
    <row r="124" spans="1:51" ht="15.75" customHeight="1" x14ac:dyDescent="0.3">
      <c r="A124" s="4">
        <v>3201100</v>
      </c>
      <c r="B124" s="4" t="s">
        <v>97</v>
      </c>
      <c r="C124" s="7">
        <v>2023</v>
      </c>
      <c r="D124" s="4">
        <v>0.72513264730612126</v>
      </c>
      <c r="E124" s="4">
        <v>0.70156088958579177</v>
      </c>
      <c r="F124" s="4">
        <v>0.96299999999999997</v>
      </c>
      <c r="G124" s="4">
        <v>0.59726683064044683</v>
      </c>
      <c r="H124" s="8">
        <v>0.60402911550810001</v>
      </c>
      <c r="I124" s="4">
        <v>0.84785855070232896</v>
      </c>
      <c r="J124" s="4">
        <v>0.72196181955421501</v>
      </c>
      <c r="K124" s="4">
        <v>0.69571710140465803</v>
      </c>
      <c r="L124" s="4">
        <v>0.48609641146198401</v>
      </c>
      <c r="M124" s="4">
        <v>1</v>
      </c>
      <c r="N124" s="4">
        <v>0.54598894893032202</v>
      </c>
      <c r="O124" s="4">
        <v>0.60868797564345101</v>
      </c>
      <c r="P124" s="4">
        <v>0.54480552152489603</v>
      </c>
      <c r="Q124" s="4">
        <v>0.55426364777945003</v>
      </c>
      <c r="R124" s="4">
        <v>0.76384839647142799</v>
      </c>
      <c r="S124" s="8">
        <v>0.14285714289999901</v>
      </c>
      <c r="T124" s="8">
        <v>0.16326530609999901</v>
      </c>
      <c r="U124" s="8">
        <v>0.34693877550000002</v>
      </c>
      <c r="V124" s="8">
        <v>0.34693877550000002</v>
      </c>
      <c r="W124" s="8">
        <v>0.92220650645714197</v>
      </c>
      <c r="X124" s="8">
        <v>9.9009900999999997E-3</v>
      </c>
      <c r="Y124" s="8">
        <v>0.1188118812</v>
      </c>
      <c r="Z124" s="8">
        <v>0.43564356439999902</v>
      </c>
      <c r="AA124" s="8">
        <v>0.43564356439999902</v>
      </c>
      <c r="AB124" s="8">
        <v>0.78485370045714298</v>
      </c>
      <c r="AC124" s="8">
        <v>3.6144578300000001E-2</v>
      </c>
      <c r="AD124" s="8">
        <v>0.313253012</v>
      </c>
      <c r="AE124" s="8">
        <v>0.45783132529999998</v>
      </c>
      <c r="AF124" s="8">
        <v>0.19277108429999901</v>
      </c>
      <c r="AG124" s="4">
        <v>0.67469879517142795</v>
      </c>
      <c r="AH124" s="4">
        <v>8.4337349399999997E-2</v>
      </c>
      <c r="AI124" s="4">
        <v>0.42168674699999997</v>
      </c>
      <c r="AJ124" s="4">
        <v>0.32530120480000002</v>
      </c>
      <c r="AK124" s="4">
        <v>0.16867469879999999</v>
      </c>
      <c r="AL124" s="4">
        <v>0.90740740740000003</v>
      </c>
      <c r="AM124" s="4">
        <v>0.93518518520000005</v>
      </c>
      <c r="AN124" s="4">
        <v>0.954022988499999</v>
      </c>
      <c r="AO124" s="4">
        <v>0.954022988499999</v>
      </c>
      <c r="AP124" s="4" t="s">
        <v>390</v>
      </c>
      <c r="AQ124" s="4" t="s">
        <v>391</v>
      </c>
      <c r="AR124" s="4">
        <v>1</v>
      </c>
      <c r="AS124" s="4" t="s">
        <v>392</v>
      </c>
      <c r="AT124" s="4">
        <v>1</v>
      </c>
      <c r="AU124" s="4" t="s">
        <v>393</v>
      </c>
      <c r="AV124" s="4" t="s">
        <v>394</v>
      </c>
      <c r="AW124" s="4" t="s">
        <v>395</v>
      </c>
      <c r="AX124" s="4" t="s">
        <v>396</v>
      </c>
      <c r="AY124" s="11">
        <f>VLOOKUP(B124,[1]Página1!$A:$E,4,0)</f>
        <v>7806348.3799999999</v>
      </c>
    </row>
    <row r="125" spans="1:51" ht="15.75" customHeight="1" x14ac:dyDescent="0.3">
      <c r="A125" s="4">
        <v>3201803</v>
      </c>
      <c r="B125" s="4" t="s">
        <v>98</v>
      </c>
      <c r="C125" s="7">
        <v>2023</v>
      </c>
      <c r="D125" s="4">
        <v>0.48389092277162005</v>
      </c>
      <c r="E125" s="4">
        <v>0.42705846110231449</v>
      </c>
      <c r="F125" s="4">
        <v>0.98299999999999998</v>
      </c>
      <c r="G125" s="4">
        <v>0.25</v>
      </c>
      <c r="H125" s="8">
        <v>0.38232833205276501</v>
      </c>
      <c r="I125" s="4">
        <v>0.49415365467663702</v>
      </c>
      <c r="J125" s="4">
        <v>0.65865693916213497</v>
      </c>
      <c r="K125" s="4">
        <v>0.65277470468416898</v>
      </c>
      <c r="L125" s="4">
        <v>0.105999724943396</v>
      </c>
      <c r="M125" s="4">
        <v>0.33553260466910501</v>
      </c>
      <c r="N125" s="4">
        <v>0.48331613640403698</v>
      </c>
      <c r="O125" s="4">
        <v>0.52604923485104904</v>
      </c>
      <c r="P125" s="4">
        <v>0.49733185998470197</v>
      </c>
      <c r="Q125" s="4">
        <v>0.51754443129482997</v>
      </c>
      <c r="R125" s="4">
        <v>0.65458422175714204</v>
      </c>
      <c r="S125" s="8">
        <v>0.20895522389999999</v>
      </c>
      <c r="T125" s="8">
        <v>0.23880597009999999</v>
      </c>
      <c r="U125" s="8">
        <v>0.34328358209999998</v>
      </c>
      <c r="V125" s="8">
        <v>0.20895522389999999</v>
      </c>
      <c r="W125" s="8">
        <v>0.75757575757142803</v>
      </c>
      <c r="X125" s="8">
        <v>6.0606060599999997E-2</v>
      </c>
      <c r="Y125" s="8">
        <v>0.31818181820000002</v>
      </c>
      <c r="Z125" s="8">
        <v>0.36363636360000001</v>
      </c>
      <c r="AA125" s="8">
        <v>0.25757575760000001</v>
      </c>
      <c r="AB125" s="8">
        <v>0.64732142857142805</v>
      </c>
      <c r="AC125" s="8">
        <v>0.21875</v>
      </c>
      <c r="AD125" s="8">
        <v>0.234375</v>
      </c>
      <c r="AE125" s="8">
        <v>0.3125</v>
      </c>
      <c r="AF125" s="8">
        <v>0.234375</v>
      </c>
      <c r="AG125" s="4">
        <v>0.57589285714285698</v>
      </c>
      <c r="AH125" s="4">
        <v>0.28125</v>
      </c>
      <c r="AI125" s="4">
        <v>0.25</v>
      </c>
      <c r="AJ125" s="4">
        <v>0.296875</v>
      </c>
      <c r="AK125" s="4">
        <v>0.171875</v>
      </c>
      <c r="AL125" s="4">
        <v>0.9436619718</v>
      </c>
      <c r="AM125" s="4">
        <v>0.92957746479999903</v>
      </c>
      <c r="AN125" s="4">
        <v>0.98461538459999998</v>
      </c>
      <c r="AO125" s="4">
        <v>0.98461538459999998</v>
      </c>
      <c r="AP125" s="4" t="s">
        <v>224</v>
      </c>
      <c r="AQ125" s="4" t="s">
        <v>397</v>
      </c>
      <c r="AR125" s="4">
        <v>1</v>
      </c>
      <c r="AS125" s="4" t="s">
        <v>398</v>
      </c>
      <c r="AT125" s="4">
        <v>0</v>
      </c>
      <c r="AU125" s="4" t="s">
        <v>399</v>
      </c>
      <c r="AV125" s="4">
        <v>0</v>
      </c>
      <c r="AW125" s="4" t="s">
        <v>400</v>
      </c>
      <c r="AX125" s="4">
        <v>0</v>
      </c>
      <c r="AY125" s="11">
        <f>VLOOKUP(B125,[1]Página1!$A:$E,4,0)</f>
        <v>5209282.93</v>
      </c>
    </row>
    <row r="126" spans="1:51" ht="15.75" customHeight="1" x14ac:dyDescent="0.3">
      <c r="A126" s="4">
        <v>3202009</v>
      </c>
      <c r="B126" s="4" t="s">
        <v>99</v>
      </c>
      <c r="C126" s="7">
        <v>2023</v>
      </c>
      <c r="D126" s="4">
        <v>0.78055377962576422</v>
      </c>
      <c r="E126" s="4">
        <v>0.68650539946537747</v>
      </c>
      <c r="F126" s="4">
        <v>1</v>
      </c>
      <c r="G126" s="4">
        <v>1</v>
      </c>
      <c r="H126" s="8">
        <v>0.77073626907780601</v>
      </c>
      <c r="I126" s="4">
        <v>0.560159095046733</v>
      </c>
      <c r="J126" s="4">
        <v>0.79013386061987601</v>
      </c>
      <c r="K126" s="4">
        <v>0.69219492338805899</v>
      </c>
      <c r="L126" s="4">
        <v>0.75133867753573602</v>
      </c>
      <c r="M126" s="4">
        <v>0.42812326670540801</v>
      </c>
      <c r="N126" s="4">
        <v>0.61732693976660602</v>
      </c>
      <c r="O126" s="4">
        <v>0.67823181980661595</v>
      </c>
      <c r="P126" s="4">
        <v>0.53780587192477203</v>
      </c>
      <c r="Q126" s="4">
        <v>0.53647464257746402</v>
      </c>
      <c r="R126" s="4">
        <v>0.93303571428571397</v>
      </c>
      <c r="S126" s="8">
        <v>3.125E-2</v>
      </c>
      <c r="T126" s="8">
        <v>6.25E-2</v>
      </c>
      <c r="U126" s="8">
        <v>0.44791666669999902</v>
      </c>
      <c r="V126" s="8">
        <v>0.45833333329999998</v>
      </c>
      <c r="W126" s="8">
        <v>0.96390977435714198</v>
      </c>
      <c r="X126" s="8">
        <v>0</v>
      </c>
      <c r="Y126" s="8">
        <v>6.3157894699999995E-2</v>
      </c>
      <c r="Z126" s="8">
        <v>0.28421052629999999</v>
      </c>
      <c r="AA126" s="8">
        <v>0.65263157890000001</v>
      </c>
      <c r="AB126" s="8">
        <v>0.77216748775714295</v>
      </c>
      <c r="AC126" s="8">
        <v>6.0344827599999998E-2</v>
      </c>
      <c r="AD126" s="8">
        <v>0.29310344829999901</v>
      </c>
      <c r="AE126" s="8">
        <v>0.43103448280000001</v>
      </c>
      <c r="AF126" s="8">
        <v>0.2155172414</v>
      </c>
      <c r="AG126" s="4">
        <v>0.68349753694285698</v>
      </c>
      <c r="AH126" s="4">
        <v>9.4827586199999994E-2</v>
      </c>
      <c r="AI126" s="4">
        <v>0.38793103449999999</v>
      </c>
      <c r="AJ126" s="4">
        <v>0.37068965519999902</v>
      </c>
      <c r="AK126" s="4">
        <v>0.1465517241</v>
      </c>
      <c r="AL126" s="4">
        <v>0.93203883499999995</v>
      </c>
      <c r="AM126" s="4">
        <v>0.93137254899999999</v>
      </c>
      <c r="AN126" s="4">
        <v>0.96666666670000001</v>
      </c>
      <c r="AO126" s="4">
        <v>0.96666666670000001</v>
      </c>
      <c r="AP126" s="4">
        <v>1</v>
      </c>
      <c r="AQ126" s="4" t="s">
        <v>401</v>
      </c>
      <c r="AR126" s="4">
        <v>1</v>
      </c>
      <c r="AS126" s="4" t="s">
        <v>402</v>
      </c>
      <c r="AT126" s="4">
        <v>1</v>
      </c>
      <c r="AU126" s="4" t="s">
        <v>403</v>
      </c>
      <c r="AV126" s="4">
        <v>1</v>
      </c>
      <c r="AW126" s="4" t="s">
        <v>404</v>
      </c>
      <c r="AX126" s="4">
        <v>1</v>
      </c>
      <c r="AY126" s="11">
        <f>VLOOKUP(B126,[1]Página1!$A:$E,4,0)</f>
        <v>8402979.4499999993</v>
      </c>
    </row>
    <row r="127" spans="1:51" ht="15.75" customHeight="1" x14ac:dyDescent="0.3">
      <c r="A127" s="4">
        <v>3202306</v>
      </c>
      <c r="B127" s="4" t="s">
        <v>100</v>
      </c>
      <c r="C127" s="7">
        <v>2023</v>
      </c>
      <c r="D127" s="4">
        <v>0.63771456487864253</v>
      </c>
      <c r="E127" s="4">
        <v>0.64209873663456918</v>
      </c>
      <c r="F127" s="4">
        <v>0.9840000000000001</v>
      </c>
      <c r="G127" s="4">
        <v>0.27096966156296093</v>
      </c>
      <c r="H127" s="8">
        <v>0.67791028598902503</v>
      </c>
      <c r="I127" s="4">
        <v>0.58838141260288401</v>
      </c>
      <c r="J127" s="4">
        <v>0.72221791044671502</v>
      </c>
      <c r="K127" s="4">
        <v>0.68747918430895005</v>
      </c>
      <c r="L127" s="4">
        <v>0.63360266153133504</v>
      </c>
      <c r="M127" s="4">
        <v>0.48928364089681697</v>
      </c>
      <c r="N127" s="4">
        <v>0.58012156582405205</v>
      </c>
      <c r="O127" s="4">
        <v>0.50667932444035702</v>
      </c>
      <c r="P127" s="4">
        <v>0.55197695305587402</v>
      </c>
      <c r="Q127" s="4">
        <v>0.53512790800135801</v>
      </c>
      <c r="R127" s="4">
        <v>0.84719458815714199</v>
      </c>
      <c r="S127" s="8">
        <v>0.10027855149999999</v>
      </c>
      <c r="T127" s="8">
        <v>9.1922005599999995E-2</v>
      </c>
      <c r="U127" s="8">
        <v>0.33983286909999999</v>
      </c>
      <c r="V127" s="8">
        <v>0.46796657380000001</v>
      </c>
      <c r="W127" s="8">
        <v>0.78009630822857101</v>
      </c>
      <c r="X127" s="8">
        <v>8.9887640399999996E-2</v>
      </c>
      <c r="Y127" s="8">
        <v>0.22752808989999901</v>
      </c>
      <c r="Z127" s="8">
        <v>0.55056179780000003</v>
      </c>
      <c r="AA127" s="8">
        <v>0.13202247189999999</v>
      </c>
      <c r="AB127" s="8">
        <v>0.75563909772857096</v>
      </c>
      <c r="AC127" s="8">
        <v>0.1023391813</v>
      </c>
      <c r="AD127" s="8">
        <v>0.24853801170000001</v>
      </c>
      <c r="AE127" s="8">
        <v>0.36549707599999998</v>
      </c>
      <c r="AF127" s="8">
        <v>0.28362573099999999</v>
      </c>
      <c r="AG127" s="4">
        <v>0.65144532882857098</v>
      </c>
      <c r="AH127" s="4">
        <v>0.1407624633</v>
      </c>
      <c r="AI127" s="4">
        <v>0.36363636360000001</v>
      </c>
      <c r="AJ127" s="4">
        <v>0.33431085039999903</v>
      </c>
      <c r="AK127" s="4">
        <v>0.16129032259999901</v>
      </c>
      <c r="AL127" s="4">
        <v>0.97027027030000002</v>
      </c>
      <c r="AM127" s="4">
        <v>0.96216216219999995</v>
      </c>
      <c r="AN127" s="4">
        <v>0.96067415729999905</v>
      </c>
      <c r="AO127" s="4">
        <v>0.95786516850000003</v>
      </c>
      <c r="AP127" s="4" t="s">
        <v>405</v>
      </c>
      <c r="AQ127" s="4" t="s">
        <v>406</v>
      </c>
      <c r="AR127" s="4" t="s">
        <v>407</v>
      </c>
      <c r="AS127" s="4" t="s">
        <v>408</v>
      </c>
      <c r="AT127" s="4">
        <v>1</v>
      </c>
      <c r="AU127" s="4" t="s">
        <v>409</v>
      </c>
      <c r="AV127" s="4">
        <v>0</v>
      </c>
      <c r="AW127" s="4" t="s">
        <v>410</v>
      </c>
      <c r="AX127" s="4">
        <v>0</v>
      </c>
      <c r="AY127" s="11">
        <f>VLOOKUP(B127,[1]Página1!$A:$E,4,0)</f>
        <v>6865257.1100000003</v>
      </c>
    </row>
    <row r="128" spans="1:51" ht="15.75" customHeight="1" x14ac:dyDescent="0.3">
      <c r="A128" s="4">
        <v>3202454</v>
      </c>
      <c r="B128" s="4" t="s">
        <v>101</v>
      </c>
      <c r="C128" s="7">
        <v>2023</v>
      </c>
      <c r="D128" s="4">
        <v>0.59093991503269128</v>
      </c>
      <c r="E128" s="4">
        <v>0.53112845004670195</v>
      </c>
      <c r="F128" s="4">
        <v>0.96099999999999997</v>
      </c>
      <c r="G128" s="4">
        <v>0.5</v>
      </c>
      <c r="H128" s="8">
        <v>0.63935234742870195</v>
      </c>
      <c r="I128" s="4">
        <v>0.36879260397370101</v>
      </c>
      <c r="J128" s="4">
        <v>0.75366759190727695</v>
      </c>
      <c r="K128" s="4">
        <v>0.63099963052265995</v>
      </c>
      <c r="L128" s="4">
        <v>0.52503710295012596</v>
      </c>
      <c r="M128" s="4">
        <v>0.10658557742474301</v>
      </c>
      <c r="N128" s="4">
        <v>0.626886285481844</v>
      </c>
      <c r="O128" s="4">
        <v>0.57365187472790702</v>
      </c>
      <c r="P128" s="4">
        <v>0.498213966653342</v>
      </c>
      <c r="Q128" s="4">
        <v>0.48741938279444202</v>
      </c>
      <c r="R128" s="4">
        <v>0.89532019707142796</v>
      </c>
      <c r="S128" s="8">
        <v>4.8850574699999899E-2</v>
      </c>
      <c r="T128" s="8">
        <v>9.7701149399999895E-2</v>
      </c>
      <c r="U128" s="8">
        <v>0.29022988509999997</v>
      </c>
      <c r="V128" s="8">
        <v>0.56321839079999902</v>
      </c>
      <c r="W128" s="8">
        <v>0.86254152821428498</v>
      </c>
      <c r="X128" s="8">
        <v>4.94186047E-2</v>
      </c>
      <c r="Y128" s="8">
        <v>0.1540697674</v>
      </c>
      <c r="Z128" s="8">
        <v>0.44767441859999901</v>
      </c>
      <c r="AA128" s="8">
        <v>0.34883720930000001</v>
      </c>
      <c r="AB128" s="8">
        <v>0.65902578794285704</v>
      </c>
      <c r="AC128" s="8">
        <v>0.14613180519999999</v>
      </c>
      <c r="AD128" s="8">
        <v>0.340974212</v>
      </c>
      <c r="AE128" s="8">
        <v>0.33810888249999999</v>
      </c>
      <c r="AF128" s="8">
        <v>0.1747851003</v>
      </c>
      <c r="AG128" s="4">
        <v>0.538998357942857</v>
      </c>
      <c r="AH128" s="4">
        <v>0.244252873599999</v>
      </c>
      <c r="AI128" s="4">
        <v>0.37931034479999998</v>
      </c>
      <c r="AJ128" s="4">
        <v>0.2844827586</v>
      </c>
      <c r="AK128" s="4">
        <v>9.1954022999999996E-2</v>
      </c>
      <c r="AL128" s="4">
        <v>0.92553191489999997</v>
      </c>
      <c r="AM128" s="4">
        <v>0.91489361700000005</v>
      </c>
      <c r="AN128" s="4">
        <v>0.94070080860000005</v>
      </c>
      <c r="AO128" s="4">
        <v>0.93800539079999901</v>
      </c>
      <c r="AP128" s="4" t="s">
        <v>282</v>
      </c>
      <c r="AQ128" s="4" t="s">
        <v>411</v>
      </c>
      <c r="AR128" s="4">
        <v>1</v>
      </c>
      <c r="AS128" s="4" t="s">
        <v>412</v>
      </c>
      <c r="AT128" s="4">
        <v>1</v>
      </c>
      <c r="AU128" s="4" t="s">
        <v>413</v>
      </c>
      <c r="AV128" s="4">
        <v>0</v>
      </c>
      <c r="AW128" s="4" t="s">
        <v>414</v>
      </c>
      <c r="AX128" s="4">
        <v>0</v>
      </c>
      <c r="AY128" s="11">
        <f>VLOOKUP(B128,[1]Página1!$A:$E,4,0)</f>
        <v>6361708.9400000004</v>
      </c>
    </row>
    <row r="129" spans="1:51" ht="15.75" customHeight="1" x14ac:dyDescent="0.3">
      <c r="A129" s="4">
        <v>3202553</v>
      </c>
      <c r="B129" s="4" t="s">
        <v>102</v>
      </c>
      <c r="C129" s="7">
        <v>2023</v>
      </c>
      <c r="D129" s="4">
        <v>0.77230486844797519</v>
      </c>
      <c r="E129" s="4">
        <v>0.77077132604517351</v>
      </c>
      <c r="F129" s="4">
        <v>0.99900000000000011</v>
      </c>
      <c r="G129" s="4">
        <v>0.55276626810902485</v>
      </c>
      <c r="H129" s="8">
        <v>0.77306047327791605</v>
      </c>
      <c r="I129" s="4">
        <v>0.76733760519605898</v>
      </c>
      <c r="J129" s="4">
        <v>0.77991094266123895</v>
      </c>
      <c r="K129" s="4">
        <v>0.68673410515545197</v>
      </c>
      <c r="L129" s="4">
        <v>0.76621000389459304</v>
      </c>
      <c r="M129" s="4">
        <v>0.84794110523666599</v>
      </c>
      <c r="N129" s="4">
        <v>0.59001275833867795</v>
      </c>
      <c r="O129" s="4">
        <v>0.66687712880531902</v>
      </c>
      <c r="P129" s="4">
        <v>0.53172153348461604</v>
      </c>
      <c r="Q129" s="4">
        <v>0.53067655960861904</v>
      </c>
      <c r="R129" s="4">
        <v>0.85039370079999899</v>
      </c>
      <c r="S129" s="8">
        <v>8.6614173200000005E-2</v>
      </c>
      <c r="T129" s="8">
        <v>0.1102362205</v>
      </c>
      <c r="U129" s="8">
        <v>0.36220472440000001</v>
      </c>
      <c r="V129" s="8">
        <v>0.44094488189999997</v>
      </c>
      <c r="W129" s="8">
        <v>0.93925759278571397</v>
      </c>
      <c r="X129" s="8">
        <v>1.5748031499999999E-2</v>
      </c>
      <c r="Y129" s="8">
        <v>7.8740157500000005E-2</v>
      </c>
      <c r="Z129" s="8">
        <v>0.23622047239999999</v>
      </c>
      <c r="AA129" s="8">
        <v>0.66929133859999901</v>
      </c>
      <c r="AB129" s="8">
        <v>0.75952380955714205</v>
      </c>
      <c r="AC129" s="8">
        <v>8.3333333300000006E-2</v>
      </c>
      <c r="AD129" s="8">
        <v>0.27500000000000002</v>
      </c>
      <c r="AE129" s="8">
        <v>0.44166666669999999</v>
      </c>
      <c r="AF129" s="8">
        <v>0.2</v>
      </c>
      <c r="AG129" s="4">
        <v>0.65833333329999999</v>
      </c>
      <c r="AH129" s="4">
        <v>0.1416666667</v>
      </c>
      <c r="AI129" s="4">
        <v>0.35</v>
      </c>
      <c r="AJ129" s="4">
        <v>0.375</v>
      </c>
      <c r="AK129" s="4">
        <v>0.1333333333</v>
      </c>
      <c r="AL129" s="4">
        <v>0.9921875</v>
      </c>
      <c r="AM129" s="4">
        <v>0.9921875</v>
      </c>
      <c r="AN129" s="4">
        <v>0.9756097561</v>
      </c>
      <c r="AO129" s="4">
        <v>0.9756097561</v>
      </c>
      <c r="AP129" s="4" t="s">
        <v>415</v>
      </c>
      <c r="AQ129" s="4" t="s">
        <v>416</v>
      </c>
      <c r="AR129" s="4">
        <v>1</v>
      </c>
      <c r="AS129" s="4" t="s">
        <v>417</v>
      </c>
      <c r="AT129" s="4">
        <v>1</v>
      </c>
      <c r="AU129" s="4" t="s">
        <v>418</v>
      </c>
      <c r="AV129" s="4" t="s">
        <v>419</v>
      </c>
      <c r="AW129" s="4" t="s">
        <v>420</v>
      </c>
      <c r="AX129" s="4">
        <v>0</v>
      </c>
      <c r="AY129" s="11">
        <f>VLOOKUP(B129,[1]Página1!$A:$E,4,0)</f>
        <v>8314176.5599999996</v>
      </c>
    </row>
    <row r="130" spans="1:51" ht="15.75" customHeight="1" x14ac:dyDescent="0.3">
      <c r="A130" s="4">
        <v>3202652</v>
      </c>
      <c r="B130" s="4" t="s">
        <v>103</v>
      </c>
      <c r="C130" s="7">
        <v>2023</v>
      </c>
      <c r="D130" s="4">
        <v>0.60628134038466353</v>
      </c>
      <c r="E130" s="4">
        <v>0.53493260713354585</v>
      </c>
      <c r="F130" s="4">
        <v>0.95700000000000007</v>
      </c>
      <c r="G130" s="4">
        <v>0.5885234359412097</v>
      </c>
      <c r="H130" s="8">
        <v>0.62928625929202697</v>
      </c>
      <c r="I130" s="4">
        <v>0.39340212889582199</v>
      </c>
      <c r="J130" s="4">
        <v>0.72271285579492095</v>
      </c>
      <c r="K130" s="4">
        <v>0.640536430519135</v>
      </c>
      <c r="L130" s="4">
        <v>0.53585966278913399</v>
      </c>
      <c r="M130" s="4">
        <v>0.14626782727251</v>
      </c>
      <c r="N130" s="4">
        <v>0.56967414146213902</v>
      </c>
      <c r="O130" s="4">
        <v>0.58261747800996899</v>
      </c>
      <c r="P130" s="4">
        <v>0.50561944118568203</v>
      </c>
      <c r="Q130" s="4">
        <v>0.49950844837657099</v>
      </c>
      <c r="R130" s="4">
        <v>0.81105990781428505</v>
      </c>
      <c r="S130" s="8">
        <v>0.11827956990000001</v>
      </c>
      <c r="T130" s="8">
        <v>0.12365591399999901</v>
      </c>
      <c r="U130" s="8">
        <v>0.33333333329999998</v>
      </c>
      <c r="V130" s="8">
        <v>0.4247311828</v>
      </c>
      <c r="W130" s="8">
        <v>0.86898593637142796</v>
      </c>
      <c r="X130" s="8">
        <v>1.5544041499999999E-2</v>
      </c>
      <c r="Y130" s="8">
        <v>0.20207253889999999</v>
      </c>
      <c r="Z130" s="8">
        <v>0.41968911919999902</v>
      </c>
      <c r="AA130" s="8">
        <v>0.36269430049999901</v>
      </c>
      <c r="AB130" s="8">
        <v>0.679213002642857</v>
      </c>
      <c r="AC130" s="8">
        <v>0.12574850299999901</v>
      </c>
      <c r="AD130" s="8">
        <v>0.34131736529999901</v>
      </c>
      <c r="AE130" s="8">
        <v>0.35329341319999902</v>
      </c>
      <c r="AF130" s="8">
        <v>0.1796407186</v>
      </c>
      <c r="AG130" s="4">
        <v>0.59965782718571403</v>
      </c>
      <c r="AH130" s="4">
        <v>0.16766467069999999</v>
      </c>
      <c r="AI130" s="4">
        <v>0.40718562869999902</v>
      </c>
      <c r="AJ130" s="4">
        <v>0.35329341319999902</v>
      </c>
      <c r="AK130" s="4">
        <v>7.1856287399999996E-2</v>
      </c>
      <c r="AL130" s="4">
        <v>0.88995215309999998</v>
      </c>
      <c r="AM130" s="4">
        <v>0.93236714980000002</v>
      </c>
      <c r="AN130" s="4">
        <v>0.91758241760000003</v>
      </c>
      <c r="AO130" s="4">
        <v>0.91758241760000003</v>
      </c>
      <c r="AP130" s="4" t="s">
        <v>421</v>
      </c>
      <c r="AQ130" s="4" t="s">
        <v>422</v>
      </c>
      <c r="AR130" s="4">
        <v>1</v>
      </c>
      <c r="AS130" s="4" t="s">
        <v>423</v>
      </c>
      <c r="AT130" s="4">
        <v>1</v>
      </c>
      <c r="AU130" s="4" t="s">
        <v>424</v>
      </c>
      <c r="AV130" s="4" t="s">
        <v>425</v>
      </c>
      <c r="AW130" s="4" t="s">
        <v>426</v>
      </c>
      <c r="AX130" s="4" t="s">
        <v>427</v>
      </c>
      <c r="AY130" s="11">
        <f>VLOOKUP(B130,[1]Página1!$A:$E,4,0)</f>
        <v>6526865.6399999997</v>
      </c>
    </row>
    <row r="131" spans="1:51" ht="15.75" customHeight="1" x14ac:dyDescent="0.3">
      <c r="A131" s="4">
        <v>3203007</v>
      </c>
      <c r="B131" s="4" t="s">
        <v>104</v>
      </c>
      <c r="C131" s="7">
        <v>2023</v>
      </c>
      <c r="D131" s="4">
        <v>0.6275912242558922</v>
      </c>
      <c r="E131" s="4">
        <v>0.62426101304591508</v>
      </c>
      <c r="F131" s="4">
        <v>0.94499999999999995</v>
      </c>
      <c r="G131" s="4">
        <v>0.32572343415834415</v>
      </c>
      <c r="H131" s="8">
        <v>0.617093537440214</v>
      </c>
      <c r="I131" s="4">
        <v>0.63501222645446498</v>
      </c>
      <c r="J131" s="4">
        <v>0.720518944158409</v>
      </c>
      <c r="K131" s="4">
        <v>0.66042524959883997</v>
      </c>
      <c r="L131" s="4">
        <v>0.51366813072202</v>
      </c>
      <c r="M131" s="4">
        <v>0.60959920331008999</v>
      </c>
      <c r="N131" s="4">
        <v>0.57621199619966501</v>
      </c>
      <c r="O131" s="4">
        <v>0.55193614165326399</v>
      </c>
      <c r="P131" s="4">
        <v>0.52340773510485195</v>
      </c>
      <c r="Q131" s="4">
        <v>0.52834038818336504</v>
      </c>
      <c r="R131" s="4">
        <v>0.82738095235714204</v>
      </c>
      <c r="S131" s="8">
        <v>9.5588235299999894E-2</v>
      </c>
      <c r="T131" s="8">
        <v>0.13480392159999999</v>
      </c>
      <c r="U131" s="8">
        <v>0.33088235290000001</v>
      </c>
      <c r="V131" s="8">
        <v>0.43872549020000001</v>
      </c>
      <c r="W131" s="8">
        <v>0.83835519324285701</v>
      </c>
      <c r="X131" s="8">
        <v>4.9627791599999999E-2</v>
      </c>
      <c r="Y131" s="8">
        <v>0.19602977669999999</v>
      </c>
      <c r="Z131" s="8">
        <v>0.5012406948</v>
      </c>
      <c r="AA131" s="8">
        <v>0.25310173699999999</v>
      </c>
      <c r="AB131" s="8">
        <v>0.71660231661428497</v>
      </c>
      <c r="AC131" s="8">
        <v>0.1135135135</v>
      </c>
      <c r="AD131" s="8">
        <v>0.29729729729999999</v>
      </c>
      <c r="AE131" s="8">
        <v>0.38918918920000001</v>
      </c>
      <c r="AF131" s="8">
        <v>0.2</v>
      </c>
      <c r="AG131" s="4">
        <v>0.642664613</v>
      </c>
      <c r="AH131" s="4">
        <v>0.16172506740000001</v>
      </c>
      <c r="AI131" s="4">
        <v>0.34231805929999998</v>
      </c>
      <c r="AJ131" s="4">
        <v>0.36927223720000002</v>
      </c>
      <c r="AK131" s="4">
        <v>0.1266846361</v>
      </c>
      <c r="AL131" s="4">
        <v>0.92099322799999905</v>
      </c>
      <c r="AM131" s="4">
        <v>0.91176470589999903</v>
      </c>
      <c r="AN131" s="4">
        <v>0.90909090910000001</v>
      </c>
      <c r="AO131" s="4">
        <v>0.91154791149999903</v>
      </c>
      <c r="AP131" s="4" t="s">
        <v>428</v>
      </c>
      <c r="AQ131" s="4" t="s">
        <v>429</v>
      </c>
      <c r="AR131" s="4">
        <v>0</v>
      </c>
      <c r="AS131" s="4" t="s">
        <v>430</v>
      </c>
      <c r="AT131" s="4">
        <v>1</v>
      </c>
      <c r="AU131" s="4" t="s">
        <v>431</v>
      </c>
      <c r="AV131" s="4" t="s">
        <v>432</v>
      </c>
      <c r="AW131" s="4" t="s">
        <v>433</v>
      </c>
      <c r="AX131" s="4" t="s">
        <v>434</v>
      </c>
      <c r="AY131" s="11">
        <f>VLOOKUP(B131,[1]Página1!$A:$E,4,0)</f>
        <v>6756275.2199999997</v>
      </c>
    </row>
    <row r="132" spans="1:51" ht="15.75" customHeight="1" x14ac:dyDescent="0.3">
      <c r="A132" s="4">
        <v>3203700</v>
      </c>
      <c r="B132" s="4" t="s">
        <v>105</v>
      </c>
      <c r="C132" s="7">
        <v>2023</v>
      </c>
      <c r="D132" s="4">
        <v>0.67088404032006621</v>
      </c>
      <c r="E132" s="4">
        <v>0.6366504494268479</v>
      </c>
      <c r="F132" s="4">
        <v>0.998</v>
      </c>
      <c r="G132" s="4">
        <v>0.50352483814181792</v>
      </c>
      <c r="H132" s="8">
        <v>0.69240850979970203</v>
      </c>
      <c r="I132" s="4">
        <v>0.55301335886756497</v>
      </c>
      <c r="J132" s="4">
        <v>0.80593985975104698</v>
      </c>
      <c r="K132" s="4">
        <v>0.73635646159559898</v>
      </c>
      <c r="L132" s="4">
        <v>0.57887715984835697</v>
      </c>
      <c r="M132" s="4">
        <v>0.36967025613953203</v>
      </c>
      <c r="N132" s="4">
        <v>0.64654983710690295</v>
      </c>
      <c r="O132" s="4">
        <v>0.67559371146274105</v>
      </c>
      <c r="P132" s="4">
        <v>0.61277971734461301</v>
      </c>
      <c r="Q132" s="4">
        <v>0.592490232687784</v>
      </c>
      <c r="R132" s="4">
        <v>0.93465727098571405</v>
      </c>
      <c r="S132" s="8">
        <v>4.48430493E-2</v>
      </c>
      <c r="T132" s="8">
        <v>3.5874439500000001E-2</v>
      </c>
      <c r="U132" s="8">
        <v>0.31838565019999998</v>
      </c>
      <c r="V132" s="8">
        <v>0.60089686099999995</v>
      </c>
      <c r="W132" s="8">
        <v>0.95345830648571395</v>
      </c>
      <c r="X132" s="8">
        <v>1.80995475E-2</v>
      </c>
      <c r="Y132" s="8">
        <v>4.9773755699999998E-2</v>
      </c>
      <c r="Z132" s="8">
        <v>0.25339366520000001</v>
      </c>
      <c r="AA132" s="8">
        <v>0.67873303169999999</v>
      </c>
      <c r="AB132" s="8">
        <v>0.83873343150000002</v>
      </c>
      <c r="AC132" s="8">
        <v>6.7010309300000001E-2</v>
      </c>
      <c r="AD132" s="8">
        <v>0.16494845359999999</v>
      </c>
      <c r="AE132" s="8">
        <v>0.29896907220000002</v>
      </c>
      <c r="AF132" s="8">
        <v>0.46907216489999998</v>
      </c>
      <c r="AG132" s="4">
        <v>0.74889543439999995</v>
      </c>
      <c r="AH132" s="4">
        <v>9.7938144299999905E-2</v>
      </c>
      <c r="AI132" s="4">
        <v>0.2680412371</v>
      </c>
      <c r="AJ132" s="4">
        <v>0.3711340206</v>
      </c>
      <c r="AK132" s="4">
        <v>0.26288659790000002</v>
      </c>
      <c r="AL132" s="4">
        <v>0.96536796540000003</v>
      </c>
      <c r="AM132" s="4">
        <v>0.96506550219999998</v>
      </c>
      <c r="AN132" s="4">
        <v>0.94634146340000003</v>
      </c>
      <c r="AO132" s="4">
        <v>0.94634146340000003</v>
      </c>
      <c r="AP132" s="4" t="s">
        <v>435</v>
      </c>
      <c r="AQ132" s="4" t="s">
        <v>436</v>
      </c>
      <c r="AR132" s="4">
        <v>1</v>
      </c>
      <c r="AS132" s="4" t="s">
        <v>437</v>
      </c>
      <c r="AT132" s="4">
        <v>1</v>
      </c>
      <c r="AU132" s="4" t="s">
        <v>438</v>
      </c>
      <c r="AV132" s="4" t="s">
        <v>439</v>
      </c>
      <c r="AW132" s="4" t="s">
        <v>440</v>
      </c>
      <c r="AX132" s="4">
        <v>0</v>
      </c>
      <c r="AY132" s="11">
        <f>VLOOKUP(B132,[1]Página1!$A:$E,4,0)</f>
        <v>7222340.0199999996</v>
      </c>
    </row>
    <row r="133" spans="1:51" ht="15.75" customHeight="1" x14ac:dyDescent="0.3">
      <c r="A133" s="4">
        <v>3204807</v>
      </c>
      <c r="B133" s="4" t="s">
        <v>106</v>
      </c>
      <c r="C133" s="7">
        <v>2023</v>
      </c>
      <c r="D133" s="4">
        <v>0.6733922805051622</v>
      </c>
      <c r="E133" s="4">
        <v>0.69367287887932905</v>
      </c>
      <c r="F133" s="4">
        <v>0.97199999999999998</v>
      </c>
      <c r="G133" s="4">
        <v>0.28014176859754625</v>
      </c>
      <c r="H133" s="8">
        <v>0.804930835294414</v>
      </c>
      <c r="I133" s="4">
        <v>0.526785944256701</v>
      </c>
      <c r="J133" s="4">
        <v>0.76602805507259897</v>
      </c>
      <c r="K133" s="4">
        <v>0.65023112497359503</v>
      </c>
      <c r="L133" s="4">
        <v>0.84383361551622904</v>
      </c>
      <c r="M133" s="4">
        <v>0.40334076353980602</v>
      </c>
      <c r="N133" s="4">
        <v>0.59315615038462</v>
      </c>
      <c r="O133" s="4">
        <v>0.70235244397535102</v>
      </c>
      <c r="P133" s="4">
        <v>0.52116100368887996</v>
      </c>
      <c r="Q133" s="4">
        <v>0.50212657935550098</v>
      </c>
      <c r="R133" s="4">
        <v>0.84033613437142796</v>
      </c>
      <c r="S133" s="8">
        <v>8.82352941E-2</v>
      </c>
      <c r="T133" s="8">
        <v>0.125</v>
      </c>
      <c r="U133" s="8">
        <v>0.3014705882</v>
      </c>
      <c r="V133" s="8">
        <v>0.48529411760000002</v>
      </c>
      <c r="W133" s="8">
        <v>0.96969696971428498</v>
      </c>
      <c r="X133" s="8">
        <v>0</v>
      </c>
      <c r="Y133" s="8">
        <v>5.3030302999999897E-2</v>
      </c>
      <c r="Z133" s="8">
        <v>0.28030303029999998</v>
      </c>
      <c r="AA133" s="8">
        <v>0.66666666669999997</v>
      </c>
      <c r="AB133" s="8">
        <v>0.68487394960000003</v>
      </c>
      <c r="AC133" s="8">
        <v>0.1176470588</v>
      </c>
      <c r="AD133" s="8">
        <v>0.34558823529999999</v>
      </c>
      <c r="AE133" s="8">
        <v>0.31617647059999998</v>
      </c>
      <c r="AF133" s="8">
        <v>0.22058823529999999</v>
      </c>
      <c r="AG133" s="4">
        <v>0.59453781509999903</v>
      </c>
      <c r="AH133" s="4">
        <v>0.22058823529999999</v>
      </c>
      <c r="AI133" s="4">
        <v>0.3235294118</v>
      </c>
      <c r="AJ133" s="4">
        <v>0.33823529409999997</v>
      </c>
      <c r="AK133" s="4">
        <v>0.1176470588</v>
      </c>
      <c r="AL133" s="4">
        <v>0.90666666669999996</v>
      </c>
      <c r="AM133" s="4">
        <v>0.88590604029999998</v>
      </c>
      <c r="AN133" s="4">
        <v>0.93793103450000004</v>
      </c>
      <c r="AO133" s="4">
        <v>0.93793103450000004</v>
      </c>
      <c r="AP133" s="4" t="s">
        <v>441</v>
      </c>
      <c r="AQ133" s="4" t="s">
        <v>442</v>
      </c>
      <c r="AR133" s="4">
        <v>0</v>
      </c>
      <c r="AS133" s="4" t="s">
        <v>443</v>
      </c>
      <c r="AT133" s="4">
        <v>1</v>
      </c>
      <c r="AU133" s="4" t="s">
        <v>444</v>
      </c>
      <c r="AV133" s="4">
        <v>0</v>
      </c>
      <c r="AW133" s="4" t="s">
        <v>445</v>
      </c>
      <c r="AX133" s="4" t="s">
        <v>446</v>
      </c>
      <c r="AY133" s="11">
        <f>VLOOKUP(B133,[1]Página1!$A:$E,4,0)</f>
        <v>7249342.25</v>
      </c>
    </row>
    <row r="134" spans="1:51" ht="15.75" customHeight="1" x14ac:dyDescent="0.3">
      <c r="A134" s="4">
        <v>3200607</v>
      </c>
      <c r="B134" s="4" t="s">
        <v>107</v>
      </c>
      <c r="C134" s="7">
        <v>2023</v>
      </c>
      <c r="D134" s="4">
        <v>0.64678821855855473</v>
      </c>
      <c r="E134" s="4">
        <v>0.58100934128881965</v>
      </c>
      <c r="F134" s="4">
        <v>0.98</v>
      </c>
      <c r="G134" s="4">
        <v>0.62054453104254059</v>
      </c>
      <c r="H134" s="8">
        <v>0.617571124600929</v>
      </c>
      <c r="I134" s="4">
        <v>0.52616666632065501</v>
      </c>
      <c r="J134" s="4">
        <v>0.69285939635815197</v>
      </c>
      <c r="K134" s="4">
        <v>0.65714247481021903</v>
      </c>
      <c r="L134" s="4">
        <v>0.54228285284370603</v>
      </c>
      <c r="M134" s="4">
        <v>0.39519085783108998</v>
      </c>
      <c r="N134" s="4">
        <v>0.57318681297587004</v>
      </c>
      <c r="O134" s="4">
        <v>0.51874712999481198</v>
      </c>
      <c r="P134" s="4">
        <v>0.545794438110625</v>
      </c>
      <c r="Q134" s="4">
        <v>0.53520625007310896</v>
      </c>
      <c r="R134" s="4">
        <v>0.83853541415714195</v>
      </c>
      <c r="S134" s="8">
        <v>0.106722689099999</v>
      </c>
      <c r="T134" s="8">
        <v>9.5798319299999907E-2</v>
      </c>
      <c r="U134" s="8">
        <v>0.37815126049999997</v>
      </c>
      <c r="V134" s="8">
        <v>0.41932773109999999</v>
      </c>
      <c r="W134" s="8">
        <v>0.78355342142857098</v>
      </c>
      <c r="X134" s="8">
        <v>5.7983193299999999E-2</v>
      </c>
      <c r="Y134" s="8">
        <v>0.27731092439999999</v>
      </c>
      <c r="Z134" s="8">
        <v>0.4773109244</v>
      </c>
      <c r="AA134" s="8">
        <v>0.187394958</v>
      </c>
      <c r="AB134" s="8">
        <v>0.751885902885714</v>
      </c>
      <c r="AC134" s="8">
        <v>0.111386138599999</v>
      </c>
      <c r="AD134" s="8">
        <v>0.239273927399999</v>
      </c>
      <c r="AE134" s="8">
        <v>0.37211221119999999</v>
      </c>
      <c r="AF134" s="8">
        <v>0.27722772280000002</v>
      </c>
      <c r="AG134" s="4">
        <v>0.63409758962857099</v>
      </c>
      <c r="AH134" s="4">
        <v>0.1679012346</v>
      </c>
      <c r="AI134" s="4">
        <v>0.34650205759999902</v>
      </c>
      <c r="AJ134" s="4">
        <v>0.31851851850000001</v>
      </c>
      <c r="AK134" s="4">
        <v>0.16707818929999901</v>
      </c>
      <c r="AL134" s="4">
        <v>0.85060757679999999</v>
      </c>
      <c r="AM134" s="4">
        <v>0.85427135679999999</v>
      </c>
      <c r="AN134" s="4">
        <v>0.85352112680000003</v>
      </c>
      <c r="AO134" s="4">
        <v>0.85563380280000001</v>
      </c>
      <c r="AP134" s="4" t="s">
        <v>447</v>
      </c>
      <c r="AQ134" s="4" t="s">
        <v>448</v>
      </c>
      <c r="AR134" s="4">
        <v>1</v>
      </c>
      <c r="AS134" s="4" t="s">
        <v>449</v>
      </c>
      <c r="AT134" s="4">
        <v>1</v>
      </c>
      <c r="AU134" s="4" t="s">
        <v>450</v>
      </c>
      <c r="AV134" s="4" t="s">
        <v>451</v>
      </c>
      <c r="AW134" s="4" t="s">
        <v>452</v>
      </c>
      <c r="AX134" s="4" t="s">
        <v>453</v>
      </c>
      <c r="AY134" s="11">
        <f>VLOOKUP(B134,[1]Página1!$A:$E,4,0)</f>
        <v>6962938.6799999997</v>
      </c>
    </row>
    <row r="135" spans="1:51" ht="15.75" customHeight="1" x14ac:dyDescent="0.3">
      <c r="A135" s="4">
        <v>3202504</v>
      </c>
      <c r="B135" s="4" t="s">
        <v>108</v>
      </c>
      <c r="C135" s="7">
        <v>2023</v>
      </c>
      <c r="D135" s="4">
        <v>0.73887079360763586</v>
      </c>
      <c r="E135" s="4">
        <v>0.6639958490644966</v>
      </c>
      <c r="F135" s="4">
        <v>0.97499999999999998</v>
      </c>
      <c r="G135" s="4">
        <v>0.85215799508325507</v>
      </c>
      <c r="H135" s="8">
        <v>0.606893489580002</v>
      </c>
      <c r="I135" s="4">
        <v>0.74964938829123695</v>
      </c>
      <c r="J135" s="4">
        <v>0.68356447881709403</v>
      </c>
      <c r="K135" s="4">
        <v>0.68799105713222497</v>
      </c>
      <c r="L135" s="4">
        <v>0.53022250034290996</v>
      </c>
      <c r="M135" s="4">
        <v>0.81130771945024904</v>
      </c>
      <c r="N135" s="4">
        <v>0.55723460397956803</v>
      </c>
      <c r="O135" s="4">
        <v>0.49316714854111898</v>
      </c>
      <c r="P135" s="4">
        <v>0.55591822441256</v>
      </c>
      <c r="Q135" s="4">
        <v>0.53933845815205606</v>
      </c>
      <c r="R135" s="4">
        <v>0.80983302418571401</v>
      </c>
      <c r="S135" s="8">
        <v>0.1233766234</v>
      </c>
      <c r="T135" s="8">
        <v>0.1168831169</v>
      </c>
      <c r="U135" s="8">
        <v>0.33766233769999998</v>
      </c>
      <c r="V135" s="8">
        <v>0.4220779221</v>
      </c>
      <c r="W135" s="8">
        <v>0.72857142857142798</v>
      </c>
      <c r="X135" s="8">
        <v>0.125</v>
      </c>
      <c r="Y135" s="8">
        <v>0.25624999999999998</v>
      </c>
      <c r="Z135" s="8">
        <v>0.46250000000000002</v>
      </c>
      <c r="AA135" s="8">
        <v>0.15625</v>
      </c>
      <c r="AB135" s="8">
        <v>0.79274004679999999</v>
      </c>
      <c r="AC135" s="8">
        <v>5.7377049199999898E-2</v>
      </c>
      <c r="AD135" s="8">
        <v>0.26229508200000001</v>
      </c>
      <c r="AE135" s="8">
        <v>0.3852459016</v>
      </c>
      <c r="AF135" s="8">
        <v>0.29508196720000002</v>
      </c>
      <c r="AG135" s="4">
        <v>0.65807962532857101</v>
      </c>
      <c r="AH135" s="4">
        <v>9.8360655699999994E-2</v>
      </c>
      <c r="AI135" s="4">
        <v>0.4262295082</v>
      </c>
      <c r="AJ135" s="4">
        <v>0.35245901639999999</v>
      </c>
      <c r="AK135" s="4">
        <v>0.12295081970000001</v>
      </c>
      <c r="AL135" s="4">
        <v>0.88</v>
      </c>
      <c r="AM135" s="4">
        <v>0.91428571430000005</v>
      </c>
      <c r="AN135" s="4">
        <v>0.93129770989999905</v>
      </c>
      <c r="AO135" s="4">
        <v>0.93129770989999905</v>
      </c>
      <c r="AP135" s="4" t="s">
        <v>454</v>
      </c>
      <c r="AQ135" s="4" t="s">
        <v>455</v>
      </c>
      <c r="AR135" s="4">
        <v>1</v>
      </c>
      <c r="AS135" s="4" t="s">
        <v>456</v>
      </c>
      <c r="AT135" s="4">
        <v>1</v>
      </c>
      <c r="AU135" s="4" t="s">
        <v>457</v>
      </c>
      <c r="AV135" s="4">
        <v>1</v>
      </c>
      <c r="AW135" s="4" t="s">
        <v>458</v>
      </c>
      <c r="AX135" s="4" t="s">
        <v>459</v>
      </c>
      <c r="AY135" s="11">
        <f>VLOOKUP(B135,[1]Página1!$A:$E,4,0)</f>
        <v>7954245.1200000001</v>
      </c>
    </row>
    <row r="136" spans="1:51" ht="15.75" customHeight="1" x14ac:dyDescent="0.3">
      <c r="A136" s="4">
        <v>3203130</v>
      </c>
      <c r="B136" s="4" t="s">
        <v>109</v>
      </c>
      <c r="C136" s="7">
        <v>2023</v>
      </c>
      <c r="D136" s="4">
        <v>0.51673299442339038</v>
      </c>
      <c r="E136" s="4">
        <v>0.42876796575218601</v>
      </c>
      <c r="F136" s="4">
        <v>0.99900000000000011</v>
      </c>
      <c r="G136" s="4">
        <v>0.44496945597906834</v>
      </c>
      <c r="H136" s="8">
        <v>0.48880188398462399</v>
      </c>
      <c r="I136" s="4">
        <v>0.33871708840352699</v>
      </c>
      <c r="J136" s="4">
        <v>0.69155594617274496</v>
      </c>
      <c r="K136" s="4">
        <v>0.66428350375026401</v>
      </c>
      <c r="L136" s="4">
        <v>0.28604782179650401</v>
      </c>
      <c r="M136" s="4">
        <v>1.31506730567914E-2</v>
      </c>
      <c r="N136" s="4">
        <v>0.573879588236345</v>
      </c>
      <c r="O136" s="4">
        <v>0.50356559137706403</v>
      </c>
      <c r="P136" s="4">
        <v>0.55191062574817795</v>
      </c>
      <c r="Q136" s="4">
        <v>0.51940788891002099</v>
      </c>
      <c r="R136" s="4">
        <v>0.84177215192857102</v>
      </c>
      <c r="S136" s="8">
        <v>0.10759493669999901</v>
      </c>
      <c r="T136" s="8">
        <v>8.8607594899999906E-2</v>
      </c>
      <c r="U136" s="8">
        <v>0.41772151899999999</v>
      </c>
      <c r="V136" s="8">
        <v>0.38607594940000001</v>
      </c>
      <c r="W136" s="8">
        <v>0.74133558747142803</v>
      </c>
      <c r="X136" s="8">
        <v>8.28402367E-2</v>
      </c>
      <c r="Y136" s="8">
        <v>0.3076923077</v>
      </c>
      <c r="Z136" s="8">
        <v>0.44378698219999901</v>
      </c>
      <c r="AA136" s="8">
        <v>0.1656804734</v>
      </c>
      <c r="AB136" s="8">
        <v>0.74175824178571403</v>
      </c>
      <c r="AC136" s="8">
        <v>8.9743589700000001E-2</v>
      </c>
      <c r="AD136" s="8">
        <v>0.29487179489999998</v>
      </c>
      <c r="AE136" s="8">
        <v>0.33333333329999998</v>
      </c>
      <c r="AF136" s="8">
        <v>0.28205128210000002</v>
      </c>
      <c r="AG136" s="4">
        <v>0.60531135530000002</v>
      </c>
      <c r="AH136" s="4">
        <v>0.18589743589999999</v>
      </c>
      <c r="AI136" s="4">
        <v>0.3653846154</v>
      </c>
      <c r="AJ136" s="4">
        <v>0.33333333329999998</v>
      </c>
      <c r="AK136" s="4">
        <v>0.1153846154</v>
      </c>
      <c r="AL136" s="4">
        <v>0.84946236559999999</v>
      </c>
      <c r="AM136" s="4">
        <v>0.90860215049999904</v>
      </c>
      <c r="AN136" s="4">
        <v>0.91228070179999998</v>
      </c>
      <c r="AO136" s="4">
        <v>0.91228070179999998</v>
      </c>
      <c r="AP136" s="4" t="s">
        <v>460</v>
      </c>
      <c r="AQ136" s="4" t="s">
        <v>461</v>
      </c>
      <c r="AR136" s="4">
        <v>0</v>
      </c>
      <c r="AS136" s="4" t="s">
        <v>462</v>
      </c>
      <c r="AT136" s="4">
        <v>1</v>
      </c>
      <c r="AU136" s="4" t="s">
        <v>463</v>
      </c>
      <c r="AV136" s="4" t="s">
        <v>464</v>
      </c>
      <c r="AW136" s="4" t="s">
        <v>465</v>
      </c>
      <c r="AX136" s="4" t="s">
        <v>466</v>
      </c>
      <c r="AY136" s="11">
        <f>VLOOKUP(B136,[1]Página1!$A:$E,4,0)</f>
        <v>5562841.21</v>
      </c>
    </row>
    <row r="137" spans="1:51" ht="15.75" customHeight="1" x14ac:dyDescent="0.3">
      <c r="A137" s="4">
        <v>3203205</v>
      </c>
      <c r="B137" s="4" t="s">
        <v>110</v>
      </c>
      <c r="C137" s="7">
        <v>2023</v>
      </c>
      <c r="D137" s="4">
        <v>0.5852085008098511</v>
      </c>
      <c r="E137" s="4">
        <v>0.55470768482432831</v>
      </c>
      <c r="F137" s="4">
        <v>0.96400000000000008</v>
      </c>
      <c r="G137" s="4">
        <v>0.34875414288547557</v>
      </c>
      <c r="H137" s="8">
        <v>0.59559654278229501</v>
      </c>
      <c r="I137" s="4">
        <v>0.49337439788737703</v>
      </c>
      <c r="J137" s="4">
        <v>0.66748472520350099</v>
      </c>
      <c r="K137" s="4">
        <v>0.64770295757076002</v>
      </c>
      <c r="L137" s="4">
        <v>0.52370836036109003</v>
      </c>
      <c r="M137" s="4">
        <v>0.33904583820399298</v>
      </c>
      <c r="N137" s="4">
        <v>0.54068132212612996</v>
      </c>
      <c r="O137" s="4">
        <v>0.47967440614259799</v>
      </c>
      <c r="P137" s="4">
        <v>0.53146733363202003</v>
      </c>
      <c r="Q137" s="4">
        <v>0.52183682170101997</v>
      </c>
      <c r="R137" s="4">
        <v>0.78384975257142797</v>
      </c>
      <c r="S137" s="8">
        <v>0.13858566679999901</v>
      </c>
      <c r="T137" s="8">
        <v>0.1357380161</v>
      </c>
      <c r="U137" s="8">
        <v>0.3711438064</v>
      </c>
      <c r="V137" s="8">
        <v>0.35453251070000003</v>
      </c>
      <c r="W137" s="8">
        <v>0.71676494241428501</v>
      </c>
      <c r="X137" s="8">
        <v>9.6153846200000004E-2</v>
      </c>
      <c r="Y137" s="8">
        <v>0.32739212010000002</v>
      </c>
      <c r="Z137" s="8">
        <v>0.44136960600000003</v>
      </c>
      <c r="AA137" s="8">
        <v>0.13508442779999999</v>
      </c>
      <c r="AB137" s="8">
        <v>0.72537543311428498</v>
      </c>
      <c r="AC137" s="8">
        <v>0.1110512129</v>
      </c>
      <c r="AD137" s="8">
        <v>0.2862533693</v>
      </c>
      <c r="AE137" s="8">
        <v>0.36603773579999999</v>
      </c>
      <c r="AF137" s="8">
        <v>0.2366576819</v>
      </c>
      <c r="AG137" s="4">
        <v>0.60983682258571403</v>
      </c>
      <c r="AH137" s="4">
        <v>0.171875</v>
      </c>
      <c r="AI137" s="4">
        <v>0.38200431029999998</v>
      </c>
      <c r="AJ137" s="4">
        <v>0.30387931029999998</v>
      </c>
      <c r="AK137" s="4">
        <v>0.1422413793</v>
      </c>
      <c r="AL137" s="4">
        <v>0.87282518639999995</v>
      </c>
      <c r="AM137" s="4">
        <v>0.89167712249999997</v>
      </c>
      <c r="AN137" s="4">
        <v>0.86966713549999997</v>
      </c>
      <c r="AO137" s="4">
        <v>0.87013595870000005</v>
      </c>
      <c r="AP137" s="4" t="s">
        <v>467</v>
      </c>
      <c r="AQ137" s="4" t="s">
        <v>468</v>
      </c>
      <c r="AR137" s="4" t="s">
        <v>469</v>
      </c>
      <c r="AS137" s="4" t="s">
        <v>470</v>
      </c>
      <c r="AT137" s="4">
        <v>1</v>
      </c>
      <c r="AU137" s="4" t="s">
        <v>471</v>
      </c>
      <c r="AV137" s="4" t="s">
        <v>472</v>
      </c>
      <c r="AW137" s="4" t="s">
        <v>473</v>
      </c>
      <c r="AX137" s="4" t="s">
        <v>474</v>
      </c>
      <c r="AY137" s="11">
        <f>VLOOKUP(B137,[1]Página1!$A:$E,4,0)</f>
        <v>6300007.9299999997</v>
      </c>
    </row>
    <row r="138" spans="1:51" ht="15.75" customHeight="1" x14ac:dyDescent="0.3">
      <c r="A138" s="4">
        <v>3204351</v>
      </c>
      <c r="B138" s="4" t="s">
        <v>111</v>
      </c>
      <c r="C138" s="7">
        <v>2023</v>
      </c>
      <c r="D138" s="4">
        <v>0.50453478989183853</v>
      </c>
      <c r="E138" s="4">
        <v>0.50254856843878692</v>
      </c>
      <c r="F138" s="4">
        <v>0.96099999999999997</v>
      </c>
      <c r="G138" s="4">
        <v>5.7338613231251612E-2</v>
      </c>
      <c r="H138" s="8">
        <v>0.50722027716714602</v>
      </c>
      <c r="I138" s="4">
        <v>0.49554100534624701</v>
      </c>
      <c r="J138" s="4">
        <v>0.70827196688799299</v>
      </c>
      <c r="K138" s="4">
        <v>0.64558243229815104</v>
      </c>
      <c r="L138" s="4">
        <v>0.30616858744629999</v>
      </c>
      <c r="M138" s="4">
        <v>0.34549957839434198</v>
      </c>
      <c r="N138" s="4">
        <v>0.57576666907701801</v>
      </c>
      <c r="O138" s="4">
        <v>0.52653015143872395</v>
      </c>
      <c r="P138" s="4">
        <v>0.52881325673379298</v>
      </c>
      <c r="Q138" s="4">
        <v>0.51245986092309803</v>
      </c>
      <c r="R138" s="4">
        <v>0.83432539688571405</v>
      </c>
      <c r="S138" s="8">
        <v>0.10416666669999999</v>
      </c>
      <c r="T138" s="8">
        <v>0.10763888889999999</v>
      </c>
      <c r="U138" s="8">
        <v>0.35416666669999902</v>
      </c>
      <c r="V138" s="8">
        <v>0.43402777780000001</v>
      </c>
      <c r="W138" s="8">
        <v>0.77380952384285695</v>
      </c>
      <c r="X138" s="8">
        <v>8.3333333300000006E-2</v>
      </c>
      <c r="Y138" s="8">
        <v>0.25</v>
      </c>
      <c r="Z138" s="8">
        <v>0.43402777780000001</v>
      </c>
      <c r="AA138" s="8">
        <v>0.23263888890000001</v>
      </c>
      <c r="AB138" s="8">
        <v>0.71736896192857103</v>
      </c>
      <c r="AC138" s="8">
        <v>0.1079136691</v>
      </c>
      <c r="AD138" s="8">
        <v>0.30575539569999999</v>
      </c>
      <c r="AE138" s="8">
        <v>0.36330935250000002</v>
      </c>
      <c r="AF138" s="8">
        <v>0.2230215827</v>
      </c>
      <c r="AG138" s="4">
        <v>0.58838643374285704</v>
      </c>
      <c r="AH138" s="4">
        <v>0.19784172659999999</v>
      </c>
      <c r="AI138" s="4">
        <v>0.3741007194</v>
      </c>
      <c r="AJ138" s="4">
        <v>0.30215827340000001</v>
      </c>
      <c r="AK138" s="4">
        <v>0.1258992806</v>
      </c>
      <c r="AL138" s="4">
        <v>0.90851735020000002</v>
      </c>
      <c r="AM138" s="4">
        <v>0.91428571430000005</v>
      </c>
      <c r="AN138" s="4">
        <v>0.88817891370000002</v>
      </c>
      <c r="AO138" s="4">
        <v>0.88817891370000002</v>
      </c>
      <c r="AP138" s="4" t="s">
        <v>475</v>
      </c>
      <c r="AQ138" s="4" t="s">
        <v>476</v>
      </c>
      <c r="AR138" s="4">
        <v>0</v>
      </c>
      <c r="AS138" s="4" t="s">
        <v>477</v>
      </c>
      <c r="AT138" s="4">
        <v>0</v>
      </c>
      <c r="AU138" s="4" t="s">
        <v>478</v>
      </c>
      <c r="AV138" s="4" t="s">
        <v>479</v>
      </c>
      <c r="AW138" s="4" t="s">
        <v>480</v>
      </c>
      <c r="AX138" s="4" t="s">
        <v>481</v>
      </c>
      <c r="AY138" s="11">
        <f>VLOOKUP(B138,[1]Página1!$A:$E,4,0)</f>
        <v>5431522.5700000003</v>
      </c>
    </row>
    <row r="139" spans="1:51" ht="15.75" customHeight="1" x14ac:dyDescent="0.3">
      <c r="A139" s="4">
        <v>3205010</v>
      </c>
      <c r="B139" s="4" t="s">
        <v>112</v>
      </c>
      <c r="C139" s="7">
        <v>2023</v>
      </c>
      <c r="D139" s="4">
        <v>0.61669993012096247</v>
      </c>
      <c r="E139" s="4">
        <v>0.58964350671133636</v>
      </c>
      <c r="F139" s="4">
        <v>0.995</v>
      </c>
      <c r="G139" s="4">
        <v>0.36466316948684735</v>
      </c>
      <c r="H139" s="8">
        <v>0.61796029534906904</v>
      </c>
      <c r="I139" s="4">
        <v>0.54716832375473601</v>
      </c>
      <c r="J139" s="4">
        <v>0.69772636572057101</v>
      </c>
      <c r="K139" s="4">
        <v>0.62048448633423903</v>
      </c>
      <c r="L139" s="4">
        <v>0.53819422497756697</v>
      </c>
      <c r="M139" s="4">
        <v>0.47385216117523299</v>
      </c>
      <c r="N139" s="4">
        <v>0.56632509590602997</v>
      </c>
      <c r="O139" s="4">
        <v>0.50354323781881205</v>
      </c>
      <c r="P139" s="4">
        <v>0.509612990043946</v>
      </c>
      <c r="Q139" s="4">
        <v>0.47408630971443899</v>
      </c>
      <c r="R139" s="4">
        <v>0.80153180151428505</v>
      </c>
      <c r="S139" s="8">
        <v>0.102564102599999</v>
      </c>
      <c r="T139" s="8">
        <v>0.16783216779999999</v>
      </c>
      <c r="U139" s="8">
        <v>0.29603729600000001</v>
      </c>
      <c r="V139" s="8">
        <v>0.43356643360000002</v>
      </c>
      <c r="W139" s="8">
        <v>0.77555856462857098</v>
      </c>
      <c r="X139" s="8">
        <v>6.8720379100000006E-2</v>
      </c>
      <c r="Y139" s="8">
        <v>0.27251184829999903</v>
      </c>
      <c r="Z139" s="8">
        <v>0.53080568719999999</v>
      </c>
      <c r="AA139" s="8">
        <v>0.1279620853</v>
      </c>
      <c r="AB139" s="8">
        <v>0.70103831008571404</v>
      </c>
      <c r="AC139" s="8">
        <v>0.13283208020000001</v>
      </c>
      <c r="AD139" s="8">
        <v>0.29072681700000003</v>
      </c>
      <c r="AE139" s="8">
        <v>0.38095238100000001</v>
      </c>
      <c r="AF139" s="8">
        <v>0.19548872179999999</v>
      </c>
      <c r="AG139" s="4">
        <v>0.51020408167142794</v>
      </c>
      <c r="AH139" s="4">
        <v>0.24060150380000001</v>
      </c>
      <c r="AI139" s="4">
        <v>0.43609022559999999</v>
      </c>
      <c r="AJ139" s="4">
        <v>0.24310776940000001</v>
      </c>
      <c r="AK139" s="4">
        <v>8.0200501299999893E-2</v>
      </c>
      <c r="AL139" s="4">
        <v>0.91862955029999904</v>
      </c>
      <c r="AM139" s="4">
        <v>0.91540130149999999</v>
      </c>
      <c r="AN139" s="4">
        <v>0.89261744969999901</v>
      </c>
      <c r="AO139" s="4">
        <v>0.89261744969999901</v>
      </c>
      <c r="AP139" s="4" t="s">
        <v>482</v>
      </c>
      <c r="AQ139" s="4" t="s">
        <v>483</v>
      </c>
      <c r="AR139" s="4">
        <v>0</v>
      </c>
      <c r="AS139" s="4" t="s">
        <v>484</v>
      </c>
      <c r="AT139" s="4">
        <v>1</v>
      </c>
      <c r="AU139" s="4" t="s">
        <v>485</v>
      </c>
      <c r="AV139" s="4" t="s">
        <v>486</v>
      </c>
      <c r="AW139" s="4" t="s">
        <v>487</v>
      </c>
      <c r="AX139" s="4" t="s">
        <v>488</v>
      </c>
      <c r="AY139" s="11">
        <f>VLOOKUP(B139,[1]Página1!$A:$E,4,0)</f>
        <v>6639026</v>
      </c>
    </row>
    <row r="140" spans="1:51" ht="15.75" customHeight="1" x14ac:dyDescent="0.3">
      <c r="A140" s="4">
        <v>3201001</v>
      </c>
      <c r="B140" s="4" t="s">
        <v>113</v>
      </c>
      <c r="C140" s="7">
        <v>2023</v>
      </c>
      <c r="D140" s="4">
        <v>0.71473136134662307</v>
      </c>
      <c r="E140" s="4">
        <v>0.74923424351252821</v>
      </c>
      <c r="F140" s="4">
        <v>0.98599999999999999</v>
      </c>
      <c r="G140" s="4">
        <v>0.28244927258568864</v>
      </c>
      <c r="H140" s="8">
        <v>0.76922230395208802</v>
      </c>
      <c r="I140" s="4">
        <v>0.719252152853188</v>
      </c>
      <c r="J140" s="4">
        <v>0.76412380437321104</v>
      </c>
      <c r="K140" s="4">
        <v>0.682544592385672</v>
      </c>
      <c r="L140" s="4">
        <v>0.774320803530964</v>
      </c>
      <c r="M140" s="4">
        <v>0.755959713320704</v>
      </c>
      <c r="N140" s="4">
        <v>0.60732868837083498</v>
      </c>
      <c r="O140" s="4">
        <v>0.60971377697408902</v>
      </c>
      <c r="P140" s="4">
        <v>0.56187053921519003</v>
      </c>
      <c r="Q140" s="4">
        <v>0.54183285485607102</v>
      </c>
      <c r="R140" s="4">
        <v>0.85925404645714198</v>
      </c>
      <c r="S140" s="8">
        <v>7.8817734E-2</v>
      </c>
      <c r="T140" s="8">
        <v>0.10837438419999899</v>
      </c>
      <c r="U140" s="8">
        <v>0.31034482759999998</v>
      </c>
      <c r="V140" s="8">
        <v>0.50246305420000004</v>
      </c>
      <c r="W140" s="8">
        <v>0.92246949028571401</v>
      </c>
      <c r="X140" s="8">
        <v>0</v>
      </c>
      <c r="Y140" s="8">
        <v>0.13567839200000001</v>
      </c>
      <c r="Z140" s="8">
        <v>0.46733668340000001</v>
      </c>
      <c r="AA140" s="8">
        <v>0.39698492459999901</v>
      </c>
      <c r="AB140" s="8">
        <v>0.76348155157142805</v>
      </c>
      <c r="AC140" s="8">
        <v>9.2715231800000006E-2</v>
      </c>
      <c r="AD140" s="8">
        <v>0.2516556291</v>
      </c>
      <c r="AE140" s="8">
        <v>0.37086092720000002</v>
      </c>
      <c r="AF140" s="8">
        <v>0.28476821190000001</v>
      </c>
      <c r="AG140" s="4">
        <v>0.63670766317142802</v>
      </c>
      <c r="AH140" s="4">
        <v>0.15894039739999999</v>
      </c>
      <c r="AI140" s="4">
        <v>0.35761589399999999</v>
      </c>
      <c r="AJ140" s="4">
        <v>0.29139072849999997</v>
      </c>
      <c r="AK140" s="4">
        <v>0.19205298009999999</v>
      </c>
      <c r="AL140" s="4">
        <v>0.95754716979999999</v>
      </c>
      <c r="AM140" s="4">
        <v>0.95215311000000002</v>
      </c>
      <c r="AN140" s="4">
        <v>0.92638036810000002</v>
      </c>
      <c r="AO140" s="4">
        <v>0.92638036810000002</v>
      </c>
      <c r="AP140" s="4" t="s">
        <v>489</v>
      </c>
      <c r="AQ140" s="4" t="s">
        <v>490</v>
      </c>
      <c r="AR140" s="4">
        <v>0</v>
      </c>
      <c r="AS140" s="4" t="s">
        <v>491</v>
      </c>
      <c r="AT140" s="4">
        <v>1</v>
      </c>
      <c r="AU140" s="4" t="s">
        <v>492</v>
      </c>
      <c r="AV140" s="4" t="s">
        <v>493</v>
      </c>
      <c r="AW140" s="4" t="s">
        <v>494</v>
      </c>
      <c r="AX140" s="4">
        <v>0</v>
      </c>
      <c r="AY140" s="11">
        <f>VLOOKUP(B140,[1]Página1!$A:$E,4,0)</f>
        <v>7694374.2999999998</v>
      </c>
    </row>
    <row r="141" spans="1:51" ht="15.75" customHeight="1" x14ac:dyDescent="0.3">
      <c r="A141" s="4">
        <v>3203502</v>
      </c>
      <c r="B141" s="4" t="s">
        <v>114</v>
      </c>
      <c r="C141" s="7">
        <v>2023</v>
      </c>
      <c r="D141" s="4">
        <v>0.58757708435873746</v>
      </c>
      <c r="E141" s="4">
        <v>0.50471091814718749</v>
      </c>
      <c r="F141" s="4">
        <v>0.96</v>
      </c>
      <c r="G141" s="4">
        <v>0.60186294437137511</v>
      </c>
      <c r="H141" s="8">
        <v>0.51065754913944394</v>
      </c>
      <c r="I141" s="4">
        <v>0.49579097165880198</v>
      </c>
      <c r="J141" s="4">
        <v>0.66143030613768306</v>
      </c>
      <c r="K141" s="4">
        <v>0.63931780283208495</v>
      </c>
      <c r="L141" s="4">
        <v>0.359884792141206</v>
      </c>
      <c r="M141" s="4">
        <v>0.35226414048551802</v>
      </c>
      <c r="N141" s="4">
        <v>0.53770868299795405</v>
      </c>
      <c r="O141" s="4">
        <v>0.51260012679862599</v>
      </c>
      <c r="P141" s="4">
        <v>0.51033613762183005</v>
      </c>
      <c r="Q141" s="4">
        <v>0.49999497390651099</v>
      </c>
      <c r="R141" s="4">
        <v>0.77734877735714203</v>
      </c>
      <c r="S141" s="8">
        <v>0.1171171171</v>
      </c>
      <c r="T141" s="8">
        <v>0.18468468469999999</v>
      </c>
      <c r="U141" s="8">
        <v>0.40090090089999902</v>
      </c>
      <c r="V141" s="8">
        <v>0.29729729729999999</v>
      </c>
      <c r="W141" s="8">
        <v>0.80051480050000001</v>
      </c>
      <c r="X141" s="8">
        <v>6.3063063099999997E-2</v>
      </c>
      <c r="Y141" s="8">
        <v>0.23873873870000001</v>
      </c>
      <c r="Z141" s="8">
        <v>0.55855855860000003</v>
      </c>
      <c r="AA141" s="8">
        <v>0.1396396396</v>
      </c>
      <c r="AB141" s="8">
        <v>0.66999376165714197</v>
      </c>
      <c r="AC141" s="8">
        <v>0.15283842789999999</v>
      </c>
      <c r="AD141" s="8">
        <v>0.3100436681</v>
      </c>
      <c r="AE141" s="8">
        <v>0.34497816589999902</v>
      </c>
      <c r="AF141" s="8">
        <v>0.192139738</v>
      </c>
      <c r="AG141" s="4">
        <v>0.58452900814285702</v>
      </c>
      <c r="AH141" s="4">
        <v>0.16593886460000001</v>
      </c>
      <c r="AI141" s="4">
        <v>0.43668122269999998</v>
      </c>
      <c r="AJ141" s="4">
        <v>0.3231441048</v>
      </c>
      <c r="AK141" s="4">
        <v>7.4235807900000006E-2</v>
      </c>
      <c r="AL141" s="4">
        <v>0.80144404329999996</v>
      </c>
      <c r="AM141" s="4">
        <v>0.80727272729999999</v>
      </c>
      <c r="AN141" s="4">
        <v>0.91967871489999997</v>
      </c>
      <c r="AO141" s="4">
        <v>0.91967871489999997</v>
      </c>
      <c r="AP141" s="4" t="s">
        <v>495</v>
      </c>
      <c r="AQ141" s="4" t="s">
        <v>496</v>
      </c>
      <c r="AR141" s="4">
        <v>1</v>
      </c>
      <c r="AS141" s="4" t="s">
        <v>497</v>
      </c>
      <c r="AT141" s="4">
        <v>1</v>
      </c>
      <c r="AU141" s="4" t="s">
        <v>498</v>
      </c>
      <c r="AV141" s="4" t="s">
        <v>499</v>
      </c>
      <c r="AW141" s="4" t="s">
        <v>500</v>
      </c>
      <c r="AX141" s="4" t="s">
        <v>501</v>
      </c>
      <c r="AY141" s="11">
        <f>VLOOKUP(B141,[1]Página1!$A:$E,4,0)</f>
        <v>6325506.7000000002</v>
      </c>
    </row>
    <row r="142" spans="1:51" ht="15.75" customHeight="1" x14ac:dyDescent="0.3">
      <c r="A142" s="4">
        <v>3203601</v>
      </c>
      <c r="B142" s="4" t="s">
        <v>115</v>
      </c>
      <c r="C142" s="7">
        <v>2023</v>
      </c>
      <c r="D142" s="4">
        <v>0.61195610969493242</v>
      </c>
      <c r="E142" s="4">
        <v>0.67708015670704635</v>
      </c>
      <c r="F142" s="4">
        <v>0.92</v>
      </c>
      <c r="G142" s="4">
        <v>0</v>
      </c>
      <c r="H142" s="8">
        <v>0.76146105041338996</v>
      </c>
      <c r="I142" s="4">
        <v>0.55050881614753</v>
      </c>
      <c r="J142" s="4">
        <v>0.74315741641056299</v>
      </c>
      <c r="K142" s="4">
        <v>0.68291291991664504</v>
      </c>
      <c r="L142" s="4">
        <v>0.77976468441621705</v>
      </c>
      <c r="M142" s="4">
        <v>0.41810471237841401</v>
      </c>
      <c r="N142" s="4">
        <v>0.61951138572332998</v>
      </c>
      <c r="O142" s="4">
        <v>0.55571510878925101</v>
      </c>
      <c r="P142" s="4">
        <v>0.54805338057985997</v>
      </c>
      <c r="Q142" s="4">
        <v>0.54374353015815002</v>
      </c>
      <c r="R142" s="4">
        <v>0.87731092434285696</v>
      </c>
      <c r="S142" s="8">
        <v>8.2352941200000002E-2</v>
      </c>
      <c r="T142" s="8">
        <v>7.0588235299999996E-2</v>
      </c>
      <c r="U142" s="8">
        <v>0.27058823529999998</v>
      </c>
      <c r="V142" s="8">
        <v>0.57647058819999997</v>
      </c>
      <c r="W142" s="8">
        <v>0.75903614464285696</v>
      </c>
      <c r="X142" s="8">
        <v>9.6385542199999993E-2</v>
      </c>
      <c r="Y142" s="8">
        <v>0.25301204820000001</v>
      </c>
      <c r="Z142" s="8">
        <v>0.30120481929999998</v>
      </c>
      <c r="AA142" s="8">
        <v>0.34939759039999901</v>
      </c>
      <c r="AB142" s="8">
        <v>0.74884792625714203</v>
      </c>
      <c r="AC142" s="8">
        <v>0.11290322579999899</v>
      </c>
      <c r="AD142" s="8">
        <v>0.2419354839</v>
      </c>
      <c r="AE142" s="8">
        <v>0.33870967739999902</v>
      </c>
      <c r="AF142" s="8">
        <v>0.3064516129</v>
      </c>
      <c r="AG142" s="4">
        <v>0.65207373279999903</v>
      </c>
      <c r="AH142" s="4">
        <v>8.0645161299999907E-2</v>
      </c>
      <c r="AI142" s="4">
        <v>0.46774193549999998</v>
      </c>
      <c r="AJ142" s="4">
        <v>0.32258064519999902</v>
      </c>
      <c r="AK142" s="4">
        <v>0.12903225809999999</v>
      </c>
      <c r="AL142" s="4">
        <v>0.95505617980000002</v>
      </c>
      <c r="AM142" s="4">
        <v>0.954022988499999</v>
      </c>
      <c r="AN142" s="4">
        <v>0.93939393940000004</v>
      </c>
      <c r="AO142" s="4">
        <v>0.93939393940000004</v>
      </c>
      <c r="AP142" s="4">
        <v>0</v>
      </c>
      <c r="AQ142" s="4" t="s">
        <v>502</v>
      </c>
      <c r="AR142" s="4">
        <v>0</v>
      </c>
      <c r="AS142" s="4" t="s">
        <v>503</v>
      </c>
      <c r="AT142" s="4">
        <v>0</v>
      </c>
      <c r="AU142" s="4" t="s">
        <v>504</v>
      </c>
      <c r="AV142" s="4">
        <v>0</v>
      </c>
      <c r="AW142" s="4" t="s">
        <v>505</v>
      </c>
      <c r="AX142" s="4">
        <v>0</v>
      </c>
      <c r="AY142" s="11">
        <f>VLOOKUP(B142,[1]Página1!$A:$E,4,0)</f>
        <v>6587956.8399999999</v>
      </c>
    </row>
    <row r="143" spans="1:51" ht="15.75" customHeight="1" x14ac:dyDescent="0.3">
      <c r="A143" s="4">
        <v>3203908</v>
      </c>
      <c r="B143" s="4" t="s">
        <v>116</v>
      </c>
      <c r="C143" s="7">
        <v>2023</v>
      </c>
      <c r="D143" s="4">
        <v>0.7053808838447968</v>
      </c>
      <c r="E143" s="4">
        <v>0.6564926144018266</v>
      </c>
      <c r="F143" s="4">
        <v>0.99</v>
      </c>
      <c r="G143" s="4">
        <v>0.64890702509012133</v>
      </c>
      <c r="H143" s="8">
        <v>0.67786715838701594</v>
      </c>
      <c r="I143" s="4">
        <v>0.62443079842404203</v>
      </c>
      <c r="J143" s="4">
        <v>0.75420455204788905</v>
      </c>
      <c r="K143" s="4">
        <v>0.73354346441450202</v>
      </c>
      <c r="L143" s="4">
        <v>0.60152976472614195</v>
      </c>
      <c r="M143" s="4">
        <v>0.51531813243358304</v>
      </c>
      <c r="N143" s="4">
        <v>0.61773295227748903</v>
      </c>
      <c r="O143" s="4">
        <v>0.58742712119106899</v>
      </c>
      <c r="P143" s="4">
        <v>0.59808854597140904</v>
      </c>
      <c r="Q143" s="4">
        <v>0.60820979560802702</v>
      </c>
      <c r="R143" s="4">
        <v>0.907062341885714</v>
      </c>
      <c r="S143" s="8">
        <v>4.3478260899999899E-2</v>
      </c>
      <c r="T143" s="8">
        <v>8.3735909799999994E-2</v>
      </c>
      <c r="U143" s="8">
        <v>0.36553945249999997</v>
      </c>
      <c r="V143" s="8">
        <v>0.50563607089999996</v>
      </c>
      <c r="W143" s="8">
        <v>0.89141004858571404</v>
      </c>
      <c r="X143" s="8">
        <v>4.2139384099999899E-2</v>
      </c>
      <c r="Y143" s="8">
        <v>0.113452188</v>
      </c>
      <c r="Z143" s="8">
        <v>0.52512155589999998</v>
      </c>
      <c r="AA143" s="8">
        <v>0.31766612640000003</v>
      </c>
      <c r="AB143" s="8">
        <v>0.82609839514285699</v>
      </c>
      <c r="AC143" s="8">
        <v>4.2357274399999999E-2</v>
      </c>
      <c r="AD143" s="8">
        <v>0.23020257829999999</v>
      </c>
      <c r="AE143" s="8">
        <v>0.34806629829999902</v>
      </c>
      <c r="AF143" s="8">
        <v>0.37937384899999999</v>
      </c>
      <c r="AG143" s="4">
        <v>0.75551470591428505</v>
      </c>
      <c r="AH143" s="4">
        <v>9.0073529400000005E-2</v>
      </c>
      <c r="AI143" s="4">
        <v>0.2702205882</v>
      </c>
      <c r="AJ143" s="4">
        <v>0.34375</v>
      </c>
      <c r="AK143" s="4">
        <v>0.29595588239999998</v>
      </c>
      <c r="AL143" s="4">
        <v>0.9013062409</v>
      </c>
      <c r="AM143" s="4">
        <v>0.91002949849999903</v>
      </c>
      <c r="AN143" s="4">
        <v>0.9362068966</v>
      </c>
      <c r="AO143" s="4">
        <v>0.93793103450000004</v>
      </c>
      <c r="AP143" s="4" t="s">
        <v>506</v>
      </c>
      <c r="AQ143" s="4" t="s">
        <v>507</v>
      </c>
      <c r="AR143" s="4">
        <v>1</v>
      </c>
      <c r="AS143" s="4" t="s">
        <v>508</v>
      </c>
      <c r="AT143" s="4">
        <v>1</v>
      </c>
      <c r="AU143" s="4" t="s">
        <v>509</v>
      </c>
      <c r="AV143" s="4" t="s">
        <v>510</v>
      </c>
      <c r="AW143" s="4" t="s">
        <v>511</v>
      </c>
      <c r="AX143" s="4" t="s">
        <v>512</v>
      </c>
      <c r="AY143" s="11">
        <f>VLOOKUP(B143,[1]Página1!$A:$E,4,0)</f>
        <v>7593712.5999999996</v>
      </c>
    </row>
    <row r="144" spans="1:51" ht="15.75" customHeight="1" x14ac:dyDescent="0.3">
      <c r="A144" s="4">
        <v>3204104</v>
      </c>
      <c r="B144" s="4" t="s">
        <v>117</v>
      </c>
      <c r="C144" s="7">
        <v>2023</v>
      </c>
      <c r="D144" s="4">
        <v>0.69884952726826755</v>
      </c>
      <c r="E144" s="4">
        <v>0.66205172491077424</v>
      </c>
      <c r="F144" s="4">
        <v>0.98299999999999998</v>
      </c>
      <c r="G144" s="4">
        <v>0.58642213220483752</v>
      </c>
      <c r="H144" s="8">
        <v>0.64293529013004702</v>
      </c>
      <c r="I144" s="4">
        <v>0.69072637708186502</v>
      </c>
      <c r="J144" s="4">
        <v>0.726566411583487</v>
      </c>
      <c r="K144" s="4">
        <v>0.66528527022270101</v>
      </c>
      <c r="L144" s="4">
        <v>0.55930416867660604</v>
      </c>
      <c r="M144" s="4">
        <v>0.71616748394102803</v>
      </c>
      <c r="N144" s="4">
        <v>0.60318051388180705</v>
      </c>
      <c r="O144" s="4">
        <v>0.535923281134012</v>
      </c>
      <c r="P144" s="4">
        <v>0.53154596581580205</v>
      </c>
      <c r="Q144" s="4">
        <v>0.52882098559643098</v>
      </c>
      <c r="R144" s="4">
        <v>0.86917293224285697</v>
      </c>
      <c r="S144" s="8">
        <v>8.0701754399999895E-2</v>
      </c>
      <c r="T144" s="8">
        <v>8.7719298200000004E-2</v>
      </c>
      <c r="U144" s="8">
        <v>0.32280701749999902</v>
      </c>
      <c r="V144" s="8">
        <v>0.50877192979999997</v>
      </c>
      <c r="W144" s="8">
        <v>0.84438775515714204</v>
      </c>
      <c r="X144" s="8">
        <v>5.3571428599999998E-2</v>
      </c>
      <c r="Y144" s="8">
        <v>0.1785714286</v>
      </c>
      <c r="Z144" s="8">
        <v>0.6</v>
      </c>
      <c r="AA144" s="8">
        <v>0.16785714290000001</v>
      </c>
      <c r="AB144" s="8">
        <v>0.72084805657142803</v>
      </c>
      <c r="AC144" s="8">
        <v>0.109540636</v>
      </c>
      <c r="AD144" s="8">
        <v>0.29681978799999997</v>
      </c>
      <c r="AE144" s="8">
        <v>0.35335689049999902</v>
      </c>
      <c r="AF144" s="8">
        <v>0.24028268550000001</v>
      </c>
      <c r="AG144" s="4">
        <v>0.63705199398571399</v>
      </c>
      <c r="AH144" s="4">
        <v>0.173144876299999</v>
      </c>
      <c r="AI144" s="4">
        <v>0.33215547699999998</v>
      </c>
      <c r="AJ144" s="4">
        <v>0.37809187280000001</v>
      </c>
      <c r="AK144" s="4">
        <v>0.1166077739</v>
      </c>
      <c r="AL144" s="4">
        <v>0.9018987342</v>
      </c>
      <c r="AM144" s="4">
        <v>0.88328075709999998</v>
      </c>
      <c r="AN144" s="4">
        <v>0.92182410419999905</v>
      </c>
      <c r="AO144" s="4">
        <v>0.92182410419999905</v>
      </c>
      <c r="AP144" s="4" t="s">
        <v>513</v>
      </c>
      <c r="AQ144" s="4" t="s">
        <v>514</v>
      </c>
      <c r="AR144" s="4">
        <v>1</v>
      </c>
      <c r="AS144" s="4" t="s">
        <v>515</v>
      </c>
      <c r="AT144" s="4">
        <v>1</v>
      </c>
      <c r="AU144" s="4" t="s">
        <v>516</v>
      </c>
      <c r="AV144" s="4" t="s">
        <v>517</v>
      </c>
      <c r="AW144" s="4" t="s">
        <v>518</v>
      </c>
      <c r="AX144" s="4" t="s">
        <v>519</v>
      </c>
      <c r="AY144" s="11">
        <f>VLOOKUP(B144,[1]Página1!$A:$E,4,0)</f>
        <v>7523399.8799999999</v>
      </c>
    </row>
    <row r="145" spans="1:51" ht="15.75" customHeight="1" x14ac:dyDescent="0.3">
      <c r="A145" s="4">
        <v>3204252</v>
      </c>
      <c r="B145" s="4" t="s">
        <v>118</v>
      </c>
      <c r="C145" s="7">
        <v>2023</v>
      </c>
      <c r="D145" s="4">
        <v>0.72376975544384647</v>
      </c>
      <c r="E145" s="4">
        <v>0.70652363595577405</v>
      </c>
      <c r="F145" s="4">
        <v>0.99099999999999999</v>
      </c>
      <c r="G145" s="4">
        <v>0.5370214018320314</v>
      </c>
      <c r="H145" s="8">
        <v>0.81745598494345095</v>
      </c>
      <c r="I145" s="4">
        <v>0.54012511247425699</v>
      </c>
      <c r="J145" s="4">
        <v>0.80400898725037295</v>
      </c>
      <c r="K145" s="4">
        <v>0.67732820313212305</v>
      </c>
      <c r="L145" s="4">
        <v>0.83090298263652895</v>
      </c>
      <c r="M145" s="4">
        <v>0.40292202181639097</v>
      </c>
      <c r="N145" s="4">
        <v>0.65758450115523803</v>
      </c>
      <c r="O145" s="4">
        <v>0.69808060284044005</v>
      </c>
      <c r="P145" s="4">
        <v>0.52250640277003002</v>
      </c>
      <c r="Q145" s="4">
        <v>0.532842824287034</v>
      </c>
      <c r="R145" s="4">
        <v>0.95918367338571398</v>
      </c>
      <c r="S145" s="8">
        <v>0</v>
      </c>
      <c r="T145" s="8">
        <v>7.1428571400000002E-2</v>
      </c>
      <c r="U145" s="8">
        <v>0.32142857139999997</v>
      </c>
      <c r="V145" s="8">
        <v>0.60714285709999904</v>
      </c>
      <c r="W145" s="8">
        <v>0.98671096342857101</v>
      </c>
      <c r="X145" s="8">
        <v>0</v>
      </c>
      <c r="Y145" s="8">
        <v>2.3255814E-2</v>
      </c>
      <c r="Z145" s="8">
        <v>0.244186046499999</v>
      </c>
      <c r="AA145" s="8">
        <v>0.73255813950000004</v>
      </c>
      <c r="AB145" s="8">
        <v>0.71571428571428497</v>
      </c>
      <c r="AC145" s="8">
        <v>0.09</v>
      </c>
      <c r="AD145" s="8">
        <v>0.34</v>
      </c>
      <c r="AE145" s="8">
        <v>0.35</v>
      </c>
      <c r="AF145" s="8">
        <v>0.22</v>
      </c>
      <c r="AG145" s="4">
        <v>0.63142857142857101</v>
      </c>
      <c r="AH145" s="4">
        <v>0.22</v>
      </c>
      <c r="AI145" s="4">
        <v>0.26</v>
      </c>
      <c r="AJ145" s="4">
        <v>0.34</v>
      </c>
      <c r="AK145" s="4">
        <v>0.18</v>
      </c>
      <c r="AL145" s="4">
        <v>0.89361702129999998</v>
      </c>
      <c r="AM145" s="4">
        <v>0.9052631579</v>
      </c>
      <c r="AN145" s="4">
        <v>0.98039215690000003</v>
      </c>
      <c r="AO145" s="4">
        <v>0.98039215690000003</v>
      </c>
      <c r="AP145" s="4" t="s">
        <v>520</v>
      </c>
      <c r="AQ145" s="4" t="s">
        <v>521</v>
      </c>
      <c r="AR145" s="4">
        <v>1</v>
      </c>
      <c r="AS145" s="4" t="s">
        <v>522</v>
      </c>
      <c r="AT145" s="4">
        <v>1</v>
      </c>
      <c r="AU145" s="4" t="s">
        <v>523</v>
      </c>
      <c r="AV145" s="4">
        <v>0</v>
      </c>
      <c r="AW145" s="4" t="s">
        <v>524</v>
      </c>
      <c r="AX145" s="4" t="s">
        <v>525</v>
      </c>
      <c r="AY145" s="11">
        <f>VLOOKUP(B145,[1]Página1!$A:$E,4,0)</f>
        <v>7791676.29</v>
      </c>
    </row>
    <row r="146" spans="1:51" ht="15.75" customHeight="1" x14ac:dyDescent="0.3">
      <c r="A146" s="4">
        <v>3204708</v>
      </c>
      <c r="B146" s="4" t="s">
        <v>119</v>
      </c>
      <c r="C146" s="7">
        <v>2023</v>
      </c>
      <c r="D146" s="4">
        <v>0.45695522893705653</v>
      </c>
      <c r="E146" s="4">
        <v>0.44138819831726206</v>
      </c>
      <c r="F146" s="4">
        <v>0.98199999999999998</v>
      </c>
      <c r="G146" s="4">
        <v>4.5566007664876321E-3</v>
      </c>
      <c r="H146" s="8">
        <v>0.41637223555128999</v>
      </c>
      <c r="I146" s="4">
        <v>0.47891214246621999</v>
      </c>
      <c r="J146" s="4">
        <v>0.71349186039745105</v>
      </c>
      <c r="K146" s="4">
        <v>0.70345672183256003</v>
      </c>
      <c r="L146" s="4">
        <v>0.11925261070512801</v>
      </c>
      <c r="M146" s="4">
        <v>0.25436756309987901</v>
      </c>
      <c r="N146" s="4">
        <v>0.58157793135624403</v>
      </c>
      <c r="O146" s="4">
        <v>0.526143938888604</v>
      </c>
      <c r="P146" s="4">
        <v>0.56967044033760506</v>
      </c>
      <c r="Q146" s="4">
        <v>0.562296752964066</v>
      </c>
      <c r="R146" s="4">
        <v>0.84254143647142798</v>
      </c>
      <c r="S146" s="8">
        <v>0.11325966849999999</v>
      </c>
      <c r="T146" s="8">
        <v>7.7348066299999907E-2</v>
      </c>
      <c r="U146" s="8">
        <v>0.37016574589999901</v>
      </c>
      <c r="V146" s="8">
        <v>0.43922651930000001</v>
      </c>
      <c r="W146" s="8">
        <v>0.77487961487142798</v>
      </c>
      <c r="X146" s="8">
        <v>7.5842696599999995E-2</v>
      </c>
      <c r="Y146" s="8">
        <v>0.26123595509999997</v>
      </c>
      <c r="Z146" s="8">
        <v>0.44101123599999997</v>
      </c>
      <c r="AA146" s="8">
        <v>0.2219101124</v>
      </c>
      <c r="AB146" s="8">
        <v>0.80008710798571403</v>
      </c>
      <c r="AC146" s="8">
        <v>6.4024390200000003E-2</v>
      </c>
      <c r="AD146" s="8">
        <v>0.237804878</v>
      </c>
      <c r="AE146" s="8">
        <v>0.39024390240000001</v>
      </c>
      <c r="AF146" s="8">
        <v>0.30792682929999998</v>
      </c>
      <c r="AG146" s="4">
        <v>0.69468641107142803</v>
      </c>
      <c r="AH146" s="4">
        <v>0.118902439</v>
      </c>
      <c r="AI146" s="4">
        <v>0.32621951220000001</v>
      </c>
      <c r="AJ146" s="4">
        <v>0.36585365850000001</v>
      </c>
      <c r="AK146" s="4">
        <v>0.1890243902</v>
      </c>
      <c r="AL146" s="4">
        <v>0.92111959290000001</v>
      </c>
      <c r="AM146" s="4">
        <v>0.91752577319999995</v>
      </c>
      <c r="AN146" s="4">
        <v>0.93447293450000002</v>
      </c>
      <c r="AO146" s="4">
        <v>0.93447293450000002</v>
      </c>
      <c r="AP146" s="4" t="s">
        <v>526</v>
      </c>
      <c r="AQ146" s="4" t="s">
        <v>527</v>
      </c>
      <c r="AR146" s="4">
        <v>0</v>
      </c>
      <c r="AS146" s="4" t="s">
        <v>528</v>
      </c>
      <c r="AT146" s="4">
        <v>0</v>
      </c>
      <c r="AU146" s="4" t="s">
        <v>529</v>
      </c>
      <c r="AV146" s="4" t="s">
        <v>530</v>
      </c>
      <c r="AW146" s="4" t="s">
        <v>531</v>
      </c>
      <c r="AX146" s="4">
        <v>0</v>
      </c>
      <c r="AY146" s="11">
        <f>VLOOKUP(B146,[1]Página1!$A:$E,4,0)</f>
        <v>4919309.21</v>
      </c>
    </row>
    <row r="147" spans="1:51" ht="15.75" customHeight="1" x14ac:dyDescent="0.3">
      <c r="A147" s="4">
        <v>3205150</v>
      </c>
      <c r="B147" s="4" t="s">
        <v>120</v>
      </c>
      <c r="C147" s="7">
        <v>2023</v>
      </c>
      <c r="D147" s="4">
        <v>0.69284991465743062</v>
      </c>
      <c r="E147" s="4">
        <v>0.70704891951809024</v>
      </c>
      <c r="F147" s="4">
        <v>0.995</v>
      </c>
      <c r="G147" s="4">
        <v>0.3244378066317834</v>
      </c>
      <c r="H147" s="8">
        <v>0.66972192909821104</v>
      </c>
      <c r="I147" s="4">
        <v>0.76303940514790802</v>
      </c>
      <c r="J147" s="4">
        <v>0.728040287660082</v>
      </c>
      <c r="K147" s="4">
        <v>0.70851504314820501</v>
      </c>
      <c r="L147" s="4">
        <v>0.61140357053633998</v>
      </c>
      <c r="M147" s="4">
        <v>0.81756376714761103</v>
      </c>
      <c r="N147" s="4">
        <v>0.59005480177527703</v>
      </c>
      <c r="O147" s="4">
        <v>0.54416866611249504</v>
      </c>
      <c r="P147" s="4">
        <v>0.56939806625475398</v>
      </c>
      <c r="Q147" s="4">
        <v>0.55531365339520899</v>
      </c>
      <c r="R147" s="4">
        <v>0.85714285717142802</v>
      </c>
      <c r="S147" s="8">
        <v>8.7719298200000004E-2</v>
      </c>
      <c r="T147" s="8">
        <v>9.6491228099999896E-2</v>
      </c>
      <c r="U147" s="8">
        <v>0.41228070179999998</v>
      </c>
      <c r="V147" s="8">
        <v>0.40350877190000001</v>
      </c>
      <c r="W147" s="8">
        <v>0.85976408904285695</v>
      </c>
      <c r="X147" s="8">
        <v>4.5871559599999903E-2</v>
      </c>
      <c r="Y147" s="8">
        <v>0.16513761469999999</v>
      </c>
      <c r="Z147" s="8">
        <v>0.56880733939999994</v>
      </c>
      <c r="AA147" s="8">
        <v>0.2201834862</v>
      </c>
      <c r="AB147" s="8">
        <v>0.83516483511428496</v>
      </c>
      <c r="AC147" s="8">
        <v>4.6153846200000001E-2</v>
      </c>
      <c r="AD147" s="8">
        <v>0.2076923077</v>
      </c>
      <c r="AE147" s="8">
        <v>0.4615384615</v>
      </c>
      <c r="AF147" s="8">
        <v>0.28461538460000002</v>
      </c>
      <c r="AG147" s="4">
        <v>0.73956043957142803</v>
      </c>
      <c r="AH147" s="4">
        <v>0.1153846154</v>
      </c>
      <c r="AI147" s="4">
        <v>0.25384615379999997</v>
      </c>
      <c r="AJ147" s="4">
        <v>0.48461538459999998</v>
      </c>
      <c r="AK147" s="4">
        <v>0.14615384619999999</v>
      </c>
      <c r="AL147" s="4">
        <v>0.92682926830000001</v>
      </c>
      <c r="AM147" s="4">
        <v>0.88617886179999905</v>
      </c>
      <c r="AN147" s="4">
        <v>0.92198581559999904</v>
      </c>
      <c r="AO147" s="4">
        <v>0.92198581559999904</v>
      </c>
      <c r="AP147" s="4" t="s">
        <v>532</v>
      </c>
      <c r="AQ147" s="4" t="s">
        <v>533</v>
      </c>
      <c r="AR147" s="4">
        <v>0</v>
      </c>
      <c r="AS147" s="4" t="s">
        <v>534</v>
      </c>
      <c r="AT147" s="4">
        <v>1</v>
      </c>
      <c r="AU147" s="4" t="s">
        <v>535</v>
      </c>
      <c r="AV147" s="4" t="s">
        <v>536</v>
      </c>
      <c r="AW147" s="4" t="s">
        <v>537</v>
      </c>
      <c r="AX147" s="4">
        <v>0</v>
      </c>
      <c r="AY147" s="11">
        <f>VLOOKUP(B147,[1]Página1!$A:$E,4,0)</f>
        <v>7458811.6100000003</v>
      </c>
    </row>
    <row r="148" spans="1:51" ht="15.75" customHeight="1" x14ac:dyDescent="0.3">
      <c r="A148" s="4">
        <v>3205176</v>
      </c>
      <c r="B148" s="4" t="s">
        <v>121</v>
      </c>
      <c r="C148" s="7">
        <v>2023</v>
      </c>
      <c r="D148" s="4">
        <v>0.703134286203424</v>
      </c>
      <c r="E148" s="4">
        <v>0.68124993488758234</v>
      </c>
      <c r="F148" s="4">
        <v>0.97400000000000009</v>
      </c>
      <c r="G148" s="4">
        <v>0.53439554521410859</v>
      </c>
      <c r="H148" s="8">
        <v>0.71183982450271499</v>
      </c>
      <c r="I148" s="4">
        <v>0.63536510046488204</v>
      </c>
      <c r="J148" s="4">
        <v>0.77621596595531495</v>
      </c>
      <c r="K148" s="4">
        <v>0.71516957200317499</v>
      </c>
      <c r="L148" s="4">
        <v>0.64746368305011504</v>
      </c>
      <c r="M148" s="4">
        <v>0.55556062892658997</v>
      </c>
      <c r="N148" s="4">
        <v>0.64620971224063395</v>
      </c>
      <c r="O148" s="4">
        <v>0.64639172284776703</v>
      </c>
      <c r="P148" s="4">
        <v>0.56563777960716899</v>
      </c>
      <c r="Q148" s="4">
        <v>0.59391585005553205</v>
      </c>
      <c r="R148" s="4">
        <v>0.89999999998571401</v>
      </c>
      <c r="S148" s="8">
        <v>4.6666666699999998E-2</v>
      </c>
      <c r="T148" s="8">
        <v>9.3333333300000001E-2</v>
      </c>
      <c r="U148" s="8">
        <v>0.24666666670000001</v>
      </c>
      <c r="V148" s="8">
        <v>0.61333333329999995</v>
      </c>
      <c r="W148" s="8">
        <v>0.93523809515714296</v>
      </c>
      <c r="X148" s="8">
        <v>0</v>
      </c>
      <c r="Y148" s="8">
        <v>0.11333333330000001</v>
      </c>
      <c r="Z148" s="8">
        <v>0.3533333333</v>
      </c>
      <c r="AA148" s="8">
        <v>0.53333333329999999</v>
      </c>
      <c r="AB148" s="8">
        <v>0.76972281451428504</v>
      </c>
      <c r="AC148" s="8">
        <v>8.9552238800000003E-2</v>
      </c>
      <c r="AD148" s="8">
        <v>0.2462686567</v>
      </c>
      <c r="AE148" s="8">
        <v>0.29104477610000001</v>
      </c>
      <c r="AF148" s="8">
        <v>0.37313432839999999</v>
      </c>
      <c r="AG148" s="4">
        <v>0.74520255858571405</v>
      </c>
      <c r="AH148" s="4">
        <v>0.12686567159999901</v>
      </c>
      <c r="AI148" s="4">
        <v>0.22388059699999999</v>
      </c>
      <c r="AJ148" s="4">
        <v>0.38059701489999997</v>
      </c>
      <c r="AK148" s="4">
        <v>0.2686567164</v>
      </c>
      <c r="AL148" s="4">
        <v>0.89820359279999995</v>
      </c>
      <c r="AM148" s="4">
        <v>0.89820359279999995</v>
      </c>
      <c r="AN148" s="4">
        <v>0.9436619718</v>
      </c>
      <c r="AO148" s="4">
        <v>0.9436619718</v>
      </c>
      <c r="AP148" s="4" t="s">
        <v>538</v>
      </c>
      <c r="AQ148" s="4" t="s">
        <v>539</v>
      </c>
      <c r="AR148" s="4">
        <v>1</v>
      </c>
      <c r="AS148" s="4" t="s">
        <v>540</v>
      </c>
      <c r="AT148" s="4">
        <v>1</v>
      </c>
      <c r="AU148" s="4" t="s">
        <v>541</v>
      </c>
      <c r="AV148" s="4">
        <v>0</v>
      </c>
      <c r="AW148" s="4" t="s">
        <v>542</v>
      </c>
      <c r="AX148" s="4" t="s">
        <v>543</v>
      </c>
      <c r="AY148" s="11">
        <f>VLOOKUP(B148,[1]Página1!$A:$E,4,0)</f>
        <v>7569527.0599999996</v>
      </c>
    </row>
    <row r="149" spans="1:51" ht="15.75" customHeight="1" x14ac:dyDescent="0.3">
      <c r="A149" s="4">
        <v>3201605</v>
      </c>
      <c r="B149" s="4" t="s">
        <v>122</v>
      </c>
      <c r="C149" s="7">
        <v>2023</v>
      </c>
      <c r="D149" s="4">
        <v>0.6824335320531737</v>
      </c>
      <c r="E149" s="4">
        <v>0.65926218864739106</v>
      </c>
      <c r="F149" s="4">
        <v>0.97299999999999998</v>
      </c>
      <c r="G149" s="4">
        <v>0.5</v>
      </c>
      <c r="H149" s="8">
        <v>0.716898563557825</v>
      </c>
      <c r="I149" s="4">
        <v>0.57280762628173898</v>
      </c>
      <c r="J149" s="4">
        <v>0.71324304969012997</v>
      </c>
      <c r="K149" s="4">
        <v>0.65808738662541</v>
      </c>
      <c r="L149" s="4">
        <v>0.72055407742552102</v>
      </c>
      <c r="M149" s="4">
        <v>0.48752786593806702</v>
      </c>
      <c r="N149" s="4">
        <v>0.57738015108963103</v>
      </c>
      <c r="O149" s="4">
        <v>0.49534948306620502</v>
      </c>
      <c r="P149" s="4">
        <v>0.52638268324500204</v>
      </c>
      <c r="Q149" s="4">
        <v>0.50248532331378204</v>
      </c>
      <c r="R149" s="4">
        <v>0.85373247445714195</v>
      </c>
      <c r="S149" s="8">
        <v>7.9575596799999995E-2</v>
      </c>
      <c r="T149" s="8">
        <v>0.116710875299999</v>
      </c>
      <c r="U149" s="8">
        <v>0.40848806369999902</v>
      </c>
      <c r="V149" s="8">
        <v>0.39522546419999999</v>
      </c>
      <c r="W149" s="8">
        <v>0.75933769731428502</v>
      </c>
      <c r="X149" s="8">
        <v>6.1994609200000002E-2</v>
      </c>
      <c r="Y149" s="8">
        <v>0.3126684636</v>
      </c>
      <c r="Z149" s="8">
        <v>0.52021563339999999</v>
      </c>
      <c r="AA149" s="8">
        <v>0.105121293799999</v>
      </c>
      <c r="AB149" s="8">
        <v>0.72639933171428495</v>
      </c>
      <c r="AC149" s="8">
        <v>8.4795321600000001E-2</v>
      </c>
      <c r="AD149" s="8">
        <v>0.33040935669999999</v>
      </c>
      <c r="AE149" s="8">
        <v>0.35087719299999998</v>
      </c>
      <c r="AF149" s="8">
        <v>0.23391812869999901</v>
      </c>
      <c r="AG149" s="4">
        <v>0.59106098577142796</v>
      </c>
      <c r="AH149" s="4">
        <v>0.20175438600000001</v>
      </c>
      <c r="AI149" s="4">
        <v>0.36257309939999999</v>
      </c>
      <c r="AJ149" s="4">
        <v>0.35672514620000001</v>
      </c>
      <c r="AK149" s="4">
        <v>7.8947368399999995E-2</v>
      </c>
      <c r="AL149" s="4">
        <v>0.95202020200000004</v>
      </c>
      <c r="AM149" s="4">
        <v>0.94162436549999995</v>
      </c>
      <c r="AN149" s="4">
        <v>0.94475138120000002</v>
      </c>
      <c r="AO149" s="4">
        <v>0.94475138120000002</v>
      </c>
      <c r="AP149" s="4" t="s">
        <v>282</v>
      </c>
      <c r="AQ149" s="4" t="s">
        <v>544</v>
      </c>
      <c r="AR149" s="4">
        <v>1</v>
      </c>
      <c r="AS149" s="4" t="s">
        <v>545</v>
      </c>
      <c r="AT149" s="4">
        <v>1</v>
      </c>
      <c r="AU149" s="4" t="s">
        <v>546</v>
      </c>
      <c r="AV149" s="4">
        <v>0</v>
      </c>
      <c r="AW149" s="4" t="s">
        <v>547</v>
      </c>
      <c r="AX149" s="4">
        <v>0</v>
      </c>
      <c r="AY149" s="11">
        <f>VLOOKUP(B149,[1]Página1!$A:$E,4,0)</f>
        <v>7093835.1900000004</v>
      </c>
    </row>
    <row r="150" spans="1:51" ht="15.75" customHeight="1" x14ac:dyDescent="0.3">
      <c r="A150" s="4">
        <v>3203056</v>
      </c>
      <c r="B150" s="4" t="s">
        <v>123</v>
      </c>
      <c r="C150" s="7">
        <v>2023</v>
      </c>
      <c r="D150" s="4">
        <v>0.61008915151003817</v>
      </c>
      <c r="E150" s="4">
        <v>0.50384164501434026</v>
      </c>
      <c r="F150" s="4">
        <v>0.96599999999999997</v>
      </c>
      <c r="G150" s="4">
        <v>0.75</v>
      </c>
      <c r="H150" s="8">
        <v>0.480087332746574</v>
      </c>
      <c r="I150" s="4">
        <v>0.53947311341598803</v>
      </c>
      <c r="J150" s="4">
        <v>0.71147250223755598</v>
      </c>
      <c r="K150" s="4">
        <v>0.68087547087632405</v>
      </c>
      <c r="L150" s="4">
        <v>0.248702163255593</v>
      </c>
      <c r="M150" s="4">
        <v>0.398070755955652</v>
      </c>
      <c r="N150" s="4">
        <v>0.57932884450623101</v>
      </c>
      <c r="O150" s="4">
        <v>0.52336248283200604</v>
      </c>
      <c r="P150" s="4">
        <v>0.537687724857148</v>
      </c>
      <c r="Q150" s="4">
        <v>0.547330014633861</v>
      </c>
      <c r="R150" s="4">
        <v>0.83483111247142805</v>
      </c>
      <c r="S150" s="8">
        <v>0.1019522777</v>
      </c>
      <c r="T150" s="8">
        <v>0.1106290672</v>
      </c>
      <c r="U150" s="8">
        <v>0.33405639909999901</v>
      </c>
      <c r="V150" s="8">
        <v>0.45336225599999902</v>
      </c>
      <c r="W150" s="8">
        <v>0.77323767938571397</v>
      </c>
      <c r="X150" s="8">
        <v>7.2052401699999893E-2</v>
      </c>
      <c r="Y150" s="8">
        <v>0.27074235810000002</v>
      </c>
      <c r="Z150" s="8">
        <v>0.44541484720000002</v>
      </c>
      <c r="AA150" s="8">
        <v>0.21179039299999999</v>
      </c>
      <c r="AB150" s="8">
        <v>0.75362786197142795</v>
      </c>
      <c r="AC150" s="8">
        <v>7.2234762999999994E-2</v>
      </c>
      <c r="AD150" s="8">
        <v>0.30474040629999999</v>
      </c>
      <c r="AE150" s="8">
        <v>0.40180586909999999</v>
      </c>
      <c r="AF150" s="8">
        <v>0.22121896159999899</v>
      </c>
      <c r="AG150" s="4">
        <v>0.66978394065714197</v>
      </c>
      <c r="AH150" s="4">
        <v>0.13544018059999999</v>
      </c>
      <c r="AI150" s="4">
        <v>0.34085778779999998</v>
      </c>
      <c r="AJ150" s="4">
        <v>0.34537246049999998</v>
      </c>
      <c r="AK150" s="4">
        <v>0.1783295711</v>
      </c>
      <c r="AL150" s="4">
        <v>0.92200000000000004</v>
      </c>
      <c r="AM150" s="4">
        <v>0.92152917509999999</v>
      </c>
      <c r="AN150" s="4">
        <v>0.92677824269999998</v>
      </c>
      <c r="AO150" s="4">
        <v>0.92677824269999998</v>
      </c>
      <c r="AP150" s="4" t="s">
        <v>165</v>
      </c>
      <c r="AQ150" s="4" t="s">
        <v>548</v>
      </c>
      <c r="AR150" s="4">
        <v>1</v>
      </c>
      <c r="AS150" s="4" t="s">
        <v>549</v>
      </c>
      <c r="AT150" s="4">
        <v>0</v>
      </c>
      <c r="AU150" s="4" t="s">
        <v>550</v>
      </c>
      <c r="AV150" s="4">
        <v>1</v>
      </c>
      <c r="AW150" s="4" t="s">
        <v>551</v>
      </c>
      <c r="AX150" s="4">
        <v>1</v>
      </c>
      <c r="AY150" s="11">
        <f>VLOOKUP(B150,[1]Página1!$A:$E,4,0)</f>
        <v>6567858.2800000003</v>
      </c>
    </row>
    <row r="151" spans="1:51" ht="15.75" customHeight="1" x14ac:dyDescent="0.3">
      <c r="A151" s="4">
        <v>3204054</v>
      </c>
      <c r="B151" s="4" t="s">
        <v>124</v>
      </c>
      <c r="C151" s="7">
        <v>2023</v>
      </c>
      <c r="D151" s="4">
        <v>0.55096366545327136</v>
      </c>
      <c r="E151" s="4">
        <v>0.45623908371080557</v>
      </c>
      <c r="F151" s="4">
        <v>0.98</v>
      </c>
      <c r="G151" s="4">
        <v>0.56397537903805006</v>
      </c>
      <c r="H151" s="8">
        <v>0.424774037254459</v>
      </c>
      <c r="I151" s="4">
        <v>0.50343665339532395</v>
      </c>
      <c r="J151" s="4">
        <v>0.71393201013986196</v>
      </c>
      <c r="K151" s="4">
        <v>0.65772061761529199</v>
      </c>
      <c r="L151" s="4">
        <v>0.13561606436905699</v>
      </c>
      <c r="M151" s="4">
        <v>0.34915268917535502</v>
      </c>
      <c r="N151" s="4">
        <v>0.57635814507317795</v>
      </c>
      <c r="O151" s="4">
        <v>0.54037768970740097</v>
      </c>
      <c r="P151" s="4">
        <v>0.51960154224903499</v>
      </c>
      <c r="Q151" s="4">
        <v>0.51237245054784997</v>
      </c>
      <c r="R151" s="4">
        <v>0.81678004531428505</v>
      </c>
      <c r="S151" s="8">
        <v>0.1015873016</v>
      </c>
      <c r="T151" s="8">
        <v>0.14285714289999901</v>
      </c>
      <c r="U151" s="8">
        <v>0.33650793649999999</v>
      </c>
      <c r="V151" s="8">
        <v>0.41904761899999998</v>
      </c>
      <c r="W151" s="8">
        <v>0.81181318674285696</v>
      </c>
      <c r="X151" s="8">
        <v>6.7307692299999999E-2</v>
      </c>
      <c r="Y151" s="8">
        <v>0.2115384615</v>
      </c>
      <c r="Z151" s="8">
        <v>0.45833333329999998</v>
      </c>
      <c r="AA151" s="8">
        <v>0.26282051280000002</v>
      </c>
      <c r="AB151" s="8">
        <v>0.71234866829999999</v>
      </c>
      <c r="AC151" s="8">
        <v>0.12881355929999999</v>
      </c>
      <c r="AD151" s="8">
        <v>0.27796610170000002</v>
      </c>
      <c r="AE151" s="8">
        <v>0.38644067799999998</v>
      </c>
      <c r="AF151" s="8">
        <v>0.206779661</v>
      </c>
      <c r="AG151" s="4">
        <v>0.60048426142857103</v>
      </c>
      <c r="AH151" s="4">
        <v>0.17288135590000001</v>
      </c>
      <c r="AI151" s="4">
        <v>0.396610169499999</v>
      </c>
      <c r="AJ151" s="4">
        <v>0.2983050847</v>
      </c>
      <c r="AK151" s="4">
        <v>0.13220338979999999</v>
      </c>
      <c r="AL151" s="4">
        <v>0.91836734689999999</v>
      </c>
      <c r="AM151" s="4">
        <v>0.91495601169999996</v>
      </c>
      <c r="AN151" s="4">
        <v>0.94249201279999995</v>
      </c>
      <c r="AO151" s="4">
        <v>0.94249201279999995</v>
      </c>
      <c r="AP151" s="4" t="s">
        <v>552</v>
      </c>
      <c r="AQ151" s="4" t="s">
        <v>553</v>
      </c>
      <c r="AR151" s="4">
        <v>1</v>
      </c>
      <c r="AS151" s="4" t="s">
        <v>554</v>
      </c>
      <c r="AT151" s="4">
        <v>1</v>
      </c>
      <c r="AU151" s="4" t="s">
        <v>555</v>
      </c>
      <c r="AV151" s="4" t="s">
        <v>556</v>
      </c>
      <c r="AW151" s="4" t="s">
        <v>557</v>
      </c>
      <c r="AX151" s="4" t="s">
        <v>558</v>
      </c>
      <c r="AY151" s="11">
        <f>VLOOKUP(B151,[1]Página1!$A:$E,4,0)</f>
        <v>5931348.3300000001</v>
      </c>
    </row>
    <row r="152" spans="1:51" ht="15.75" customHeight="1" x14ac:dyDescent="0.3">
      <c r="A152" s="4">
        <v>3204906</v>
      </c>
      <c r="B152" s="4" t="s">
        <v>125</v>
      </c>
      <c r="C152" s="7">
        <v>2023</v>
      </c>
      <c r="D152" s="4">
        <v>0.69274155029037809</v>
      </c>
      <c r="E152" s="4">
        <v>0.67104189375277756</v>
      </c>
      <c r="F152" s="4">
        <v>0.92400000000000004</v>
      </c>
      <c r="G152" s="4">
        <v>0.56274816442289299</v>
      </c>
      <c r="H152" s="8">
        <v>0.71599021683505204</v>
      </c>
      <c r="I152" s="4">
        <v>0.60361940912936496</v>
      </c>
      <c r="J152" s="4">
        <v>0.67635508605303096</v>
      </c>
      <c r="K152" s="4">
        <v>0.62688903694612996</v>
      </c>
      <c r="L152" s="4">
        <v>0.75562534761707301</v>
      </c>
      <c r="M152" s="4">
        <v>0.58034978131259995</v>
      </c>
      <c r="N152" s="4">
        <v>0.54804681190490301</v>
      </c>
      <c r="O152" s="4">
        <v>0.48897333831851397</v>
      </c>
      <c r="P152" s="4">
        <v>0.49719569612436298</v>
      </c>
      <c r="Q152" s="4">
        <v>0.48619975401729898</v>
      </c>
      <c r="R152" s="4">
        <v>0.79152426515714203</v>
      </c>
      <c r="S152" s="8">
        <v>0.13738892690000001</v>
      </c>
      <c r="T152" s="8">
        <v>0.12440191389999999</v>
      </c>
      <c r="U152" s="8">
        <v>0.37320574159999997</v>
      </c>
      <c r="V152" s="8">
        <v>0.36500341759999999</v>
      </c>
      <c r="W152" s="8">
        <v>0.72643543014285705</v>
      </c>
      <c r="X152" s="8">
        <v>9.0534979399999896E-2</v>
      </c>
      <c r="Y152" s="8">
        <v>0.32030178329999998</v>
      </c>
      <c r="Z152" s="8">
        <v>0.4588477366</v>
      </c>
      <c r="AA152" s="8">
        <v>0.1303155007</v>
      </c>
      <c r="AB152" s="8">
        <v>0.66838654201428505</v>
      </c>
      <c r="AC152" s="8">
        <v>0.13769751689999901</v>
      </c>
      <c r="AD152" s="8">
        <v>0.33935289689999998</v>
      </c>
      <c r="AE152" s="8">
        <v>0.3626787058</v>
      </c>
      <c r="AF152" s="8">
        <v>0.16027088039999901</v>
      </c>
      <c r="AG152" s="4">
        <v>0.546256454371428</v>
      </c>
      <c r="AH152" s="4">
        <v>0.2153614458</v>
      </c>
      <c r="AI152" s="4">
        <v>0.41716867469999902</v>
      </c>
      <c r="AJ152" s="4">
        <v>0.29367469880000002</v>
      </c>
      <c r="AK152" s="4">
        <v>7.3795180699999893E-2</v>
      </c>
      <c r="AL152" s="4">
        <v>0.88774271839999996</v>
      </c>
      <c r="AM152" s="4">
        <v>0.89612784270000001</v>
      </c>
      <c r="AN152" s="4">
        <v>0.91718426500000005</v>
      </c>
      <c r="AO152" s="4">
        <v>0.91649413390000001</v>
      </c>
      <c r="AP152" s="4" t="s">
        <v>559</v>
      </c>
      <c r="AQ152" s="4" t="s">
        <v>560</v>
      </c>
      <c r="AR152" s="4">
        <v>1</v>
      </c>
      <c r="AS152" s="4" t="s">
        <v>561</v>
      </c>
      <c r="AT152" s="4">
        <v>1</v>
      </c>
      <c r="AU152" s="4" t="s">
        <v>562</v>
      </c>
      <c r="AV152" s="4" t="s">
        <v>563</v>
      </c>
      <c r="AW152" s="4" t="s">
        <v>564</v>
      </c>
      <c r="AX152" s="4" t="s">
        <v>565</v>
      </c>
      <c r="AY152" s="11">
        <f>VLOOKUP(B152,[1]Página1!$A:$E,4,0)</f>
        <v>7457645.0199999996</v>
      </c>
    </row>
    <row r="153" spans="1:51" ht="15.75" customHeight="1" x14ac:dyDescent="0.3">
      <c r="A153" s="4">
        <v>3200300</v>
      </c>
      <c r="B153" s="4" t="s">
        <v>126</v>
      </c>
      <c r="C153" s="7">
        <v>2023</v>
      </c>
      <c r="D153" s="4">
        <v>0.67076393755233488</v>
      </c>
      <c r="E153" s="4">
        <v>0.53587705364619265</v>
      </c>
      <c r="F153" s="4">
        <v>0.97099999999999997</v>
      </c>
      <c r="G153" s="4">
        <v>1</v>
      </c>
      <c r="H153" s="8">
        <v>0.53155834010144798</v>
      </c>
      <c r="I153" s="4">
        <v>0.54235512396330798</v>
      </c>
      <c r="J153" s="4">
        <v>0.77206626494768704</v>
      </c>
      <c r="K153" s="4">
        <v>0.750074562045285</v>
      </c>
      <c r="L153" s="4">
        <v>0.29105041525520903</v>
      </c>
      <c r="M153" s="4">
        <v>0.33463568588133202</v>
      </c>
      <c r="N153" s="4">
        <v>0.61675567017431698</v>
      </c>
      <c r="O153" s="4">
        <v>0.62889837312695995</v>
      </c>
      <c r="P153" s="4">
        <v>0.59389322893654395</v>
      </c>
      <c r="Q153" s="4">
        <v>0.59933710732316803</v>
      </c>
      <c r="R153" s="4">
        <v>0.86512866015714196</v>
      </c>
      <c r="S153" s="8">
        <v>7.4534161500000001E-2</v>
      </c>
      <c r="T153" s="8">
        <v>0.10559006209999899</v>
      </c>
      <c r="U153" s="8">
        <v>0.27950310559999902</v>
      </c>
      <c r="V153" s="8">
        <v>0.54037267079999995</v>
      </c>
      <c r="W153" s="8">
        <v>0.91071428571428503</v>
      </c>
      <c r="X153" s="8">
        <v>2.5000000000000001E-2</v>
      </c>
      <c r="Y153" s="8">
        <v>0.1125</v>
      </c>
      <c r="Z153" s="8">
        <v>0.33750000000000002</v>
      </c>
      <c r="AA153" s="8">
        <v>0.52500000000000002</v>
      </c>
      <c r="AB153" s="8">
        <v>0.85795918364285695</v>
      </c>
      <c r="AC153" s="8">
        <v>3.4285714299999999E-2</v>
      </c>
      <c r="AD153" s="8">
        <v>0.18857142860000001</v>
      </c>
      <c r="AE153" s="8">
        <v>0.411428571399999</v>
      </c>
      <c r="AF153" s="8">
        <v>0.36571428569999997</v>
      </c>
      <c r="AG153" s="4">
        <v>0.77877551020000002</v>
      </c>
      <c r="AH153" s="4">
        <v>2.85714286E-2</v>
      </c>
      <c r="AI153" s="4">
        <v>0.33714285709999903</v>
      </c>
      <c r="AJ153" s="4">
        <v>0.40571428570000001</v>
      </c>
      <c r="AK153" s="4">
        <v>0.22857142859999999</v>
      </c>
      <c r="AL153" s="4">
        <v>0.96407185630000003</v>
      </c>
      <c r="AM153" s="4">
        <v>0.95808383230000005</v>
      </c>
      <c r="AN153" s="4">
        <v>0.98870056500000003</v>
      </c>
      <c r="AO153" s="4">
        <v>0.98870056500000003</v>
      </c>
      <c r="AP153" s="4">
        <v>1</v>
      </c>
      <c r="AQ153" s="4" t="s">
        <v>566</v>
      </c>
      <c r="AR153" s="4">
        <v>1</v>
      </c>
      <c r="AS153" s="4" t="s">
        <v>567</v>
      </c>
      <c r="AT153" s="4">
        <v>1</v>
      </c>
      <c r="AU153" s="4" t="s">
        <v>568</v>
      </c>
      <c r="AV153" s="4">
        <v>1</v>
      </c>
      <c r="AW153" s="4" t="s">
        <v>569</v>
      </c>
      <c r="AX153" s="4">
        <v>1</v>
      </c>
      <c r="AY153" s="11">
        <f>VLOOKUP(B153,[1]Página1!$A:$E,4,0)</f>
        <v>7221047.0700000003</v>
      </c>
    </row>
    <row r="154" spans="1:51" ht="15.75" customHeight="1" x14ac:dyDescent="0.3">
      <c r="A154" s="4">
        <v>3200409</v>
      </c>
      <c r="B154" s="4" t="s">
        <v>127</v>
      </c>
      <c r="C154" s="7">
        <v>2023</v>
      </c>
      <c r="D154" s="4">
        <v>0.62756497218553942</v>
      </c>
      <c r="E154" s="4">
        <v>0.63466424597934212</v>
      </c>
      <c r="F154" s="4">
        <v>0.97199999999999998</v>
      </c>
      <c r="G154" s="4">
        <v>0.25</v>
      </c>
      <c r="H154" s="8">
        <v>0.71113410893498596</v>
      </c>
      <c r="I154" s="4">
        <v>0.51995945154587497</v>
      </c>
      <c r="J154" s="4">
        <v>0.76703309423562405</v>
      </c>
      <c r="K154" s="4">
        <v>0.74123704871264895</v>
      </c>
      <c r="L154" s="4">
        <v>0.65523512363434699</v>
      </c>
      <c r="M154" s="4">
        <v>0.298681854379102</v>
      </c>
      <c r="N154" s="4">
        <v>0.62747557605176796</v>
      </c>
      <c r="O154" s="4">
        <v>0.60696907884332896</v>
      </c>
      <c r="P154" s="4">
        <v>0.60365144863258702</v>
      </c>
      <c r="Q154" s="4">
        <v>0.617893139932293</v>
      </c>
      <c r="R154" s="4">
        <v>0.90109890105714296</v>
      </c>
      <c r="S154" s="8">
        <v>5.4945054899999998E-2</v>
      </c>
      <c r="T154" s="8">
        <v>7.6923076899999998E-2</v>
      </c>
      <c r="U154" s="8">
        <v>0.31208791209999998</v>
      </c>
      <c r="V154" s="8">
        <v>0.55604395600000001</v>
      </c>
      <c r="W154" s="8">
        <v>0.90246952172857098</v>
      </c>
      <c r="X154" s="8">
        <v>2.6258205699999999E-2</v>
      </c>
      <c r="Y154" s="8">
        <v>0.124726477</v>
      </c>
      <c r="Z154" s="8">
        <v>0.41356673960000001</v>
      </c>
      <c r="AA154" s="8">
        <v>0.43544857770000001</v>
      </c>
      <c r="AB154" s="8">
        <v>0.85326278662857102</v>
      </c>
      <c r="AC154" s="8">
        <v>3.9506172799999899E-2</v>
      </c>
      <c r="AD154" s="8">
        <v>0.18765432100000001</v>
      </c>
      <c r="AE154" s="8">
        <v>0.37530864200000003</v>
      </c>
      <c r="AF154" s="8">
        <v>0.3975308642</v>
      </c>
      <c r="AG154" s="4">
        <v>0.79490806224285704</v>
      </c>
      <c r="AH154" s="4">
        <v>4.9504950499999999E-2</v>
      </c>
      <c r="AI154" s="4">
        <v>0.27227722770000001</v>
      </c>
      <c r="AJ154" s="4">
        <v>0.39851485149999999</v>
      </c>
      <c r="AK154" s="4">
        <v>0.27970297030000002</v>
      </c>
      <c r="AL154" s="4">
        <v>0.924796748</v>
      </c>
      <c r="AM154" s="4">
        <v>0.93265306120000002</v>
      </c>
      <c r="AN154" s="4">
        <v>0.92045454550000005</v>
      </c>
      <c r="AO154" s="4">
        <v>0.9181818182</v>
      </c>
      <c r="AP154" s="4" t="s">
        <v>224</v>
      </c>
      <c r="AQ154" s="4" t="s">
        <v>570</v>
      </c>
      <c r="AR154" s="4">
        <v>0</v>
      </c>
      <c r="AS154" s="4" t="s">
        <v>571</v>
      </c>
      <c r="AT154" s="4">
        <v>1</v>
      </c>
      <c r="AU154" s="4" t="s">
        <v>572</v>
      </c>
      <c r="AV154" s="4">
        <v>0</v>
      </c>
      <c r="AW154" s="4" t="s">
        <v>573</v>
      </c>
      <c r="AX154" s="4">
        <v>0</v>
      </c>
      <c r="AY154" s="11">
        <f>VLOOKUP(B154,[1]Página1!$A:$E,4,0)</f>
        <v>6755992.5999999996</v>
      </c>
    </row>
    <row r="155" spans="1:51" ht="15.75" customHeight="1" x14ac:dyDescent="0.3">
      <c r="A155" s="4">
        <v>3202405</v>
      </c>
      <c r="B155" s="4" t="s">
        <v>128</v>
      </c>
      <c r="C155" s="7">
        <v>2023</v>
      </c>
      <c r="D155" s="4">
        <v>0.69326954995272416</v>
      </c>
      <c r="E155" s="4">
        <v>0.66010167325963565</v>
      </c>
      <c r="F155" s="4">
        <v>0.98699999999999999</v>
      </c>
      <c r="G155" s="4">
        <v>0.55432252447319519</v>
      </c>
      <c r="H155" s="8">
        <v>0.66918969936521899</v>
      </c>
      <c r="I155" s="4">
        <v>0.64646963410125902</v>
      </c>
      <c r="J155" s="4">
        <v>0.71234702715954501</v>
      </c>
      <c r="K155" s="4">
        <v>0.67954409293904205</v>
      </c>
      <c r="L155" s="4">
        <v>0.62603237157089298</v>
      </c>
      <c r="M155" s="4">
        <v>0.61339517526347598</v>
      </c>
      <c r="N155" s="4">
        <v>0.57787923752310899</v>
      </c>
      <c r="O155" s="4">
        <v>0.53898961728806205</v>
      </c>
      <c r="P155" s="4">
        <v>0.55487246705972904</v>
      </c>
      <c r="Q155" s="4">
        <v>0.54053678898929702</v>
      </c>
      <c r="R155" s="4">
        <v>0.84178375078571399</v>
      </c>
      <c r="S155" s="8">
        <v>8.7354917499999907E-2</v>
      </c>
      <c r="T155" s="8">
        <v>0.1240073305</v>
      </c>
      <c r="U155" s="8">
        <v>0.36408063530000001</v>
      </c>
      <c r="V155" s="8">
        <v>0.42455711670000001</v>
      </c>
      <c r="W155" s="8">
        <v>0.82006079027142798</v>
      </c>
      <c r="X155" s="8">
        <v>4.6200607900000003E-2</v>
      </c>
      <c r="Y155" s="8">
        <v>0.2340425532</v>
      </c>
      <c r="Z155" s="8">
        <v>0.4990881459</v>
      </c>
      <c r="AA155" s="8">
        <v>0.220668693</v>
      </c>
      <c r="AB155" s="8">
        <v>0.77349684267142804</v>
      </c>
      <c r="AC155" s="8">
        <v>7.2389493900000004E-2</v>
      </c>
      <c r="AD155" s="8">
        <v>0.26969891099999999</v>
      </c>
      <c r="AE155" s="8">
        <v>0.3677130045</v>
      </c>
      <c r="AF155" s="8">
        <v>0.29019859059999997</v>
      </c>
      <c r="AG155" s="4">
        <v>0.665324425742857</v>
      </c>
      <c r="AH155" s="4">
        <v>0.13260730300000001</v>
      </c>
      <c r="AI155" s="4">
        <v>0.35361947469999999</v>
      </c>
      <c r="AJ155" s="4">
        <v>0.37796284429999999</v>
      </c>
      <c r="AK155" s="4">
        <v>0.13581037800000001</v>
      </c>
      <c r="AL155" s="4">
        <v>0.88582251079999996</v>
      </c>
      <c r="AM155" s="4">
        <v>0.90038314180000001</v>
      </c>
      <c r="AN155" s="4">
        <v>0.90335648149999903</v>
      </c>
      <c r="AO155" s="4">
        <v>0.90335648149999903</v>
      </c>
      <c r="AP155" s="4" t="s">
        <v>574</v>
      </c>
      <c r="AQ155" s="4" t="s">
        <v>575</v>
      </c>
      <c r="AR155" s="4">
        <v>1</v>
      </c>
      <c r="AS155" s="4" t="s">
        <v>576</v>
      </c>
      <c r="AT155" s="4">
        <v>1</v>
      </c>
      <c r="AU155" s="4" t="s">
        <v>577</v>
      </c>
      <c r="AV155" s="4">
        <v>0</v>
      </c>
      <c r="AW155" s="4" t="s">
        <v>578</v>
      </c>
      <c r="AX155" s="4" t="s">
        <v>579</v>
      </c>
      <c r="AY155" s="11">
        <f>VLOOKUP(B155,[1]Página1!$A:$E,4,0)</f>
        <v>7463329.1500000004</v>
      </c>
    </row>
    <row r="156" spans="1:51" ht="15.75" customHeight="1" x14ac:dyDescent="0.3">
      <c r="A156" s="4">
        <v>3204203</v>
      </c>
      <c r="B156" s="4" t="s">
        <v>129</v>
      </c>
      <c r="C156" s="7">
        <v>2023</v>
      </c>
      <c r="D156" s="4">
        <v>0.49838262770916897</v>
      </c>
      <c r="E156" s="4">
        <v>0.50776089672738434</v>
      </c>
      <c r="F156" s="4">
        <v>0.95299999999999996</v>
      </c>
      <c r="G156" s="4">
        <v>0</v>
      </c>
      <c r="H156" s="8">
        <v>0.42656819025680698</v>
      </c>
      <c r="I156" s="4">
        <v>0.62954995643324896</v>
      </c>
      <c r="J156" s="4">
        <v>0.68936835111568695</v>
      </c>
      <c r="K156" s="4">
        <v>0.71856138286806803</v>
      </c>
      <c r="L156" s="4">
        <v>0.16376802939792801</v>
      </c>
      <c r="M156" s="4">
        <v>0.54053852999843</v>
      </c>
      <c r="N156" s="4">
        <v>0.54439994891612598</v>
      </c>
      <c r="O156" s="4">
        <v>0.50920188224710194</v>
      </c>
      <c r="P156" s="4">
        <v>0.57720215205597503</v>
      </c>
      <c r="Q156" s="4">
        <v>0.57775341621629805</v>
      </c>
      <c r="R156" s="4">
        <v>0.78670360108571402</v>
      </c>
      <c r="S156" s="8">
        <v>0.1135734072</v>
      </c>
      <c r="T156" s="8">
        <v>0.1745152355</v>
      </c>
      <c r="U156" s="8">
        <v>0.37396121879999999</v>
      </c>
      <c r="V156" s="8">
        <v>0.337950138499999</v>
      </c>
      <c r="W156" s="8">
        <v>0.77348066298571405</v>
      </c>
      <c r="X156" s="8">
        <v>4.9723756899999999E-2</v>
      </c>
      <c r="Y156" s="8">
        <v>0.30939226519999902</v>
      </c>
      <c r="Z156" s="8">
        <v>0.47513812150000001</v>
      </c>
      <c r="AA156" s="8">
        <v>0.165745856399999</v>
      </c>
      <c r="AB156" s="8">
        <v>0.80803571428571397</v>
      </c>
      <c r="AC156" s="8">
        <v>6.8750000000000006E-2</v>
      </c>
      <c r="AD156" s="8">
        <v>0.21562500000000001</v>
      </c>
      <c r="AE156" s="8">
        <v>0.38124999999999998</v>
      </c>
      <c r="AF156" s="8">
        <v>0.33437499999999998</v>
      </c>
      <c r="AG156" s="4">
        <v>0.75077881621428499</v>
      </c>
      <c r="AH156" s="4">
        <v>8.7227414299999903E-2</v>
      </c>
      <c r="AI156" s="4">
        <v>0.28348909659999999</v>
      </c>
      <c r="AJ156" s="4">
        <v>0.44548286599999998</v>
      </c>
      <c r="AK156" s="4">
        <v>0.1838006231</v>
      </c>
      <c r="AL156" s="4">
        <v>0.91161616159999903</v>
      </c>
      <c r="AM156" s="4">
        <v>0.92111959290000001</v>
      </c>
      <c r="AN156" s="4">
        <v>0.9384164223</v>
      </c>
      <c r="AO156" s="4">
        <v>0.94134897359999903</v>
      </c>
      <c r="AP156" s="4">
        <v>0</v>
      </c>
      <c r="AQ156" s="4" t="s">
        <v>580</v>
      </c>
      <c r="AR156" s="4">
        <v>0</v>
      </c>
      <c r="AS156" s="4" t="s">
        <v>581</v>
      </c>
      <c r="AT156" s="4">
        <v>0</v>
      </c>
      <c r="AU156" s="4" t="s">
        <v>582</v>
      </c>
      <c r="AV156" s="4">
        <v>0</v>
      </c>
      <c r="AW156" s="4" t="s">
        <v>583</v>
      </c>
      <c r="AX156" s="4">
        <v>0</v>
      </c>
      <c r="AY156" s="11">
        <f>VLOOKUP(B156,[1]Página1!$A:$E,4,0)</f>
        <v>5365292.04</v>
      </c>
    </row>
    <row r="157" spans="1:51" ht="15.75" customHeight="1" x14ac:dyDescent="0.3">
      <c r="A157" s="4">
        <v>3205200</v>
      </c>
      <c r="B157" s="4" t="s">
        <v>130</v>
      </c>
      <c r="C157" s="7">
        <v>2023</v>
      </c>
      <c r="D157" s="4">
        <v>0.62789507311277504</v>
      </c>
      <c r="E157" s="4">
        <v>0.5666547391123502</v>
      </c>
      <c r="F157" s="4">
        <v>0.99</v>
      </c>
      <c r="G157" s="4">
        <v>0.55157837156086631</v>
      </c>
      <c r="H157" s="8">
        <v>0.57660768134406504</v>
      </c>
      <c r="I157" s="4">
        <v>0.55172532576477595</v>
      </c>
      <c r="J157" s="4">
        <v>0.68572437193997204</v>
      </c>
      <c r="K157" s="4">
        <v>0.65266405273563999</v>
      </c>
      <c r="L157" s="4">
        <v>0.46749099074815897</v>
      </c>
      <c r="M157" s="4">
        <v>0.45078659879391297</v>
      </c>
      <c r="N157" s="4">
        <v>0.55427423536833897</v>
      </c>
      <c r="O157" s="4">
        <v>0.50826431008663697</v>
      </c>
      <c r="P157" s="4">
        <v>0.529842548052054</v>
      </c>
      <c r="Q157" s="4">
        <v>0.51760034686193401</v>
      </c>
      <c r="R157" s="4">
        <v>0.80898536098571405</v>
      </c>
      <c r="S157" s="8">
        <v>0.1177856302</v>
      </c>
      <c r="T157" s="8">
        <v>0.12815076559999999</v>
      </c>
      <c r="U157" s="8">
        <v>0.3870435807</v>
      </c>
      <c r="V157" s="8">
        <v>0.36702002360000002</v>
      </c>
      <c r="W157" s="8">
        <v>0.75713277554285696</v>
      </c>
      <c r="X157" s="8">
        <v>8.0216419699999902E-2</v>
      </c>
      <c r="Y157" s="8">
        <v>0.28463890850000001</v>
      </c>
      <c r="Z157" s="8">
        <v>0.44836509059999902</v>
      </c>
      <c r="AA157" s="8">
        <v>0.1867795813</v>
      </c>
      <c r="AB157" s="8">
        <v>0.72025980342857099</v>
      </c>
      <c r="AC157" s="8">
        <v>0.1239970824</v>
      </c>
      <c r="AD157" s="8">
        <v>0.27255044979999998</v>
      </c>
      <c r="AE157" s="8">
        <v>0.35667396060000001</v>
      </c>
      <c r="AF157" s="8">
        <v>0.2467785072</v>
      </c>
      <c r="AG157" s="4">
        <v>0.61053841332857095</v>
      </c>
      <c r="AH157" s="4">
        <v>0.1708922477</v>
      </c>
      <c r="AI157" s="4">
        <v>0.38249634319999998</v>
      </c>
      <c r="AJ157" s="4">
        <v>0.32155046319999903</v>
      </c>
      <c r="AK157" s="4">
        <v>0.1250609459</v>
      </c>
      <c r="AL157" s="4">
        <v>0.87888198759999903</v>
      </c>
      <c r="AM157" s="4">
        <v>0.88895859470000005</v>
      </c>
      <c r="AN157" s="4">
        <v>0.89901639339999995</v>
      </c>
      <c r="AO157" s="4">
        <v>0.8966120219</v>
      </c>
      <c r="AP157" s="4" t="s">
        <v>584</v>
      </c>
      <c r="AQ157" s="4" t="s">
        <v>585</v>
      </c>
      <c r="AR157" s="4">
        <v>1</v>
      </c>
      <c r="AS157" s="4" t="s">
        <v>586</v>
      </c>
      <c r="AT157" s="4">
        <v>1</v>
      </c>
      <c r="AU157" s="4" t="s">
        <v>587</v>
      </c>
      <c r="AV157" s="4" t="s">
        <v>588</v>
      </c>
      <c r="AW157" s="4" t="s">
        <v>589</v>
      </c>
      <c r="AX157" s="4" t="s">
        <v>590</v>
      </c>
      <c r="AY157" s="11">
        <f>VLOOKUP(B157,[1]Página1!$A:$E,4,0)</f>
        <v>6759546.2800000003</v>
      </c>
    </row>
    <row r="158" spans="1:51" ht="15.75" customHeight="1" x14ac:dyDescent="0.3">
      <c r="A158" s="4">
        <v>3200102</v>
      </c>
      <c r="B158" s="4" t="s">
        <v>52</v>
      </c>
      <c r="C158" s="5">
        <v>2024</v>
      </c>
      <c r="D158" s="5">
        <v>0.65631159016544605</v>
      </c>
      <c r="E158" s="5">
        <v>0.618602932243563</v>
      </c>
      <c r="F158" s="5">
        <v>0.98499999999999999</v>
      </c>
      <c r="G158" s="5">
        <v>0.50359691729968104</v>
      </c>
      <c r="H158" s="8">
        <v>0.556652849302958</v>
      </c>
      <c r="I158" s="8">
        <v>0.71152805665447005</v>
      </c>
      <c r="J158" s="8">
        <v>0.80564085517019202</v>
      </c>
      <c r="K158" s="8">
        <v>0.76865036703454404</v>
      </c>
      <c r="L158" s="8">
        <v>0.30766484343572398</v>
      </c>
      <c r="M158" s="8">
        <v>0.65440574627439696</v>
      </c>
      <c r="N158" s="8">
        <v>0.66989711024321996</v>
      </c>
      <c r="O158" s="8">
        <v>0.646516440544191</v>
      </c>
      <c r="P158" s="8">
        <v>0.63430748190957498</v>
      </c>
      <c r="Q158" s="8">
        <v>0.64176072071519896</v>
      </c>
      <c r="R158" s="8">
        <v>0.95511767922857105</v>
      </c>
      <c r="S158" s="8">
        <v>2.29885058E-2</v>
      </c>
      <c r="T158" s="8">
        <v>3.8314176200000001E-2</v>
      </c>
      <c r="U158" s="8">
        <v>0.22222222219999899</v>
      </c>
      <c r="V158" s="8">
        <v>0.71647509580000002</v>
      </c>
      <c r="W158" s="8">
        <v>0.93822393825714201</v>
      </c>
      <c r="X158" s="8">
        <v>1.54440154E-2</v>
      </c>
      <c r="Y158" s="8">
        <v>8.1081081099999994E-2</v>
      </c>
      <c r="Z158" s="8">
        <v>0.34749034750000002</v>
      </c>
      <c r="AA158" s="8">
        <v>0.55598455599999996</v>
      </c>
      <c r="AB158" s="8">
        <v>0.87668683110000001</v>
      </c>
      <c r="AC158" s="8">
        <v>3.58306189E-2</v>
      </c>
      <c r="AD158" s="8">
        <v>0.1530944625</v>
      </c>
      <c r="AE158" s="8">
        <v>0.30618892510000001</v>
      </c>
      <c r="AF158" s="8">
        <v>0.50488599349999996</v>
      </c>
      <c r="AG158" s="8">
        <v>0.81945090735714199</v>
      </c>
      <c r="AH158" s="8">
        <v>5.2117263900000002E-2</v>
      </c>
      <c r="AI158" s="8">
        <v>0.2247557003</v>
      </c>
      <c r="AJ158" s="8">
        <v>0.38436482079999901</v>
      </c>
      <c r="AK158" s="8">
        <v>0.33876221499999998</v>
      </c>
      <c r="AL158" s="8">
        <v>0.95604395604395598</v>
      </c>
      <c r="AM158" s="8">
        <v>0.94871794871794801</v>
      </c>
      <c r="AN158" s="8">
        <v>0.95046439628482904</v>
      </c>
      <c r="AO158" s="8">
        <v>0.95046439628482904</v>
      </c>
      <c r="AP158" s="4">
        <v>0.50359691729968104</v>
      </c>
      <c r="AQ158" s="4">
        <v>0.97415724245784596</v>
      </c>
      <c r="AR158" s="4">
        <v>1</v>
      </c>
      <c r="AS158" s="4">
        <v>0.93738843397390004</v>
      </c>
      <c r="AT158" s="4">
        <v>1</v>
      </c>
      <c r="AU158" s="4">
        <v>0.86920292578283698</v>
      </c>
      <c r="AV158" s="4">
        <v>1.4387669198727001E-2</v>
      </c>
      <c r="AW158" s="4">
        <v>0.85786256254385496</v>
      </c>
      <c r="AX158" s="4">
        <v>0</v>
      </c>
      <c r="AY158" s="11">
        <f>VLOOKUP(B158,[1]Página1!$A:$E,5,0)</f>
        <v>11559294.01</v>
      </c>
    </row>
    <row r="159" spans="1:51" ht="15.75" customHeight="1" x14ac:dyDescent="0.3">
      <c r="A159" s="4">
        <v>3201159</v>
      </c>
      <c r="B159" s="4" t="s">
        <v>54</v>
      </c>
      <c r="C159" s="5">
        <v>2024</v>
      </c>
      <c r="D159" s="5">
        <v>0.71400754384022902</v>
      </c>
      <c r="E159" s="5">
        <v>0.67405424020441795</v>
      </c>
      <c r="F159" s="5">
        <v>0.98499999999999999</v>
      </c>
      <c r="G159" s="5">
        <v>0.62946383798090999</v>
      </c>
      <c r="H159" s="8">
        <v>0.75720231180628395</v>
      </c>
      <c r="I159" s="8">
        <v>0.54933213280161897</v>
      </c>
      <c r="J159" s="8">
        <v>0.77938487742707596</v>
      </c>
      <c r="K159" s="8">
        <v>0.72621732219187596</v>
      </c>
      <c r="L159" s="8">
        <v>0.73501974618549204</v>
      </c>
      <c r="M159" s="8">
        <v>0.37244694341136197</v>
      </c>
      <c r="N159" s="8">
        <v>0.62166546098173103</v>
      </c>
      <c r="O159" s="8">
        <v>0.655095232269582</v>
      </c>
      <c r="P159" s="8">
        <v>0.58922880076184703</v>
      </c>
      <c r="Q159" s="8">
        <v>0.60635869476127202</v>
      </c>
      <c r="R159" s="8">
        <v>0.92330827065714205</v>
      </c>
      <c r="S159" s="8">
        <v>3.1578947400000001E-2</v>
      </c>
      <c r="T159" s="8">
        <v>7.8947368399999995E-2</v>
      </c>
      <c r="U159" s="8">
        <v>0.36315789469999998</v>
      </c>
      <c r="V159" s="8">
        <v>0.52631578950000002</v>
      </c>
      <c r="W159" s="8">
        <v>0.93272864701428504</v>
      </c>
      <c r="X159" s="8">
        <v>1.5873015899999999E-2</v>
      </c>
      <c r="Y159" s="8">
        <v>8.9947089899999999E-2</v>
      </c>
      <c r="Z159" s="8">
        <v>0.29629629629999998</v>
      </c>
      <c r="AA159" s="8">
        <v>0.59788359790000001</v>
      </c>
      <c r="AB159" s="8">
        <v>0.83198562451428504</v>
      </c>
      <c r="AC159" s="8">
        <v>3.1446540799999999E-2</v>
      </c>
      <c r="AD159" s="8">
        <v>0.2389937107</v>
      </c>
      <c r="AE159" s="8">
        <v>0.35220125789999901</v>
      </c>
      <c r="AF159" s="8">
        <v>0.37735849059999999</v>
      </c>
      <c r="AG159" s="8">
        <v>0.74842767295714197</v>
      </c>
      <c r="AH159" s="8">
        <v>0.12578616349999999</v>
      </c>
      <c r="AI159" s="8">
        <v>0.22012578620000001</v>
      </c>
      <c r="AJ159" s="8">
        <v>0.36477987419999902</v>
      </c>
      <c r="AK159" s="8">
        <v>0.28930817609999998</v>
      </c>
      <c r="AL159" s="8">
        <v>0.92233009708737801</v>
      </c>
      <c r="AM159" s="8">
        <v>0.91747572815533895</v>
      </c>
      <c r="AN159" s="8">
        <v>0.91907514450867001</v>
      </c>
      <c r="AO159" s="8">
        <v>0.91907514450867001</v>
      </c>
      <c r="AP159" s="4">
        <v>0.62946383798090999</v>
      </c>
      <c r="AQ159" s="4">
        <v>0.97356330838330996</v>
      </c>
      <c r="AR159" s="4">
        <v>1</v>
      </c>
      <c r="AS159" s="4">
        <v>0.93533679311649198</v>
      </c>
      <c r="AT159" s="4">
        <v>1</v>
      </c>
      <c r="AU159" s="4">
        <v>0.871565258033414</v>
      </c>
      <c r="AV159" s="4">
        <v>0.26005310311788499</v>
      </c>
      <c r="AW159" s="4">
        <v>0.84761246591908601</v>
      </c>
      <c r="AX159" s="4">
        <v>0.25780224880575398</v>
      </c>
      <c r="AY159" s="11">
        <f>VLOOKUP(B159,[1]Página1!$A:$E,5,0)</f>
        <v>12575464.539999999</v>
      </c>
    </row>
    <row r="160" spans="1:51" ht="15.75" customHeight="1" x14ac:dyDescent="0.3">
      <c r="A160" s="4">
        <v>3201704</v>
      </c>
      <c r="B160" s="4" t="s">
        <v>55</v>
      </c>
      <c r="C160" s="5">
        <v>2024</v>
      </c>
      <c r="D160" s="5">
        <v>0.57686499162461202</v>
      </c>
      <c r="E160" s="5">
        <v>0.55816427374944599</v>
      </c>
      <c r="F160" s="5">
        <v>0.99099999999999999</v>
      </c>
      <c r="G160" s="5">
        <v>0.25</v>
      </c>
      <c r="H160" s="8">
        <v>0.54731164673646604</v>
      </c>
      <c r="I160" s="8">
        <v>0.57444321426891498</v>
      </c>
      <c r="J160" s="8">
        <v>0.77176099077058302</v>
      </c>
      <c r="K160" s="8">
        <v>0.73887092894221595</v>
      </c>
      <c r="L160" s="8">
        <v>0.32286230270235</v>
      </c>
      <c r="M160" s="8">
        <v>0.41001549959561401</v>
      </c>
      <c r="N160" s="8">
        <v>0.61319695731425905</v>
      </c>
      <c r="O160" s="8">
        <v>0.58987266422690698</v>
      </c>
      <c r="P160" s="8">
        <v>0.59523169310894297</v>
      </c>
      <c r="Q160" s="8">
        <v>0.60563213276413597</v>
      </c>
      <c r="R160" s="8">
        <v>0.889264581514285</v>
      </c>
      <c r="S160" s="8">
        <v>7.6923076999999895E-2</v>
      </c>
      <c r="T160" s="8">
        <v>5.9171597599999903E-2</v>
      </c>
      <c r="U160" s="8">
        <v>0.34911242599999998</v>
      </c>
      <c r="V160" s="8">
        <v>0.51479289939999995</v>
      </c>
      <c r="W160" s="8">
        <v>0.89672977621428496</v>
      </c>
      <c r="X160" s="8">
        <v>4.8192771099999997E-2</v>
      </c>
      <c r="Y160" s="8">
        <v>9.6385542199999993E-2</v>
      </c>
      <c r="Z160" s="8">
        <v>0.48192771080000002</v>
      </c>
      <c r="AA160" s="8">
        <v>0.3734939759</v>
      </c>
      <c r="AB160" s="8">
        <v>0.83040488918571398</v>
      </c>
      <c r="AC160" s="8">
        <v>5.3475935899999903E-2</v>
      </c>
      <c r="AD160" s="8">
        <v>0.20320855609999999</v>
      </c>
      <c r="AE160" s="8">
        <v>0.36898395719999999</v>
      </c>
      <c r="AF160" s="8">
        <v>0.37433155079999902</v>
      </c>
      <c r="AG160" s="8">
        <v>0.76088617265714198</v>
      </c>
      <c r="AH160" s="8">
        <v>5.8823529399999998E-2</v>
      </c>
      <c r="AI160" s="8">
        <v>0.3155080214</v>
      </c>
      <c r="AJ160" s="8">
        <v>0.33155080209999999</v>
      </c>
      <c r="AK160" s="8">
        <v>0.29411764709999999</v>
      </c>
      <c r="AL160" s="8">
        <v>0.994117647058823</v>
      </c>
      <c r="AM160" s="8">
        <v>0.97647058823529398</v>
      </c>
      <c r="AN160" s="8">
        <v>0.95897435897435901</v>
      </c>
      <c r="AO160" s="8">
        <v>0.95897435897435901</v>
      </c>
      <c r="AP160" s="4">
        <v>0.25</v>
      </c>
      <c r="AQ160" s="4">
        <v>0.90893921329420801</v>
      </c>
      <c r="AR160" s="4">
        <v>1</v>
      </c>
      <c r="AS160" s="4">
        <v>0.88817972518675903</v>
      </c>
      <c r="AT160" s="4">
        <v>0</v>
      </c>
      <c r="AU160" s="4">
        <v>0.81780709398193996</v>
      </c>
      <c r="AV160" s="4">
        <v>0</v>
      </c>
      <c r="AW160" s="4">
        <v>0.82785711965060904</v>
      </c>
      <c r="AX160" s="4">
        <v>0</v>
      </c>
      <c r="AY160" s="11">
        <f>VLOOKUP(B160,[1]Página1!$A:$E,5,0)</f>
        <v>10655601.689999999</v>
      </c>
    </row>
    <row r="161" spans="1:51" ht="15.75" customHeight="1" x14ac:dyDescent="0.3">
      <c r="A161" s="4">
        <v>3201902</v>
      </c>
      <c r="B161" s="4" t="s">
        <v>56</v>
      </c>
      <c r="C161" s="5">
        <v>2024</v>
      </c>
      <c r="D161" s="5">
        <v>0.58556354891416995</v>
      </c>
      <c r="E161" s="5">
        <v>0.51329704801712095</v>
      </c>
      <c r="F161" s="5">
        <v>0.98799999999999999</v>
      </c>
      <c r="G161" s="5">
        <v>0.520370768681236</v>
      </c>
      <c r="H161" s="8">
        <v>0.429605257075166</v>
      </c>
      <c r="I161" s="8">
        <v>0.63883473443005301</v>
      </c>
      <c r="J161" s="8">
        <v>0.73495444071156202</v>
      </c>
      <c r="K161" s="8">
        <v>0.74199784079022801</v>
      </c>
      <c r="L161" s="8">
        <v>0.12425607343877</v>
      </c>
      <c r="M161" s="8">
        <v>0.535671628069878</v>
      </c>
      <c r="N161" s="8">
        <v>0.60112783917756496</v>
      </c>
      <c r="O161" s="8">
        <v>0.56430991796646601</v>
      </c>
      <c r="P161" s="8">
        <v>0.592569371400962</v>
      </c>
      <c r="Q161" s="8">
        <v>0.61543733973564396</v>
      </c>
      <c r="R161" s="8">
        <v>0.86589635852857105</v>
      </c>
      <c r="S161" s="8">
        <v>0.100490196099999</v>
      </c>
      <c r="T161" s="8">
        <v>5.8823529399999998E-2</v>
      </c>
      <c r="U161" s="8">
        <v>0.31862745100000001</v>
      </c>
      <c r="V161" s="8">
        <v>0.52205882349999999</v>
      </c>
      <c r="W161" s="8">
        <v>0.83967865871428504</v>
      </c>
      <c r="X161" s="8">
        <v>4.1564792199999902E-2</v>
      </c>
      <c r="Y161" s="8">
        <v>0.20782396089999999</v>
      </c>
      <c r="Z161" s="8">
        <v>0.4400977995</v>
      </c>
      <c r="AA161" s="8">
        <v>0.31051344739999998</v>
      </c>
      <c r="AB161" s="8">
        <v>0.85063455902857099</v>
      </c>
      <c r="AC161" s="8">
        <v>3.8724373600000001E-2</v>
      </c>
      <c r="AD161" s="8">
        <v>0.19362186789999999</v>
      </c>
      <c r="AE161" s="8">
        <v>0.3986332574</v>
      </c>
      <c r="AF161" s="8">
        <v>0.36902050109999901</v>
      </c>
      <c r="AG161" s="8">
        <v>0.79726651474285704</v>
      </c>
      <c r="AH161" s="8">
        <v>6.6059225599999993E-2</v>
      </c>
      <c r="AI161" s="8">
        <v>0.23917995439999901</v>
      </c>
      <c r="AJ161" s="8">
        <v>0.410022779</v>
      </c>
      <c r="AK161" s="8">
        <v>0.284738041</v>
      </c>
      <c r="AL161" s="8">
        <v>0.91071428571428503</v>
      </c>
      <c r="AM161" s="8">
        <v>0.91294642857142805</v>
      </c>
      <c r="AN161" s="8">
        <v>0.93603411513859203</v>
      </c>
      <c r="AO161" s="8">
        <v>0.93603411513859203</v>
      </c>
      <c r="AP161" s="4">
        <v>0.520370768681236</v>
      </c>
      <c r="AQ161" s="4">
        <v>0.90375807904434602</v>
      </c>
      <c r="AR161" s="4">
        <v>1</v>
      </c>
      <c r="AS161" s="4">
        <v>0.94500192115163695</v>
      </c>
      <c r="AT161" s="4">
        <v>1</v>
      </c>
      <c r="AU161" s="4">
        <v>0.82927422193209099</v>
      </c>
      <c r="AV161" s="4">
        <v>0</v>
      </c>
      <c r="AW161" s="4">
        <v>0.88456435644458797</v>
      </c>
      <c r="AX161" s="4">
        <v>8.1483074724944399E-2</v>
      </c>
      <c r="AY161" s="11">
        <f>VLOOKUP(B161,[1]Página1!$A:$E,5,0)</f>
        <v>10313243.48</v>
      </c>
    </row>
    <row r="162" spans="1:51" ht="15.75" customHeight="1" x14ac:dyDescent="0.3">
      <c r="A162" s="4">
        <v>3203163</v>
      </c>
      <c r="B162" s="4" t="s">
        <v>57</v>
      </c>
      <c r="C162" s="5">
        <v>2024</v>
      </c>
      <c r="D162" s="5">
        <v>0.65852455744891802</v>
      </c>
      <c r="E162" s="5">
        <v>0.56896365349845501</v>
      </c>
      <c r="F162" s="5">
        <v>0.98499999999999999</v>
      </c>
      <c r="G162" s="5">
        <v>0.75</v>
      </c>
      <c r="H162" s="8">
        <v>0.48382885126220698</v>
      </c>
      <c r="I162" s="8">
        <v>0.696665856852827</v>
      </c>
      <c r="J162" s="8">
        <v>0.78359017634332995</v>
      </c>
      <c r="K162" s="8">
        <v>0.797437462778258</v>
      </c>
      <c r="L162" s="8">
        <v>0.18406752618108399</v>
      </c>
      <c r="M162" s="8">
        <v>0.59589425092739701</v>
      </c>
      <c r="N162" s="8">
        <v>0.62913853704792899</v>
      </c>
      <c r="O162" s="8">
        <v>0.61041170584594495</v>
      </c>
      <c r="P162" s="8">
        <v>0.6368048570864</v>
      </c>
      <c r="Q162" s="8">
        <v>0.68719753399779004</v>
      </c>
      <c r="R162" s="8">
        <v>0.953869047585714</v>
      </c>
      <c r="S162" s="8">
        <v>1.04166666999999E-2</v>
      </c>
      <c r="T162" s="8">
        <v>6.25E-2</v>
      </c>
      <c r="U162" s="8">
        <v>0.36458333329999998</v>
      </c>
      <c r="V162" s="8">
        <v>0.5625</v>
      </c>
      <c r="W162" s="8">
        <v>0.96352583588571405</v>
      </c>
      <c r="X162" s="8">
        <v>5.5511151231257802E-17</v>
      </c>
      <c r="Y162" s="8">
        <v>6.3829787200000002E-2</v>
      </c>
      <c r="Z162" s="8">
        <v>0.58510638299999995</v>
      </c>
      <c r="AA162" s="8">
        <v>0.3510638298</v>
      </c>
      <c r="AB162" s="8">
        <v>0.90934065927142804</v>
      </c>
      <c r="AC162" s="8">
        <v>1.9230769299999999E-2</v>
      </c>
      <c r="AD162" s="8">
        <v>0.125</v>
      </c>
      <c r="AE162" s="8">
        <v>0.4038461538</v>
      </c>
      <c r="AF162" s="8">
        <v>0.4519230769</v>
      </c>
      <c r="AG162" s="8">
        <v>0.85989010984285696</v>
      </c>
      <c r="AH162" s="8">
        <v>1.9230769299999999E-2</v>
      </c>
      <c r="AI162" s="8">
        <v>0.2115384615</v>
      </c>
      <c r="AJ162" s="8">
        <v>0.3076923077</v>
      </c>
      <c r="AK162" s="8">
        <v>0.4615384615</v>
      </c>
      <c r="AL162" s="8">
        <v>0.94117647058823495</v>
      </c>
      <c r="AM162" s="8">
        <v>0.92156862745098</v>
      </c>
      <c r="AN162" s="8">
        <v>0.98113207547169801</v>
      </c>
      <c r="AO162" s="8">
        <v>0.98113207547169801</v>
      </c>
      <c r="AP162" s="4">
        <v>0.75</v>
      </c>
      <c r="AQ162" s="4">
        <v>0.96290620800991999</v>
      </c>
      <c r="AR162" s="4">
        <v>1</v>
      </c>
      <c r="AS162" s="4">
        <v>0.98129120023106298</v>
      </c>
      <c r="AT162" s="4">
        <v>1</v>
      </c>
      <c r="AU162" s="4">
        <v>0.88399884665870498</v>
      </c>
      <c r="AV162" s="4">
        <v>0</v>
      </c>
      <c r="AW162" s="4">
        <v>0.91503755880402604</v>
      </c>
      <c r="AX162" s="4">
        <v>1</v>
      </c>
      <c r="AY162" s="11">
        <f>VLOOKUP(B162,[1]Página1!$A:$E,5,0)</f>
        <v>11598269.92</v>
      </c>
    </row>
    <row r="163" spans="1:51" ht="15.75" customHeight="1" x14ac:dyDescent="0.3">
      <c r="A163" s="4">
        <v>3204559</v>
      </c>
      <c r="B163" s="4" t="s">
        <v>58</v>
      </c>
      <c r="C163" s="5">
        <v>2024</v>
      </c>
      <c r="D163" s="5">
        <v>0.63586944983444305</v>
      </c>
      <c r="E163" s="5">
        <v>0.54195635690634703</v>
      </c>
      <c r="F163" s="5">
        <v>0.96</v>
      </c>
      <c r="G163" s="5">
        <v>0.75</v>
      </c>
      <c r="H163" s="8">
        <v>0.486666568988324</v>
      </c>
      <c r="I163" s="8">
        <v>0.62489103878338004</v>
      </c>
      <c r="J163" s="8">
        <v>0.76787782316168895</v>
      </c>
      <c r="K163" s="8">
        <v>0.74905691911862404</v>
      </c>
      <c r="L163" s="8">
        <v>0.20545531481495999</v>
      </c>
      <c r="M163" s="8">
        <v>0.50072515844813603</v>
      </c>
      <c r="N163" s="8">
        <v>0.60098031129902896</v>
      </c>
      <c r="O163" s="8">
        <v>0.62469258568904595</v>
      </c>
      <c r="P163" s="8">
        <v>0.59429746330699296</v>
      </c>
      <c r="Q163" s="8">
        <v>0.61376563243215099</v>
      </c>
      <c r="R163" s="8">
        <v>0.85428571428571398</v>
      </c>
      <c r="S163" s="8">
        <v>0.06</v>
      </c>
      <c r="T163" s="8">
        <v>0.15</v>
      </c>
      <c r="U163" s="8">
        <v>0.31</v>
      </c>
      <c r="V163" s="8">
        <v>0.48</v>
      </c>
      <c r="W163" s="8">
        <v>0.93023255812857097</v>
      </c>
      <c r="X163" s="8">
        <v>1.66112956999999E-2</v>
      </c>
      <c r="Y163" s="8">
        <v>9.3023255799999996E-2</v>
      </c>
      <c r="Z163" s="8">
        <v>0.415282392</v>
      </c>
      <c r="AA163" s="8">
        <v>0.47508305649999999</v>
      </c>
      <c r="AB163" s="8">
        <v>0.846579476885714</v>
      </c>
      <c r="AC163" s="8">
        <v>5.2816901399999998E-2</v>
      </c>
      <c r="AD163" s="8">
        <v>0.17605633800000001</v>
      </c>
      <c r="AE163" s="8">
        <v>0.38380281689999901</v>
      </c>
      <c r="AF163" s="8">
        <v>0.38732394370000001</v>
      </c>
      <c r="AG163" s="8">
        <v>0.80432595577142796</v>
      </c>
      <c r="AH163" s="8">
        <v>6.6901408400000001E-2</v>
      </c>
      <c r="AI163" s="8">
        <v>0.2253521127</v>
      </c>
      <c r="AJ163" s="8">
        <v>0.43661971830000001</v>
      </c>
      <c r="AK163" s="8">
        <v>0.27112676059999902</v>
      </c>
      <c r="AL163" s="8">
        <v>0.96463022508038498</v>
      </c>
      <c r="AM163" s="8">
        <v>0.96784565916398702</v>
      </c>
      <c r="AN163" s="8">
        <v>0.96271186440677903</v>
      </c>
      <c r="AO163" s="8">
        <v>0.96271186440677903</v>
      </c>
      <c r="AP163" s="4">
        <v>0.75</v>
      </c>
      <c r="AQ163" s="4">
        <v>0.91171585190534998</v>
      </c>
      <c r="AR163" s="4">
        <v>1</v>
      </c>
      <c r="AS163" s="4">
        <v>0.94676932295184602</v>
      </c>
      <c r="AT163" s="4">
        <v>1</v>
      </c>
      <c r="AU163" s="4">
        <v>0.90500337625821903</v>
      </c>
      <c r="AV163" s="4">
        <v>1</v>
      </c>
      <c r="AW163" s="4">
        <v>0.88607240817567701</v>
      </c>
      <c r="AX163" s="4">
        <v>0</v>
      </c>
      <c r="AY163" s="11">
        <f>VLOOKUP(B163,[1]Página1!$A:$E,5,0)</f>
        <v>11199256.630000001</v>
      </c>
    </row>
    <row r="164" spans="1:51" ht="15.75" customHeight="1" x14ac:dyDescent="0.3">
      <c r="A164" s="4">
        <v>3205069</v>
      </c>
      <c r="B164" s="4" t="s">
        <v>59</v>
      </c>
      <c r="C164" s="5">
        <v>2024</v>
      </c>
      <c r="D164" s="5">
        <v>0.54641619301435396</v>
      </c>
      <c r="E164" s="5">
        <v>0.56888027573479105</v>
      </c>
      <c r="F164" s="5">
        <v>0.98799999999999999</v>
      </c>
      <c r="G164" s="5">
        <v>0</v>
      </c>
      <c r="H164" s="8">
        <v>0.526662200444587</v>
      </c>
      <c r="I164" s="8">
        <v>0.63220738867009896</v>
      </c>
      <c r="J164" s="8">
        <v>0.73998374528057398</v>
      </c>
      <c r="K164" s="8">
        <v>0.725604539595325</v>
      </c>
      <c r="L164" s="8">
        <v>0.31334065560859897</v>
      </c>
      <c r="M164" s="8">
        <v>0.53881023774487202</v>
      </c>
      <c r="N164" s="8">
        <v>0.609377385720274</v>
      </c>
      <c r="O164" s="8">
        <v>0.55105731617322995</v>
      </c>
      <c r="P164" s="8">
        <v>0.58358119903078398</v>
      </c>
      <c r="Q164" s="8">
        <v>0.59250924410413397</v>
      </c>
      <c r="R164" s="8">
        <v>0.87461459405714204</v>
      </c>
      <c r="S164" s="8">
        <v>7.1942446000000104E-2</v>
      </c>
      <c r="T164" s="8">
        <v>9.3525179900000005E-2</v>
      </c>
      <c r="U164" s="8">
        <v>0.31654676259999998</v>
      </c>
      <c r="V164" s="8">
        <v>0.5179856115</v>
      </c>
      <c r="W164" s="8">
        <v>0.84558823529999905</v>
      </c>
      <c r="X164" s="8">
        <v>3.67647059E-2</v>
      </c>
      <c r="Y164" s="8">
        <v>0.20588235290000001</v>
      </c>
      <c r="Z164" s="8">
        <v>0.50735294119999996</v>
      </c>
      <c r="AA164" s="8">
        <v>0.25</v>
      </c>
      <c r="AB164" s="8">
        <v>0.84389782394285695</v>
      </c>
      <c r="AC164" s="8">
        <v>4.6357615999999997E-2</v>
      </c>
      <c r="AD164" s="8">
        <v>0.19205298009999999</v>
      </c>
      <c r="AE164" s="8">
        <v>0.45033112580000001</v>
      </c>
      <c r="AF164" s="8">
        <v>0.31125827810000001</v>
      </c>
      <c r="AG164" s="8">
        <v>0.74456007568571403</v>
      </c>
      <c r="AH164" s="8">
        <v>9.2715231799999895E-2</v>
      </c>
      <c r="AI164" s="8">
        <v>0.28476821190000001</v>
      </c>
      <c r="AJ164" s="8">
        <v>0.33774834440000001</v>
      </c>
      <c r="AK164" s="8">
        <v>0.28476821190000001</v>
      </c>
      <c r="AL164" s="8">
        <v>0.932885906040268</v>
      </c>
      <c r="AM164" s="8">
        <v>0.91275167785234901</v>
      </c>
      <c r="AN164" s="8">
        <v>0.93209876543209802</v>
      </c>
      <c r="AO164" s="8">
        <v>0.93209876543209802</v>
      </c>
      <c r="AP164" s="4">
        <v>0</v>
      </c>
      <c r="AQ164" s="4">
        <v>0.89599511227865003</v>
      </c>
      <c r="AR164" s="4">
        <v>0</v>
      </c>
      <c r="AS164" s="4">
        <v>0.881105007331628</v>
      </c>
      <c r="AT164" s="4">
        <v>0</v>
      </c>
      <c r="AU164" s="4">
        <v>0.83660105411273999</v>
      </c>
      <c r="AV164" s="4">
        <v>0</v>
      </c>
      <c r="AW164" s="4">
        <v>0.85114129738633504</v>
      </c>
      <c r="AX164" s="4">
        <v>0</v>
      </c>
      <c r="AY164" s="11">
        <f>VLOOKUP(B164,[1]Página1!$A:$E,5,0)</f>
        <v>9623760.3000000007</v>
      </c>
    </row>
    <row r="165" spans="1:51" ht="15.75" customHeight="1" x14ac:dyDescent="0.3">
      <c r="A165" s="4">
        <v>3200169</v>
      </c>
      <c r="B165" s="4" t="s">
        <v>60</v>
      </c>
      <c r="C165" s="5">
        <v>2024</v>
      </c>
      <c r="D165" s="5">
        <v>0.68092177189276004</v>
      </c>
      <c r="E165" s="5">
        <v>0.576940850521515</v>
      </c>
      <c r="F165" s="5">
        <v>0.996</v>
      </c>
      <c r="G165" s="5">
        <v>0.85108784351799804</v>
      </c>
      <c r="H165" s="8">
        <v>0.536363488440323</v>
      </c>
      <c r="I165" s="8">
        <v>0.63780689364330301</v>
      </c>
      <c r="J165" s="8">
        <v>0.75824851457617104</v>
      </c>
      <c r="K165" s="8">
        <v>0.71360348756680003</v>
      </c>
      <c r="L165" s="8">
        <v>0.31447846230447501</v>
      </c>
      <c r="M165" s="8">
        <v>0.56201029971980598</v>
      </c>
      <c r="N165" s="8">
        <v>0.58027585721639197</v>
      </c>
      <c r="O165" s="8">
        <v>0.61973664266495498</v>
      </c>
      <c r="P165" s="8">
        <v>0.54947266086900404</v>
      </c>
      <c r="Q165" s="8">
        <v>0.58812040372291596</v>
      </c>
      <c r="R165" s="8">
        <v>0.88163265308571404</v>
      </c>
      <c r="S165" s="8">
        <v>0.04</v>
      </c>
      <c r="T165" s="8">
        <v>0.13714285709999999</v>
      </c>
      <c r="U165" s="8">
        <v>0.3828571429</v>
      </c>
      <c r="V165" s="8">
        <v>0.44</v>
      </c>
      <c r="W165" s="8">
        <v>0.92568125509999899</v>
      </c>
      <c r="X165" s="8">
        <v>1.15606936999999E-2</v>
      </c>
      <c r="Y165" s="8">
        <v>0.1098265896</v>
      </c>
      <c r="Z165" s="8">
        <v>0.45086705199999999</v>
      </c>
      <c r="AA165" s="8">
        <v>0.42774566469999997</v>
      </c>
      <c r="AB165" s="8">
        <v>0.77394957984285695</v>
      </c>
      <c r="AC165" s="8">
        <v>8.8235294099999903E-2</v>
      </c>
      <c r="AD165" s="8">
        <v>0.2411764706</v>
      </c>
      <c r="AE165" s="8">
        <v>0.38823529410000002</v>
      </c>
      <c r="AF165" s="8">
        <v>0.28235294119999998</v>
      </c>
      <c r="AG165" s="8">
        <v>0.74957983195714195</v>
      </c>
      <c r="AH165" s="8">
        <v>0.105882352899999</v>
      </c>
      <c r="AI165" s="8">
        <v>0.25294117649999998</v>
      </c>
      <c r="AJ165" s="8">
        <v>0.39411764710000002</v>
      </c>
      <c r="AK165" s="8">
        <v>0.2470588235</v>
      </c>
      <c r="AL165" s="8">
        <v>0.94594594594594505</v>
      </c>
      <c r="AM165" s="8">
        <v>0.93513513513513502</v>
      </c>
      <c r="AN165" s="8">
        <v>0.95505617977528001</v>
      </c>
      <c r="AO165" s="8">
        <v>0.95505617977528001</v>
      </c>
      <c r="AP165" s="4">
        <v>0.85108784351799804</v>
      </c>
      <c r="AQ165" s="4">
        <v>0.95711320866710603</v>
      </c>
      <c r="AR165" s="4">
        <v>1</v>
      </c>
      <c r="AS165" s="4">
        <v>0.97216460096414303</v>
      </c>
      <c r="AT165" s="4">
        <v>1</v>
      </c>
      <c r="AU165" s="4">
        <v>0.89218108141331898</v>
      </c>
      <c r="AV165" s="4">
        <v>0.40435137407199301</v>
      </c>
      <c r="AW165" s="4">
        <v>0.92470791039183298</v>
      </c>
      <c r="AX165" s="4">
        <v>1</v>
      </c>
      <c r="AY165" s="11">
        <f>VLOOKUP(B165,[1]Página1!$A:$E,5,0)</f>
        <v>11992741.07</v>
      </c>
    </row>
    <row r="166" spans="1:51" ht="15.75" customHeight="1" x14ac:dyDescent="0.3">
      <c r="A166" s="4">
        <v>3200136</v>
      </c>
      <c r="B166" s="4" t="s">
        <v>61</v>
      </c>
      <c r="C166" s="5">
        <v>2024</v>
      </c>
      <c r="D166" s="5">
        <v>0.67972129081023802</v>
      </c>
      <c r="E166" s="5">
        <v>0.64317833484922904</v>
      </c>
      <c r="F166" s="5">
        <v>0.999</v>
      </c>
      <c r="G166" s="5">
        <v>0.530976376105185</v>
      </c>
      <c r="H166" s="8">
        <v>0.54114060356893101</v>
      </c>
      <c r="I166" s="8">
        <v>0.79623493176967697</v>
      </c>
      <c r="J166" s="8">
        <v>0.81585575127419996</v>
      </c>
      <c r="K166" s="8">
        <v>0.79236311127968495</v>
      </c>
      <c r="L166" s="8">
        <v>0.26642545586366101</v>
      </c>
      <c r="M166" s="8">
        <v>0.80010675225966899</v>
      </c>
      <c r="N166" s="8">
        <v>0.67056257373085804</v>
      </c>
      <c r="O166" s="8">
        <v>0.70268191812062097</v>
      </c>
      <c r="P166" s="8">
        <v>0.64552977583084903</v>
      </c>
      <c r="Q166" s="8">
        <v>0.66502744851893703</v>
      </c>
      <c r="R166" s="8">
        <v>0.96379647748571395</v>
      </c>
      <c r="S166" s="8">
        <v>2.05479451999999E-2</v>
      </c>
      <c r="T166" s="8">
        <v>2.73972603E-2</v>
      </c>
      <c r="U166" s="8">
        <v>0.23972602739999899</v>
      </c>
      <c r="V166" s="8">
        <v>0.71232876710000004</v>
      </c>
      <c r="W166" s="8">
        <v>0.97733990150000005</v>
      </c>
      <c r="X166" s="8">
        <v>6.8965516999999199E-3</v>
      </c>
      <c r="Y166" s="8">
        <v>2.75862069E-2</v>
      </c>
      <c r="Z166" s="8">
        <v>0.16551724139999999</v>
      </c>
      <c r="AA166" s="8">
        <v>0.8</v>
      </c>
      <c r="AB166" s="8">
        <v>0.93506493508571398</v>
      </c>
      <c r="AC166" s="8">
        <v>8.2644627999999797E-3</v>
      </c>
      <c r="AD166" s="8">
        <v>9.9173553699999903E-2</v>
      </c>
      <c r="AE166" s="8">
        <v>0.40495867769999999</v>
      </c>
      <c r="AF166" s="8">
        <v>0.4876033058</v>
      </c>
      <c r="AG166" s="8">
        <v>0.87721369542857097</v>
      </c>
      <c r="AH166" s="8">
        <v>3.3057851200000099E-2</v>
      </c>
      <c r="AI166" s="8">
        <v>0.1570247934</v>
      </c>
      <c r="AJ166" s="8">
        <v>0.47107438019999998</v>
      </c>
      <c r="AK166" s="8">
        <v>0.33884297519999901</v>
      </c>
      <c r="AL166" s="8">
        <v>0.92993630573248398</v>
      </c>
      <c r="AM166" s="8">
        <v>0.92356687898089096</v>
      </c>
      <c r="AN166" s="8">
        <v>0.952755905511811</v>
      </c>
      <c r="AO166" s="8">
        <v>0.952755905511811</v>
      </c>
      <c r="AP166" s="4">
        <v>0.530976376105185</v>
      </c>
      <c r="AQ166" s="4">
        <v>0.95975675227194102</v>
      </c>
      <c r="AR166" s="4">
        <v>1</v>
      </c>
      <c r="AS166" s="4">
        <v>0.95511057574633296</v>
      </c>
      <c r="AT166" s="4">
        <v>1</v>
      </c>
      <c r="AU166" s="4">
        <v>0.86107755665287999</v>
      </c>
      <c r="AV166" s="4">
        <v>0</v>
      </c>
      <c r="AW166" s="4">
        <v>0.85809353274080702</v>
      </c>
      <c r="AX166" s="4">
        <v>0.12390550442074</v>
      </c>
      <c r="AY166" s="11">
        <f>VLOOKUP(B166,[1]Página1!$A:$E,5,0)</f>
        <v>11971597.59</v>
      </c>
    </row>
    <row r="167" spans="1:51" ht="15.75" customHeight="1" x14ac:dyDescent="0.3">
      <c r="A167" s="4">
        <v>3200904</v>
      </c>
      <c r="B167" s="4" t="s">
        <v>62</v>
      </c>
      <c r="C167" s="5">
        <v>2024</v>
      </c>
      <c r="D167" s="5">
        <v>0.64481975490899301</v>
      </c>
      <c r="E167" s="5">
        <v>0.60338536415570498</v>
      </c>
      <c r="F167" s="5">
        <v>0.98299999999999998</v>
      </c>
      <c r="G167" s="5">
        <v>0.5</v>
      </c>
      <c r="H167" s="8">
        <v>0.56400556923728096</v>
      </c>
      <c r="I167" s="8">
        <v>0.66245505653334003</v>
      </c>
      <c r="J167" s="8">
        <v>0.77057335903650703</v>
      </c>
      <c r="K167" s="8">
        <v>0.75258610356261502</v>
      </c>
      <c r="L167" s="8">
        <v>0.35743777943805499</v>
      </c>
      <c r="M167" s="8">
        <v>0.57232400950406404</v>
      </c>
      <c r="N167" s="8">
        <v>0.61363462176499395</v>
      </c>
      <c r="O167" s="8">
        <v>0.62342959828789901</v>
      </c>
      <c r="P167" s="8">
        <v>0.61015695500877498</v>
      </c>
      <c r="Q167" s="8">
        <v>0.63434100789196102</v>
      </c>
      <c r="R167" s="8">
        <v>0.92337392335714197</v>
      </c>
      <c r="S167" s="8">
        <v>2.91060291E-2</v>
      </c>
      <c r="T167" s="8">
        <v>8.3160083199999998E-2</v>
      </c>
      <c r="U167" s="8">
        <v>0.3866943867</v>
      </c>
      <c r="V167" s="8">
        <v>0.50103950099999905</v>
      </c>
      <c r="W167" s="8">
        <v>0.92826747711428503</v>
      </c>
      <c r="X167" s="8">
        <v>2.5531914999999999E-2</v>
      </c>
      <c r="Y167" s="8">
        <v>8.0851063799999998E-2</v>
      </c>
      <c r="Z167" s="8">
        <v>0.41276595739999999</v>
      </c>
      <c r="AA167" s="8">
        <v>0.48085106379999998</v>
      </c>
      <c r="AB167" s="8">
        <v>0.85509367681428505</v>
      </c>
      <c r="AC167" s="8">
        <v>4.3032786899999897E-2</v>
      </c>
      <c r="AD167" s="8">
        <v>0.1782786885</v>
      </c>
      <c r="AE167" s="8">
        <v>0.3545081967</v>
      </c>
      <c r="AF167" s="8">
        <v>0.42418032789999999</v>
      </c>
      <c r="AG167" s="8">
        <v>0.80327868845714201</v>
      </c>
      <c r="AH167" s="8">
        <v>8.19672132E-2</v>
      </c>
      <c r="AI167" s="8">
        <v>0.20081967209999901</v>
      </c>
      <c r="AJ167" s="8">
        <v>0.36270491799999999</v>
      </c>
      <c r="AK167" s="8">
        <v>0.3545081967</v>
      </c>
      <c r="AL167" s="8">
        <v>0.93036750483558905</v>
      </c>
      <c r="AM167" s="8">
        <v>0.90909090909090895</v>
      </c>
      <c r="AN167" s="8">
        <v>0.93666026871401098</v>
      </c>
      <c r="AO167" s="8">
        <v>0.93666026871401098</v>
      </c>
      <c r="AP167" s="4">
        <v>0.5</v>
      </c>
      <c r="AQ167" s="4">
        <v>0.95849144196821401</v>
      </c>
      <c r="AR167" s="4">
        <v>1</v>
      </c>
      <c r="AS167" s="4">
        <v>0.98411654621760303</v>
      </c>
      <c r="AT167" s="4">
        <v>1</v>
      </c>
      <c r="AU167" s="4">
        <v>0.842363726369318</v>
      </c>
      <c r="AV167" s="4">
        <v>0</v>
      </c>
      <c r="AW167" s="4">
        <v>0.83918708742771397</v>
      </c>
      <c r="AX167" s="4">
        <v>0</v>
      </c>
      <c r="AY167" s="11">
        <f>VLOOKUP(B167,[1]Página1!$A:$E,5,0)</f>
        <v>11356893.960000001</v>
      </c>
    </row>
    <row r="168" spans="1:51" ht="15.75" customHeight="1" x14ac:dyDescent="0.3">
      <c r="A168" s="4">
        <v>3202108</v>
      </c>
      <c r="B168" s="4" t="s">
        <v>63</v>
      </c>
      <c r="C168" s="5">
        <v>2024</v>
      </c>
      <c r="D168" s="5">
        <v>0.77964254994594195</v>
      </c>
      <c r="E168" s="5">
        <v>0.792560785637061</v>
      </c>
      <c r="F168" s="5">
        <v>0.999</v>
      </c>
      <c r="G168" s="5">
        <v>0.5</v>
      </c>
      <c r="H168" s="8">
        <v>0.77676225175744695</v>
      </c>
      <c r="I168" s="8">
        <v>0.81625858645648197</v>
      </c>
      <c r="J168" s="8">
        <v>0.80540500893357803</v>
      </c>
      <c r="K168" s="8">
        <v>0.77089585913704795</v>
      </c>
      <c r="L168" s="8">
        <v>0.74811949458131599</v>
      </c>
      <c r="M168" s="8">
        <v>0.861621313775916</v>
      </c>
      <c r="N168" s="8">
        <v>0.65651891532593498</v>
      </c>
      <c r="O168" s="8">
        <v>0.68466185946722302</v>
      </c>
      <c r="P168" s="8">
        <v>0.62648012514065798</v>
      </c>
      <c r="Q168" s="8">
        <v>0.64731424423774897</v>
      </c>
      <c r="R168" s="8">
        <v>0.96598639465714198</v>
      </c>
      <c r="S168" s="8">
        <v>9.52380939999997E-3</v>
      </c>
      <c r="T168" s="8">
        <v>4.2857142899999999E-2</v>
      </c>
      <c r="U168" s="8">
        <v>0.34285714290000002</v>
      </c>
      <c r="V168" s="8">
        <v>0.60476190480000003</v>
      </c>
      <c r="W168" s="8">
        <v>0.962225274728571</v>
      </c>
      <c r="X168" s="8">
        <v>4.8076922999999898E-3</v>
      </c>
      <c r="Y168" s="8">
        <v>5.7692307700000001E-2</v>
      </c>
      <c r="Z168" s="8">
        <v>0.2980769231</v>
      </c>
      <c r="AA168" s="8">
        <v>0.6394230769</v>
      </c>
      <c r="AB168" s="8">
        <v>0.89444444451428495</v>
      </c>
      <c r="AC168" s="8">
        <v>3.88888888E-2</v>
      </c>
      <c r="AD168" s="8">
        <v>0.11666666669999901</v>
      </c>
      <c r="AE168" s="8">
        <v>0.38888888889999901</v>
      </c>
      <c r="AF168" s="8">
        <v>0.4555555556</v>
      </c>
      <c r="AG168" s="8">
        <v>0.79999999998571403</v>
      </c>
      <c r="AH168" s="8">
        <v>6.6666666700000002E-2</v>
      </c>
      <c r="AI168" s="8">
        <v>0.233333333299999</v>
      </c>
      <c r="AJ168" s="8">
        <v>0.3277777778</v>
      </c>
      <c r="AK168" s="8">
        <v>0.37222222220000001</v>
      </c>
      <c r="AL168" s="8">
        <v>0.92511013215858995</v>
      </c>
      <c r="AM168" s="8">
        <v>0.91629955947136499</v>
      </c>
      <c r="AN168" s="8">
        <v>0.96256684491978595</v>
      </c>
      <c r="AO168" s="8">
        <v>0.96256684491978595</v>
      </c>
      <c r="AP168" s="4">
        <v>0.5</v>
      </c>
      <c r="AQ168" s="4">
        <v>0.99114412209260705</v>
      </c>
      <c r="AR168" s="4">
        <v>1</v>
      </c>
      <c r="AS168" s="4">
        <v>1.0019958961511699</v>
      </c>
      <c r="AT168" s="4">
        <v>1</v>
      </c>
      <c r="AU168" s="4">
        <v>0.79586300969589996</v>
      </c>
      <c r="AV168" s="4">
        <v>0</v>
      </c>
      <c r="AW168" s="4">
        <v>0.80969678509728105</v>
      </c>
      <c r="AX168" s="4">
        <v>0</v>
      </c>
      <c r="AY168" s="11">
        <f>VLOOKUP(B168,[1]Página1!$A:$E,5,0)</f>
        <v>13731461.699999999</v>
      </c>
    </row>
    <row r="169" spans="1:51" ht="15.75" customHeight="1" x14ac:dyDescent="0.3">
      <c r="A169" s="4">
        <v>3203304</v>
      </c>
      <c r="B169" s="4" t="s">
        <v>64</v>
      </c>
      <c r="C169" s="5">
        <v>2024</v>
      </c>
      <c r="D169" s="5">
        <v>0.63024135731492303</v>
      </c>
      <c r="E169" s="5">
        <v>0.52467522919334497</v>
      </c>
      <c r="F169" s="5">
        <v>0.99399999999999999</v>
      </c>
      <c r="G169" s="5">
        <v>0.75912464586387696</v>
      </c>
      <c r="H169" s="8">
        <v>0.51780900114823303</v>
      </c>
      <c r="I169" s="8">
        <v>0.534974571261014</v>
      </c>
      <c r="J169" s="8">
        <v>0.81050155517565603</v>
      </c>
      <c r="K169" s="8">
        <v>0.76625278381068196</v>
      </c>
      <c r="L169" s="8">
        <v>0.225116447120811</v>
      </c>
      <c r="M169" s="8">
        <v>0.30369635871134598</v>
      </c>
      <c r="N169" s="8">
        <v>0.67542029430404904</v>
      </c>
      <c r="O169" s="8">
        <v>0.66246546621636304</v>
      </c>
      <c r="P169" s="8">
        <v>0.62685907603740698</v>
      </c>
      <c r="Q169" s="8">
        <v>0.66367545821960805</v>
      </c>
      <c r="R169" s="8">
        <v>0.97590361445714302</v>
      </c>
      <c r="S169" s="8">
        <v>0</v>
      </c>
      <c r="T169" s="8">
        <v>4.2168674699999999E-2</v>
      </c>
      <c r="U169" s="8">
        <v>0.313253012</v>
      </c>
      <c r="V169" s="8">
        <v>0.64457831330000004</v>
      </c>
      <c r="W169" s="8">
        <v>0.93201376927142798</v>
      </c>
      <c r="X169" s="8">
        <v>6.0240965000000202E-3</v>
      </c>
      <c r="Y169" s="8">
        <v>0.1084337349</v>
      </c>
      <c r="Z169" s="8">
        <v>0.313253012</v>
      </c>
      <c r="AA169" s="8">
        <v>0.57228915660000002</v>
      </c>
      <c r="AB169" s="8">
        <v>0.88423645318571398</v>
      </c>
      <c r="AC169" s="8">
        <v>4.0229885099999897E-2</v>
      </c>
      <c r="AD169" s="8">
        <v>0.13218390799999999</v>
      </c>
      <c r="AE169" s="8">
        <v>0.408045977</v>
      </c>
      <c r="AF169" s="8">
        <v>0.41954022990000001</v>
      </c>
      <c r="AG169" s="8">
        <v>0.85221674878571396</v>
      </c>
      <c r="AH169" s="8">
        <v>4.5977011499999998E-2</v>
      </c>
      <c r="AI169" s="8">
        <v>0.17816091949999999</v>
      </c>
      <c r="AJ169" s="8">
        <v>0.38505747130000001</v>
      </c>
      <c r="AK169" s="8">
        <v>0.39080459769999998</v>
      </c>
      <c r="AL169" s="8">
        <v>0.94318181818181801</v>
      </c>
      <c r="AM169" s="8">
        <v>0.94318181818181801</v>
      </c>
      <c r="AN169" s="8">
        <v>0.90625</v>
      </c>
      <c r="AO169" s="8">
        <v>0.90625</v>
      </c>
      <c r="AP169" s="4">
        <v>0.75912464586387696</v>
      </c>
      <c r="AQ169" s="4">
        <v>0.97306828982475901</v>
      </c>
      <c r="AR169" s="4">
        <v>1</v>
      </c>
      <c r="AS169" s="4">
        <v>1.01458716745246</v>
      </c>
      <c r="AT169" s="4">
        <v>1</v>
      </c>
      <c r="AU169" s="4">
        <v>0.86747817991318399</v>
      </c>
      <c r="AV169" s="4">
        <v>3.6498583455510498E-2</v>
      </c>
      <c r="AW169" s="4">
        <v>0.91181741062906596</v>
      </c>
      <c r="AX169" s="4">
        <v>1</v>
      </c>
      <c r="AY169" s="11">
        <f>VLOOKUP(B169,[1]Página1!$A:$E,5,0)</f>
        <v>11100131.789999999</v>
      </c>
    </row>
    <row r="170" spans="1:51" ht="15.75" customHeight="1" x14ac:dyDescent="0.3">
      <c r="A170" s="4">
        <v>3200706</v>
      </c>
      <c r="B170" s="4" t="s">
        <v>65</v>
      </c>
      <c r="C170" s="5">
        <v>2024</v>
      </c>
      <c r="D170" s="5">
        <v>0.48543030965384798</v>
      </c>
      <c r="E170" s="5">
        <v>0.37632901379121098</v>
      </c>
      <c r="F170" s="5">
        <v>0.98</v>
      </c>
      <c r="G170" s="5">
        <v>0.5</v>
      </c>
      <c r="H170" s="8">
        <v>0.39932654179599603</v>
      </c>
      <c r="I170" s="8">
        <v>0.34183272178403301</v>
      </c>
      <c r="J170" s="8">
        <v>0.74152596063846099</v>
      </c>
      <c r="K170" s="8">
        <v>0.68366544356806702</v>
      </c>
      <c r="L170" s="8">
        <v>5.7127122953532297E-2</v>
      </c>
      <c r="M170" s="8">
        <v>0</v>
      </c>
      <c r="N170" s="8">
        <v>0.57137816756398396</v>
      </c>
      <c r="O170" s="8">
        <v>0.59428584243231697</v>
      </c>
      <c r="P170" s="8">
        <v>0.54421677210318697</v>
      </c>
      <c r="Q170" s="8">
        <v>0.53592959038686605</v>
      </c>
      <c r="R170" s="8">
        <v>0.86805555558571401</v>
      </c>
      <c r="S170" s="8">
        <v>4.86111111E-2</v>
      </c>
      <c r="T170" s="8">
        <v>0.14583333330000001</v>
      </c>
      <c r="U170" s="8">
        <v>0.41666666669999902</v>
      </c>
      <c r="V170" s="8">
        <v>0.38888888889999901</v>
      </c>
      <c r="W170" s="8">
        <v>0.90277777775714196</v>
      </c>
      <c r="X170" s="8">
        <v>4.1666666699999903E-2</v>
      </c>
      <c r="Y170" s="8">
        <v>9.72222222E-2</v>
      </c>
      <c r="Z170" s="8">
        <v>0.46527777780000001</v>
      </c>
      <c r="AA170" s="8">
        <v>0.39583333329999998</v>
      </c>
      <c r="AB170" s="8">
        <v>0.76494427557142797</v>
      </c>
      <c r="AC170" s="8">
        <v>8.5106382999999897E-2</v>
      </c>
      <c r="AD170" s="8">
        <v>0.2624113475</v>
      </c>
      <c r="AE170" s="8">
        <v>0.41843971629999999</v>
      </c>
      <c r="AF170" s="8">
        <v>0.2340425532</v>
      </c>
      <c r="AG170" s="8">
        <v>0.65146909832857103</v>
      </c>
      <c r="AH170" s="8">
        <v>0.17021276589999901</v>
      </c>
      <c r="AI170" s="8">
        <v>0.31205673760000002</v>
      </c>
      <c r="AJ170" s="8">
        <v>0.34751773049999901</v>
      </c>
      <c r="AK170" s="8">
        <v>0.17021276599999999</v>
      </c>
      <c r="AL170" s="8">
        <v>0.92307692307692302</v>
      </c>
      <c r="AM170" s="8">
        <v>0.92307692307692302</v>
      </c>
      <c r="AN170" s="8">
        <v>0.94630872483221395</v>
      </c>
      <c r="AO170" s="8">
        <v>0.94630872483221395</v>
      </c>
      <c r="AP170" s="4">
        <v>0.5</v>
      </c>
      <c r="AQ170" s="4">
        <v>0.94180864057027203</v>
      </c>
      <c r="AR170" s="4">
        <v>1</v>
      </c>
      <c r="AS170" s="4">
        <v>0.96047741344114301</v>
      </c>
      <c r="AT170" s="4">
        <v>1</v>
      </c>
      <c r="AU170" s="4">
        <v>0.83158465771476098</v>
      </c>
      <c r="AV170" s="4">
        <v>0</v>
      </c>
      <c r="AW170" s="4">
        <v>0.84876758103288397</v>
      </c>
      <c r="AX170" s="4">
        <v>0</v>
      </c>
      <c r="AY170" s="11">
        <f>VLOOKUP(B170,[1]Página1!$A:$E,5,0)</f>
        <v>8549645.8599999994</v>
      </c>
    </row>
    <row r="171" spans="1:51" ht="15.75" customHeight="1" x14ac:dyDescent="0.3">
      <c r="A171" s="4">
        <v>3201209</v>
      </c>
      <c r="B171" s="4" t="s">
        <v>66</v>
      </c>
      <c r="C171" s="5">
        <v>2024</v>
      </c>
      <c r="D171" s="5">
        <v>0.62038783871350101</v>
      </c>
      <c r="E171" s="5">
        <v>0.54354393684692304</v>
      </c>
      <c r="F171" s="5">
        <v>0.96</v>
      </c>
      <c r="G171" s="5">
        <v>0.63938055280436501</v>
      </c>
      <c r="H171" s="8">
        <v>0.49074410504222399</v>
      </c>
      <c r="I171" s="8">
        <v>0.622743684553971</v>
      </c>
      <c r="J171" s="8">
        <v>0.69378226103468199</v>
      </c>
      <c r="K171" s="8">
        <v>0.69139248769934003</v>
      </c>
      <c r="L171" s="8">
        <v>0.28770594904976499</v>
      </c>
      <c r="M171" s="8">
        <v>0.55409488140860297</v>
      </c>
      <c r="N171" s="8">
        <v>0.54475033034974596</v>
      </c>
      <c r="O171" s="8">
        <v>0.53429795957788895</v>
      </c>
      <c r="P171" s="8">
        <v>0.56209468271338503</v>
      </c>
      <c r="Q171" s="8">
        <v>0.54868725538801</v>
      </c>
      <c r="R171" s="8">
        <v>0.80582447857142803</v>
      </c>
      <c r="S171" s="8">
        <v>0.112947658399999</v>
      </c>
      <c r="T171" s="8">
        <v>0.14214876029999901</v>
      </c>
      <c r="U171" s="8">
        <v>0.40495867769999999</v>
      </c>
      <c r="V171" s="8">
        <v>0.33994490360000001</v>
      </c>
      <c r="W171" s="8">
        <v>0.78650617674285705</v>
      </c>
      <c r="X171" s="8">
        <v>7.0953436799999894E-2</v>
      </c>
      <c r="Y171" s="8">
        <v>0.2494456763</v>
      </c>
      <c r="Z171" s="8">
        <v>0.4279379157</v>
      </c>
      <c r="AA171" s="8">
        <v>0.25166297119999997</v>
      </c>
      <c r="AB171" s="8">
        <v>0.78475267328571396</v>
      </c>
      <c r="AC171" s="8">
        <v>7.0005384999999906E-2</v>
      </c>
      <c r="AD171" s="8">
        <v>0.25417339799999999</v>
      </c>
      <c r="AE171" s="8">
        <v>0.38179859989999998</v>
      </c>
      <c r="AF171" s="8">
        <v>0.29402261709999999</v>
      </c>
      <c r="AG171" s="8">
        <v>0.67202894092857102</v>
      </c>
      <c r="AH171" s="8">
        <v>0.13308189649999999</v>
      </c>
      <c r="AI171" s="8">
        <v>0.34105603449999999</v>
      </c>
      <c r="AJ171" s="8">
        <v>0.35398706899999999</v>
      </c>
      <c r="AK171" s="8">
        <v>0.171875</v>
      </c>
      <c r="AL171" s="8">
        <v>0.89807026224641195</v>
      </c>
      <c r="AM171" s="8">
        <v>0.89262741217219199</v>
      </c>
      <c r="AN171" s="8">
        <v>0.92664670658682602</v>
      </c>
      <c r="AO171" s="8">
        <v>0.92614770459081797</v>
      </c>
      <c r="AP171" s="4">
        <v>0.63938055280436501</v>
      </c>
      <c r="AQ171" s="4">
        <v>0.90544607043868996</v>
      </c>
      <c r="AR171" s="4">
        <v>1</v>
      </c>
      <c r="AS171" s="4">
        <v>0.90432848298366297</v>
      </c>
      <c r="AT171" s="4">
        <v>1</v>
      </c>
      <c r="AU171" s="4">
        <v>0.87900901094620498</v>
      </c>
      <c r="AV171" s="4">
        <v>0.25832751553796102</v>
      </c>
      <c r="AW171" s="4">
        <v>0.887904197481729</v>
      </c>
      <c r="AX171" s="4">
        <v>0.29919469567950002</v>
      </c>
      <c r="AY171" s="11">
        <f>VLOOKUP(B171,[1]Página1!$A:$E,5,0)</f>
        <v>10926586.609999999</v>
      </c>
    </row>
    <row r="172" spans="1:51" ht="15.75" customHeight="1" x14ac:dyDescent="0.3">
      <c r="A172" s="4">
        <v>3201407</v>
      </c>
      <c r="B172" s="4" t="s">
        <v>67</v>
      </c>
      <c r="C172" s="5">
        <v>2024</v>
      </c>
      <c r="D172" s="5">
        <v>0.65489040851644398</v>
      </c>
      <c r="E172" s="5">
        <v>0.62420058359492003</v>
      </c>
      <c r="F172" s="5">
        <v>0.95299999999999996</v>
      </c>
      <c r="G172" s="5">
        <v>0.5</v>
      </c>
      <c r="H172" s="8">
        <v>0.57152542658933503</v>
      </c>
      <c r="I172" s="8">
        <v>0.70321331910329798</v>
      </c>
      <c r="J172" s="8">
        <v>0.75113215182691895</v>
      </c>
      <c r="K172" s="8">
        <v>0.73546890008570898</v>
      </c>
      <c r="L172" s="8">
        <v>0.39191870135175</v>
      </c>
      <c r="M172" s="8">
        <v>0.67095773812088699</v>
      </c>
      <c r="N172" s="8">
        <v>0.60545800660202298</v>
      </c>
      <c r="O172" s="8">
        <v>0.58547301406889196</v>
      </c>
      <c r="P172" s="8">
        <v>0.59416181056134099</v>
      </c>
      <c r="Q172" s="8">
        <v>0.60039892150270402</v>
      </c>
      <c r="R172" s="8">
        <v>0.88443496808571398</v>
      </c>
      <c r="S172" s="8">
        <v>5.0746268599999998E-2</v>
      </c>
      <c r="T172" s="8">
        <v>0.11343283579999899</v>
      </c>
      <c r="U172" s="8">
        <v>0.34029850750000001</v>
      </c>
      <c r="V172" s="8">
        <v>0.49552238809999999</v>
      </c>
      <c r="W172" s="8">
        <v>0.89845094657142799</v>
      </c>
      <c r="X172" s="8">
        <v>2.4096385599999898E-2</v>
      </c>
      <c r="Y172" s="8">
        <v>0.13554216869999999</v>
      </c>
      <c r="Z172" s="8">
        <v>0.52710843370000005</v>
      </c>
      <c r="AA172" s="8">
        <v>0.313253012</v>
      </c>
      <c r="AB172" s="8">
        <v>0.85793212307142797</v>
      </c>
      <c r="AC172" s="8">
        <v>4.4198895099999899E-2</v>
      </c>
      <c r="AD172" s="8">
        <v>0.17127071820000001</v>
      </c>
      <c r="AE172" s="8">
        <v>0.43093922649999999</v>
      </c>
      <c r="AF172" s="8">
        <v>0.35359116019999998</v>
      </c>
      <c r="AG172" s="8">
        <v>0.77071823204285705</v>
      </c>
      <c r="AH172" s="8">
        <v>8.5635359099999905E-2</v>
      </c>
      <c r="AI172" s="8">
        <v>0.25138121549999998</v>
      </c>
      <c r="AJ172" s="8">
        <v>0.4005524862</v>
      </c>
      <c r="AK172" s="8">
        <v>0.26243093919999999</v>
      </c>
      <c r="AL172" s="8">
        <v>0.92286501377410401</v>
      </c>
      <c r="AM172" s="8">
        <v>0.91460055096418702</v>
      </c>
      <c r="AN172" s="8">
        <v>0.93298969072164895</v>
      </c>
      <c r="AO172" s="8">
        <v>0.93298969072164895</v>
      </c>
      <c r="AP172" s="4">
        <v>0.5</v>
      </c>
      <c r="AQ172" s="4">
        <v>0.905228588727372</v>
      </c>
      <c r="AR172" s="4">
        <v>1</v>
      </c>
      <c r="AS172" s="4">
        <v>0.92384873290710801</v>
      </c>
      <c r="AT172" s="4">
        <v>1</v>
      </c>
      <c r="AU172" s="4">
        <v>0.86197303481571097</v>
      </c>
      <c r="AV172" s="4">
        <v>0</v>
      </c>
      <c r="AW172" s="4">
        <v>0.86723254246982495</v>
      </c>
      <c r="AX172" s="4">
        <v>0</v>
      </c>
      <c r="AY172" s="11">
        <f>VLOOKUP(B172,[1]Página1!$A:$E,5,0)</f>
        <v>11534263.439999999</v>
      </c>
    </row>
    <row r="173" spans="1:51" ht="15.75" customHeight="1" x14ac:dyDescent="0.3">
      <c r="A173" s="4">
        <v>3202603</v>
      </c>
      <c r="B173" s="4" t="s">
        <v>68</v>
      </c>
      <c r="C173" s="5">
        <v>2024</v>
      </c>
      <c r="D173" s="5">
        <v>0.59720984459501503</v>
      </c>
      <c r="E173" s="5">
        <v>0.57658299507800204</v>
      </c>
      <c r="F173" s="5">
        <v>0.99099999999999999</v>
      </c>
      <c r="G173" s="5">
        <v>0.29967832026942298</v>
      </c>
      <c r="H173" s="8">
        <v>0.55001239422306902</v>
      </c>
      <c r="I173" s="8">
        <v>0.61643889636040095</v>
      </c>
      <c r="J173" s="8">
        <v>0.72569164471110903</v>
      </c>
      <c r="K173" s="8">
        <v>0.74395047113441204</v>
      </c>
      <c r="L173" s="8">
        <v>0.37433314373503002</v>
      </c>
      <c r="M173" s="8">
        <v>0.48892732158639102</v>
      </c>
      <c r="N173" s="8">
        <v>0.56651590497100901</v>
      </c>
      <c r="O173" s="8">
        <v>0.55586696643532296</v>
      </c>
      <c r="P173" s="8">
        <v>0.61601629233130595</v>
      </c>
      <c r="Q173" s="8">
        <v>0.60989179293967399</v>
      </c>
      <c r="R173" s="8">
        <v>0.80547112462857096</v>
      </c>
      <c r="S173" s="8">
        <v>0.14184397160000001</v>
      </c>
      <c r="T173" s="8">
        <v>9.2198581599999996E-2</v>
      </c>
      <c r="U173" s="8">
        <v>0.31914893620000001</v>
      </c>
      <c r="V173" s="8">
        <v>0.44680851059999999</v>
      </c>
      <c r="W173" s="8">
        <v>0.84215784211428502</v>
      </c>
      <c r="X173" s="8">
        <v>6.9930069999999997E-2</v>
      </c>
      <c r="Y173" s="8">
        <v>0.1538461538</v>
      </c>
      <c r="Z173" s="8">
        <v>0.50349650349999997</v>
      </c>
      <c r="AA173" s="8">
        <v>0.27272727270000002</v>
      </c>
      <c r="AB173" s="8">
        <v>0.87358684482857096</v>
      </c>
      <c r="AC173" s="8">
        <v>7.1942445999999497E-3</v>
      </c>
      <c r="AD173" s="8">
        <v>0.20863309350000001</v>
      </c>
      <c r="AE173" s="8">
        <v>0.35971223019999998</v>
      </c>
      <c r="AF173" s="8">
        <v>0.42446043169999997</v>
      </c>
      <c r="AG173" s="8">
        <v>0.77286742037142797</v>
      </c>
      <c r="AH173" s="8">
        <v>5.03597121999999E-2</v>
      </c>
      <c r="AI173" s="8">
        <v>0.30935251800000002</v>
      </c>
      <c r="AJ173" s="8">
        <v>0.33812949640000001</v>
      </c>
      <c r="AK173" s="8">
        <v>0.30215827340000001</v>
      </c>
      <c r="AL173" s="8">
        <v>0.95270270270270196</v>
      </c>
      <c r="AM173" s="8">
        <v>0.96621621621621601</v>
      </c>
      <c r="AN173" s="8">
        <v>0.92666666666666597</v>
      </c>
      <c r="AO173" s="8">
        <v>0.92666666666666597</v>
      </c>
      <c r="AP173" s="4">
        <v>0.29967832026942298</v>
      </c>
      <c r="AQ173" s="4">
        <v>0.866237551438508</v>
      </c>
      <c r="AR173" s="4">
        <v>0</v>
      </c>
      <c r="AS173" s="4">
        <v>0.90703946617526499</v>
      </c>
      <c r="AT173" s="4">
        <v>1</v>
      </c>
      <c r="AU173" s="4">
        <v>0.82250827484026801</v>
      </c>
      <c r="AV173" s="4">
        <v>7.0707159882163001E-2</v>
      </c>
      <c r="AW173" s="4">
        <v>0.85989500474171299</v>
      </c>
      <c r="AX173" s="4">
        <v>0.12800612119553201</v>
      </c>
      <c r="AY173" s="11">
        <f>VLOOKUP(B173,[1]Página1!$A:$E,5,0)</f>
        <v>10518363.970000001</v>
      </c>
    </row>
    <row r="174" spans="1:51" ht="15.75" customHeight="1" x14ac:dyDescent="0.3">
      <c r="A174" s="4">
        <v>3202801</v>
      </c>
      <c r="B174" s="4" t="s">
        <v>69</v>
      </c>
      <c r="C174" s="5">
        <v>2024</v>
      </c>
      <c r="D174" s="5">
        <v>0.670702566815086</v>
      </c>
      <c r="E174" s="5">
        <v>0.58875518304943997</v>
      </c>
      <c r="F174" s="5">
        <v>0.94099999999999995</v>
      </c>
      <c r="G174" s="5">
        <v>0.78282625786985405</v>
      </c>
      <c r="H174" s="8">
        <v>0.58583848414778406</v>
      </c>
      <c r="I174" s="8">
        <v>0.593130231401923</v>
      </c>
      <c r="J174" s="8">
        <v>0.72673218032617604</v>
      </c>
      <c r="K174" s="8">
        <v>0.68819157682292098</v>
      </c>
      <c r="L174" s="8">
        <v>0.44494478796939202</v>
      </c>
      <c r="M174" s="8">
        <v>0.49806888598092502</v>
      </c>
      <c r="N174" s="8">
        <v>0.55329321237706897</v>
      </c>
      <c r="O174" s="8">
        <v>0.59176560440803805</v>
      </c>
      <c r="P174" s="8">
        <v>0.55014139637917703</v>
      </c>
      <c r="Q174" s="8">
        <v>0.55156789355704094</v>
      </c>
      <c r="R174" s="8">
        <v>0.82096985582857096</v>
      </c>
      <c r="S174" s="8">
        <v>9.7247706399999995E-2</v>
      </c>
      <c r="T174" s="8">
        <v>0.1431192661</v>
      </c>
      <c r="U174" s="8">
        <v>0.414678899099999</v>
      </c>
      <c r="V174" s="8">
        <v>0.3449541284</v>
      </c>
      <c r="W174" s="8">
        <v>0.88272921111428504</v>
      </c>
      <c r="X174" s="8">
        <v>4.4776119400000002E-2</v>
      </c>
      <c r="Y174" s="8">
        <v>0.12686567159999901</v>
      </c>
      <c r="Z174" s="8">
        <v>0.43097014929999999</v>
      </c>
      <c r="AA174" s="8">
        <v>0.39738805970000002</v>
      </c>
      <c r="AB174" s="8">
        <v>0.78427612654285705</v>
      </c>
      <c r="AC174" s="8">
        <v>6.0402684599999999E-2</v>
      </c>
      <c r="AD174" s="8">
        <v>0.2718120805</v>
      </c>
      <c r="AE174" s="8">
        <v>0.41107382549999999</v>
      </c>
      <c r="AF174" s="8">
        <v>0.25671140939999998</v>
      </c>
      <c r="AG174" s="8">
        <v>0.67833173532857105</v>
      </c>
      <c r="AH174" s="8">
        <v>0.1174496645</v>
      </c>
      <c r="AI174" s="8">
        <v>0.35738255029999999</v>
      </c>
      <c r="AJ174" s="8">
        <v>0.35067114089999901</v>
      </c>
      <c r="AK174" s="8">
        <v>0.174496644299999</v>
      </c>
      <c r="AL174" s="8">
        <v>0.93003412969283195</v>
      </c>
      <c r="AM174" s="8">
        <v>0.91467576791808802</v>
      </c>
      <c r="AN174" s="8">
        <v>0.91975308641975295</v>
      </c>
      <c r="AO174" s="8">
        <v>0.91975308641975295</v>
      </c>
      <c r="AP174" s="4">
        <v>0.78282625786985405</v>
      </c>
      <c r="AQ174" s="4">
        <v>0.93066746055786298</v>
      </c>
      <c r="AR174" s="4">
        <v>1</v>
      </c>
      <c r="AS174" s="4">
        <v>0.96156638743167899</v>
      </c>
      <c r="AT174" s="4">
        <v>1</v>
      </c>
      <c r="AU174" s="4">
        <v>0.90080456835947098</v>
      </c>
      <c r="AV174" s="4">
        <v>1</v>
      </c>
      <c r="AW174" s="4">
        <v>0.86855588658915905</v>
      </c>
      <c r="AX174" s="4">
        <v>0.13130503147941699</v>
      </c>
      <c r="AY174" s="11">
        <f>VLOOKUP(B174,[1]Página1!$A:$E,5,0)</f>
        <v>11812755.220000001</v>
      </c>
    </row>
    <row r="175" spans="1:51" ht="15.75" customHeight="1" x14ac:dyDescent="0.3">
      <c r="A175" s="4">
        <v>3203106</v>
      </c>
      <c r="B175" s="4" t="s">
        <v>70</v>
      </c>
      <c r="C175" s="5">
        <v>2024</v>
      </c>
      <c r="D175" s="5">
        <v>0.64873046346615604</v>
      </c>
      <c r="E175" s="5">
        <v>0.61154351923736605</v>
      </c>
      <c r="F175" s="5">
        <v>0.97099999999999997</v>
      </c>
      <c r="G175" s="5">
        <v>0.5</v>
      </c>
      <c r="H175" s="8">
        <v>0.62035805435421598</v>
      </c>
      <c r="I175" s="8">
        <v>0.59832171656209199</v>
      </c>
      <c r="J175" s="8">
        <v>0.74410567243931403</v>
      </c>
      <c r="K175" s="8">
        <v>0.70644822083682102</v>
      </c>
      <c r="L175" s="8">
        <v>0.49661043626911799</v>
      </c>
      <c r="M175" s="8">
        <v>0.49019521228736201</v>
      </c>
      <c r="N175" s="8">
        <v>0.59306039267552002</v>
      </c>
      <c r="O175" s="8">
        <v>0.56247418209679001</v>
      </c>
      <c r="P175" s="8">
        <v>0.57278561392290805</v>
      </c>
      <c r="Q175" s="8">
        <v>0.56342056684499797</v>
      </c>
      <c r="R175" s="8">
        <v>0.85352622064285699</v>
      </c>
      <c r="S175" s="8">
        <v>8.8607594899999906E-2</v>
      </c>
      <c r="T175" s="8">
        <v>0.101265822799999</v>
      </c>
      <c r="U175" s="8">
        <v>0.31645569620000003</v>
      </c>
      <c r="V175" s="8">
        <v>0.49367088609999998</v>
      </c>
      <c r="W175" s="8">
        <v>0.84810126584285705</v>
      </c>
      <c r="X175" s="8">
        <v>2.5316455700000001E-2</v>
      </c>
      <c r="Y175" s="8">
        <v>0.2215189873</v>
      </c>
      <c r="Z175" s="8">
        <v>0.4430379747</v>
      </c>
      <c r="AA175" s="8">
        <v>0.31012658230000001</v>
      </c>
      <c r="AB175" s="8">
        <v>0.80095238089999998</v>
      </c>
      <c r="AC175" s="8">
        <v>4.6666666699999998E-2</v>
      </c>
      <c r="AD175" s="8">
        <v>0.2666666667</v>
      </c>
      <c r="AE175" s="8">
        <v>0.33333333329999998</v>
      </c>
      <c r="AF175" s="8">
        <v>0.3533333333</v>
      </c>
      <c r="AG175" s="8">
        <v>0.69142857142857095</v>
      </c>
      <c r="AH175" s="8">
        <v>0.159999999999999</v>
      </c>
      <c r="AI175" s="8">
        <v>0.26</v>
      </c>
      <c r="AJ175" s="8">
        <v>0.39333333329999998</v>
      </c>
      <c r="AK175" s="8">
        <v>0.18666666670000001</v>
      </c>
      <c r="AL175" s="8">
        <v>0.96341463414634099</v>
      </c>
      <c r="AM175" s="8">
        <v>0.96341463414634099</v>
      </c>
      <c r="AN175" s="8">
        <v>0.94339622641509402</v>
      </c>
      <c r="AO175" s="8">
        <v>0.94339622641509402</v>
      </c>
      <c r="AP175" s="4">
        <v>0.5</v>
      </c>
      <c r="AQ175" s="4">
        <v>0.90004134172682504</v>
      </c>
      <c r="AR175" s="4">
        <v>1</v>
      </c>
      <c r="AS175" s="4">
        <v>0.94840044428113002</v>
      </c>
      <c r="AT175" s="4">
        <v>1</v>
      </c>
      <c r="AU175" s="4">
        <v>0.79883070864760297</v>
      </c>
      <c r="AV175" s="4">
        <v>0</v>
      </c>
      <c r="AW175" s="4">
        <v>0.82730170964731498</v>
      </c>
      <c r="AX175" s="4">
        <v>0</v>
      </c>
      <c r="AY175" s="11">
        <f>VLOOKUP(B175,[1]Página1!$A:$E,5,0)</f>
        <v>11425771.35</v>
      </c>
    </row>
    <row r="176" spans="1:51" ht="15.75" customHeight="1" x14ac:dyDescent="0.3">
      <c r="A176" s="4">
        <v>3203320</v>
      </c>
      <c r="B176" s="4" t="s">
        <v>71</v>
      </c>
      <c r="C176" s="5">
        <v>2024</v>
      </c>
      <c r="D176" s="5">
        <v>0.58938895688679305</v>
      </c>
      <c r="E176" s="5">
        <v>0.479198509838276</v>
      </c>
      <c r="F176" s="5">
        <v>0.94299999999999995</v>
      </c>
      <c r="G176" s="5">
        <v>0.75</v>
      </c>
      <c r="H176" s="8">
        <v>0.393671284637506</v>
      </c>
      <c r="I176" s="8">
        <v>0.60748934763943196</v>
      </c>
      <c r="J176" s="8">
        <v>0.68489310560768102</v>
      </c>
      <c r="K176" s="8">
        <v>0.70430093216036305</v>
      </c>
      <c r="L176" s="8">
        <v>0.102449463667331</v>
      </c>
      <c r="M176" s="8">
        <v>0.51067776311850099</v>
      </c>
      <c r="N176" s="8">
        <v>0.54471292343300004</v>
      </c>
      <c r="O176" s="8">
        <v>0.52189784958262497</v>
      </c>
      <c r="P176" s="8">
        <v>0.572783387666288</v>
      </c>
      <c r="Q176" s="8">
        <v>0.57114672305638103</v>
      </c>
      <c r="R176" s="8">
        <v>0.795420607228571</v>
      </c>
      <c r="S176" s="8">
        <v>0.101045296199999</v>
      </c>
      <c r="T176" s="8">
        <v>0.18118466899999999</v>
      </c>
      <c r="U176" s="8">
        <v>0.41811846689999999</v>
      </c>
      <c r="V176" s="8">
        <v>0.29965156790000003</v>
      </c>
      <c r="W176" s="8">
        <v>0.78753334948571396</v>
      </c>
      <c r="X176" s="8">
        <v>6.7911714799999995E-2</v>
      </c>
      <c r="Y176" s="8">
        <v>0.2529711375</v>
      </c>
      <c r="Z176" s="8">
        <v>0.46519524619999902</v>
      </c>
      <c r="AA176" s="8">
        <v>0.21392190150000001</v>
      </c>
      <c r="AB176" s="8">
        <v>0.80500350718571401</v>
      </c>
      <c r="AC176" s="8">
        <v>5.5646481099999999E-2</v>
      </c>
      <c r="AD176" s="8">
        <v>0.24386252049999901</v>
      </c>
      <c r="AE176" s="8">
        <v>0.36824877249999999</v>
      </c>
      <c r="AF176" s="8">
        <v>0.33224222589999902</v>
      </c>
      <c r="AG176" s="8">
        <v>0.72969187679999903</v>
      </c>
      <c r="AH176" s="8">
        <v>0.10784313719999999</v>
      </c>
      <c r="AI176" s="8">
        <v>0.2843137255</v>
      </c>
      <c r="AJ176" s="8">
        <v>0.43627450979999999</v>
      </c>
      <c r="AK176" s="8">
        <v>0.17156862749999999</v>
      </c>
      <c r="AL176" s="8">
        <v>0.86706948640483295</v>
      </c>
      <c r="AM176" s="8">
        <v>0.88972809667673702</v>
      </c>
      <c r="AN176" s="8">
        <v>0.90518518518518498</v>
      </c>
      <c r="AO176" s="8">
        <v>0.90666666666666595</v>
      </c>
      <c r="AP176" s="4">
        <v>0.75</v>
      </c>
      <c r="AQ176" s="4">
        <v>0.92151963410076498</v>
      </c>
      <c r="AR176" s="4">
        <v>1</v>
      </c>
      <c r="AS176" s="4">
        <v>0.958894044505754</v>
      </c>
      <c r="AT176" s="4">
        <v>1</v>
      </c>
      <c r="AU176" s="4">
        <v>0.87580918029732602</v>
      </c>
      <c r="AV176" s="4">
        <v>0</v>
      </c>
      <c r="AW176" s="4">
        <v>0.92493435124765799</v>
      </c>
      <c r="AX176" s="4">
        <v>1</v>
      </c>
      <c r="AY176" s="11">
        <f>VLOOKUP(B176,[1]Página1!$A:$E,5,0)</f>
        <v>10380618.51</v>
      </c>
    </row>
    <row r="177" spans="1:51" ht="15.75" customHeight="1" x14ac:dyDescent="0.3">
      <c r="A177" s="4">
        <v>3203403</v>
      </c>
      <c r="B177" s="4" t="s">
        <v>72</v>
      </c>
      <c r="C177" s="5">
        <v>2024</v>
      </c>
      <c r="D177" s="5">
        <v>0.59299592920204602</v>
      </c>
      <c r="E177" s="5">
        <v>0.52085946921903803</v>
      </c>
      <c r="F177" s="5">
        <v>0.98699999999999999</v>
      </c>
      <c r="G177" s="5">
        <v>0.53562867165813199</v>
      </c>
      <c r="H177" s="8">
        <v>0.40304763235089303</v>
      </c>
      <c r="I177" s="8">
        <v>0.69757722452125603</v>
      </c>
      <c r="J177" s="8">
        <v>0.69538444581459302</v>
      </c>
      <c r="K177" s="8">
        <v>0.72964865957818303</v>
      </c>
      <c r="L177" s="8">
        <v>0.110710818887192</v>
      </c>
      <c r="M177" s="8">
        <v>0.66550578946432803</v>
      </c>
      <c r="N177" s="8">
        <v>0.53995566020738395</v>
      </c>
      <c r="O177" s="8">
        <v>0.52732825259748595</v>
      </c>
      <c r="P177" s="8">
        <v>0.60685495446672599</v>
      </c>
      <c r="Q177" s="8">
        <v>0.58469806871878605</v>
      </c>
      <c r="R177" s="8">
        <v>0.76082740788571401</v>
      </c>
      <c r="S177" s="8">
        <v>0.117647058799999</v>
      </c>
      <c r="T177" s="8">
        <v>0.2126696833</v>
      </c>
      <c r="U177" s="8">
        <v>0.34389140269999902</v>
      </c>
      <c r="V177" s="8">
        <v>0.32579185519999998</v>
      </c>
      <c r="W177" s="8">
        <v>0.77155443677142799</v>
      </c>
      <c r="X177" s="8">
        <v>7.4889867799999899E-2</v>
      </c>
      <c r="Y177" s="8">
        <v>0.26872246700000002</v>
      </c>
      <c r="Z177" s="8">
        <v>0.37004405289999998</v>
      </c>
      <c r="AA177" s="8">
        <v>0.28634361229999999</v>
      </c>
      <c r="AB177" s="8">
        <v>0.85554370999999996</v>
      </c>
      <c r="AC177" s="8">
        <v>3.3582089599999899E-2</v>
      </c>
      <c r="AD177" s="8">
        <v>0.19402985070000001</v>
      </c>
      <c r="AE177" s="8">
        <v>0.36940298509999903</v>
      </c>
      <c r="AF177" s="8">
        <v>0.40298507459999999</v>
      </c>
      <c r="AG177" s="8">
        <v>0.72441364612857095</v>
      </c>
      <c r="AH177" s="8">
        <v>0.11567164169999999</v>
      </c>
      <c r="AI177" s="8">
        <v>0.27985074630000001</v>
      </c>
      <c r="AJ177" s="8">
        <v>0.34701492539999901</v>
      </c>
      <c r="AK177" s="8">
        <v>0.25746268659999999</v>
      </c>
      <c r="AL177" s="8">
        <v>0.93644067796610098</v>
      </c>
      <c r="AM177" s="8">
        <v>0.96186440677966101</v>
      </c>
      <c r="AN177" s="8">
        <v>0.93706293706293697</v>
      </c>
      <c r="AO177" s="8">
        <v>0.93706293706293697</v>
      </c>
      <c r="AP177" s="4">
        <v>0.53562867165813199</v>
      </c>
      <c r="AQ177" s="4">
        <v>0.94202382726606604</v>
      </c>
      <c r="AR177" s="4">
        <v>1</v>
      </c>
      <c r="AS177" s="4">
        <v>0.95100003570796399</v>
      </c>
      <c r="AT177" s="4">
        <v>1</v>
      </c>
      <c r="AU177" s="4">
        <v>0.86222076469935804</v>
      </c>
      <c r="AV177" s="4">
        <v>0.142514686632528</v>
      </c>
      <c r="AW177" s="4">
        <v>0.83964394446711998</v>
      </c>
      <c r="AX177" s="4">
        <v>0</v>
      </c>
      <c r="AY177" s="11">
        <f>VLOOKUP(B177,[1]Página1!$A:$E,5,0)</f>
        <v>10444146.34</v>
      </c>
    </row>
    <row r="178" spans="1:51" ht="15.75" customHeight="1" x14ac:dyDescent="0.3">
      <c r="A178" s="4">
        <v>3203809</v>
      </c>
      <c r="B178" s="4" t="s">
        <v>73</v>
      </c>
      <c r="C178" s="5">
        <v>2024</v>
      </c>
      <c r="D178" s="5">
        <v>0.57112528370592597</v>
      </c>
      <c r="E178" s="5">
        <v>0.54513720320949099</v>
      </c>
      <c r="F178" s="5">
        <v>0.97599999999999998</v>
      </c>
      <c r="G178" s="5">
        <v>0.287528276395219</v>
      </c>
      <c r="H178" s="8">
        <v>0.48406749725904502</v>
      </c>
      <c r="I178" s="8">
        <v>0.63674176213515898</v>
      </c>
      <c r="J178" s="8">
        <v>0.71467626120988503</v>
      </c>
      <c r="K178" s="8">
        <v>0.72658470806838604</v>
      </c>
      <c r="L178" s="8">
        <v>0.25345873330820501</v>
      </c>
      <c r="M178" s="8">
        <v>0.54689881620193204</v>
      </c>
      <c r="N178" s="8">
        <v>0.54894490036703003</v>
      </c>
      <c r="O178" s="8">
        <v>0.53716975024509395</v>
      </c>
      <c r="P178" s="8">
        <v>0.59118370801648301</v>
      </c>
      <c r="Q178" s="8">
        <v>0.58837812077134699</v>
      </c>
      <c r="R178" s="8">
        <v>0.80741410487142795</v>
      </c>
      <c r="S178" s="8">
        <v>9.49367089E-2</v>
      </c>
      <c r="T178" s="8">
        <v>0.17088607589999999</v>
      </c>
      <c r="U178" s="8">
        <v>0.39873417719999998</v>
      </c>
      <c r="V178" s="8">
        <v>0.33544303800000003</v>
      </c>
      <c r="W178" s="8">
        <v>0.83870967744285696</v>
      </c>
      <c r="X178" s="8">
        <v>5.8064516099999998E-2</v>
      </c>
      <c r="Y178" s="8">
        <v>0.1806451613</v>
      </c>
      <c r="Z178" s="8">
        <v>0.54838709679999997</v>
      </c>
      <c r="AA178" s="8">
        <v>0.21290322580000001</v>
      </c>
      <c r="AB178" s="8">
        <v>0.83972125437142797</v>
      </c>
      <c r="AC178" s="8">
        <v>4.8780487800000001E-2</v>
      </c>
      <c r="AD178" s="8">
        <v>0.1951219512</v>
      </c>
      <c r="AE178" s="8">
        <v>0.43292682929999998</v>
      </c>
      <c r="AF178" s="8">
        <v>0.32317073169999999</v>
      </c>
      <c r="AG178" s="8">
        <v>0.73954703831428503</v>
      </c>
      <c r="AH178" s="8">
        <v>0.103658536599999</v>
      </c>
      <c r="AI178" s="8">
        <v>0.2743902439</v>
      </c>
      <c r="AJ178" s="8">
        <v>0.37804878050000001</v>
      </c>
      <c r="AK178" s="8">
        <v>0.243902439</v>
      </c>
      <c r="AL178" s="8">
        <v>0.95757575757575697</v>
      </c>
      <c r="AM178" s="8">
        <v>0.939393939393939</v>
      </c>
      <c r="AN178" s="8">
        <v>0.93714285714285706</v>
      </c>
      <c r="AO178" s="8">
        <v>0.93714285714285706</v>
      </c>
      <c r="AP178" s="4">
        <v>0.287528276395219</v>
      </c>
      <c r="AQ178" s="4">
        <v>0.92386255396481098</v>
      </c>
      <c r="AR178" s="4">
        <v>1</v>
      </c>
      <c r="AS178" s="4">
        <v>0.89518961407465103</v>
      </c>
      <c r="AT178" s="4">
        <v>0</v>
      </c>
      <c r="AU178" s="4">
        <v>0.86645729991571596</v>
      </c>
      <c r="AV178" s="4">
        <v>0</v>
      </c>
      <c r="AW178" s="4">
        <v>0.8956289072386</v>
      </c>
      <c r="AX178" s="4">
        <v>0.15011310558087901</v>
      </c>
      <c r="AY178" s="11">
        <f>VLOOKUP(B178,[1]Página1!$A:$E,5,0)</f>
        <v>10058949.4</v>
      </c>
    </row>
    <row r="179" spans="1:51" ht="15.75" customHeight="1" x14ac:dyDescent="0.3">
      <c r="A179" s="4">
        <v>3204302</v>
      </c>
      <c r="B179" s="4" t="s">
        <v>74</v>
      </c>
      <c r="C179" s="5">
        <v>2024</v>
      </c>
      <c r="D179" s="5">
        <v>0.66614217316353097</v>
      </c>
      <c r="E179" s="5">
        <v>0.529703104519331</v>
      </c>
      <c r="F179" s="5">
        <v>0.96899999999999997</v>
      </c>
      <c r="G179" s="5">
        <v>1</v>
      </c>
      <c r="H179" s="8">
        <v>0.48901651284276199</v>
      </c>
      <c r="I179" s="8">
        <v>0.59073299203418295</v>
      </c>
      <c r="J179" s="8">
        <v>0.70357068629732</v>
      </c>
      <c r="K179" s="8">
        <v>0.69629325882038295</v>
      </c>
      <c r="L179" s="8">
        <v>0.27446233938820502</v>
      </c>
      <c r="M179" s="8">
        <v>0.48517272524798299</v>
      </c>
      <c r="N179" s="8">
        <v>0.54486111165203699</v>
      </c>
      <c r="O179" s="8">
        <v>0.53009659073627602</v>
      </c>
      <c r="P179" s="8">
        <v>0.53274967912412097</v>
      </c>
      <c r="Q179" s="8">
        <v>0.54639735598934203</v>
      </c>
      <c r="R179" s="8">
        <v>0.81961816982857105</v>
      </c>
      <c r="S179" s="8">
        <v>8.2949308799999996E-2</v>
      </c>
      <c r="T179" s="8">
        <v>0.17050691239999999</v>
      </c>
      <c r="U179" s="8">
        <v>0.46543778799999902</v>
      </c>
      <c r="V179" s="8">
        <v>0.28110599079999998</v>
      </c>
      <c r="W179" s="8">
        <v>0.85309973045714205</v>
      </c>
      <c r="X179" s="8">
        <v>2.8301886799999901E-2</v>
      </c>
      <c r="Y179" s="8">
        <v>0.20754716979999999</v>
      </c>
      <c r="Z179" s="8">
        <v>0.62735849060000004</v>
      </c>
      <c r="AA179" s="8">
        <v>0.13679245279999999</v>
      </c>
      <c r="AB179" s="8">
        <v>0.766788766828571</v>
      </c>
      <c r="AC179" s="8">
        <v>5.9829059799999897E-2</v>
      </c>
      <c r="AD179" s="8">
        <v>0.30341880339999999</v>
      </c>
      <c r="AE179" s="8">
        <v>0.44017094020000003</v>
      </c>
      <c r="AF179" s="8">
        <v>0.19658119660000001</v>
      </c>
      <c r="AG179" s="8">
        <v>0.67887667888571401</v>
      </c>
      <c r="AH179" s="8">
        <v>0.12820512819999899</v>
      </c>
      <c r="AI179" s="8">
        <v>0.33760683759999999</v>
      </c>
      <c r="AJ179" s="8">
        <v>0.37179487179999998</v>
      </c>
      <c r="AK179" s="8">
        <v>0.16239316240000001</v>
      </c>
      <c r="AL179" s="8">
        <v>0.91176470588235203</v>
      </c>
      <c r="AM179" s="8">
        <v>0.89075630252100801</v>
      </c>
      <c r="AN179" s="8">
        <v>0.98319327731092399</v>
      </c>
      <c r="AO179" s="8">
        <v>0.98319327731092399</v>
      </c>
      <c r="AP179" s="4">
        <v>1</v>
      </c>
      <c r="AQ179" s="4">
        <v>0.92556207789730405</v>
      </c>
      <c r="AR179" s="4">
        <v>1</v>
      </c>
      <c r="AS179" s="4">
        <v>0.94423158919061401</v>
      </c>
      <c r="AT179" s="4">
        <v>1</v>
      </c>
      <c r="AU179" s="4">
        <v>0.90405065985737698</v>
      </c>
      <c r="AV179" s="4">
        <v>1</v>
      </c>
      <c r="AW179" s="4">
        <v>0.90862804046994505</v>
      </c>
      <c r="AX179" s="4">
        <v>1</v>
      </c>
      <c r="AY179" s="11">
        <f>VLOOKUP(B179,[1]Página1!$A:$E,5,0)</f>
        <v>11732435.25</v>
      </c>
    </row>
    <row r="180" spans="1:51" ht="15.75" customHeight="1" x14ac:dyDescent="0.3">
      <c r="A180" s="4">
        <v>3204401</v>
      </c>
      <c r="B180" s="4" t="s">
        <v>75</v>
      </c>
      <c r="C180" s="5">
        <v>2024</v>
      </c>
      <c r="D180" s="5">
        <v>0.67488356145188699</v>
      </c>
      <c r="E180" s="5">
        <v>0.54069080207412501</v>
      </c>
      <c r="F180" s="5">
        <v>0.97599999999999998</v>
      </c>
      <c r="G180" s="5">
        <v>1</v>
      </c>
      <c r="H180" s="8">
        <v>0.477163911404899</v>
      </c>
      <c r="I180" s="8">
        <v>0.63598113807796397</v>
      </c>
      <c r="J180" s="8">
        <v>0.75047069589978199</v>
      </c>
      <c r="K180" s="8">
        <v>0.75070169460164005</v>
      </c>
      <c r="L180" s="8">
        <v>0.20385712691001501</v>
      </c>
      <c r="M180" s="8">
        <v>0.521260581554289</v>
      </c>
      <c r="N180" s="8">
        <v>0.58259176031726601</v>
      </c>
      <c r="O180" s="8">
        <v>0.61354434932528001</v>
      </c>
      <c r="P180" s="8">
        <v>0.58791237532489604</v>
      </c>
      <c r="Q180" s="8">
        <v>0.62495922903166401</v>
      </c>
      <c r="R180" s="8">
        <v>0.84693877551428498</v>
      </c>
      <c r="S180" s="8">
        <v>7.1428571400000002E-2</v>
      </c>
      <c r="T180" s="8">
        <v>0.14285714289999901</v>
      </c>
      <c r="U180" s="8">
        <v>0.39610389609999902</v>
      </c>
      <c r="V180" s="8">
        <v>0.3896103896</v>
      </c>
      <c r="W180" s="8">
        <v>0.91187384051428499</v>
      </c>
      <c r="X180" s="8">
        <v>3.2467532399999902E-2</v>
      </c>
      <c r="Y180" s="8">
        <v>9.7402597399999999E-2</v>
      </c>
      <c r="Z180" s="8">
        <v>0.44155844160000002</v>
      </c>
      <c r="AA180" s="8">
        <v>0.42857142860000003</v>
      </c>
      <c r="AB180" s="8">
        <v>0.83553421368571401</v>
      </c>
      <c r="AC180" s="8">
        <v>5.8823529399999901E-2</v>
      </c>
      <c r="AD180" s="8">
        <v>0.1848739496</v>
      </c>
      <c r="AE180" s="8">
        <v>0.42857142860000003</v>
      </c>
      <c r="AF180" s="8">
        <v>0.32773109239999998</v>
      </c>
      <c r="AG180" s="8">
        <v>0.84033613441428501</v>
      </c>
      <c r="AH180" s="8">
        <v>2.5210084099999999E-2</v>
      </c>
      <c r="AI180" s="8">
        <v>0.23529411759999999</v>
      </c>
      <c r="AJ180" s="8">
        <v>0.47058823529999999</v>
      </c>
      <c r="AK180" s="8">
        <v>0.26890756300000002</v>
      </c>
      <c r="AL180" s="8">
        <v>0.93902439024390205</v>
      </c>
      <c r="AM180" s="8">
        <v>0.93902439024390205</v>
      </c>
      <c r="AN180" s="8">
        <v>0.95199999999999996</v>
      </c>
      <c r="AO180" s="8">
        <v>0.95199999999999996</v>
      </c>
      <c r="AP180" s="4">
        <v>1</v>
      </c>
      <c r="AQ180" s="4">
        <v>0.978782614938697</v>
      </c>
      <c r="AR180" s="4">
        <v>1</v>
      </c>
      <c r="AS180" s="4">
        <v>0.95272174005275101</v>
      </c>
      <c r="AT180" s="4">
        <v>1</v>
      </c>
      <c r="AU180" s="4">
        <v>0.911473165718518</v>
      </c>
      <c r="AV180" s="4">
        <v>1</v>
      </c>
      <c r="AW180" s="4">
        <v>0.91922300502641197</v>
      </c>
      <c r="AX180" s="4">
        <v>1</v>
      </c>
      <c r="AY180" s="11">
        <f>VLOOKUP(B180,[1]Página1!$A:$E,5,0)</f>
        <v>11886393.029999999</v>
      </c>
    </row>
    <row r="181" spans="1:51" ht="15.75" customHeight="1" x14ac:dyDescent="0.3">
      <c r="A181" s="4">
        <v>3205036</v>
      </c>
      <c r="B181" s="4" t="s">
        <v>76</v>
      </c>
      <c r="C181" s="5">
        <v>2024</v>
      </c>
      <c r="D181" s="5">
        <v>0.64193622784245297</v>
      </c>
      <c r="E181" s="5">
        <v>0.60009651594512303</v>
      </c>
      <c r="F181" s="5">
        <v>0.95099999999999996</v>
      </c>
      <c r="G181" s="5">
        <v>0.528124444539112</v>
      </c>
      <c r="H181" s="8">
        <v>0.54668071976854704</v>
      </c>
      <c r="I181" s="8">
        <v>0.68022021020998602</v>
      </c>
      <c r="J181" s="8">
        <v>0.71679819920465504</v>
      </c>
      <c r="K181" s="8">
        <v>0.72261168880490501</v>
      </c>
      <c r="L181" s="8">
        <v>0.37656324033243899</v>
      </c>
      <c r="M181" s="8">
        <v>0.63782873161506604</v>
      </c>
      <c r="N181" s="8">
        <v>0.55193034957507003</v>
      </c>
      <c r="O181" s="8">
        <v>0.56756737121406198</v>
      </c>
      <c r="P181" s="8">
        <v>0.58234503520606795</v>
      </c>
      <c r="Q181" s="8">
        <v>0.57984835074131702</v>
      </c>
      <c r="R181" s="8">
        <v>0.81592320727142797</v>
      </c>
      <c r="S181" s="8">
        <v>8.69565216999999E-2</v>
      </c>
      <c r="T181" s="8">
        <v>0.1699604743</v>
      </c>
      <c r="U181" s="8">
        <v>0.4110671937</v>
      </c>
      <c r="V181" s="8">
        <v>0.33201581029999999</v>
      </c>
      <c r="W181" s="8">
        <v>0.858299595114285</v>
      </c>
      <c r="X181" s="8">
        <v>2.8340080999999899E-2</v>
      </c>
      <c r="Y181" s="8">
        <v>0.19838056679999999</v>
      </c>
      <c r="Z181" s="8">
        <v>0.4574898785</v>
      </c>
      <c r="AA181" s="8">
        <v>0.31578947369999999</v>
      </c>
      <c r="AB181" s="8">
        <v>0.82114285714285695</v>
      </c>
      <c r="AC181" s="8">
        <v>0.06</v>
      </c>
      <c r="AD181" s="8">
        <v>0.20799999999999999</v>
      </c>
      <c r="AE181" s="8">
        <v>0.39600000000000002</v>
      </c>
      <c r="AF181" s="8">
        <v>0.33600000000000002</v>
      </c>
      <c r="AG181" s="8">
        <v>0.748571428571428</v>
      </c>
      <c r="AH181" s="8">
        <v>7.9999999999999905E-2</v>
      </c>
      <c r="AI181" s="8">
        <v>0.3</v>
      </c>
      <c r="AJ181" s="8">
        <v>0.36799999999999999</v>
      </c>
      <c r="AK181" s="8">
        <v>0.252</v>
      </c>
      <c r="AL181" s="8">
        <v>0.926739926739926</v>
      </c>
      <c r="AM181" s="8">
        <v>0.90476190476190399</v>
      </c>
      <c r="AN181" s="8">
        <v>0.94339622641509402</v>
      </c>
      <c r="AO181" s="8">
        <v>0.94339622641509402</v>
      </c>
      <c r="AP181" s="4">
        <v>0.528124444539112</v>
      </c>
      <c r="AQ181" s="4">
        <v>0.96156693616473599</v>
      </c>
      <c r="AR181" s="4">
        <v>1</v>
      </c>
      <c r="AS181" s="4">
        <v>0.962449943359452</v>
      </c>
      <c r="AT181" s="4">
        <v>1</v>
      </c>
      <c r="AU181" s="4">
        <v>0.84689945050100701</v>
      </c>
      <c r="AV181" s="4">
        <v>8.70726867659752E-3</v>
      </c>
      <c r="AW181" s="4">
        <v>0.84466794848418603</v>
      </c>
      <c r="AX181" s="4">
        <v>0.10379050947985299</v>
      </c>
      <c r="AY181" s="11">
        <f>VLOOKUP(B181,[1]Página1!$A:$E,5,0)</f>
        <v>11306107.810000001</v>
      </c>
    </row>
    <row r="182" spans="1:51" ht="15.75" customHeight="1" x14ac:dyDescent="0.3">
      <c r="A182" s="4">
        <v>3202207</v>
      </c>
      <c r="B182" s="4" t="s">
        <v>77</v>
      </c>
      <c r="C182" s="5">
        <v>2024</v>
      </c>
      <c r="D182" s="5">
        <v>0.648241581918097</v>
      </c>
      <c r="E182" s="5">
        <v>0.507559402740138</v>
      </c>
      <c r="F182" s="5">
        <v>0.95299999999999996</v>
      </c>
      <c r="G182" s="5">
        <v>1</v>
      </c>
      <c r="H182" s="8">
        <v>0.41993905446909502</v>
      </c>
      <c r="I182" s="8">
        <v>0.63898992514670405</v>
      </c>
      <c r="J182" s="8">
        <v>0.65345683689817502</v>
      </c>
      <c r="K182" s="8">
        <v>0.68394448889395698</v>
      </c>
      <c r="L182" s="8">
        <v>0.18642127204001399</v>
      </c>
      <c r="M182" s="8">
        <v>0.59403536139945001</v>
      </c>
      <c r="N182" s="8">
        <v>0.51120244469918796</v>
      </c>
      <c r="O182" s="8">
        <v>0.47937110891302498</v>
      </c>
      <c r="P182" s="8">
        <v>0.54554081686440803</v>
      </c>
      <c r="Q182" s="8">
        <v>0.54641847909090802</v>
      </c>
      <c r="R182" s="8">
        <v>0.7524308153</v>
      </c>
      <c r="S182" s="8">
        <v>0.130890052299999</v>
      </c>
      <c r="T182" s="8">
        <v>0.20418848170000001</v>
      </c>
      <c r="U182" s="8">
        <v>0.4031413613</v>
      </c>
      <c r="V182" s="8">
        <v>0.26178010470000002</v>
      </c>
      <c r="W182" s="8">
        <v>0.69160997728571405</v>
      </c>
      <c r="X182" s="8">
        <v>0.126984127</v>
      </c>
      <c r="Y182" s="8">
        <v>0.31746031749999998</v>
      </c>
      <c r="Z182" s="8">
        <v>0.38624338619999998</v>
      </c>
      <c r="AA182" s="8">
        <v>0.16931216930000001</v>
      </c>
      <c r="AB182" s="8">
        <v>0.77723970945714205</v>
      </c>
      <c r="AC182" s="8">
        <v>9.0395480200000003E-2</v>
      </c>
      <c r="AD182" s="8">
        <v>0.23163841809999999</v>
      </c>
      <c r="AE182" s="8">
        <v>0.42937853110000002</v>
      </c>
      <c r="AF182" s="8">
        <v>0.248587570599999</v>
      </c>
      <c r="AG182" s="8">
        <v>0.68475658414285701</v>
      </c>
      <c r="AH182" s="8">
        <v>0.1173184358</v>
      </c>
      <c r="AI182" s="8">
        <v>0.3463687151</v>
      </c>
      <c r="AJ182" s="8">
        <v>0.3854748603</v>
      </c>
      <c r="AK182" s="8">
        <v>0.15083798879999999</v>
      </c>
      <c r="AL182" s="8">
        <v>0.89252336448598102</v>
      </c>
      <c r="AM182" s="8">
        <v>0.88317757009345799</v>
      </c>
      <c r="AN182" s="8">
        <v>0.90769230769230702</v>
      </c>
      <c r="AO182" s="8">
        <v>0.91794871794871702</v>
      </c>
      <c r="AP182" s="4">
        <v>1</v>
      </c>
      <c r="AQ182" s="4">
        <v>0.98456098682611004</v>
      </c>
      <c r="AR182" s="4">
        <v>1</v>
      </c>
      <c r="AS182" s="4">
        <v>0.99333040787891003</v>
      </c>
      <c r="AT182" s="4">
        <v>1</v>
      </c>
      <c r="AU182" s="4">
        <v>0.97488811530632102</v>
      </c>
      <c r="AV182" s="4">
        <v>1</v>
      </c>
      <c r="AW182" s="4">
        <v>0.91031236894687495</v>
      </c>
      <c r="AX182" s="4">
        <v>1</v>
      </c>
      <c r="AY182" s="11">
        <f>VLOOKUP(B182,[1]Página1!$A:$E,5,0)</f>
        <v>11417160.92</v>
      </c>
    </row>
    <row r="183" spans="1:51" ht="15.75" customHeight="1" x14ac:dyDescent="0.3">
      <c r="A183" s="4">
        <v>3204609</v>
      </c>
      <c r="B183" s="4" t="s">
        <v>78</v>
      </c>
      <c r="C183" s="5">
        <v>2024</v>
      </c>
      <c r="D183" s="5">
        <v>0.62327451139879397</v>
      </c>
      <c r="E183" s="5">
        <v>0.51566856795925797</v>
      </c>
      <c r="F183" s="5">
        <v>0.996</v>
      </c>
      <c r="G183" s="5">
        <v>0.75271009218208595</v>
      </c>
      <c r="H183" s="8">
        <v>0.46354756192966901</v>
      </c>
      <c r="I183" s="8">
        <v>0.59385007700364101</v>
      </c>
      <c r="J183" s="8">
        <v>0.73070676902334597</v>
      </c>
      <c r="K183" s="8">
        <v>0.75988251998885104</v>
      </c>
      <c r="L183" s="8">
        <v>0.19638835483599301</v>
      </c>
      <c r="M183" s="8">
        <v>0.42781763401843098</v>
      </c>
      <c r="N183" s="8">
        <v>0.590251806379258</v>
      </c>
      <c r="O183" s="8">
        <v>0.54541517316558197</v>
      </c>
      <c r="P183" s="8">
        <v>0.63508400811487398</v>
      </c>
      <c r="Q183" s="8">
        <v>0.63175522331321998</v>
      </c>
      <c r="R183" s="8">
        <v>0.88839285707142801</v>
      </c>
      <c r="S183" s="8">
        <v>4.0178571500000003E-2</v>
      </c>
      <c r="T183" s="8">
        <v>0.125</v>
      </c>
      <c r="U183" s="8">
        <v>0.41964285709999999</v>
      </c>
      <c r="V183" s="8">
        <v>0.41517857139999997</v>
      </c>
      <c r="W183" s="8">
        <v>0.82190903259999903</v>
      </c>
      <c r="X183" s="8">
        <v>4.4843049400000001E-2</v>
      </c>
      <c r="Y183" s="8">
        <v>0.23318385650000001</v>
      </c>
      <c r="Z183" s="8">
        <v>0.48430493269999902</v>
      </c>
      <c r="AA183" s="8">
        <v>0.23766816139999999</v>
      </c>
      <c r="AB183" s="8">
        <v>0.89391199522857101</v>
      </c>
      <c r="AC183" s="8">
        <v>3.3755274199999998E-2</v>
      </c>
      <c r="AD183" s="8">
        <v>0.12658227850000001</v>
      </c>
      <c r="AE183" s="8">
        <v>0.32489451479999998</v>
      </c>
      <c r="AF183" s="8">
        <v>0.51476793249999997</v>
      </c>
      <c r="AG183" s="8">
        <v>0.79264617241428503</v>
      </c>
      <c r="AH183" s="8">
        <v>6.7510548499999906E-2</v>
      </c>
      <c r="AI183" s="8">
        <v>0.2447257384</v>
      </c>
      <c r="AJ183" s="8">
        <v>0.36708860760000001</v>
      </c>
      <c r="AK183" s="8">
        <v>0.3206751055</v>
      </c>
      <c r="AL183" s="8">
        <v>0.91803278688524503</v>
      </c>
      <c r="AM183" s="8">
        <v>0.91393442622950805</v>
      </c>
      <c r="AN183" s="8">
        <v>0.92941176470588205</v>
      </c>
      <c r="AO183" s="8">
        <v>0.92941176470588205</v>
      </c>
      <c r="AP183" s="4">
        <v>0.75271009218208595</v>
      </c>
      <c r="AQ183" s="4">
        <v>0.95939382760325298</v>
      </c>
      <c r="AR183" s="4">
        <v>1</v>
      </c>
      <c r="AS183" s="4">
        <v>0.974379165652144</v>
      </c>
      <c r="AT183" s="4">
        <v>1</v>
      </c>
      <c r="AU183" s="4">
        <v>0.90073799286591005</v>
      </c>
      <c r="AV183" s="4">
        <v>1</v>
      </c>
      <c r="AW183" s="4">
        <v>0.84586289925998603</v>
      </c>
      <c r="AX183" s="4">
        <v>1.0840368728345699E-2</v>
      </c>
      <c r="AY183" s="11">
        <f>VLOOKUP(B183,[1]Página1!$A:$E,5,0)</f>
        <v>10977428.16</v>
      </c>
    </row>
    <row r="184" spans="1:51" ht="15.75" customHeight="1" x14ac:dyDescent="0.3">
      <c r="A184" s="4">
        <v>3205002</v>
      </c>
      <c r="B184" s="4" t="s">
        <v>79</v>
      </c>
      <c r="C184" s="5">
        <v>2024</v>
      </c>
      <c r="D184" s="5">
        <v>0.529002099463453</v>
      </c>
      <c r="E184" s="5">
        <v>0.48608111718958502</v>
      </c>
      <c r="F184" s="5">
        <v>0.95699999999999996</v>
      </c>
      <c r="G184" s="5">
        <v>0.30130211620496</v>
      </c>
      <c r="H184" s="8">
        <v>0.39024743424111902</v>
      </c>
      <c r="I184" s="8">
        <v>0.629831641612283</v>
      </c>
      <c r="J184" s="8">
        <v>0.62758803662651697</v>
      </c>
      <c r="K184" s="8">
        <v>0.63349655410570405</v>
      </c>
      <c r="L184" s="8">
        <v>0.15290683185572099</v>
      </c>
      <c r="M184" s="8">
        <v>0.62616672911886095</v>
      </c>
      <c r="N184" s="8">
        <v>0.48764349969746601</v>
      </c>
      <c r="O184" s="8">
        <v>0.47201171863577901</v>
      </c>
      <c r="P184" s="8">
        <v>0.52422871032459395</v>
      </c>
      <c r="Q184" s="8">
        <v>0.50057716518233497</v>
      </c>
      <c r="R184" s="8">
        <v>0.69184849732857101</v>
      </c>
      <c r="S184" s="8">
        <v>0.17795389049999999</v>
      </c>
      <c r="T184" s="8">
        <v>0.2278458213</v>
      </c>
      <c r="U184" s="8">
        <v>0.40129682999999999</v>
      </c>
      <c r="V184" s="8">
        <v>0.19290345819999999</v>
      </c>
      <c r="W184" s="8">
        <v>0.69822177098571403</v>
      </c>
      <c r="X184" s="8">
        <v>0.1066156369</v>
      </c>
      <c r="Y184" s="8">
        <v>0.34153453620000002</v>
      </c>
      <c r="Z184" s="8">
        <v>0.43047202480000002</v>
      </c>
      <c r="AA184" s="8">
        <v>0.1213778021</v>
      </c>
      <c r="AB184" s="8">
        <v>0.7209547892</v>
      </c>
      <c r="AC184" s="8">
        <v>0.113207547199999</v>
      </c>
      <c r="AD184" s="8">
        <v>0.29021591130000002</v>
      </c>
      <c r="AE184" s="8">
        <v>0.38222135769999999</v>
      </c>
      <c r="AF184" s="8">
        <v>0.21435518379999999</v>
      </c>
      <c r="AG184" s="8">
        <v>0.57965856642857105</v>
      </c>
      <c r="AH184" s="8">
        <v>0.20435967299999999</v>
      </c>
      <c r="AI184" s="8">
        <v>0.37796808100000001</v>
      </c>
      <c r="AJ184" s="8">
        <v>0.3082911639</v>
      </c>
      <c r="AK184" s="8">
        <v>0.1093810821</v>
      </c>
      <c r="AL184" s="8">
        <v>0.85718696927589899</v>
      </c>
      <c r="AM184" s="8">
        <v>0.84715145900879996</v>
      </c>
      <c r="AN184" s="8">
        <v>0.85912433155080203</v>
      </c>
      <c r="AO184" s="8">
        <v>0.85862299465240599</v>
      </c>
      <c r="AP184" s="4">
        <v>0.30130211620496</v>
      </c>
      <c r="AQ184" s="4">
        <v>0.89199542796323805</v>
      </c>
      <c r="AR184" s="4">
        <v>0</v>
      </c>
      <c r="AS184" s="4">
        <v>0.938458266094511</v>
      </c>
      <c r="AT184" s="4">
        <v>1</v>
      </c>
      <c r="AU184" s="4">
        <v>0.86270438773360703</v>
      </c>
      <c r="AV184" s="4">
        <v>0.117150053877249</v>
      </c>
      <c r="AW184" s="4">
        <v>0.87869300160916997</v>
      </c>
      <c r="AX184" s="4">
        <v>8.8058410942591106E-2</v>
      </c>
      <c r="AY184" s="11">
        <f>VLOOKUP(B184,[1]Página1!$A:$E,5,0)</f>
        <v>9317054.4199999999</v>
      </c>
    </row>
    <row r="185" spans="1:51" ht="15.75" customHeight="1" x14ac:dyDescent="0.3">
      <c r="A185" s="4">
        <v>3205309</v>
      </c>
      <c r="B185" s="4" t="s">
        <v>80</v>
      </c>
      <c r="C185" s="5">
        <v>2024</v>
      </c>
      <c r="D185" s="5">
        <v>0.63796093192013603</v>
      </c>
      <c r="E185" s="5">
        <v>0.59530133131448104</v>
      </c>
      <c r="F185" s="5">
        <v>0.97499999999999998</v>
      </c>
      <c r="G185" s="5">
        <v>0.5</v>
      </c>
      <c r="H185" s="8">
        <v>0.56314938007552895</v>
      </c>
      <c r="I185" s="8">
        <v>0.64352925817290796</v>
      </c>
      <c r="J185" s="8">
        <v>0.72073427091058195</v>
      </c>
      <c r="K185" s="8">
        <v>0.69378049882339798</v>
      </c>
      <c r="L185" s="8">
        <v>0.405564489240476</v>
      </c>
      <c r="M185" s="8">
        <v>0.59327801752241804</v>
      </c>
      <c r="N185" s="8">
        <v>0.561852423181192</v>
      </c>
      <c r="O185" s="8">
        <v>0.56751373009983197</v>
      </c>
      <c r="P185" s="8">
        <v>0.56855266020528905</v>
      </c>
      <c r="Q185" s="8">
        <v>0.54893899773961197</v>
      </c>
      <c r="R185" s="8">
        <v>0.82394366194285695</v>
      </c>
      <c r="S185" s="8">
        <v>8.1171237999999896E-2</v>
      </c>
      <c r="T185" s="8">
        <v>0.16604892509999999</v>
      </c>
      <c r="U185" s="8">
        <v>0.38472942919999997</v>
      </c>
      <c r="V185" s="8">
        <v>0.36805040769999903</v>
      </c>
      <c r="W185" s="8">
        <v>0.84900074019999905</v>
      </c>
      <c r="X185" s="8">
        <v>4.4411546999999899E-2</v>
      </c>
      <c r="Y185" s="8">
        <v>0.18652849739999999</v>
      </c>
      <c r="Z185" s="8">
        <v>0.4552183568</v>
      </c>
      <c r="AA185" s="8">
        <v>0.31384159880000001</v>
      </c>
      <c r="AB185" s="8">
        <v>0.7934849732</v>
      </c>
      <c r="AC185" s="8">
        <v>7.3126801199999897E-2</v>
      </c>
      <c r="AD185" s="8">
        <v>0.2334293948</v>
      </c>
      <c r="AE185" s="8">
        <v>0.3811239193</v>
      </c>
      <c r="AF185" s="8">
        <v>0.31231988469999999</v>
      </c>
      <c r="AG185" s="8">
        <v>0.669874433985714</v>
      </c>
      <c r="AH185" s="8">
        <v>0.1444524495</v>
      </c>
      <c r="AI185" s="8">
        <v>0.32492795389999901</v>
      </c>
      <c r="AJ185" s="8">
        <v>0.34978386169999998</v>
      </c>
      <c r="AK185" s="8">
        <v>0.18083573489999999</v>
      </c>
      <c r="AL185" s="8">
        <v>0.92019099590722997</v>
      </c>
      <c r="AM185" s="8">
        <v>0.92155525238744795</v>
      </c>
      <c r="AN185" s="8">
        <v>0.92595063375583697</v>
      </c>
      <c r="AO185" s="8">
        <v>0.92595063375583697</v>
      </c>
      <c r="AP185" s="4">
        <v>0.5</v>
      </c>
      <c r="AQ185" s="4">
        <v>0.911594677144826</v>
      </c>
      <c r="AR185" s="4">
        <v>1</v>
      </c>
      <c r="AS185" s="4">
        <v>0.94610109264693698</v>
      </c>
      <c r="AT185" s="4">
        <v>1</v>
      </c>
      <c r="AU185" s="4">
        <v>0.81920823717778701</v>
      </c>
      <c r="AV185" s="4">
        <v>0</v>
      </c>
      <c r="AW185" s="4">
        <v>0.82048797879145996</v>
      </c>
      <c r="AX185" s="4">
        <v>0</v>
      </c>
      <c r="AY185" s="11">
        <f>VLOOKUP(B185,[1]Página1!$A:$E,5,0)</f>
        <v>11236092.869999999</v>
      </c>
    </row>
    <row r="186" spans="1:51" ht="15.75" customHeight="1" x14ac:dyDescent="0.3">
      <c r="A186" s="4">
        <v>3201308</v>
      </c>
      <c r="B186" s="4" t="s">
        <v>81</v>
      </c>
      <c r="C186" s="5">
        <v>2024</v>
      </c>
      <c r="D186" s="5">
        <v>0.61345860105747396</v>
      </c>
      <c r="E186" s="5">
        <v>0.55075506828106102</v>
      </c>
      <c r="F186" s="5">
        <v>0.98</v>
      </c>
      <c r="G186" s="5">
        <v>0.53953368840487603</v>
      </c>
      <c r="H186" s="8">
        <v>0.45939130734177103</v>
      </c>
      <c r="I186" s="8">
        <v>0.68780070968999596</v>
      </c>
      <c r="J186" s="8">
        <v>0.65981951176634401</v>
      </c>
      <c r="K186" s="8">
        <v>0.66192060450377199</v>
      </c>
      <c r="L186" s="8">
        <v>0.25896310291719699</v>
      </c>
      <c r="M186" s="8">
        <v>0.71368081487621904</v>
      </c>
      <c r="N186" s="8">
        <v>0.51211754032797496</v>
      </c>
      <c r="O186" s="8">
        <v>0.504612946019104</v>
      </c>
      <c r="P186" s="8">
        <v>0.53946682484584496</v>
      </c>
      <c r="Q186" s="8">
        <v>0.51713078813535895</v>
      </c>
      <c r="R186" s="8">
        <v>0.743298573357142</v>
      </c>
      <c r="S186" s="8">
        <v>0.15651589789999901</v>
      </c>
      <c r="T186" s="8">
        <v>0.17532467530000001</v>
      </c>
      <c r="U186" s="8">
        <v>0.39341692789999999</v>
      </c>
      <c r="V186" s="8">
        <v>0.27474249890000002</v>
      </c>
      <c r="W186" s="8">
        <v>0.75761388567142796</v>
      </c>
      <c r="X186" s="8">
        <v>8.3785004499999899E-2</v>
      </c>
      <c r="Y186" s="8">
        <v>0.27755194220000001</v>
      </c>
      <c r="Z186" s="8">
        <v>0.4634146341</v>
      </c>
      <c r="AA186" s="8">
        <v>0.17524841920000001</v>
      </c>
      <c r="AB186" s="8">
        <v>0.74386074955714199</v>
      </c>
      <c r="AC186" s="8">
        <v>0.105598243699999</v>
      </c>
      <c r="AD186" s="8">
        <v>0.26344676179999998</v>
      </c>
      <c r="AE186" s="8">
        <v>0.37519209660000002</v>
      </c>
      <c r="AF186" s="8">
        <v>0.25576289790000001</v>
      </c>
      <c r="AG186" s="8">
        <v>0.61358930922857102</v>
      </c>
      <c r="AH186" s="8">
        <v>0.18577075099999901</v>
      </c>
      <c r="AI186" s="8">
        <v>0.35111989459999998</v>
      </c>
      <c r="AJ186" s="8">
        <v>0.33047870000000001</v>
      </c>
      <c r="AK186" s="8">
        <v>0.13263065439999999</v>
      </c>
      <c r="AL186" s="8">
        <v>0.875</v>
      </c>
      <c r="AM186" s="8">
        <v>0.86755485893416895</v>
      </c>
      <c r="AN186" s="8">
        <v>0.91245993589743501</v>
      </c>
      <c r="AO186" s="8">
        <v>0.91225961538461497</v>
      </c>
      <c r="AP186" s="4">
        <v>0.53953368840487603</v>
      </c>
      <c r="AQ186" s="4">
        <v>0.91017306074850701</v>
      </c>
      <c r="AR186" s="4">
        <v>1</v>
      </c>
      <c r="AS186" s="4">
        <v>0.93949388265853595</v>
      </c>
      <c r="AT186" s="4">
        <v>1</v>
      </c>
      <c r="AU186" s="4">
        <v>0.88166445117359904</v>
      </c>
      <c r="AV186" s="4">
        <v>0.15813475361950399</v>
      </c>
      <c r="AW186" s="4">
        <v>0.88095376903757505</v>
      </c>
      <c r="AX186" s="4">
        <v>0</v>
      </c>
      <c r="AY186" s="11">
        <f>VLOOKUP(B186,[1]Página1!$A:$E,5,0)</f>
        <v>10804545.34</v>
      </c>
    </row>
    <row r="187" spans="1:51" ht="15.75" customHeight="1" x14ac:dyDescent="0.3">
      <c r="A187" s="4">
        <v>3203346</v>
      </c>
      <c r="B187" s="4" t="s">
        <v>82</v>
      </c>
      <c r="C187" s="5">
        <v>2024</v>
      </c>
      <c r="D187" s="5">
        <v>0.62002609062802505</v>
      </c>
      <c r="E187" s="5">
        <v>0.61960870089717901</v>
      </c>
      <c r="F187" s="5">
        <v>0.99199999999999999</v>
      </c>
      <c r="G187" s="5">
        <v>0.25</v>
      </c>
      <c r="H187" s="8">
        <v>0.57576981746521705</v>
      </c>
      <c r="I187" s="8">
        <v>0.68536702604512101</v>
      </c>
      <c r="J187" s="8">
        <v>0.75485891673389205</v>
      </c>
      <c r="K187" s="8">
        <v>0.75060318573819296</v>
      </c>
      <c r="L187" s="8">
        <v>0.39668071819654199</v>
      </c>
      <c r="M187" s="8">
        <v>0.62013086635204795</v>
      </c>
      <c r="N187" s="8">
        <v>0.59889692317518195</v>
      </c>
      <c r="O187" s="8">
        <v>0.58018755036188296</v>
      </c>
      <c r="P187" s="8">
        <v>0.613679616652131</v>
      </c>
      <c r="Q187" s="8">
        <v>0.62437983153583498</v>
      </c>
      <c r="R187" s="8">
        <v>0.89568106312857099</v>
      </c>
      <c r="S187" s="8">
        <v>5.1162790700000002E-2</v>
      </c>
      <c r="T187" s="8">
        <v>9.3023255799999996E-2</v>
      </c>
      <c r="U187" s="8">
        <v>0.44186046509999999</v>
      </c>
      <c r="V187" s="8">
        <v>0.41395348839999901</v>
      </c>
      <c r="W187" s="8">
        <v>0.90520694257142797</v>
      </c>
      <c r="X187" s="8">
        <v>9.3457943999999907E-3</v>
      </c>
      <c r="Y187" s="8">
        <v>0.14953271030000001</v>
      </c>
      <c r="Z187" s="8">
        <v>0.57009345789999999</v>
      </c>
      <c r="AA187" s="8">
        <v>0.27102803739999998</v>
      </c>
      <c r="AB187" s="8">
        <v>0.85481049570000001</v>
      </c>
      <c r="AC187" s="8">
        <v>4.4897959099999898E-2</v>
      </c>
      <c r="AD187" s="8">
        <v>0.17551020409999901</v>
      </c>
      <c r="AE187" s="8">
        <v>0.36734693880000002</v>
      </c>
      <c r="AF187" s="8">
        <v>0.41224489800000003</v>
      </c>
      <c r="AG187" s="8">
        <v>0.79650145781428505</v>
      </c>
      <c r="AH187" s="8">
        <v>7.7551020299999995E-2</v>
      </c>
      <c r="AI187" s="8">
        <v>0.22040816329999999</v>
      </c>
      <c r="AJ187" s="8">
        <v>0.36734693880000002</v>
      </c>
      <c r="AK187" s="8">
        <v>0.33469387759999902</v>
      </c>
      <c r="AL187" s="8">
        <v>0.93886462882096</v>
      </c>
      <c r="AM187" s="8">
        <v>0.93449781659388598</v>
      </c>
      <c r="AN187" s="8">
        <v>0.93869731800766198</v>
      </c>
      <c r="AO187" s="8">
        <v>0.93869731800766198</v>
      </c>
      <c r="AP187" s="4">
        <v>0.25</v>
      </c>
      <c r="AQ187" s="4">
        <v>0.87658600017548205</v>
      </c>
      <c r="AR187" s="4">
        <v>0</v>
      </c>
      <c r="AS187" s="4">
        <v>0.92455776268079004</v>
      </c>
      <c r="AT187" s="4">
        <v>1</v>
      </c>
      <c r="AU187" s="4">
        <v>0.79830304120960904</v>
      </c>
      <c r="AV187" s="4">
        <v>0</v>
      </c>
      <c r="AW187" s="4">
        <v>0.83945362829854697</v>
      </c>
      <c r="AX187" s="4">
        <v>0</v>
      </c>
      <c r="AY187" s="11">
        <f>VLOOKUP(B187,[1]Página1!$A:$E,5,0)</f>
        <v>10920215.310000001</v>
      </c>
    </row>
    <row r="188" spans="1:51" ht="15.75" customHeight="1" x14ac:dyDescent="0.3">
      <c r="A188" s="4">
        <v>3204500</v>
      </c>
      <c r="B188" s="4" t="s">
        <v>83</v>
      </c>
      <c r="C188" s="5">
        <v>2024</v>
      </c>
      <c r="D188" s="5">
        <v>0.57201709420548197</v>
      </c>
      <c r="E188" s="5">
        <v>0.445381563150689</v>
      </c>
      <c r="F188" s="5">
        <v>0.98499999999999999</v>
      </c>
      <c r="G188" s="5">
        <v>0.75</v>
      </c>
      <c r="H188" s="8">
        <v>0.38687245656811298</v>
      </c>
      <c r="I188" s="8">
        <v>0.53314522302455203</v>
      </c>
      <c r="J188" s="8">
        <v>0.73086766276806803</v>
      </c>
      <c r="K188" s="8">
        <v>0.66172814528671797</v>
      </c>
      <c r="L188" s="8">
        <v>4.2877250368159099E-2</v>
      </c>
      <c r="M188" s="8">
        <v>0.40456230076238597</v>
      </c>
      <c r="N188" s="8">
        <v>0.56287313162353403</v>
      </c>
      <c r="O188" s="8">
        <v>0.58400317121572898</v>
      </c>
      <c r="P188" s="8">
        <v>0.535199433758486</v>
      </c>
      <c r="Q188" s="8">
        <v>0.51929711269190804</v>
      </c>
      <c r="R188" s="8">
        <v>0.81092436977142801</v>
      </c>
      <c r="S188" s="8">
        <v>0.1176470588</v>
      </c>
      <c r="T188" s="8">
        <v>0.125</v>
      </c>
      <c r="U188" s="8">
        <v>0.40441176470000001</v>
      </c>
      <c r="V188" s="8">
        <v>0.35294117649999901</v>
      </c>
      <c r="W188" s="8">
        <v>0.90000000005714198</v>
      </c>
      <c r="X188" s="8">
        <v>3.8461538399999898E-2</v>
      </c>
      <c r="Y188" s="8">
        <v>0.1076923077</v>
      </c>
      <c r="Z188" s="8">
        <v>0.50769230769999996</v>
      </c>
      <c r="AA188" s="8">
        <v>0.3461538462</v>
      </c>
      <c r="AB188" s="8">
        <v>0.73406593407142795</v>
      </c>
      <c r="AC188" s="8">
        <v>0.1076923077</v>
      </c>
      <c r="AD188" s="8">
        <v>0.27692307690000001</v>
      </c>
      <c r="AE188" s="8">
        <v>0.40769230769999998</v>
      </c>
      <c r="AF188" s="8">
        <v>0.2076923077</v>
      </c>
      <c r="AG188" s="8">
        <v>0.61978021982857101</v>
      </c>
      <c r="AH188" s="8">
        <v>0.16923076919999999</v>
      </c>
      <c r="AI188" s="8">
        <v>0.36923076919999998</v>
      </c>
      <c r="AJ188" s="8">
        <v>0.32307692310000002</v>
      </c>
      <c r="AK188" s="8">
        <v>0.13846153850000001</v>
      </c>
      <c r="AL188" s="8">
        <v>0.95104895104895104</v>
      </c>
      <c r="AM188" s="8">
        <v>0.90909090909090895</v>
      </c>
      <c r="AN188" s="8">
        <v>0.91549295774647799</v>
      </c>
      <c r="AO188" s="8">
        <v>0.91549295774647799</v>
      </c>
      <c r="AP188" s="4">
        <v>0.75</v>
      </c>
      <c r="AQ188" s="4">
        <v>0.90273495846149598</v>
      </c>
      <c r="AR188" s="4">
        <v>1</v>
      </c>
      <c r="AS188" s="4">
        <v>0.93626333415622898</v>
      </c>
      <c r="AT188" s="4">
        <v>1</v>
      </c>
      <c r="AU188" s="4">
        <v>0.898192102580051</v>
      </c>
      <c r="AV188" s="4">
        <v>0</v>
      </c>
      <c r="AW188" s="4">
        <v>0.94437912331187501</v>
      </c>
      <c r="AX188" s="4">
        <v>1</v>
      </c>
      <c r="AY188" s="11">
        <f>VLOOKUP(B188,[1]Página1!$A:$E,5,0)</f>
        <v>10074656.42</v>
      </c>
    </row>
    <row r="189" spans="1:51" ht="15.75" customHeight="1" x14ac:dyDescent="0.3">
      <c r="A189" s="4">
        <v>3205101</v>
      </c>
      <c r="B189" s="4" t="s">
        <v>84</v>
      </c>
      <c r="C189" s="5">
        <v>2024</v>
      </c>
      <c r="D189" s="5">
        <v>0.592880678922169</v>
      </c>
      <c r="E189" s="5">
        <v>0.52418056001091395</v>
      </c>
      <c r="F189" s="5">
        <v>0.995</v>
      </c>
      <c r="G189" s="5">
        <v>0.51136191276352805</v>
      </c>
      <c r="H189" s="8">
        <v>0.48839193927430502</v>
      </c>
      <c r="I189" s="8">
        <v>0.57786349111582602</v>
      </c>
      <c r="J189" s="8">
        <v>0.71549190531209605</v>
      </c>
      <c r="K189" s="8">
        <v>0.69951148236273397</v>
      </c>
      <c r="L189" s="8">
        <v>0.26129197323651498</v>
      </c>
      <c r="M189" s="8">
        <v>0.45621549986891802</v>
      </c>
      <c r="N189" s="8">
        <v>0.54758952766218405</v>
      </c>
      <c r="O189" s="8">
        <v>0.58223177587825703</v>
      </c>
      <c r="P189" s="8">
        <v>0.57232914544070701</v>
      </c>
      <c r="Q189" s="8">
        <v>0.54988380085406297</v>
      </c>
      <c r="R189" s="8">
        <v>0.79780420865714297</v>
      </c>
      <c r="S189" s="8">
        <v>8.8746568999999997E-2</v>
      </c>
      <c r="T189" s="8">
        <v>0.19853613910000001</v>
      </c>
      <c r="U189" s="8">
        <v>0.3943275389</v>
      </c>
      <c r="V189" s="8">
        <v>0.318389753</v>
      </c>
      <c r="W189" s="8">
        <v>0.88117243191428496</v>
      </c>
      <c r="X189" s="8">
        <v>2.58780037999999E-2</v>
      </c>
      <c r="Y189" s="8">
        <v>0.16266173749999999</v>
      </c>
      <c r="Z189" s="8">
        <v>0.47134935300000003</v>
      </c>
      <c r="AA189" s="8">
        <v>0.34011090570000002</v>
      </c>
      <c r="AB189" s="8">
        <v>0.81136035687142805</v>
      </c>
      <c r="AC189" s="8">
        <v>6.7952249699999898E-2</v>
      </c>
      <c r="AD189" s="8">
        <v>0.21120293849999999</v>
      </c>
      <c r="AE189" s="8">
        <v>0.40863177229999997</v>
      </c>
      <c r="AF189" s="8">
        <v>0.31221303950000001</v>
      </c>
      <c r="AG189" s="8">
        <v>0.67962184875714204</v>
      </c>
      <c r="AH189" s="8">
        <v>0.14338235290000001</v>
      </c>
      <c r="AI189" s="8">
        <v>0.30974264709999999</v>
      </c>
      <c r="AJ189" s="8">
        <v>0.36672794119999902</v>
      </c>
      <c r="AK189" s="8">
        <v>0.18014705880000001</v>
      </c>
      <c r="AL189" s="8">
        <v>0.91159299416180095</v>
      </c>
      <c r="AM189" s="8">
        <v>0.90241868223519595</v>
      </c>
      <c r="AN189" s="8">
        <v>0.93076923076923002</v>
      </c>
      <c r="AO189" s="8">
        <v>0.92991452991452905</v>
      </c>
      <c r="AP189" s="4">
        <v>0.51136191276352805</v>
      </c>
      <c r="AQ189" s="4">
        <v>0.92031871792170505</v>
      </c>
      <c r="AR189" s="4">
        <v>1</v>
      </c>
      <c r="AS189" s="4">
        <v>0.95895546180315305</v>
      </c>
      <c r="AT189" s="4">
        <v>1</v>
      </c>
      <c r="AU189" s="4">
        <v>0.89589129455222205</v>
      </c>
      <c r="AV189" s="4">
        <v>2.3765478909156399E-2</v>
      </c>
      <c r="AW189" s="4">
        <v>0.89239424924562005</v>
      </c>
      <c r="AX189" s="4">
        <v>2.1682172144957101E-2</v>
      </c>
      <c r="AY189" s="11">
        <f>VLOOKUP(B189,[1]Página1!$A:$E,5,0)</f>
        <v>10442116.5</v>
      </c>
    </row>
    <row r="190" spans="1:51" ht="15.75" customHeight="1" x14ac:dyDescent="0.3">
      <c r="A190" s="4">
        <v>3200359</v>
      </c>
      <c r="B190" s="4" t="s">
        <v>85</v>
      </c>
      <c r="C190" s="5">
        <v>2024</v>
      </c>
      <c r="D190" s="5">
        <v>0.67891479005468502</v>
      </c>
      <c r="E190" s="5">
        <v>0.64473257444362997</v>
      </c>
      <c r="F190" s="5">
        <v>0.96499999999999997</v>
      </c>
      <c r="G190" s="5">
        <v>0.55234658629429201</v>
      </c>
      <c r="H190" s="8">
        <v>0.64635436268416702</v>
      </c>
      <c r="I190" s="8">
        <v>0.64229989208282401</v>
      </c>
      <c r="J190" s="8">
        <v>0.77631749116101001</v>
      </c>
      <c r="K190" s="8">
        <v>0.74698093535263899</v>
      </c>
      <c r="L190" s="8">
        <v>0.51639123420732402</v>
      </c>
      <c r="M190" s="8">
        <v>0.53761884881300903</v>
      </c>
      <c r="N190" s="8">
        <v>0.59855510926323796</v>
      </c>
      <c r="O190" s="8">
        <v>0.644932473936079</v>
      </c>
      <c r="P190" s="8">
        <v>0.60366521251171701</v>
      </c>
      <c r="Q190" s="8">
        <v>0.60045773781656497</v>
      </c>
      <c r="R190" s="8">
        <v>0.87346938780000005</v>
      </c>
      <c r="S190" s="8">
        <v>6.6666666599999896E-2</v>
      </c>
      <c r="T190" s="8">
        <v>0.1047619048</v>
      </c>
      <c r="U190" s="8">
        <v>0.3523809524</v>
      </c>
      <c r="V190" s="8">
        <v>0.47619047619999999</v>
      </c>
      <c r="W190" s="8">
        <v>0.95918367351428502</v>
      </c>
      <c r="X190" s="8">
        <v>1.9047618999999901E-2</v>
      </c>
      <c r="Y190" s="8">
        <v>3.8095238099999998E-2</v>
      </c>
      <c r="Z190" s="8">
        <v>0.4</v>
      </c>
      <c r="AA190" s="8">
        <v>0.54285714289999998</v>
      </c>
      <c r="AB190" s="8">
        <v>0.87517337035714204</v>
      </c>
      <c r="AC190" s="8">
        <v>1.9417475699999898E-2</v>
      </c>
      <c r="AD190" s="8">
        <v>0.18446601939999999</v>
      </c>
      <c r="AE190" s="8">
        <v>0.40776699030000002</v>
      </c>
      <c r="AF190" s="8">
        <v>0.3883495146</v>
      </c>
      <c r="AG190" s="8">
        <v>0.78502080439999999</v>
      </c>
      <c r="AH190" s="8">
        <v>8.7378640799999893E-2</v>
      </c>
      <c r="AI190" s="8">
        <v>0.22330097089999901</v>
      </c>
      <c r="AJ190" s="8">
        <v>0.45631067959999999</v>
      </c>
      <c r="AK190" s="8">
        <v>0.23300970870000001</v>
      </c>
      <c r="AL190" s="8">
        <v>0.96330275229357798</v>
      </c>
      <c r="AM190" s="8">
        <v>0.96330275229357798</v>
      </c>
      <c r="AN190" s="8">
        <v>0.95370370370370305</v>
      </c>
      <c r="AO190" s="8">
        <v>0.95370370370370305</v>
      </c>
      <c r="AP190" s="4">
        <v>0.55234658629429201</v>
      </c>
      <c r="AQ190" s="4">
        <v>0.83846906069326199</v>
      </c>
      <c r="AR190" s="4">
        <v>0</v>
      </c>
      <c r="AS190" s="4">
        <v>0.91276651471132197</v>
      </c>
      <c r="AT190" s="4">
        <v>1</v>
      </c>
      <c r="AU190" s="4">
        <v>0.92625242472090996</v>
      </c>
      <c r="AV190" s="4">
        <v>1</v>
      </c>
      <c r="AW190" s="4">
        <v>0.86444577864961103</v>
      </c>
      <c r="AX190" s="4">
        <v>0.209386345177171</v>
      </c>
      <c r="AY190" s="11">
        <f>VLOOKUP(B190,[1]Página1!$A:$E,5,0)</f>
        <v>11957393.08</v>
      </c>
    </row>
    <row r="191" spans="1:51" ht="15.75" customHeight="1" x14ac:dyDescent="0.3">
      <c r="A191" s="4">
        <v>3200805</v>
      </c>
      <c r="B191" s="4" t="s">
        <v>86</v>
      </c>
      <c r="C191" s="5">
        <v>2024</v>
      </c>
      <c r="D191" s="5">
        <v>0.62358472939917198</v>
      </c>
      <c r="E191" s="5">
        <v>0.56552857126176304</v>
      </c>
      <c r="F191" s="5">
        <v>0.97899999999999998</v>
      </c>
      <c r="G191" s="5">
        <v>0.53909819677292103</v>
      </c>
      <c r="H191" s="8">
        <v>0.51782129790258402</v>
      </c>
      <c r="I191" s="8">
        <v>0.637089481300531</v>
      </c>
      <c r="J191" s="8">
        <v>0.71164360886073097</v>
      </c>
      <c r="K191" s="8">
        <v>0.65536175774212402</v>
      </c>
      <c r="L191" s="8">
        <v>0.32399898694443802</v>
      </c>
      <c r="M191" s="8">
        <v>0.61881720485893699</v>
      </c>
      <c r="N191" s="8">
        <v>0.55506860998884699</v>
      </c>
      <c r="O191" s="8">
        <v>0.54916322915526405</v>
      </c>
      <c r="P191" s="8">
        <v>0.53705881723202398</v>
      </c>
      <c r="Q191" s="8">
        <v>0.53077956703859797</v>
      </c>
      <c r="R191" s="8">
        <v>0.83285714284285695</v>
      </c>
      <c r="S191" s="8">
        <v>9.6666666700000001E-2</v>
      </c>
      <c r="T191" s="8">
        <v>0.1233333333</v>
      </c>
      <c r="U191" s="8">
        <v>0.40333333329999999</v>
      </c>
      <c r="V191" s="8">
        <v>0.37666666669999999</v>
      </c>
      <c r="W191" s="8">
        <v>0.85435992582857101</v>
      </c>
      <c r="X191" s="8">
        <v>5.8441558399999899E-2</v>
      </c>
      <c r="Y191" s="8">
        <v>0.15259740259999999</v>
      </c>
      <c r="Z191" s="8">
        <v>0.53896103900000003</v>
      </c>
      <c r="AA191" s="8">
        <v>0.25</v>
      </c>
      <c r="AB191" s="8">
        <v>0.74070756827142803</v>
      </c>
      <c r="AC191" s="8">
        <v>0.103448275899999</v>
      </c>
      <c r="AD191" s="8">
        <v>0.27272727270000002</v>
      </c>
      <c r="AE191" s="8">
        <v>0.3824451411</v>
      </c>
      <c r="AF191" s="8">
        <v>0.24137931030000001</v>
      </c>
      <c r="AG191" s="8">
        <v>0.64218540079999997</v>
      </c>
      <c r="AH191" s="8">
        <v>0.17868338559999999</v>
      </c>
      <c r="AI191" s="8">
        <v>0.3134796238</v>
      </c>
      <c r="AJ191" s="8">
        <v>0.36990595609999999</v>
      </c>
      <c r="AK191" s="8">
        <v>0.13793103449999999</v>
      </c>
      <c r="AL191" s="8">
        <v>0.89020771513353103</v>
      </c>
      <c r="AM191" s="8">
        <v>0.91394658753709201</v>
      </c>
      <c r="AN191" s="8">
        <v>0.86216216216216202</v>
      </c>
      <c r="AO191" s="8">
        <v>0.86216216216216202</v>
      </c>
      <c r="AP191" s="4">
        <v>0.53909819677292103</v>
      </c>
      <c r="AQ191" s="4">
        <v>0.93485272182328905</v>
      </c>
      <c r="AR191" s="4">
        <v>1</v>
      </c>
      <c r="AS191" s="4">
        <v>0.91918173046113605</v>
      </c>
      <c r="AT191" s="4">
        <v>1</v>
      </c>
      <c r="AU191" s="4">
        <v>0.859199505897287</v>
      </c>
      <c r="AV191" s="4">
        <v>0.156392787091686</v>
      </c>
      <c r="AW191" s="4">
        <v>0.866304502393902</v>
      </c>
      <c r="AX191" s="4">
        <v>0</v>
      </c>
      <c r="AY191" s="11">
        <f>VLOOKUP(B191,[1]Página1!$A:$E,5,0)</f>
        <v>10982891.869999999</v>
      </c>
    </row>
    <row r="192" spans="1:51" ht="15.75" customHeight="1" x14ac:dyDescent="0.3">
      <c r="A192" s="4">
        <v>3201506</v>
      </c>
      <c r="B192" s="4" t="s">
        <v>87</v>
      </c>
      <c r="C192" s="5">
        <v>2024</v>
      </c>
      <c r="D192" s="5">
        <v>0.64079076289907</v>
      </c>
      <c r="E192" s="5">
        <v>0.59741537557010005</v>
      </c>
      <c r="F192" s="5">
        <v>0.98399999999999999</v>
      </c>
      <c r="G192" s="5">
        <v>0.5</v>
      </c>
      <c r="H192" s="8">
        <v>0.55245539248036102</v>
      </c>
      <c r="I192" s="8">
        <v>0.66485535020470798</v>
      </c>
      <c r="J192" s="8">
        <v>0.72418814135923604</v>
      </c>
      <c r="K192" s="8">
        <v>0.69670861632428205</v>
      </c>
      <c r="L192" s="8">
        <v>0.380722643601487</v>
      </c>
      <c r="M192" s="8">
        <v>0.63300208408513403</v>
      </c>
      <c r="N192" s="8">
        <v>0.57502168645668805</v>
      </c>
      <c r="O192" s="8">
        <v>0.55710190929945902</v>
      </c>
      <c r="P192" s="8">
        <v>0.56906573011593198</v>
      </c>
      <c r="Q192" s="8">
        <v>0.55874109707959796</v>
      </c>
      <c r="R192" s="8">
        <v>0.84836534794285701</v>
      </c>
      <c r="S192" s="8">
        <v>7.8361531599999895E-2</v>
      </c>
      <c r="T192" s="8">
        <v>0.12822796079999901</v>
      </c>
      <c r="U192" s="8">
        <v>0.37934105080000002</v>
      </c>
      <c r="V192" s="8">
        <v>0.41406945680000001</v>
      </c>
      <c r="W192" s="8">
        <v>0.85611970851428498</v>
      </c>
      <c r="X192" s="8">
        <v>4.5658012400000003E-2</v>
      </c>
      <c r="Y192" s="8">
        <v>0.1718889884</v>
      </c>
      <c r="Z192" s="8">
        <v>0.50940017910000002</v>
      </c>
      <c r="AA192" s="8">
        <v>0.27305282009999998</v>
      </c>
      <c r="AB192" s="8">
        <v>0.802296964785714</v>
      </c>
      <c r="AC192" s="8">
        <v>5.6603773500000003E-2</v>
      </c>
      <c r="AD192" s="8">
        <v>0.24692370799999999</v>
      </c>
      <c r="AE192" s="8">
        <v>0.38720262509999998</v>
      </c>
      <c r="AF192" s="8">
        <v>0.3092698934</v>
      </c>
      <c r="AG192" s="8">
        <v>0.69635532634285702</v>
      </c>
      <c r="AH192" s="8">
        <v>0.1222313372</v>
      </c>
      <c r="AI192" s="8">
        <v>0.3174733388</v>
      </c>
      <c r="AJ192" s="8">
        <v>0.36751435599999999</v>
      </c>
      <c r="AK192" s="8">
        <v>0.192780968</v>
      </c>
      <c r="AL192" s="8">
        <v>0.91152597402597402</v>
      </c>
      <c r="AM192" s="8">
        <v>0.90665584415584399</v>
      </c>
      <c r="AN192" s="8">
        <v>0.90970149253731303</v>
      </c>
      <c r="AO192" s="8">
        <v>0.90970149253731303</v>
      </c>
      <c r="AP192" s="4">
        <v>0.5</v>
      </c>
      <c r="AQ192" s="4">
        <v>0.92577030917623304</v>
      </c>
      <c r="AR192" s="4">
        <v>1</v>
      </c>
      <c r="AS192" s="4">
        <v>0.954767804616657</v>
      </c>
      <c r="AT192" s="4">
        <v>1</v>
      </c>
      <c r="AU192" s="4">
        <v>0.86196211715063698</v>
      </c>
      <c r="AV192" s="4">
        <v>0</v>
      </c>
      <c r="AW192" s="4">
        <v>0.85919444513175602</v>
      </c>
      <c r="AX192" s="4">
        <v>0</v>
      </c>
      <c r="AY192" s="11">
        <f>VLOOKUP(B192,[1]Página1!$A:$E,5,0)</f>
        <v>11285933.300000001</v>
      </c>
    </row>
    <row r="193" spans="1:51" ht="15.75" customHeight="1" x14ac:dyDescent="0.3">
      <c r="A193" s="4">
        <v>3202256</v>
      </c>
      <c r="B193" s="4" t="s">
        <v>88</v>
      </c>
      <c r="C193" s="5">
        <v>2024</v>
      </c>
      <c r="D193" s="5">
        <v>0.59129570513817897</v>
      </c>
      <c r="E193" s="5">
        <v>0.62625109257494804</v>
      </c>
      <c r="F193" s="5">
        <v>1</v>
      </c>
      <c r="G193" s="5">
        <v>1.9466268904770299E-2</v>
      </c>
      <c r="H193" s="8">
        <v>0.60125093403901397</v>
      </c>
      <c r="I193" s="8">
        <v>0.66375133037885004</v>
      </c>
      <c r="J193" s="8">
        <v>0.72805503830984997</v>
      </c>
      <c r="K193" s="8">
        <v>0.72259668010009304</v>
      </c>
      <c r="L193" s="8">
        <v>0.47444682976817798</v>
      </c>
      <c r="M193" s="8">
        <v>0.60490598065760803</v>
      </c>
      <c r="N193" s="8">
        <v>0.58191812569784995</v>
      </c>
      <c r="O193" s="8">
        <v>0.61307993425291196</v>
      </c>
      <c r="P193" s="8">
        <v>0.59361733278241602</v>
      </c>
      <c r="Q193" s="8">
        <v>0.58218199315111396</v>
      </c>
      <c r="R193" s="8">
        <v>0.82653061232857095</v>
      </c>
      <c r="S193" s="8">
        <v>9.99999998999999E-2</v>
      </c>
      <c r="T193" s="8">
        <v>0.12857142860000001</v>
      </c>
      <c r="U193" s="8">
        <v>0.22857142859999999</v>
      </c>
      <c r="V193" s="8">
        <v>0.54285714289999998</v>
      </c>
      <c r="W193" s="8">
        <v>0.93469387754285704</v>
      </c>
      <c r="X193" s="8">
        <v>-5.5511151231257802E-17</v>
      </c>
      <c r="Y193" s="8">
        <v>0.11428571429999999</v>
      </c>
      <c r="Z193" s="8">
        <v>0.48571428570000003</v>
      </c>
      <c r="AA193" s="8">
        <v>0.4</v>
      </c>
      <c r="AB193" s="8">
        <v>0.83646616548571395</v>
      </c>
      <c r="AC193" s="8">
        <v>6.5789473599999898E-2</v>
      </c>
      <c r="AD193" s="8">
        <v>0.1710526316</v>
      </c>
      <c r="AE193" s="8">
        <v>0.4210526316</v>
      </c>
      <c r="AF193" s="8">
        <v>0.34210526320000001</v>
      </c>
      <c r="AG193" s="8">
        <v>0.71616541357142804</v>
      </c>
      <c r="AH193" s="8">
        <v>0.11842105259999899</v>
      </c>
      <c r="AI193" s="8">
        <v>0.28947368420000003</v>
      </c>
      <c r="AJ193" s="8">
        <v>0.31578947369999999</v>
      </c>
      <c r="AK193" s="8">
        <v>0.27631578950000002</v>
      </c>
      <c r="AL193" s="8">
        <v>0.85365853658536495</v>
      </c>
      <c r="AM193" s="8">
        <v>0.85365853658536495</v>
      </c>
      <c r="AN193" s="8">
        <v>0.938271604938271</v>
      </c>
      <c r="AO193" s="8">
        <v>0.938271604938271</v>
      </c>
      <c r="AP193" s="4">
        <v>1.9466268904770299E-2</v>
      </c>
      <c r="AQ193" s="4">
        <v>0.800210681705805</v>
      </c>
      <c r="AR193" s="4">
        <v>7.7865075619081195E-2</v>
      </c>
      <c r="AS193" s="4">
        <v>0.86329112751340797</v>
      </c>
      <c r="AT193" s="4">
        <v>0</v>
      </c>
      <c r="AU193" s="4">
        <v>0.83244803867641004</v>
      </c>
      <c r="AV193" s="4">
        <v>0</v>
      </c>
      <c r="AW193" s="4">
        <v>0.83181576954602998</v>
      </c>
      <c r="AX193" s="4">
        <v>0</v>
      </c>
      <c r="AY193" s="11">
        <f>VLOOKUP(B193,[1]Página1!$A:$E,5,0)</f>
        <v>10414201.130000001</v>
      </c>
    </row>
    <row r="194" spans="1:51" ht="15.75" customHeight="1" x14ac:dyDescent="0.3">
      <c r="A194" s="4">
        <v>3202702</v>
      </c>
      <c r="B194" s="4" t="s">
        <v>89</v>
      </c>
      <c r="C194" s="5">
        <v>2024</v>
      </c>
      <c r="D194" s="5">
        <v>0.71737119583306597</v>
      </c>
      <c r="E194" s="5">
        <v>0.69618113035364304</v>
      </c>
      <c r="F194" s="5">
        <v>1</v>
      </c>
      <c r="G194" s="5">
        <v>0.53362936390344295</v>
      </c>
      <c r="H194" s="8">
        <v>0.64013348525018099</v>
      </c>
      <c r="I194" s="8">
        <v>0.78025259800883495</v>
      </c>
      <c r="J194" s="8">
        <v>0.76184807474938099</v>
      </c>
      <c r="K194" s="8">
        <v>0.76280563498389398</v>
      </c>
      <c r="L194" s="8">
        <v>0.51841889575098199</v>
      </c>
      <c r="M194" s="8">
        <v>0.79769956103377604</v>
      </c>
      <c r="N194" s="8">
        <v>0.61609649361699104</v>
      </c>
      <c r="O194" s="8">
        <v>0.61335461338505703</v>
      </c>
      <c r="P194" s="8">
        <v>0.61787985725283701</v>
      </c>
      <c r="Q194" s="8">
        <v>0.61998316306969004</v>
      </c>
      <c r="R194" s="8">
        <v>0.89537223334285698</v>
      </c>
      <c r="S194" s="8">
        <v>5.63380281999998E-2</v>
      </c>
      <c r="T194" s="8">
        <v>8.4507042300000002E-2</v>
      </c>
      <c r="U194" s="8">
        <v>0.30985915489999999</v>
      </c>
      <c r="V194" s="8">
        <v>0.54929577460000001</v>
      </c>
      <c r="W194" s="8">
        <v>0.90172239115714203</v>
      </c>
      <c r="X194" s="8">
        <v>2.1276595700000001E-2</v>
      </c>
      <c r="Y194" s="8">
        <v>0.13475177299999999</v>
      </c>
      <c r="Z194" s="8">
        <v>0.3262411348</v>
      </c>
      <c r="AA194" s="8">
        <v>0.51773049650000003</v>
      </c>
      <c r="AB194" s="8">
        <v>0.88364055307142797</v>
      </c>
      <c r="AC194" s="8">
        <v>2.4193548299999999E-2</v>
      </c>
      <c r="AD194" s="8">
        <v>0.16129032259999901</v>
      </c>
      <c r="AE194" s="8">
        <v>0.35483870969999998</v>
      </c>
      <c r="AF194" s="8">
        <v>0.45967741940000001</v>
      </c>
      <c r="AG194" s="8">
        <v>0.79032258064285699</v>
      </c>
      <c r="AH194" s="8">
        <v>8.0645161299999907E-2</v>
      </c>
      <c r="AI194" s="8">
        <v>0.22580645159999899</v>
      </c>
      <c r="AJ194" s="8">
        <v>0.39516129030000002</v>
      </c>
      <c r="AK194" s="8">
        <v>0.29838709679999997</v>
      </c>
      <c r="AL194" s="8">
        <v>0.92207792207792205</v>
      </c>
      <c r="AM194" s="8">
        <v>0.91558441558441495</v>
      </c>
      <c r="AN194" s="8">
        <v>0.976377952755905</v>
      </c>
      <c r="AO194" s="8">
        <v>0.976377952755905</v>
      </c>
      <c r="AP194" s="4">
        <v>0.53362936390344295</v>
      </c>
      <c r="AQ194" s="4">
        <v>0.959312322205774</v>
      </c>
      <c r="AR194" s="4">
        <v>1</v>
      </c>
      <c r="AS194" s="4">
        <v>0.95070070376228599</v>
      </c>
      <c r="AT194" s="4">
        <v>1</v>
      </c>
      <c r="AU194" s="4">
        <v>0.83119636615983095</v>
      </c>
      <c r="AV194" s="4">
        <v>0</v>
      </c>
      <c r="AW194" s="4">
        <v>0.85607763024377204</v>
      </c>
      <c r="AX194" s="4">
        <v>0.13451745561377401</v>
      </c>
      <c r="AY194" s="11">
        <f>VLOOKUP(B194,[1]Página1!$A:$E,5,0)</f>
        <v>12634706.890000001</v>
      </c>
    </row>
    <row r="195" spans="1:51" ht="15.75" customHeight="1" x14ac:dyDescent="0.3">
      <c r="A195" s="4">
        <v>3202900</v>
      </c>
      <c r="B195" s="4" t="s">
        <v>90</v>
      </c>
      <c r="C195" s="5">
        <v>2024</v>
      </c>
      <c r="D195" s="5">
        <v>0.55255831174436698</v>
      </c>
      <c r="E195" s="5">
        <v>0.52322615963481101</v>
      </c>
      <c r="F195" s="5">
        <v>0.99199999999999999</v>
      </c>
      <c r="G195" s="5">
        <v>0.25</v>
      </c>
      <c r="H195" s="8">
        <v>0.55236420763155802</v>
      </c>
      <c r="I195" s="8">
        <v>0.47951908763968898</v>
      </c>
      <c r="J195" s="8">
        <v>0.77077752139143496</v>
      </c>
      <c r="K195" s="8">
        <v>0.75707133278530403</v>
      </c>
      <c r="L195" s="8">
        <v>0.33395089387168198</v>
      </c>
      <c r="M195" s="8">
        <v>0.20196684249407301</v>
      </c>
      <c r="N195" s="8">
        <v>0.60972536215032702</v>
      </c>
      <c r="O195" s="8">
        <v>0.61983257237692302</v>
      </c>
      <c r="P195" s="8">
        <v>0.57322189915813004</v>
      </c>
      <c r="Q195" s="8">
        <v>0.66524083631007203</v>
      </c>
      <c r="R195" s="8">
        <v>0.89682539677142803</v>
      </c>
      <c r="S195" s="8">
        <v>3.3333333399999998E-2</v>
      </c>
      <c r="T195" s="8">
        <v>0.12222222219999999</v>
      </c>
      <c r="U195" s="8">
        <v>0.3</v>
      </c>
      <c r="V195" s="8">
        <v>0.54444444439999995</v>
      </c>
      <c r="W195" s="8">
        <v>0.970779220885714</v>
      </c>
      <c r="X195" s="8">
        <v>2.27272725999999E-2</v>
      </c>
      <c r="Y195" s="8">
        <v>1.1363636399999899E-2</v>
      </c>
      <c r="Z195" s="8">
        <v>0.54545454550000005</v>
      </c>
      <c r="AA195" s="8">
        <v>0.4204545455</v>
      </c>
      <c r="AB195" s="8">
        <v>0.83529411762857098</v>
      </c>
      <c r="AC195" s="8">
        <v>2.35294118E-2</v>
      </c>
      <c r="AD195" s="8">
        <v>0.2470588235</v>
      </c>
      <c r="AE195" s="8">
        <v>0.45882352939999999</v>
      </c>
      <c r="AF195" s="8">
        <v>0.27058823529999998</v>
      </c>
      <c r="AG195" s="8">
        <v>0.85546218482857095</v>
      </c>
      <c r="AH195" s="8">
        <v>2.35294117999999E-2</v>
      </c>
      <c r="AI195" s="8">
        <v>0.21176470589999999</v>
      </c>
      <c r="AJ195" s="8">
        <v>0.37647058819999901</v>
      </c>
      <c r="AK195" s="8">
        <v>0.38823529410000002</v>
      </c>
      <c r="AL195" s="8">
        <v>0.9375</v>
      </c>
      <c r="AM195" s="8">
        <v>0.91666666666666596</v>
      </c>
      <c r="AN195" s="8">
        <v>0.94444444444444398</v>
      </c>
      <c r="AO195" s="8">
        <v>0.94444444444444398</v>
      </c>
      <c r="AP195" s="4">
        <v>0.25</v>
      </c>
      <c r="AQ195" s="4">
        <v>0.84914920254215298</v>
      </c>
      <c r="AR195" s="4">
        <v>0</v>
      </c>
      <c r="AS195" s="4">
        <v>0.96913405198937697</v>
      </c>
      <c r="AT195" s="4">
        <v>1</v>
      </c>
      <c r="AU195" s="4">
        <v>0.81334677626695195</v>
      </c>
      <c r="AV195" s="4">
        <v>0</v>
      </c>
      <c r="AW195" s="4">
        <v>0.79789021564433504</v>
      </c>
      <c r="AX195" s="4">
        <v>0</v>
      </c>
      <c r="AY195" s="11">
        <f>VLOOKUP(B195,[1]Página1!$A:$E,5,0)</f>
        <v>9731938.4299999997</v>
      </c>
    </row>
    <row r="196" spans="1:51" ht="15.75" customHeight="1" x14ac:dyDescent="0.3">
      <c r="A196" s="4">
        <v>3203353</v>
      </c>
      <c r="B196" s="4" t="s">
        <v>91</v>
      </c>
      <c r="C196" s="5">
        <v>2024</v>
      </c>
      <c r="D196" s="5">
        <v>0.57689981530589196</v>
      </c>
      <c r="E196" s="5">
        <v>0.52732699388428705</v>
      </c>
      <c r="F196" s="5">
        <v>0.999</v>
      </c>
      <c r="G196" s="5">
        <v>0.38613946391260801</v>
      </c>
      <c r="H196" s="8">
        <v>0.39888847212363598</v>
      </c>
      <c r="I196" s="8">
        <v>0.71998477652526205</v>
      </c>
      <c r="J196" s="8">
        <v>0.71076346641236299</v>
      </c>
      <c r="K196" s="8">
        <v>0.75040768317959705</v>
      </c>
      <c r="L196" s="8">
        <v>8.7013477834910799E-2</v>
      </c>
      <c r="M196" s="8">
        <v>0.68956186987092705</v>
      </c>
      <c r="N196" s="8">
        <v>0.59181188267524298</v>
      </c>
      <c r="O196" s="8">
        <v>0.56555727598827399</v>
      </c>
      <c r="P196" s="8">
        <v>0.62202983085486496</v>
      </c>
      <c r="Q196" s="8">
        <v>0.62466780539020195</v>
      </c>
      <c r="R196" s="8">
        <v>0.84169884159999997</v>
      </c>
      <c r="S196" s="8">
        <v>8.1081081200000002E-2</v>
      </c>
      <c r="T196" s="8">
        <v>0.1351351351</v>
      </c>
      <c r="U196" s="8">
        <v>0.2905405405</v>
      </c>
      <c r="V196" s="8">
        <v>0.49324324320000001</v>
      </c>
      <c r="W196" s="8">
        <v>0.85426653880000003</v>
      </c>
      <c r="X196" s="8">
        <v>2.68456376E-2</v>
      </c>
      <c r="Y196" s="8">
        <v>0.20805369129999901</v>
      </c>
      <c r="Z196" s="8">
        <v>0.4563758389</v>
      </c>
      <c r="AA196" s="8">
        <v>0.30872483220000002</v>
      </c>
      <c r="AB196" s="8">
        <v>0.87188940092857103</v>
      </c>
      <c r="AC196" s="8">
        <v>3.2258064499999899E-2</v>
      </c>
      <c r="AD196" s="8">
        <v>0.16774193549999999</v>
      </c>
      <c r="AE196" s="8">
        <v>0.36774193550000001</v>
      </c>
      <c r="AF196" s="8">
        <v>0.43225806449999998</v>
      </c>
      <c r="AG196" s="8">
        <v>0.77050691250000003</v>
      </c>
      <c r="AH196" s="8">
        <v>9.6774193499999994E-2</v>
      </c>
      <c r="AI196" s="8">
        <v>0.2322580645</v>
      </c>
      <c r="AJ196" s="8">
        <v>0.30322580649999997</v>
      </c>
      <c r="AK196" s="8">
        <v>0.36774193550000001</v>
      </c>
      <c r="AL196" s="8">
        <v>0.83146067415730296</v>
      </c>
      <c r="AM196" s="8">
        <v>0.83707865168539297</v>
      </c>
      <c r="AN196" s="8">
        <v>0.93373493975903599</v>
      </c>
      <c r="AO196" s="8">
        <v>0.93373493975903599</v>
      </c>
      <c r="AP196" s="4">
        <v>0.38613946391260801</v>
      </c>
      <c r="AQ196" s="4">
        <v>0.874098588118977</v>
      </c>
      <c r="AR196" s="4">
        <v>2.1475019057882599E-2</v>
      </c>
      <c r="AS196" s="4">
        <v>0.92570683454679203</v>
      </c>
      <c r="AT196" s="4">
        <v>1</v>
      </c>
      <c r="AU196" s="4">
        <v>0.85340887004500798</v>
      </c>
      <c r="AV196" s="4">
        <v>0.30752047496405599</v>
      </c>
      <c r="AW196" s="4">
        <v>0.87648842331204602</v>
      </c>
      <c r="AX196" s="4">
        <v>0.21556236162849601</v>
      </c>
      <c r="AY196" s="11">
        <f>VLOOKUP(B196,[1]Página1!$A:$E,5,0)</f>
        <v>10160653.390000001</v>
      </c>
    </row>
    <row r="197" spans="1:51" ht="15.75" customHeight="1" x14ac:dyDescent="0.3">
      <c r="A197" s="4">
        <v>3204005</v>
      </c>
      <c r="B197" s="4" t="s">
        <v>92</v>
      </c>
      <c r="C197" s="5">
        <v>2024</v>
      </c>
      <c r="D197" s="5">
        <v>0.74686160856898598</v>
      </c>
      <c r="E197" s="5">
        <v>0.74573086938426503</v>
      </c>
      <c r="F197" s="5">
        <v>0.999</v>
      </c>
      <c r="G197" s="5">
        <v>0.5</v>
      </c>
      <c r="H197" s="8">
        <v>0.64635206564288195</v>
      </c>
      <c r="I197" s="8">
        <v>0.89479907499634104</v>
      </c>
      <c r="J197" s="8">
        <v>0.78851231766733498</v>
      </c>
      <c r="K197" s="8">
        <v>0.78959814999268296</v>
      </c>
      <c r="L197" s="8">
        <v>0.50419181361842802</v>
      </c>
      <c r="M197" s="8">
        <v>1</v>
      </c>
      <c r="N197" s="8">
        <v>0.63396141665192096</v>
      </c>
      <c r="O197" s="8">
        <v>0.67728915158438596</v>
      </c>
      <c r="P197" s="8">
        <v>0.652447814824894</v>
      </c>
      <c r="Q197" s="8">
        <v>0.69435743781664605</v>
      </c>
      <c r="R197" s="8">
        <v>0.91133004928571404</v>
      </c>
      <c r="S197" s="8">
        <v>1.37931034000001E-2</v>
      </c>
      <c r="T197" s="8">
        <v>0.13103448279999999</v>
      </c>
      <c r="U197" s="8">
        <v>0.31034482759999998</v>
      </c>
      <c r="V197" s="8">
        <v>0.54482758619999905</v>
      </c>
      <c r="W197" s="8">
        <v>0.98001998000000001</v>
      </c>
      <c r="X197" s="8">
        <v>-1.11022302462515E-16</v>
      </c>
      <c r="Y197" s="8">
        <v>3.4965034999999998E-2</v>
      </c>
      <c r="Z197" s="8">
        <v>0.26573426569999897</v>
      </c>
      <c r="AA197" s="8">
        <v>0.69930069930000005</v>
      </c>
      <c r="AB197" s="8">
        <v>0.89782403034285696</v>
      </c>
      <c r="AC197" s="8">
        <v>5.2980132400000102E-2</v>
      </c>
      <c r="AD197" s="8">
        <v>8.6092715200000003E-2</v>
      </c>
      <c r="AE197" s="8">
        <v>0.32450331129999999</v>
      </c>
      <c r="AF197" s="8">
        <v>0.53642384109999997</v>
      </c>
      <c r="AG197" s="8">
        <v>0.84957426680000003</v>
      </c>
      <c r="AH197" s="8">
        <v>8.6092715199999906E-2</v>
      </c>
      <c r="AI197" s="8">
        <v>0.11258278150000001</v>
      </c>
      <c r="AJ197" s="8">
        <v>0.28476821190000001</v>
      </c>
      <c r="AK197" s="8">
        <v>0.51655629140000003</v>
      </c>
      <c r="AL197" s="8">
        <v>0.917721518987341</v>
      </c>
      <c r="AM197" s="8">
        <v>0.90506329113924</v>
      </c>
      <c r="AN197" s="8">
        <v>0.93788819875776397</v>
      </c>
      <c r="AO197" s="8">
        <v>0.93788819875776397</v>
      </c>
      <c r="AP197" s="4">
        <v>0.5</v>
      </c>
      <c r="AQ197" s="4">
        <v>0.94791924123169102</v>
      </c>
      <c r="AR197" s="4">
        <v>1</v>
      </c>
      <c r="AS197" s="4">
        <v>0.94360753010161802</v>
      </c>
      <c r="AT197" s="4">
        <v>1</v>
      </c>
      <c r="AU197" s="4">
        <v>0.81753477819176501</v>
      </c>
      <c r="AV197" s="4">
        <v>0</v>
      </c>
      <c r="AW197" s="4">
        <v>0.79978016534143903</v>
      </c>
      <c r="AX197" s="4">
        <v>0</v>
      </c>
      <c r="AY197" s="11">
        <f>VLOOKUP(B197,[1]Página1!$A:$E,5,0)</f>
        <v>13154107.060000001</v>
      </c>
    </row>
    <row r="198" spans="1:51" ht="15.75" customHeight="1" x14ac:dyDescent="0.3">
      <c r="A198" s="4">
        <v>3204658</v>
      </c>
      <c r="B198" s="4" t="s">
        <v>93</v>
      </c>
      <c r="C198" s="5">
        <v>2024</v>
      </c>
      <c r="D198" s="5">
        <v>0.675689878413681</v>
      </c>
      <c r="E198" s="5">
        <v>0.58386697935754905</v>
      </c>
      <c r="F198" s="5">
        <v>0.99199999999999999</v>
      </c>
      <c r="G198" s="5">
        <v>0.78788661908931401</v>
      </c>
      <c r="H198" s="8">
        <v>0.52728016634157904</v>
      </c>
      <c r="I198" s="8">
        <v>0.66874719888150402</v>
      </c>
      <c r="J198" s="8">
        <v>0.77881317362644897</v>
      </c>
      <c r="K198" s="8">
        <v>0.73147028440147799</v>
      </c>
      <c r="L198" s="8">
        <v>0.27574715905670899</v>
      </c>
      <c r="M198" s="8">
        <v>0.60602411336152995</v>
      </c>
      <c r="N198" s="8">
        <v>0.63176313532824602</v>
      </c>
      <c r="O198" s="8">
        <v>0.65892939440012099</v>
      </c>
      <c r="P198" s="8">
        <v>0.58263271484760804</v>
      </c>
      <c r="Q198" s="8">
        <v>0.61122227892301095</v>
      </c>
      <c r="R198" s="8">
        <v>0.92974238884285698</v>
      </c>
      <c r="S198" s="8">
        <v>-1.00000008274037E-10</v>
      </c>
      <c r="T198" s="8">
        <v>0.12295081970000001</v>
      </c>
      <c r="U198" s="8">
        <v>0.33606557379999902</v>
      </c>
      <c r="V198" s="8">
        <v>0.5409836066</v>
      </c>
      <c r="W198" s="8">
        <v>0.97599039617142802</v>
      </c>
      <c r="X198" s="8">
        <v>0</v>
      </c>
      <c r="Y198" s="8">
        <v>4.2016806699999999E-2</v>
      </c>
      <c r="Z198" s="8">
        <v>0.36974789920000001</v>
      </c>
      <c r="AA198" s="8">
        <v>0.58823529409999997</v>
      </c>
      <c r="AB198" s="8">
        <v>0.84920634924285698</v>
      </c>
      <c r="AC198" s="8">
        <v>5.5555555499999902E-2</v>
      </c>
      <c r="AD198" s="8">
        <v>0.16666666669999999</v>
      </c>
      <c r="AE198" s="8">
        <v>0.45238095239999998</v>
      </c>
      <c r="AF198" s="8">
        <v>0.32539682539999998</v>
      </c>
      <c r="AG198" s="8">
        <v>0.76190476195714196</v>
      </c>
      <c r="AH198" s="8">
        <v>7.9365079299999905E-2</v>
      </c>
      <c r="AI198" s="8">
        <v>0.27777777780000001</v>
      </c>
      <c r="AJ198" s="8">
        <v>0.32539682539999998</v>
      </c>
      <c r="AK198" s="8">
        <v>0.31746031749999998</v>
      </c>
      <c r="AL198" s="8">
        <v>0.89051094890510896</v>
      </c>
      <c r="AM198" s="8">
        <v>0.86861313868613099</v>
      </c>
      <c r="AN198" s="8">
        <v>0.92647058823529405</v>
      </c>
      <c r="AO198" s="8">
        <v>0.92647058823529405</v>
      </c>
      <c r="AP198" s="4">
        <v>0.78788661908931401</v>
      </c>
      <c r="AQ198" s="4">
        <v>0.90464785784032598</v>
      </c>
      <c r="AR198" s="4">
        <v>1</v>
      </c>
      <c r="AS198" s="4">
        <v>0.96643106854388705</v>
      </c>
      <c r="AT198" s="4">
        <v>1</v>
      </c>
      <c r="AU198" s="4">
        <v>0.86810147360879097</v>
      </c>
      <c r="AV198" s="4">
        <v>0.15154647635725799</v>
      </c>
      <c r="AW198" s="4">
        <v>0.94872058320317598</v>
      </c>
      <c r="AX198" s="4">
        <v>1</v>
      </c>
      <c r="AY198" s="11">
        <f>VLOOKUP(B198,[1]Página1!$A:$E,5,0)</f>
        <v>11900594.300000001</v>
      </c>
    </row>
    <row r="199" spans="1:51" ht="15.75" customHeight="1" x14ac:dyDescent="0.3">
      <c r="A199" s="4">
        <v>3204955</v>
      </c>
      <c r="B199" s="4" t="s">
        <v>94</v>
      </c>
      <c r="C199" s="5">
        <v>2024</v>
      </c>
      <c r="D199" s="5">
        <v>0.82666097721377696</v>
      </c>
      <c r="E199" s="5">
        <v>0.75280139601968099</v>
      </c>
      <c r="F199" s="5">
        <v>0.998</v>
      </c>
      <c r="G199" s="5">
        <v>1</v>
      </c>
      <c r="H199" s="8">
        <v>0.70804883998080603</v>
      </c>
      <c r="I199" s="8">
        <v>0.81993023007799404</v>
      </c>
      <c r="J199" s="8">
        <v>0.77491864860929305</v>
      </c>
      <c r="K199" s="8">
        <v>0.82415469441162403</v>
      </c>
      <c r="L199" s="8">
        <v>0.64117903135231902</v>
      </c>
      <c r="M199" s="8">
        <v>0.81570576574436404</v>
      </c>
      <c r="N199" s="8">
        <v>0.62966626727216102</v>
      </c>
      <c r="O199" s="8">
        <v>0.64207980655015995</v>
      </c>
      <c r="P199" s="8">
        <v>0.68742704774375596</v>
      </c>
      <c r="Q199" s="8">
        <v>0.75671553945274295</v>
      </c>
      <c r="R199" s="8">
        <v>0.93065187241428504</v>
      </c>
      <c r="S199" s="8">
        <v>1.9417475699999898E-2</v>
      </c>
      <c r="T199" s="8">
        <v>8.7378640799999893E-2</v>
      </c>
      <c r="U199" s="8">
        <v>0.3883495146</v>
      </c>
      <c r="V199" s="8">
        <v>0.50485436890000002</v>
      </c>
      <c r="W199" s="8">
        <v>0.97919556169999999</v>
      </c>
      <c r="X199" s="8">
        <v>9.7087378999999308E-3</v>
      </c>
      <c r="Y199" s="8">
        <v>1.9417475699999999E-2</v>
      </c>
      <c r="Z199" s="8">
        <v>0.51456310679999995</v>
      </c>
      <c r="AA199" s="8">
        <v>0.45631067959999999</v>
      </c>
      <c r="AB199" s="8">
        <v>0.93483709264285697</v>
      </c>
      <c r="AC199" s="8">
        <v>1.00000008274037E-10</v>
      </c>
      <c r="AD199" s="8">
        <v>0.1140350877</v>
      </c>
      <c r="AE199" s="8">
        <v>0.26315789470000001</v>
      </c>
      <c r="AF199" s="8">
        <v>0.6228070175</v>
      </c>
      <c r="AG199" s="8">
        <v>0.94611528825714197</v>
      </c>
      <c r="AH199" s="8">
        <v>8.7719298000000692E-3</v>
      </c>
      <c r="AI199" s="8">
        <v>7.8947368399999995E-2</v>
      </c>
      <c r="AJ199" s="8">
        <v>0.31578947369999999</v>
      </c>
      <c r="AK199" s="8">
        <v>0.59649122809999999</v>
      </c>
      <c r="AL199" s="8">
        <v>0.88034188034187999</v>
      </c>
      <c r="AM199" s="8">
        <v>0.88034188034187999</v>
      </c>
      <c r="AN199" s="8">
        <v>0.91200000000000003</v>
      </c>
      <c r="AO199" s="8">
        <v>0.91200000000000003</v>
      </c>
      <c r="AP199" s="4">
        <v>1</v>
      </c>
      <c r="AQ199" s="4">
        <v>0.92705692704623099</v>
      </c>
      <c r="AR199" s="4">
        <v>1</v>
      </c>
      <c r="AS199" s="4">
        <v>0.95033247201188997</v>
      </c>
      <c r="AT199" s="4">
        <v>1</v>
      </c>
      <c r="AU199" s="4">
        <v>0.96262613647793505</v>
      </c>
      <c r="AV199" s="4">
        <v>1</v>
      </c>
      <c r="AW199" s="4">
        <v>0.96308890865769803</v>
      </c>
      <c r="AX199" s="4">
        <v>1</v>
      </c>
      <c r="AY199" s="11">
        <f>VLOOKUP(B199,[1]Página1!$A:$E,5,0)</f>
        <v>14559574.18</v>
      </c>
    </row>
    <row r="200" spans="1:51" ht="15.75" customHeight="1" x14ac:dyDescent="0.3">
      <c r="A200" s="4">
        <v>3200201</v>
      </c>
      <c r="B200" s="4" t="s">
        <v>95</v>
      </c>
      <c r="C200" s="5">
        <v>2024</v>
      </c>
      <c r="D200" s="5">
        <v>0.74089845741328797</v>
      </c>
      <c r="E200" s="5">
        <v>0.72742891148807298</v>
      </c>
      <c r="F200" s="5">
        <v>1</v>
      </c>
      <c r="G200" s="5">
        <v>0.54465479581091403</v>
      </c>
      <c r="H200" s="8">
        <v>0.65040994820657905</v>
      </c>
      <c r="I200" s="8">
        <v>0.842957356410315</v>
      </c>
      <c r="J200" s="8">
        <v>0.75123046383333603</v>
      </c>
      <c r="K200" s="8">
        <v>0.73832637612708996</v>
      </c>
      <c r="L200" s="8">
        <v>0.54958943257982096</v>
      </c>
      <c r="M200" s="8">
        <v>0.94758833669354103</v>
      </c>
      <c r="N200" s="8">
        <v>0.58907648742511098</v>
      </c>
      <c r="O200" s="8">
        <v>0.590266346202032</v>
      </c>
      <c r="P200" s="8">
        <v>0.58836828151632503</v>
      </c>
      <c r="Q200" s="8">
        <v>0.58825887176102698</v>
      </c>
      <c r="R200" s="8">
        <v>0.88725490197142798</v>
      </c>
      <c r="S200" s="8">
        <v>5.39215685999999E-2</v>
      </c>
      <c r="T200" s="8">
        <v>0.1029411765</v>
      </c>
      <c r="U200" s="8">
        <v>0.40196078429999998</v>
      </c>
      <c r="V200" s="8">
        <v>0.44117647059999998</v>
      </c>
      <c r="W200" s="8">
        <v>0.87254901958571396</v>
      </c>
      <c r="X200" s="8">
        <v>2.9411764699999999E-2</v>
      </c>
      <c r="Y200" s="8">
        <v>0.17156862749999999</v>
      </c>
      <c r="Z200" s="8">
        <v>0.460784313699999</v>
      </c>
      <c r="AA200" s="8">
        <v>0.33823529409999997</v>
      </c>
      <c r="AB200" s="8">
        <v>0.82902137229999895</v>
      </c>
      <c r="AC200" s="8">
        <v>4.72440945E-2</v>
      </c>
      <c r="AD200" s="8">
        <v>0.21653543310000001</v>
      </c>
      <c r="AE200" s="8">
        <v>0.40944881889999901</v>
      </c>
      <c r="AF200" s="8">
        <v>0.32677165349999998</v>
      </c>
      <c r="AG200" s="8">
        <v>0.75534308210000001</v>
      </c>
      <c r="AH200" s="8">
        <v>6.6929133899999896E-2</v>
      </c>
      <c r="AI200" s="8">
        <v>0.311023622</v>
      </c>
      <c r="AJ200" s="8">
        <v>0.41338582680000002</v>
      </c>
      <c r="AK200" s="8">
        <v>0.20866141729999901</v>
      </c>
      <c r="AL200" s="8">
        <v>0.94444444444444398</v>
      </c>
      <c r="AM200" s="8">
        <v>0.94444444444444398</v>
      </c>
      <c r="AN200" s="8">
        <v>0.98449612403100695</v>
      </c>
      <c r="AO200" s="8">
        <v>0.98449612403100695</v>
      </c>
      <c r="AP200" s="4">
        <v>0.54465479581091403</v>
      </c>
      <c r="AQ200" s="4">
        <v>0.95029495559275201</v>
      </c>
      <c r="AR200" s="4">
        <v>1</v>
      </c>
      <c r="AS200" s="4">
        <v>1.0072779422409099</v>
      </c>
      <c r="AT200" s="4">
        <v>1</v>
      </c>
      <c r="AU200" s="4">
        <v>0.88408399395745396</v>
      </c>
      <c r="AV200" s="4">
        <v>0.178619183243656</v>
      </c>
      <c r="AW200" s="4">
        <v>0.88031604927789098</v>
      </c>
      <c r="AX200" s="4">
        <v>0</v>
      </c>
      <c r="AY200" s="11">
        <f>VLOOKUP(B200,[1]Página1!$A:$E,5,0)</f>
        <v>13049081</v>
      </c>
    </row>
    <row r="201" spans="1:51" ht="15.75" customHeight="1" x14ac:dyDescent="0.3">
      <c r="A201" s="4">
        <v>3200508</v>
      </c>
      <c r="B201" s="4" t="s">
        <v>96</v>
      </c>
      <c r="C201" s="5">
        <v>2024</v>
      </c>
      <c r="D201" s="5">
        <v>0.59157121123026901</v>
      </c>
      <c r="E201" s="5">
        <v>0.53271641599268404</v>
      </c>
      <c r="F201" s="5">
        <v>0.98199999999999998</v>
      </c>
      <c r="G201" s="5">
        <v>0.47579813356926598</v>
      </c>
      <c r="H201" s="8">
        <v>0.332746176789179</v>
      </c>
      <c r="I201" s="8">
        <v>0.83267177479794197</v>
      </c>
      <c r="J201" s="8">
        <v>0.66549235357835901</v>
      </c>
      <c r="K201" s="8">
        <v>0.67183815155080295</v>
      </c>
      <c r="L201" s="8">
        <v>0</v>
      </c>
      <c r="M201" s="8">
        <v>0.99350539804508098</v>
      </c>
      <c r="N201" s="8">
        <v>0.50831730160767896</v>
      </c>
      <c r="O201" s="8">
        <v>0.500911741437155</v>
      </c>
      <c r="P201" s="8">
        <v>0.54196389416156099</v>
      </c>
      <c r="Q201" s="8">
        <v>0.52268678315693096</v>
      </c>
      <c r="R201" s="8">
        <v>0.69333333331428504</v>
      </c>
      <c r="S201" s="8">
        <v>0.19999999999999901</v>
      </c>
      <c r="T201" s="8">
        <v>0.18666666670000001</v>
      </c>
      <c r="U201" s="8">
        <v>0.28000000000000003</v>
      </c>
      <c r="V201" s="8">
        <v>0.33333333329999998</v>
      </c>
      <c r="W201" s="8">
        <v>0.77333333329999998</v>
      </c>
      <c r="X201" s="8">
        <v>6.6666666699999905E-2</v>
      </c>
      <c r="Y201" s="8">
        <v>0.28000000000000003</v>
      </c>
      <c r="Z201" s="8">
        <v>0.49333333330000001</v>
      </c>
      <c r="AA201" s="8">
        <v>0.16</v>
      </c>
      <c r="AB201" s="8">
        <v>0.77579365082857099</v>
      </c>
      <c r="AC201" s="8">
        <v>9.7222222199999903E-2</v>
      </c>
      <c r="AD201" s="8">
        <v>0.22222222219999899</v>
      </c>
      <c r="AE201" s="8">
        <v>0.43055555559999997</v>
      </c>
      <c r="AF201" s="8">
        <v>0.25</v>
      </c>
      <c r="AG201" s="8">
        <v>0.64682539681428497</v>
      </c>
      <c r="AH201" s="8">
        <v>0.13888888890000001</v>
      </c>
      <c r="AI201" s="8">
        <v>0.375</v>
      </c>
      <c r="AJ201" s="8">
        <v>0.38888888889999901</v>
      </c>
      <c r="AK201" s="8">
        <v>9.72222222E-2</v>
      </c>
      <c r="AL201" s="8">
        <v>0.92592592592592504</v>
      </c>
      <c r="AM201" s="8">
        <v>0.92592592592592504</v>
      </c>
      <c r="AN201" s="8">
        <v>0.911392405063291</v>
      </c>
      <c r="AO201" s="8">
        <v>0.911392405063291</v>
      </c>
      <c r="AP201" s="4">
        <v>0.47579813356926598</v>
      </c>
      <c r="AQ201" s="4">
        <v>0.85532728641377798</v>
      </c>
      <c r="AR201" s="4">
        <v>0</v>
      </c>
      <c r="AS201" s="4">
        <v>0.94991601865575703</v>
      </c>
      <c r="AT201" s="4">
        <v>1</v>
      </c>
      <c r="AU201" s="4">
        <v>0.87465030762484497</v>
      </c>
      <c r="AV201" s="4">
        <v>0.40711311027201402</v>
      </c>
      <c r="AW201" s="4">
        <v>0.87216796393066198</v>
      </c>
      <c r="AX201" s="4">
        <v>0.49607942400504901</v>
      </c>
      <c r="AY201" s="11">
        <f>VLOOKUP(B201,[1]Página1!$A:$E,5,0)</f>
        <v>10419053.48</v>
      </c>
    </row>
    <row r="202" spans="1:51" ht="15.75" customHeight="1" x14ac:dyDescent="0.3">
      <c r="A202" s="4">
        <v>3201100</v>
      </c>
      <c r="B202" s="4" t="s">
        <v>97</v>
      </c>
      <c r="C202" s="5">
        <v>2024</v>
      </c>
      <c r="D202" s="5">
        <v>0.51349707181290505</v>
      </c>
      <c r="E202" s="5">
        <v>0.41449581687557902</v>
      </c>
      <c r="F202" s="5">
        <v>0.98899999999999999</v>
      </c>
      <c r="G202" s="5">
        <v>0.5</v>
      </c>
      <c r="H202" s="8">
        <v>0.35292956206551401</v>
      </c>
      <c r="I202" s="8">
        <v>0.50684519909067605</v>
      </c>
      <c r="J202" s="8">
        <v>0.67934197505160399</v>
      </c>
      <c r="K202" s="8">
        <v>0.68601197534027702</v>
      </c>
      <c r="L202" s="8">
        <v>2.6517149079423701E-2</v>
      </c>
      <c r="M202" s="8">
        <v>0.32767842284107601</v>
      </c>
      <c r="N202" s="8">
        <v>0.51612093842166595</v>
      </c>
      <c r="O202" s="8">
        <v>0.52857991226561496</v>
      </c>
      <c r="P202" s="8">
        <v>0.56197556401092597</v>
      </c>
      <c r="Q202" s="8">
        <v>0.54846059151015603</v>
      </c>
      <c r="R202" s="8">
        <v>0.775884665857142</v>
      </c>
      <c r="S202" s="8">
        <v>0.119266054999999</v>
      </c>
      <c r="T202" s="8">
        <v>0.18348623849999901</v>
      </c>
      <c r="U202" s="8">
        <v>0.4311926606</v>
      </c>
      <c r="V202" s="8">
        <v>0.26605504590000001</v>
      </c>
      <c r="W202" s="8">
        <v>0.80229591838571401</v>
      </c>
      <c r="X202" s="8">
        <v>4.4642857099999898E-2</v>
      </c>
      <c r="Y202" s="8">
        <v>0.26785714290000001</v>
      </c>
      <c r="Z202" s="8">
        <v>0.52678571429999999</v>
      </c>
      <c r="AA202" s="8">
        <v>0.16071428569999999</v>
      </c>
      <c r="AB202" s="8">
        <v>0.81632653060000004</v>
      </c>
      <c r="AC202" s="8">
        <v>6.1224489799999997E-2</v>
      </c>
      <c r="AD202" s="8">
        <v>0.21428571430000001</v>
      </c>
      <c r="AE202" s="8">
        <v>0.44897959180000002</v>
      </c>
      <c r="AF202" s="8">
        <v>0.27551020409999999</v>
      </c>
      <c r="AG202" s="8">
        <v>0.68513119531428501</v>
      </c>
      <c r="AH202" s="8">
        <v>0.12244897959999999</v>
      </c>
      <c r="AI202" s="8">
        <v>0.33673469389999999</v>
      </c>
      <c r="AJ202" s="8">
        <v>0.37755102039999999</v>
      </c>
      <c r="AK202" s="8">
        <v>0.16326530609999901</v>
      </c>
      <c r="AL202" s="8">
        <v>0.87903225806451601</v>
      </c>
      <c r="AM202" s="8">
        <v>0.90322580645161199</v>
      </c>
      <c r="AN202" s="8">
        <v>0.88288288288288197</v>
      </c>
      <c r="AO202" s="8">
        <v>0.88288288288288197</v>
      </c>
      <c r="AP202" s="4">
        <v>0.5</v>
      </c>
      <c r="AQ202" s="4">
        <v>0.888769151461408</v>
      </c>
      <c r="AR202" s="4">
        <v>0</v>
      </c>
      <c r="AS202" s="4">
        <v>0.95644646825952695</v>
      </c>
      <c r="AT202" s="4">
        <v>1</v>
      </c>
      <c r="AU202" s="4">
        <v>0.853004161768804</v>
      </c>
      <c r="AV202" s="4">
        <v>0</v>
      </c>
      <c r="AW202" s="4">
        <v>0.90275748566537095</v>
      </c>
      <c r="AX202" s="4">
        <v>1</v>
      </c>
      <c r="AY202" s="11">
        <f>VLOOKUP(B202,[1]Página1!$A:$E,5,0)</f>
        <v>9043971.9700000007</v>
      </c>
    </row>
    <row r="203" spans="1:51" ht="15.75" customHeight="1" x14ac:dyDescent="0.3">
      <c r="A203" s="4">
        <v>3201803</v>
      </c>
      <c r="B203" s="4" t="s">
        <v>98</v>
      </c>
      <c r="C203" s="5">
        <v>2024</v>
      </c>
      <c r="D203" s="5">
        <v>0.839815974490421</v>
      </c>
      <c r="E203" s="5">
        <v>0.87605628485061504</v>
      </c>
      <c r="F203" s="5">
        <v>0.99299999999999999</v>
      </c>
      <c r="G203" s="5">
        <v>0.51751050063326998</v>
      </c>
      <c r="H203" s="8">
        <v>0.89370045274161503</v>
      </c>
      <c r="I203" s="8">
        <v>0.84959003301411395</v>
      </c>
      <c r="J203" s="8">
        <v>0.78740090548323105</v>
      </c>
      <c r="K203" s="8">
        <v>0.73797146125080204</v>
      </c>
      <c r="L203" s="8">
        <v>1</v>
      </c>
      <c r="M203" s="8">
        <v>0.96120860477742498</v>
      </c>
      <c r="N203" s="8">
        <v>0.605269635267638</v>
      </c>
      <c r="O203" s="8">
        <v>0.70336031789835796</v>
      </c>
      <c r="P203" s="8">
        <v>0.58309572117158703</v>
      </c>
      <c r="Q203" s="8">
        <v>0.59470737597600298</v>
      </c>
      <c r="R203" s="8">
        <v>0.87755102042857103</v>
      </c>
      <c r="S203" s="8">
        <v>7.1428571400000002E-2</v>
      </c>
      <c r="T203" s="8">
        <v>8.9285714299999999E-2</v>
      </c>
      <c r="U203" s="8">
        <v>0.32142857139999997</v>
      </c>
      <c r="V203" s="8">
        <v>0.51785714289999996</v>
      </c>
      <c r="W203" s="8">
        <v>0.97922077919999995</v>
      </c>
      <c r="X203" s="8">
        <v>1.11022302462515E-16</v>
      </c>
      <c r="Y203" s="8">
        <v>3.6363636399999899E-2</v>
      </c>
      <c r="Z203" s="8">
        <v>0.2</v>
      </c>
      <c r="AA203" s="8">
        <v>0.76363636359999998</v>
      </c>
      <c r="AB203" s="8">
        <v>0.83809523811428499</v>
      </c>
      <c r="AC203" s="8">
        <v>0</v>
      </c>
      <c r="AD203" s="8">
        <v>0.28333333329999999</v>
      </c>
      <c r="AE203" s="8">
        <v>0.45</v>
      </c>
      <c r="AF203" s="8">
        <v>0.2666666667</v>
      </c>
      <c r="AG203" s="8">
        <v>0.74285714284285698</v>
      </c>
      <c r="AH203" s="8">
        <v>6.6666666699999905E-2</v>
      </c>
      <c r="AI203" s="8">
        <v>0.33333333329999998</v>
      </c>
      <c r="AJ203" s="8">
        <v>0.38333333330000002</v>
      </c>
      <c r="AK203" s="8">
        <v>0.21666666670000001</v>
      </c>
      <c r="AL203" s="8">
        <v>0.94915254237288105</v>
      </c>
      <c r="AM203" s="8">
        <v>0.93220338983050799</v>
      </c>
      <c r="AN203" s="8">
        <v>0.98360655737704905</v>
      </c>
      <c r="AO203" s="8">
        <v>0.98360655737704905</v>
      </c>
      <c r="AP203" s="4">
        <v>0.51751050063326998</v>
      </c>
      <c r="AQ203" s="4">
        <v>1.0042281588885</v>
      </c>
      <c r="AR203" s="4">
        <v>1</v>
      </c>
      <c r="AS203" s="4">
        <v>1.04046752286615</v>
      </c>
      <c r="AT203" s="4">
        <v>1</v>
      </c>
      <c r="AU203" s="4">
        <v>0.826348622708028</v>
      </c>
      <c r="AV203" s="4">
        <v>6.6857588225218197E-3</v>
      </c>
      <c r="AW203" s="4">
        <v>0.84160767148322302</v>
      </c>
      <c r="AX203" s="4">
        <v>6.3356243710561602E-2</v>
      </c>
      <c r="AY203" s="11">
        <f>VLOOKUP(B203,[1]Página1!$A:$E,5,0)</f>
        <v>14791266.699999999</v>
      </c>
    </row>
    <row r="204" spans="1:51" ht="15.75" customHeight="1" x14ac:dyDescent="0.3">
      <c r="A204" s="4">
        <v>3202009</v>
      </c>
      <c r="B204" s="4" t="s">
        <v>99</v>
      </c>
      <c r="C204" s="5">
        <v>2024</v>
      </c>
      <c r="D204" s="5">
        <v>0.636660818675433</v>
      </c>
      <c r="E204" s="5">
        <v>0.58808688382204799</v>
      </c>
      <c r="F204" s="5">
        <v>1</v>
      </c>
      <c r="G204" s="5">
        <v>0.5</v>
      </c>
      <c r="H204" s="8">
        <v>0.50937037320919798</v>
      </c>
      <c r="I204" s="8">
        <v>0.70616164974132201</v>
      </c>
      <c r="J204" s="8">
        <v>0.78414282220882103</v>
      </c>
      <c r="K204" s="8">
        <v>0.73488352899679499</v>
      </c>
      <c r="L204" s="8">
        <v>0.23459792420957501</v>
      </c>
      <c r="M204" s="8">
        <v>0.67743977048584803</v>
      </c>
      <c r="N204" s="8">
        <v>0.59612747781780595</v>
      </c>
      <c r="O204" s="8">
        <v>0.69568106351904702</v>
      </c>
      <c r="P204" s="8">
        <v>0.61167812591384096</v>
      </c>
      <c r="Q204" s="8">
        <v>0.58605376459529301</v>
      </c>
      <c r="R204" s="8">
        <v>0.90347490345714199</v>
      </c>
      <c r="S204" s="8">
        <v>9.0090090000000105E-3</v>
      </c>
      <c r="T204" s="8">
        <v>0.1531531532</v>
      </c>
      <c r="U204" s="8">
        <v>0.43243243239999901</v>
      </c>
      <c r="V204" s="8">
        <v>0.40540540539999997</v>
      </c>
      <c r="W204" s="8">
        <v>0.96031746025714204</v>
      </c>
      <c r="X204" s="8">
        <v>1.8518518599999801E-2</v>
      </c>
      <c r="Y204" s="8">
        <v>3.7037037000000002E-2</v>
      </c>
      <c r="Z204" s="8">
        <v>0.28703703699999999</v>
      </c>
      <c r="AA204" s="8">
        <v>0.65740740740000003</v>
      </c>
      <c r="AB204" s="8">
        <v>0.86554621854285696</v>
      </c>
      <c r="AC204" s="8">
        <v>3.9215686199999898E-2</v>
      </c>
      <c r="AD204" s="8">
        <v>0.16666666669999999</v>
      </c>
      <c r="AE204" s="8">
        <v>0.38235294119999902</v>
      </c>
      <c r="AF204" s="8">
        <v>0.41176470590000003</v>
      </c>
      <c r="AG204" s="8">
        <v>0.74649859938571395</v>
      </c>
      <c r="AH204" s="8">
        <v>0.107843137299999</v>
      </c>
      <c r="AI204" s="8">
        <v>0.25490196079999999</v>
      </c>
      <c r="AJ204" s="8">
        <v>0.3921568627</v>
      </c>
      <c r="AK204" s="8">
        <v>0.24509803920000001</v>
      </c>
      <c r="AL204" s="8">
        <v>0.94871794871794801</v>
      </c>
      <c r="AM204" s="8">
        <v>0.92307692307692302</v>
      </c>
      <c r="AN204" s="8">
        <v>0.93577981651376096</v>
      </c>
      <c r="AO204" s="8">
        <v>0.93577981651376096</v>
      </c>
      <c r="AP204" s="4">
        <v>0.5</v>
      </c>
      <c r="AQ204" s="4">
        <v>0.96671702535904902</v>
      </c>
      <c r="AR204" s="4">
        <v>1</v>
      </c>
      <c r="AS204" s="4">
        <v>0.94346474428789195</v>
      </c>
      <c r="AT204" s="4">
        <v>1</v>
      </c>
      <c r="AU204" s="4">
        <v>0.87629825307645504</v>
      </c>
      <c r="AV204" s="4">
        <v>0</v>
      </c>
      <c r="AW204" s="4">
        <v>0.83305591568680804</v>
      </c>
      <c r="AX204" s="4">
        <v>0</v>
      </c>
      <c r="AY204" s="11">
        <f>VLOOKUP(B204,[1]Página1!$A:$E,5,0)</f>
        <v>11213194.619999999</v>
      </c>
    </row>
    <row r="205" spans="1:51" ht="15.75" customHeight="1" x14ac:dyDescent="0.3">
      <c r="A205" s="4">
        <v>3202306</v>
      </c>
      <c r="B205" s="4" t="s">
        <v>100</v>
      </c>
      <c r="C205" s="5">
        <v>2024</v>
      </c>
      <c r="D205" s="5">
        <v>0.59575403739911803</v>
      </c>
      <c r="E205" s="5">
        <v>0.531339855531612</v>
      </c>
      <c r="F205" s="5">
        <v>0.99199999999999999</v>
      </c>
      <c r="G205" s="5">
        <v>0.500107590179934</v>
      </c>
      <c r="H205" s="8">
        <v>0.464028632050346</v>
      </c>
      <c r="I205" s="8">
        <v>0.63230669075350998</v>
      </c>
      <c r="J205" s="8">
        <v>0.71281896492942398</v>
      </c>
      <c r="K205" s="8">
        <v>0.71153816412988602</v>
      </c>
      <c r="L205" s="8">
        <v>0.21523829917126899</v>
      </c>
      <c r="M205" s="8">
        <v>0.55307521737713305</v>
      </c>
      <c r="N205" s="8">
        <v>0.56760849788389001</v>
      </c>
      <c r="O205" s="8">
        <v>0.52125850346810898</v>
      </c>
      <c r="P205" s="8">
        <v>0.57327757657392697</v>
      </c>
      <c r="Q205" s="8">
        <v>0.56416639957294901</v>
      </c>
      <c r="R205" s="8">
        <v>0.85264019654285705</v>
      </c>
      <c r="S205" s="8">
        <v>5.73065902E-2</v>
      </c>
      <c r="T205" s="8">
        <v>0.15759312319999999</v>
      </c>
      <c r="U205" s="8">
        <v>0.4383954155</v>
      </c>
      <c r="V205" s="8">
        <v>0.34670487109999998</v>
      </c>
      <c r="W205" s="8">
        <v>0.79039479040000005</v>
      </c>
      <c r="X205" s="8">
        <v>4.8433048399999797E-2</v>
      </c>
      <c r="Y205" s="8">
        <v>0.28205128210000002</v>
      </c>
      <c r="Z205" s="8">
        <v>0.48717948719999998</v>
      </c>
      <c r="AA205" s="8">
        <v>0.18233618230000001</v>
      </c>
      <c r="AB205" s="8">
        <v>0.80534196687142801</v>
      </c>
      <c r="AC205" s="8">
        <v>6.5155807299999993E-2</v>
      </c>
      <c r="AD205" s="8">
        <v>0.22662889520000001</v>
      </c>
      <c r="AE205" s="8">
        <v>0.39093484420000002</v>
      </c>
      <c r="AF205" s="8">
        <v>0.31728045329999999</v>
      </c>
      <c r="AG205" s="8">
        <v>0.69087974169999999</v>
      </c>
      <c r="AH205" s="8">
        <v>0.141242937899999</v>
      </c>
      <c r="AI205" s="8">
        <v>0.29378531070000002</v>
      </c>
      <c r="AJ205" s="8">
        <v>0.33898305080000002</v>
      </c>
      <c r="AK205" s="8">
        <v>0.22598870059999901</v>
      </c>
      <c r="AL205" s="8">
        <v>0.92328042328042303</v>
      </c>
      <c r="AM205" s="8">
        <v>0.92857142857142805</v>
      </c>
      <c r="AN205" s="8">
        <v>0.95923913043478204</v>
      </c>
      <c r="AO205" s="8">
        <v>0.96195652173913004</v>
      </c>
      <c r="AP205" s="4">
        <v>0.500107590179934</v>
      </c>
      <c r="AQ205" s="4">
        <v>0.93128172953170796</v>
      </c>
      <c r="AR205" s="4">
        <v>1</v>
      </c>
      <c r="AS205" s="4">
        <v>0.94205593229713103</v>
      </c>
      <c r="AT205" s="4">
        <v>1</v>
      </c>
      <c r="AU205" s="4">
        <v>0.81704264467535803</v>
      </c>
      <c r="AV205" s="4">
        <v>0</v>
      </c>
      <c r="AW205" s="4">
        <v>0.80956107323974202</v>
      </c>
      <c r="AX205" s="4">
        <v>4.30360719738831E-4</v>
      </c>
      <c r="AY205" s="11">
        <f>VLOOKUP(B205,[1]Página1!$A:$E,5,0)</f>
        <v>10492723.550000001</v>
      </c>
    </row>
    <row r="206" spans="1:51" ht="15.75" customHeight="1" x14ac:dyDescent="0.3">
      <c r="A206" s="4">
        <v>3202454</v>
      </c>
      <c r="B206" s="4" t="s">
        <v>101</v>
      </c>
      <c r="C206" s="5">
        <v>2024</v>
      </c>
      <c r="D206" s="5">
        <v>0.58958783877431498</v>
      </c>
      <c r="E206" s="5">
        <v>0.52609096669094901</v>
      </c>
      <c r="F206" s="5">
        <v>0.94899999999999995</v>
      </c>
      <c r="G206" s="5">
        <v>0.52649441393767504</v>
      </c>
      <c r="H206" s="8">
        <v>0.45485975464998302</v>
      </c>
      <c r="I206" s="8">
        <v>0.63293778475239704</v>
      </c>
      <c r="J206" s="8">
        <v>0.73681632540706099</v>
      </c>
      <c r="K206" s="8">
        <v>0.66258134344394903</v>
      </c>
      <c r="L206" s="8">
        <v>0.17290318389290599</v>
      </c>
      <c r="M206" s="8">
        <v>0.60329422606084504</v>
      </c>
      <c r="N206" s="8">
        <v>0.58784421180983204</v>
      </c>
      <c r="O206" s="8">
        <v>0.55534725848409106</v>
      </c>
      <c r="P206" s="8">
        <v>0.54028865112646496</v>
      </c>
      <c r="Q206" s="8">
        <v>0.53972306619391397</v>
      </c>
      <c r="R206" s="8">
        <v>0.885876163514285</v>
      </c>
      <c r="S206" s="8">
        <v>5.09915014E-2</v>
      </c>
      <c r="T206" s="8">
        <v>0.1104815864</v>
      </c>
      <c r="U206" s="8">
        <v>0.41359773369999903</v>
      </c>
      <c r="V206" s="8">
        <v>0.4249291785</v>
      </c>
      <c r="W206" s="8">
        <v>0.85591133008571396</v>
      </c>
      <c r="X206" s="8">
        <v>3.7356321799999898E-2</v>
      </c>
      <c r="Y206" s="8">
        <v>0.1867816092</v>
      </c>
      <c r="Z206" s="8">
        <v>0.56034482760000004</v>
      </c>
      <c r="AA206" s="8">
        <v>0.2155172414</v>
      </c>
      <c r="AB206" s="8">
        <v>0.74276950038571399</v>
      </c>
      <c r="AC206" s="8">
        <v>0.10122699390000001</v>
      </c>
      <c r="AD206" s="8">
        <v>0.27300613499999998</v>
      </c>
      <c r="AE206" s="8">
        <v>0.3588957055</v>
      </c>
      <c r="AF206" s="8">
        <v>0.26687116560000002</v>
      </c>
      <c r="AG206" s="8">
        <v>0.64986853638571396</v>
      </c>
      <c r="AH206" s="8">
        <v>0.16257668710000001</v>
      </c>
      <c r="AI206" s="8">
        <v>0.32822085889999902</v>
      </c>
      <c r="AJ206" s="8">
        <v>0.33128834359999998</v>
      </c>
      <c r="AK206" s="8">
        <v>0.17791411039999999</v>
      </c>
      <c r="AL206" s="8">
        <v>0.92894736842105197</v>
      </c>
      <c r="AM206" s="8">
        <v>0.91578947368421004</v>
      </c>
      <c r="AN206" s="8">
        <v>0.87399463806970501</v>
      </c>
      <c r="AO206" s="8">
        <v>0.87399463806970501</v>
      </c>
      <c r="AP206" s="4">
        <v>0.52649441393767504</v>
      </c>
      <c r="AQ206" s="4">
        <v>0.94736987548992202</v>
      </c>
      <c r="AR206" s="4">
        <v>1</v>
      </c>
      <c r="AS206" s="4">
        <v>0.97725068683254002</v>
      </c>
      <c r="AT206" s="4">
        <v>1</v>
      </c>
      <c r="AU206" s="4">
        <v>0.83467884765008604</v>
      </c>
      <c r="AV206" s="4">
        <v>0.10597765575070001</v>
      </c>
      <c r="AW206" s="4">
        <v>0.79810596511046294</v>
      </c>
      <c r="AX206" s="4">
        <v>0</v>
      </c>
      <c r="AY206" s="11">
        <f>VLOOKUP(B206,[1]Página1!$A:$E,5,0)</f>
        <v>10384121.32</v>
      </c>
    </row>
    <row r="207" spans="1:51" ht="15.75" customHeight="1" x14ac:dyDescent="0.3">
      <c r="A207" s="4">
        <v>3202553</v>
      </c>
      <c r="B207" s="4" t="s">
        <v>102</v>
      </c>
      <c r="C207" s="5">
        <v>2024</v>
      </c>
      <c r="D207" s="5">
        <v>0.58068341933365097</v>
      </c>
      <c r="E207" s="5">
        <v>0.61926376990975196</v>
      </c>
      <c r="F207" s="5">
        <v>0.96499999999999997</v>
      </c>
      <c r="G207" s="5">
        <v>1.6325202645498801E-2</v>
      </c>
      <c r="H207" s="8">
        <v>0.51714230243348003</v>
      </c>
      <c r="I207" s="8">
        <v>0.77244597112416102</v>
      </c>
      <c r="J207" s="8">
        <v>0.77777674652471795</v>
      </c>
      <c r="K207" s="8">
        <v>0.74740552117322201</v>
      </c>
      <c r="L207" s="8">
        <v>0.25650785834224199</v>
      </c>
      <c r="M207" s="8">
        <v>0.79748642107510104</v>
      </c>
      <c r="N207" s="8">
        <v>0.59580780157563595</v>
      </c>
      <c r="O207" s="8">
        <v>0.64400105695699805</v>
      </c>
      <c r="P207" s="8">
        <v>0.58959427748650794</v>
      </c>
      <c r="Q207" s="8">
        <v>0.59742834975637804</v>
      </c>
      <c r="R207" s="8">
        <v>0.89169000937142795</v>
      </c>
      <c r="S207" s="8">
        <v>2.61437908E-2</v>
      </c>
      <c r="T207" s="8">
        <v>0.1437908497</v>
      </c>
      <c r="U207" s="8">
        <v>0.37908496730000002</v>
      </c>
      <c r="V207" s="8">
        <v>0.45098039219999903</v>
      </c>
      <c r="W207" s="8">
        <v>0.95397890707142796</v>
      </c>
      <c r="X207" s="8">
        <v>2.6845637500000099E-2</v>
      </c>
      <c r="Y207" s="8">
        <v>3.3557047E-2</v>
      </c>
      <c r="Z207" s="8">
        <v>0.38255033560000001</v>
      </c>
      <c r="AA207" s="8">
        <v>0.55704697989999996</v>
      </c>
      <c r="AB207" s="8">
        <v>0.87432188058571403</v>
      </c>
      <c r="AC207" s="8">
        <v>3.1645569699999897E-2</v>
      </c>
      <c r="AD207" s="8">
        <v>0.164556961999999</v>
      </c>
      <c r="AE207" s="8">
        <v>0.4810126582</v>
      </c>
      <c r="AF207" s="8">
        <v>0.32278481009999999</v>
      </c>
      <c r="AG207" s="8">
        <v>0.75587703431428499</v>
      </c>
      <c r="AH207" s="8">
        <v>8.86075949999999E-2</v>
      </c>
      <c r="AI207" s="8">
        <v>0.27215189870000001</v>
      </c>
      <c r="AJ207" s="8">
        <v>0.36708860760000001</v>
      </c>
      <c r="AK207" s="8">
        <v>0.27215189870000001</v>
      </c>
      <c r="AL207" s="8">
        <v>0.97452229299363002</v>
      </c>
      <c r="AM207" s="8">
        <v>0.94904458598726105</v>
      </c>
      <c r="AN207" s="8">
        <v>0.98750000000000004</v>
      </c>
      <c r="AO207" s="8">
        <v>0.98750000000000004</v>
      </c>
      <c r="AP207" s="4">
        <v>1.6325202645498801E-2</v>
      </c>
      <c r="AQ207" s="4">
        <v>0.86509228236369495</v>
      </c>
      <c r="AR207" s="4">
        <v>0</v>
      </c>
      <c r="AS207" s="4">
        <v>0.89431768703903103</v>
      </c>
      <c r="AT207" s="4">
        <v>0</v>
      </c>
      <c r="AU207" s="4">
        <v>0.86685900143696804</v>
      </c>
      <c r="AV207" s="4">
        <v>4.8194026183002898E-2</v>
      </c>
      <c r="AW207" s="4">
        <v>0.88122254693514501</v>
      </c>
      <c r="AX207" s="4">
        <v>1.7106784398992301E-2</v>
      </c>
      <c r="AY207" s="11">
        <f>VLOOKUP(B207,[1]Página1!$A:$E,5,0)</f>
        <v>10227292.15</v>
      </c>
    </row>
    <row r="208" spans="1:51" ht="15.75" customHeight="1" x14ac:dyDescent="0.3">
      <c r="A208" s="4">
        <v>3202652</v>
      </c>
      <c r="B208" s="4" t="s">
        <v>103</v>
      </c>
      <c r="C208" s="5">
        <v>2024</v>
      </c>
      <c r="D208" s="5">
        <v>0.74579066754004697</v>
      </c>
      <c r="E208" s="5">
        <v>0.68375605832229303</v>
      </c>
      <c r="F208" s="5">
        <v>0.97799999999999998</v>
      </c>
      <c r="G208" s="5">
        <v>0.80307617809627796</v>
      </c>
      <c r="H208" s="8">
        <v>0.62369284405391601</v>
      </c>
      <c r="I208" s="8">
        <v>0.773850879724859</v>
      </c>
      <c r="J208" s="8">
        <v>0.76103778610421602</v>
      </c>
      <c r="K208" s="8">
        <v>0.70759266052648595</v>
      </c>
      <c r="L208" s="8">
        <v>0.48634790200361599</v>
      </c>
      <c r="M208" s="8">
        <v>0.84010909892323304</v>
      </c>
      <c r="N208" s="8">
        <v>0.58602401149862604</v>
      </c>
      <c r="O208" s="8">
        <v>0.63204025944133002</v>
      </c>
      <c r="P208" s="8">
        <v>0.56120588509471703</v>
      </c>
      <c r="Q208" s="8">
        <v>0.57769630039782405</v>
      </c>
      <c r="R208" s="8">
        <v>0.88499550764285695</v>
      </c>
      <c r="S208" s="8">
        <v>2.51572326999999E-2</v>
      </c>
      <c r="T208" s="8">
        <v>0.15723270440000001</v>
      </c>
      <c r="U208" s="8">
        <v>0.40251572330000002</v>
      </c>
      <c r="V208" s="8">
        <v>0.41509433959999997</v>
      </c>
      <c r="W208" s="8">
        <v>0.94968553457142801</v>
      </c>
      <c r="X208" s="8">
        <v>0</v>
      </c>
      <c r="Y208" s="8">
        <v>8.8050314499999893E-2</v>
      </c>
      <c r="Z208" s="8">
        <v>0.47169811319999999</v>
      </c>
      <c r="AA208" s="8">
        <v>0.4402515723</v>
      </c>
      <c r="AB208" s="8">
        <v>0.78961038957142804</v>
      </c>
      <c r="AC208" s="8">
        <v>5.45454545999998E-2</v>
      </c>
      <c r="AD208" s="8">
        <v>0.27272727270000002</v>
      </c>
      <c r="AE208" s="8">
        <v>0.4</v>
      </c>
      <c r="AF208" s="8">
        <v>0.27272727270000002</v>
      </c>
      <c r="AG208" s="8">
        <v>0.73939393938571396</v>
      </c>
      <c r="AH208" s="8">
        <v>9.0909090900000003E-2</v>
      </c>
      <c r="AI208" s="8">
        <v>0.29696969699999998</v>
      </c>
      <c r="AJ208" s="8">
        <v>0.4181818182</v>
      </c>
      <c r="AK208" s="8">
        <v>0.19393939390000001</v>
      </c>
      <c r="AL208" s="8">
        <v>0.92441860465116199</v>
      </c>
      <c r="AM208" s="8">
        <v>0.92441860465116199</v>
      </c>
      <c r="AN208" s="8">
        <v>0.92696629213483095</v>
      </c>
      <c r="AO208" s="8">
        <v>0.92696629213483095</v>
      </c>
      <c r="AP208" s="4">
        <v>0.80307617809627796</v>
      </c>
      <c r="AQ208" s="4">
        <v>0.93356855987188303</v>
      </c>
      <c r="AR208" s="4">
        <v>1</v>
      </c>
      <c r="AS208" s="4">
        <v>0.99028696162632301</v>
      </c>
      <c r="AT208" s="4">
        <v>1</v>
      </c>
      <c r="AU208" s="4">
        <v>0.87302905825918098</v>
      </c>
      <c r="AV208" s="4">
        <v>0.212304712385114</v>
      </c>
      <c r="AW208" s="4">
        <v>0.90174707136786802</v>
      </c>
      <c r="AX208" s="4">
        <v>1</v>
      </c>
      <c r="AY208" s="11">
        <f>VLOOKUP(B208,[1]Página1!$A:$E,5,0)</f>
        <v>13135245.1</v>
      </c>
    </row>
    <row r="209" spans="1:51" ht="15.75" customHeight="1" x14ac:dyDescent="0.3">
      <c r="A209" s="4">
        <v>3203007</v>
      </c>
      <c r="B209" s="4" t="s">
        <v>104</v>
      </c>
      <c r="C209" s="5">
        <v>2024</v>
      </c>
      <c r="D209" s="5">
        <v>0.54481717005200303</v>
      </c>
      <c r="E209" s="5">
        <v>0.501451146325682</v>
      </c>
      <c r="F209" s="5">
        <v>0.95199999999999996</v>
      </c>
      <c r="G209" s="5">
        <v>0.34000911749350399</v>
      </c>
      <c r="H209" s="8">
        <v>0.42865157304392199</v>
      </c>
      <c r="I209" s="8">
        <v>0.61065050624832096</v>
      </c>
      <c r="J209" s="8">
        <v>0.700783632779439</v>
      </c>
      <c r="K209" s="8">
        <v>0.68236604146624902</v>
      </c>
      <c r="L209" s="8">
        <v>0.15651951330840499</v>
      </c>
      <c r="M209" s="8">
        <v>0.53893497103039301</v>
      </c>
      <c r="N209" s="8">
        <v>0.54784103950405905</v>
      </c>
      <c r="O209" s="8">
        <v>0.52803877223185003</v>
      </c>
      <c r="P209" s="8">
        <v>0.55146269456127295</v>
      </c>
      <c r="Q209" s="8">
        <v>0.55224686057691297</v>
      </c>
      <c r="R209" s="8">
        <v>0.79494911421428505</v>
      </c>
      <c r="S209" s="8">
        <v>0.105540897099999</v>
      </c>
      <c r="T209" s="8">
        <v>0.17414248019999901</v>
      </c>
      <c r="U209" s="8">
        <v>0.37467018470000002</v>
      </c>
      <c r="V209" s="8">
        <v>0.345646438</v>
      </c>
      <c r="W209" s="8">
        <v>0.81482919251428498</v>
      </c>
      <c r="X209" s="8">
        <v>5.16304348E-2</v>
      </c>
      <c r="Y209" s="8">
        <v>0.23369565219999999</v>
      </c>
      <c r="Z209" s="8">
        <v>0.52173913039999997</v>
      </c>
      <c r="AA209" s="8">
        <v>0.19293478259999999</v>
      </c>
      <c r="AB209" s="8">
        <v>0.75670995679999997</v>
      </c>
      <c r="AC209" s="8">
        <v>9.0909090799999995E-2</v>
      </c>
      <c r="AD209" s="8">
        <v>0.2666666667</v>
      </c>
      <c r="AE209" s="8">
        <v>0.34545454549999999</v>
      </c>
      <c r="AF209" s="8">
        <v>0.29696969699999998</v>
      </c>
      <c r="AG209" s="8">
        <v>0.68658008657142799</v>
      </c>
      <c r="AH209" s="8">
        <v>0.15757575759999901</v>
      </c>
      <c r="AI209" s="8">
        <v>0.27272727270000002</v>
      </c>
      <c r="AJ209" s="8">
        <v>0.37878787879999998</v>
      </c>
      <c r="AK209" s="8">
        <v>0.19090909089999999</v>
      </c>
      <c r="AL209" s="8">
        <v>0.93120393120393097</v>
      </c>
      <c r="AM209" s="8">
        <v>0.90417690417690399</v>
      </c>
      <c r="AN209" s="8">
        <v>0.90410958904109495</v>
      </c>
      <c r="AO209" s="8">
        <v>0.90410958904109495</v>
      </c>
      <c r="AP209" s="4">
        <v>0.34000911749350399</v>
      </c>
      <c r="AQ209" s="4">
        <v>0.88398789276922196</v>
      </c>
      <c r="AR209" s="4">
        <v>3.1014544512142701E-2</v>
      </c>
      <c r="AS209" s="4">
        <v>0.91895912355320697</v>
      </c>
      <c r="AT209" s="4">
        <v>1</v>
      </c>
      <c r="AU209" s="4">
        <v>0.86110590242531704</v>
      </c>
      <c r="AV209" s="4">
        <v>0.209488650432055</v>
      </c>
      <c r="AW209" s="4">
        <v>0.849005791654456</v>
      </c>
      <c r="AX209" s="4">
        <v>0.119533275029819</v>
      </c>
      <c r="AY209" s="11">
        <f>VLOOKUP(B209,[1]Página1!$A:$E,5,0)</f>
        <v>9595597.5</v>
      </c>
    </row>
    <row r="210" spans="1:51" ht="15.75" customHeight="1" x14ac:dyDescent="0.3">
      <c r="A210" s="4">
        <v>3203700</v>
      </c>
      <c r="B210" s="4" t="s">
        <v>105</v>
      </c>
      <c r="C210" s="5">
        <v>2024</v>
      </c>
      <c r="D210" s="5">
        <v>0.60203550911919101</v>
      </c>
      <c r="E210" s="5">
        <v>0.52758011889733802</v>
      </c>
      <c r="F210" s="5">
        <v>0.999</v>
      </c>
      <c r="G210" s="5">
        <v>0.55252950594036399</v>
      </c>
      <c r="H210" s="8">
        <v>0.46402143461916101</v>
      </c>
      <c r="I210" s="8">
        <v>0.62291814531460299</v>
      </c>
      <c r="J210" s="8">
        <v>0.784007026929599</v>
      </c>
      <c r="K210" s="8">
        <v>0.75160126749313905</v>
      </c>
      <c r="L210" s="8">
        <v>0.14403584230872399</v>
      </c>
      <c r="M210" s="8">
        <v>0.49423502313606699</v>
      </c>
      <c r="N210" s="8">
        <v>0.61745143737504105</v>
      </c>
      <c r="O210" s="8">
        <v>0.64946281303648601</v>
      </c>
      <c r="P210" s="8">
        <v>0.61439199715651305</v>
      </c>
      <c r="Q210" s="8">
        <v>0.62927497757794804</v>
      </c>
      <c r="R210" s="8">
        <v>0.89858906530000004</v>
      </c>
      <c r="S210" s="8">
        <v>5.5555555499999999E-2</v>
      </c>
      <c r="T210" s="8">
        <v>8.0246913599999997E-2</v>
      </c>
      <c r="U210" s="8">
        <v>0.37037037039999998</v>
      </c>
      <c r="V210" s="8">
        <v>0.49382716049999997</v>
      </c>
      <c r="W210" s="8">
        <v>0.95855379197142798</v>
      </c>
      <c r="X210" s="8">
        <v>6.1728393999998998E-3</v>
      </c>
      <c r="Y210" s="8">
        <v>6.17283951E-2</v>
      </c>
      <c r="Z210" s="8">
        <v>0.35802469139999998</v>
      </c>
      <c r="AA210" s="8">
        <v>0.5740740741</v>
      </c>
      <c r="AB210" s="8">
        <v>0.83499999999999996</v>
      </c>
      <c r="AC210" s="8">
        <v>4.4999999999999998E-2</v>
      </c>
      <c r="AD210" s="8">
        <v>0.21</v>
      </c>
      <c r="AE210" s="8">
        <v>0.30499999999999999</v>
      </c>
      <c r="AF210" s="8">
        <v>0.44</v>
      </c>
      <c r="AG210" s="8">
        <v>0.78571428571428503</v>
      </c>
      <c r="AH210" s="8">
        <v>0.06</v>
      </c>
      <c r="AI210" s="8">
        <v>0.27</v>
      </c>
      <c r="AJ210" s="8">
        <v>0.315</v>
      </c>
      <c r="AK210" s="8">
        <v>0.35499999999999998</v>
      </c>
      <c r="AL210" s="8">
        <v>0.95294117647058796</v>
      </c>
      <c r="AM210" s="8">
        <v>0.95294117647058796</v>
      </c>
      <c r="AN210" s="8">
        <v>0.952380952380952</v>
      </c>
      <c r="AO210" s="8">
        <v>0.952380952380952</v>
      </c>
      <c r="AP210" s="4">
        <v>0.55252950594036399</v>
      </c>
      <c r="AQ210" s="4">
        <v>0.90815771511209697</v>
      </c>
      <c r="AR210" s="4">
        <v>1</v>
      </c>
      <c r="AS210" s="4">
        <v>0.93319989399490699</v>
      </c>
      <c r="AT210" s="4">
        <v>1</v>
      </c>
      <c r="AU210" s="4">
        <v>0.87280004084252505</v>
      </c>
      <c r="AV210" s="4">
        <v>0.124634485270657</v>
      </c>
      <c r="AW210" s="4">
        <v>0.83639205483540902</v>
      </c>
      <c r="AX210" s="4">
        <v>8.5483538490799593E-2</v>
      </c>
      <c r="AY210" s="11">
        <f>VLOOKUP(B210,[1]Página1!$A:$E,5,0)</f>
        <v>10603356.029999999</v>
      </c>
    </row>
    <row r="211" spans="1:51" ht="15.75" customHeight="1" x14ac:dyDescent="0.3">
      <c r="A211" s="4">
        <v>3204807</v>
      </c>
      <c r="B211" s="4" t="s">
        <v>106</v>
      </c>
      <c r="C211" s="5">
        <v>2024</v>
      </c>
      <c r="D211" s="5">
        <v>0.68677439598749501</v>
      </c>
      <c r="E211" s="5">
        <v>0.55253485141070802</v>
      </c>
      <c r="F211" s="5">
        <v>1</v>
      </c>
      <c r="G211" s="5">
        <v>1</v>
      </c>
      <c r="H211" s="8">
        <v>0.395712644391637</v>
      </c>
      <c r="I211" s="8">
        <v>0.78776816193931298</v>
      </c>
      <c r="J211" s="8">
        <v>0.72962003459430103</v>
      </c>
      <c r="K211" s="8">
        <v>0.71965066090218999</v>
      </c>
      <c r="L211" s="8">
        <v>6.1805254188973702E-2</v>
      </c>
      <c r="M211" s="8">
        <v>0.85588566297643598</v>
      </c>
      <c r="N211" s="8">
        <v>0.535986183385327</v>
      </c>
      <c r="O211" s="8">
        <v>0.64307984162481702</v>
      </c>
      <c r="P211" s="8">
        <v>0.58953352433355699</v>
      </c>
      <c r="Q211" s="8">
        <v>0.57093247331806196</v>
      </c>
      <c r="R211" s="8">
        <v>0.806408544785714</v>
      </c>
      <c r="S211" s="8">
        <v>2.80373831E-2</v>
      </c>
      <c r="T211" s="8">
        <v>0.28971962619999903</v>
      </c>
      <c r="U211" s="8">
        <v>0.40186915890000002</v>
      </c>
      <c r="V211" s="8">
        <v>0.28037383179999997</v>
      </c>
      <c r="W211" s="8">
        <v>0.96978021972857098</v>
      </c>
      <c r="X211" s="8">
        <v>1.9230769299999999E-2</v>
      </c>
      <c r="Y211" s="8">
        <v>1.9230769200000001E-2</v>
      </c>
      <c r="Z211" s="8">
        <v>0.4519230769</v>
      </c>
      <c r="AA211" s="8">
        <v>0.5096153846</v>
      </c>
      <c r="AB211" s="8">
        <v>0.85093167701428496</v>
      </c>
      <c r="AC211" s="8">
        <v>3.4782608700000002E-2</v>
      </c>
      <c r="AD211" s="8">
        <v>0.2</v>
      </c>
      <c r="AE211" s="8">
        <v>0.41739130429999999</v>
      </c>
      <c r="AF211" s="8">
        <v>0.34782608699999901</v>
      </c>
      <c r="AG211" s="8">
        <v>0.74534161489999995</v>
      </c>
      <c r="AH211" s="8">
        <v>9.5652173899999998E-2</v>
      </c>
      <c r="AI211" s="8">
        <v>0.27826086960000002</v>
      </c>
      <c r="AJ211" s="8">
        <v>0.45217391299999998</v>
      </c>
      <c r="AK211" s="8">
        <v>0.173913043499999</v>
      </c>
      <c r="AL211" s="8">
        <v>0.89915966386554602</v>
      </c>
      <c r="AM211" s="8">
        <v>0.873949579831932</v>
      </c>
      <c r="AN211" s="8">
        <v>0.92</v>
      </c>
      <c r="AO211" s="8">
        <v>0.92</v>
      </c>
      <c r="AP211" s="4">
        <v>1</v>
      </c>
      <c r="AQ211" s="4">
        <v>0.96475066721391201</v>
      </c>
      <c r="AR211" s="4">
        <v>1</v>
      </c>
      <c r="AS211" s="4">
        <v>0.99696198224739097</v>
      </c>
      <c r="AT211" s="4">
        <v>1</v>
      </c>
      <c r="AU211" s="4">
        <v>0.99930608904282703</v>
      </c>
      <c r="AV211" s="4">
        <v>1</v>
      </c>
      <c r="AW211" s="4">
        <v>0.97225688632277996</v>
      </c>
      <c r="AX211" s="4">
        <v>1</v>
      </c>
      <c r="AY211" s="11">
        <f>VLOOKUP(B211,[1]Página1!$A:$E,5,0)</f>
        <v>12095820.470000001</v>
      </c>
    </row>
    <row r="212" spans="1:51" ht="15.75" customHeight="1" x14ac:dyDescent="0.3">
      <c r="A212" s="4">
        <v>3200607</v>
      </c>
      <c r="B212" s="4" t="s">
        <v>107</v>
      </c>
      <c r="C212" s="5">
        <v>2024</v>
      </c>
      <c r="D212" s="5">
        <v>0.56834102847940604</v>
      </c>
      <c r="E212" s="5">
        <v>0.54081468842667402</v>
      </c>
      <c r="F212" s="5">
        <v>0.98499999999999999</v>
      </c>
      <c r="G212" s="5">
        <v>0.28013831053823002</v>
      </c>
      <c r="H212" s="8">
        <v>0.47341490500647299</v>
      </c>
      <c r="I212" s="8">
        <v>0.64191436355697595</v>
      </c>
      <c r="J212" s="8">
        <v>0.69066484086841795</v>
      </c>
      <c r="K212" s="8">
        <v>0.68765721563019599</v>
      </c>
      <c r="L212" s="8">
        <v>0.25616496914452702</v>
      </c>
      <c r="M212" s="8">
        <v>0.59617151148375602</v>
      </c>
      <c r="N212" s="8">
        <v>0.551345630318404</v>
      </c>
      <c r="O212" s="8">
        <v>0.51840624475392705</v>
      </c>
      <c r="P212" s="8">
        <v>0.56296548431346705</v>
      </c>
      <c r="Q212" s="8">
        <v>0.54863880540332299</v>
      </c>
      <c r="R212" s="8">
        <v>0.82435970405714198</v>
      </c>
      <c r="S212" s="8">
        <v>9.3227091600000006E-2</v>
      </c>
      <c r="T212" s="8">
        <v>0.14422310760000001</v>
      </c>
      <c r="U212" s="8">
        <v>0.41752988050000001</v>
      </c>
      <c r="V212" s="8">
        <v>0.34501992029999901</v>
      </c>
      <c r="W212" s="8">
        <v>0.79101175925714196</v>
      </c>
      <c r="X212" s="8">
        <v>5.62347188E-2</v>
      </c>
      <c r="Y212" s="8">
        <v>0.26731866339999999</v>
      </c>
      <c r="Z212" s="8">
        <v>0.48818255909999902</v>
      </c>
      <c r="AA212" s="8">
        <v>0.18826405869999999</v>
      </c>
      <c r="AB212" s="8">
        <v>0.79462130787142804</v>
      </c>
      <c r="AC212" s="8">
        <v>5.2292839899999999E-2</v>
      </c>
      <c r="AD212" s="8">
        <v>0.26790024140000002</v>
      </c>
      <c r="AE212" s="8">
        <v>0.40386162510000001</v>
      </c>
      <c r="AF212" s="8">
        <v>0.27594529359999997</v>
      </c>
      <c r="AG212" s="8">
        <v>0.67015285597142804</v>
      </c>
      <c r="AH212" s="8">
        <v>0.136765888999999</v>
      </c>
      <c r="AI212" s="8">
        <v>0.3378921963</v>
      </c>
      <c r="AJ212" s="8">
        <v>0.35961383749999998</v>
      </c>
      <c r="AK212" s="8">
        <v>0.16572807719999999</v>
      </c>
      <c r="AL212" s="8">
        <v>0.88318085855031603</v>
      </c>
      <c r="AM212" s="8">
        <v>0.863476425052779</v>
      </c>
      <c r="AN212" s="8">
        <v>0.90663749088256695</v>
      </c>
      <c r="AO212" s="8">
        <v>0.90663749088256695</v>
      </c>
      <c r="AP212" s="4">
        <v>0.28013831053823002</v>
      </c>
      <c r="AQ212" s="4">
        <v>0.89837006848029699</v>
      </c>
      <c r="AR212" s="4">
        <v>0</v>
      </c>
      <c r="AS212" s="4">
        <v>0.93458831112233998</v>
      </c>
      <c r="AT212" s="4">
        <v>1</v>
      </c>
      <c r="AU212" s="4">
        <v>0.87643768245394305</v>
      </c>
      <c r="AV212" s="4">
        <v>0</v>
      </c>
      <c r="AW212" s="4">
        <v>0.88971571074276401</v>
      </c>
      <c r="AX212" s="4">
        <v>0.120553242152921</v>
      </c>
      <c r="AY212" s="11">
        <f>VLOOKUP(B212,[1]Página1!$A:$E,5,0)</f>
        <v>10009911.67</v>
      </c>
    </row>
    <row r="213" spans="1:51" ht="15.75" customHeight="1" x14ac:dyDescent="0.3">
      <c r="A213" s="4">
        <v>3202504</v>
      </c>
      <c r="B213" s="4" t="s">
        <v>108</v>
      </c>
      <c r="C213" s="5">
        <v>2024</v>
      </c>
      <c r="D213" s="5">
        <v>0.61101150268728499</v>
      </c>
      <c r="E213" s="5">
        <v>0.66373071812469298</v>
      </c>
      <c r="F213" s="5">
        <v>0.97599999999999998</v>
      </c>
      <c r="G213" s="5">
        <v>0</v>
      </c>
      <c r="H213" s="8">
        <v>0.64210247149731803</v>
      </c>
      <c r="I213" s="8">
        <v>0.69617308806575495</v>
      </c>
      <c r="J213" s="8">
        <v>0.73326045411565999</v>
      </c>
      <c r="K213" s="8">
        <v>0.728624684854287</v>
      </c>
      <c r="L213" s="8">
        <v>0.55094448887897596</v>
      </c>
      <c r="M213" s="8">
        <v>0.66372149127722402</v>
      </c>
      <c r="N213" s="8">
        <v>0.59193023545919898</v>
      </c>
      <c r="O213" s="8">
        <v>0.556029042294789</v>
      </c>
      <c r="P213" s="8">
        <v>0.58135298240511202</v>
      </c>
      <c r="Q213" s="8">
        <v>0.58003193284721</v>
      </c>
      <c r="R213" s="8">
        <v>0.86682808718571402</v>
      </c>
      <c r="S213" s="8">
        <v>8.4745762700000005E-2</v>
      </c>
      <c r="T213" s="8">
        <v>8.4745762700000005E-2</v>
      </c>
      <c r="U213" s="8">
        <v>0.3474576271</v>
      </c>
      <c r="V213" s="8">
        <v>0.48305084749999999</v>
      </c>
      <c r="W213" s="8">
        <v>0.84993997599999904</v>
      </c>
      <c r="X213" s="8">
        <v>2.52100839999999E-2</v>
      </c>
      <c r="Y213" s="8">
        <v>0.218487395</v>
      </c>
      <c r="Z213" s="8">
        <v>0.48739495799999999</v>
      </c>
      <c r="AA213" s="8">
        <v>0.26890756300000002</v>
      </c>
      <c r="AB213" s="8">
        <v>0.84407096174285701</v>
      </c>
      <c r="AC213" s="8">
        <v>5.8823529399999998E-2</v>
      </c>
      <c r="AD213" s="8">
        <v>0.16993464050000001</v>
      </c>
      <c r="AE213" s="8">
        <v>0.45098039219999903</v>
      </c>
      <c r="AF213" s="8">
        <v>0.3202614379</v>
      </c>
      <c r="AG213" s="8">
        <v>0.73762838469999903</v>
      </c>
      <c r="AH213" s="8">
        <v>9.8039215700000001E-2</v>
      </c>
      <c r="AI213" s="8">
        <v>0.28758169929999999</v>
      </c>
      <c r="AJ213" s="8">
        <v>0.37254901959999998</v>
      </c>
      <c r="AK213" s="8">
        <v>0.24183006539999999</v>
      </c>
      <c r="AL213" s="8">
        <v>0.91472868217054204</v>
      </c>
      <c r="AM213" s="8">
        <v>0.92248062015503796</v>
      </c>
      <c r="AN213" s="8">
        <v>0.96226415094339601</v>
      </c>
      <c r="AO213" s="8">
        <v>0.96226415094339601</v>
      </c>
      <c r="AP213" s="4">
        <v>0</v>
      </c>
      <c r="AQ213" s="4">
        <v>0.874680281136202</v>
      </c>
      <c r="AR213" s="4">
        <v>0</v>
      </c>
      <c r="AS213" s="4">
        <v>0.89817177674355597</v>
      </c>
      <c r="AT213" s="4">
        <v>0</v>
      </c>
      <c r="AU213" s="4">
        <v>0.87418323766904504</v>
      </c>
      <c r="AV213" s="4">
        <v>0</v>
      </c>
      <c r="AW213" s="4">
        <v>0.854894001598557</v>
      </c>
      <c r="AX213" s="4">
        <v>0</v>
      </c>
      <c r="AY213" s="11">
        <f>VLOOKUP(B213,[1]Página1!$A:$E,5,0)</f>
        <v>10761445.800000001</v>
      </c>
    </row>
    <row r="214" spans="1:51" ht="15.75" customHeight="1" x14ac:dyDescent="0.3">
      <c r="A214" s="4">
        <v>3203130</v>
      </c>
      <c r="B214" s="4" t="s">
        <v>109</v>
      </c>
      <c r="C214" s="5">
        <v>2024</v>
      </c>
      <c r="D214" s="5">
        <v>0.57380468567694798</v>
      </c>
      <c r="E214" s="5">
        <v>0.60543526525278302</v>
      </c>
      <c r="F214" s="5">
        <v>1</v>
      </c>
      <c r="G214" s="5">
        <v>0</v>
      </c>
      <c r="H214" s="8">
        <v>0.53905445336573199</v>
      </c>
      <c r="I214" s="8">
        <v>0.705006483083359</v>
      </c>
      <c r="J214" s="8">
        <v>0.70920671254398304</v>
      </c>
      <c r="K214" s="8">
        <v>0.71030748050166304</v>
      </c>
      <c r="L214" s="8">
        <v>0.36890219418747999</v>
      </c>
      <c r="M214" s="8">
        <v>0.69970548566505597</v>
      </c>
      <c r="N214" s="8">
        <v>0.57374458330284706</v>
      </c>
      <c r="O214" s="8">
        <v>0.53252357784117399</v>
      </c>
      <c r="P214" s="8">
        <v>0.57729641103822604</v>
      </c>
      <c r="Q214" s="8">
        <v>0.59044299680041301</v>
      </c>
      <c r="R214" s="8">
        <v>0.83380018674285705</v>
      </c>
      <c r="S214" s="8">
        <v>0.1176470588</v>
      </c>
      <c r="T214" s="8">
        <v>8.4967320299999996E-2</v>
      </c>
      <c r="U214" s="8">
        <v>0.37254901959999998</v>
      </c>
      <c r="V214" s="8">
        <v>0.42483660129999901</v>
      </c>
      <c r="W214" s="8">
        <v>0.80952380955714198</v>
      </c>
      <c r="X214" s="8">
        <v>5.3333333300000001E-2</v>
      </c>
      <c r="Y214" s="8">
        <v>0.24</v>
      </c>
      <c r="Z214" s="8">
        <v>0.48666666669999997</v>
      </c>
      <c r="AA214" s="8">
        <v>0.22</v>
      </c>
      <c r="AB214" s="8">
        <v>0.79494655002857095</v>
      </c>
      <c r="AC214" s="8">
        <v>6.1224489799999997E-2</v>
      </c>
      <c r="AD214" s="8">
        <v>0.25170068029999998</v>
      </c>
      <c r="AE214" s="8">
        <v>0.33333333329999998</v>
      </c>
      <c r="AF214" s="8">
        <v>0.35374149659999998</v>
      </c>
      <c r="AG214" s="8">
        <v>0.72594752178571398</v>
      </c>
      <c r="AH214" s="8">
        <v>0.1224489797</v>
      </c>
      <c r="AI214" s="8">
        <v>0.26530612240000001</v>
      </c>
      <c r="AJ214" s="8">
        <v>0.33333333329999998</v>
      </c>
      <c r="AK214" s="8">
        <v>0.27891156459999999</v>
      </c>
      <c r="AL214" s="8">
        <v>0.90532544378698199</v>
      </c>
      <c r="AM214" s="8">
        <v>0.88757396449704096</v>
      </c>
      <c r="AN214" s="8">
        <v>0.91304347826086896</v>
      </c>
      <c r="AO214" s="8">
        <v>0.91304347826086896</v>
      </c>
      <c r="AP214" s="4">
        <v>0</v>
      </c>
      <c r="AQ214" s="4">
        <v>0.85976206206581296</v>
      </c>
      <c r="AR214" s="4">
        <v>0</v>
      </c>
      <c r="AS214" s="4">
        <v>0.87530539462486101</v>
      </c>
      <c r="AT214" s="4">
        <v>0</v>
      </c>
      <c r="AU214" s="4">
        <v>0.84222566649215402</v>
      </c>
      <c r="AV214" s="4">
        <v>0</v>
      </c>
      <c r="AW214" s="4">
        <v>0.83370299684912996</v>
      </c>
      <c r="AX214" s="4">
        <v>0</v>
      </c>
      <c r="AY214" s="11">
        <f>VLOOKUP(B214,[1]Página1!$A:$E,5,0)</f>
        <v>10106140.390000001</v>
      </c>
    </row>
    <row r="215" spans="1:51" ht="15.75" customHeight="1" x14ac:dyDescent="0.3">
      <c r="A215" s="4">
        <v>3203205</v>
      </c>
      <c r="B215" s="4" t="s">
        <v>110</v>
      </c>
      <c r="C215" s="5">
        <v>2024</v>
      </c>
      <c r="D215" s="5">
        <v>0.55916249385489403</v>
      </c>
      <c r="E215" s="5">
        <v>0.53866070550699197</v>
      </c>
      <c r="F215" s="5">
        <v>0.96399999999999997</v>
      </c>
      <c r="G215" s="5">
        <v>0.25</v>
      </c>
      <c r="H215" s="8">
        <v>0.453689784461068</v>
      </c>
      <c r="I215" s="8">
        <v>0.66611708707587902</v>
      </c>
      <c r="J215" s="8">
        <v>0.66318329952522603</v>
      </c>
      <c r="K215" s="8">
        <v>0.68575387957005896</v>
      </c>
      <c r="L215" s="8">
        <v>0.244196269396911</v>
      </c>
      <c r="M215" s="8">
        <v>0.64648029458169798</v>
      </c>
      <c r="N215" s="8">
        <v>0.52226082681109098</v>
      </c>
      <c r="O215" s="8">
        <v>0.48807576295649702</v>
      </c>
      <c r="P215" s="8">
        <v>0.56382442268966204</v>
      </c>
      <c r="Q215" s="8">
        <v>0.54840798471859498</v>
      </c>
      <c r="R215" s="8">
        <v>0.75778475827142799</v>
      </c>
      <c r="S215" s="8">
        <v>0.1515296367</v>
      </c>
      <c r="T215" s="8">
        <v>0.15869980880000001</v>
      </c>
      <c r="U215" s="8">
        <v>0.38957934989999998</v>
      </c>
      <c r="V215" s="8">
        <v>0.30019120459999998</v>
      </c>
      <c r="W215" s="8">
        <v>0.73811819814285695</v>
      </c>
      <c r="X215" s="8">
        <v>8.3895853399999998E-2</v>
      </c>
      <c r="Y215" s="8">
        <v>0.31147540979999999</v>
      </c>
      <c r="Z215" s="8">
        <v>0.47733847639999999</v>
      </c>
      <c r="AA215" s="8">
        <v>0.12729026039999999</v>
      </c>
      <c r="AB215" s="8">
        <v>0.79435064938571398</v>
      </c>
      <c r="AC215" s="8">
        <v>6.5909090899999995E-2</v>
      </c>
      <c r="AD215" s="8">
        <v>0.24454545450000001</v>
      </c>
      <c r="AE215" s="8">
        <v>0.4013636364</v>
      </c>
      <c r="AF215" s="8">
        <v>0.2881818182</v>
      </c>
      <c r="AG215" s="8">
        <v>0.66696997268571401</v>
      </c>
      <c r="AH215" s="8">
        <v>0.14558689720000001</v>
      </c>
      <c r="AI215" s="8">
        <v>0.32802547769999901</v>
      </c>
      <c r="AJ215" s="8">
        <v>0.34986351229999901</v>
      </c>
      <c r="AK215" s="8">
        <v>0.17652411279999999</v>
      </c>
      <c r="AL215" s="8">
        <v>0.888700084961767</v>
      </c>
      <c r="AM215" s="8">
        <v>0.88105352591333896</v>
      </c>
      <c r="AN215" s="8">
        <v>0.90053213262382303</v>
      </c>
      <c r="AO215" s="8">
        <v>0.89971346704871002</v>
      </c>
      <c r="AP215" s="4">
        <v>0.25</v>
      </c>
      <c r="AQ215" s="4">
        <v>0.89135219695267298</v>
      </c>
      <c r="AR215" s="4">
        <v>0</v>
      </c>
      <c r="AS215" s="4">
        <v>0.91870271155569505</v>
      </c>
      <c r="AT215" s="4">
        <v>1</v>
      </c>
      <c r="AU215" s="4">
        <v>0.85001814786157603</v>
      </c>
      <c r="AV215" s="4">
        <v>0</v>
      </c>
      <c r="AW215" s="4">
        <v>0.85401230468785305</v>
      </c>
      <c r="AX215" s="4">
        <v>0</v>
      </c>
      <c r="AY215" s="11">
        <f>VLOOKUP(B215,[1]Página1!$A:$E,5,0)</f>
        <v>9848254.6500000004</v>
      </c>
    </row>
    <row r="216" spans="1:51" ht="15.75" customHeight="1" x14ac:dyDescent="0.3">
      <c r="A216" s="4">
        <v>3204351</v>
      </c>
      <c r="B216" s="4" t="s">
        <v>111</v>
      </c>
      <c r="C216" s="5">
        <v>2024</v>
      </c>
      <c r="D216" s="5">
        <v>0.64729640998361904</v>
      </c>
      <c r="E216" s="5">
        <v>0.65342951969279295</v>
      </c>
      <c r="F216" s="5">
        <v>0.96399999999999997</v>
      </c>
      <c r="G216" s="5">
        <v>0.301971641324427</v>
      </c>
      <c r="H216" s="8">
        <v>0.59291227636871302</v>
      </c>
      <c r="I216" s="8">
        <v>0.74420538467891395</v>
      </c>
      <c r="J216" s="8">
        <v>0.73954380853870605</v>
      </c>
      <c r="K216" s="8">
        <v>0.70425668416378095</v>
      </c>
      <c r="L216" s="8">
        <v>0.44628074419871999</v>
      </c>
      <c r="M216" s="8">
        <v>0.78415408519404695</v>
      </c>
      <c r="N216" s="8">
        <v>0.59816806054991201</v>
      </c>
      <c r="O216" s="8">
        <v>0.59894271637472196</v>
      </c>
      <c r="P216" s="8">
        <v>0.58724711310071698</v>
      </c>
      <c r="Q216" s="8">
        <v>0.57580927485106903</v>
      </c>
      <c r="R216" s="8">
        <v>0.86150121068571395</v>
      </c>
      <c r="S216" s="8">
        <v>8.8135593199999904E-2</v>
      </c>
      <c r="T216" s="8">
        <v>8.8135593200000001E-2</v>
      </c>
      <c r="U216" s="8">
        <v>0.35254237290000001</v>
      </c>
      <c r="V216" s="8">
        <v>0.47118644069999999</v>
      </c>
      <c r="W216" s="8">
        <v>0.88200877617142803</v>
      </c>
      <c r="X216" s="8">
        <v>4.7781569999999898E-2</v>
      </c>
      <c r="Y216" s="8">
        <v>0.12286689419999999</v>
      </c>
      <c r="Z216" s="8">
        <v>0.38907849830000002</v>
      </c>
      <c r="AA216" s="8">
        <v>0.44027303750000002</v>
      </c>
      <c r="AB216" s="8">
        <v>0.81418581411428503</v>
      </c>
      <c r="AC216" s="8">
        <v>6.9930069999999997E-2</v>
      </c>
      <c r="AD216" s="8">
        <v>0.20279720279999999</v>
      </c>
      <c r="AE216" s="8">
        <v>0.37412587409999998</v>
      </c>
      <c r="AF216" s="8">
        <v>0.35314685309999999</v>
      </c>
      <c r="AG216" s="8">
        <v>0.71976107524285704</v>
      </c>
      <c r="AH216" s="8">
        <v>0.114982578299999</v>
      </c>
      <c r="AI216" s="8">
        <v>0.28919860629999999</v>
      </c>
      <c r="AJ216" s="8">
        <v>0.37282229970000003</v>
      </c>
      <c r="AK216" s="8">
        <v>0.22299651570000001</v>
      </c>
      <c r="AL216" s="8">
        <v>0.89393939393939303</v>
      </c>
      <c r="AM216" s="8">
        <v>0.88787878787878705</v>
      </c>
      <c r="AN216" s="8">
        <v>0.88544891640866796</v>
      </c>
      <c r="AO216" s="8">
        <v>0.88854489164086603</v>
      </c>
      <c r="AP216" s="4">
        <v>0.301971641324427</v>
      </c>
      <c r="AQ216" s="4">
        <v>0.87005170293103395</v>
      </c>
      <c r="AR216" s="4">
        <v>0</v>
      </c>
      <c r="AS216" s="4">
        <v>0.94262763004512795</v>
      </c>
      <c r="AT216" s="4">
        <v>1</v>
      </c>
      <c r="AU216" s="4">
        <v>0.835158108106967</v>
      </c>
      <c r="AV216" s="4">
        <v>0</v>
      </c>
      <c r="AW216" s="4">
        <v>0.87699809149249597</v>
      </c>
      <c r="AX216" s="4">
        <v>0.20788656529770999</v>
      </c>
      <c r="AY216" s="11">
        <f>VLOOKUP(B216,[1]Página1!$A:$E,5,0)</f>
        <v>11400514.07</v>
      </c>
    </row>
    <row r="217" spans="1:51" ht="15.75" customHeight="1" x14ac:dyDescent="0.3">
      <c r="A217" s="4">
        <v>3205010</v>
      </c>
      <c r="B217" s="4" t="s">
        <v>112</v>
      </c>
      <c r="C217" s="5">
        <v>2024</v>
      </c>
      <c r="D217" s="5">
        <v>0.56411909068663801</v>
      </c>
      <c r="E217" s="5">
        <v>0.52820444168557701</v>
      </c>
      <c r="F217" s="5">
        <v>0.999</v>
      </c>
      <c r="G217" s="5">
        <v>0.29683987671156198</v>
      </c>
      <c r="H217" s="8">
        <v>0.48069186270652298</v>
      </c>
      <c r="I217" s="8">
        <v>0.59947331015415795</v>
      </c>
      <c r="J217" s="8">
        <v>0.69698177907314995</v>
      </c>
      <c r="K217" s="8">
        <v>0.64471647294219203</v>
      </c>
      <c r="L217" s="8">
        <v>0.264401946339896</v>
      </c>
      <c r="M217" s="8">
        <v>0.55423014736612497</v>
      </c>
      <c r="N217" s="8">
        <v>0.54333771921580198</v>
      </c>
      <c r="O217" s="8">
        <v>0.52628559210460601</v>
      </c>
      <c r="P217" s="8">
        <v>0.52532566828426397</v>
      </c>
      <c r="Q217" s="8">
        <v>0.49327017999395001</v>
      </c>
      <c r="R217" s="8">
        <v>0.80032102732857102</v>
      </c>
      <c r="S217" s="8">
        <v>0.1123595505</v>
      </c>
      <c r="T217" s="8">
        <v>0.15280898879999999</v>
      </c>
      <c r="U217" s="8">
        <v>0.43595505619999902</v>
      </c>
      <c r="V217" s="8">
        <v>0.29887640449999903</v>
      </c>
      <c r="W217" s="8">
        <v>0.80324675324285699</v>
      </c>
      <c r="X217" s="8">
        <v>5.9090909099999901E-2</v>
      </c>
      <c r="Y217" s="8">
        <v>0.24090909090000001</v>
      </c>
      <c r="Z217" s="8">
        <v>0.49545454550000001</v>
      </c>
      <c r="AA217" s="8">
        <v>0.2045454545</v>
      </c>
      <c r="AB217" s="8">
        <v>0.70760419981428502</v>
      </c>
      <c r="AC217" s="8">
        <v>0.1180400891</v>
      </c>
      <c r="AD217" s="8">
        <v>0.3051224944</v>
      </c>
      <c r="AE217" s="8">
        <v>0.3429844098</v>
      </c>
      <c r="AF217" s="8">
        <v>0.2338530067</v>
      </c>
      <c r="AG217" s="8">
        <v>0.55963010204285701</v>
      </c>
      <c r="AH217" s="8">
        <v>0.22991071429999899</v>
      </c>
      <c r="AI217" s="8">
        <v>0.36830357139999997</v>
      </c>
      <c r="AJ217" s="8">
        <v>0.29241071429999999</v>
      </c>
      <c r="AK217" s="8">
        <v>0.109375</v>
      </c>
      <c r="AL217" s="8">
        <v>0.91752577319587603</v>
      </c>
      <c r="AM217" s="8">
        <v>0.90721649484536004</v>
      </c>
      <c r="AN217" s="8">
        <v>0.92768595041322299</v>
      </c>
      <c r="AO217" s="8">
        <v>0.92561983471074305</v>
      </c>
      <c r="AP217" s="4">
        <v>0.29683987671156198</v>
      </c>
      <c r="AQ217" s="4">
        <v>0.88065770357080897</v>
      </c>
      <c r="AR217" s="4">
        <v>0.18735950684625099</v>
      </c>
      <c r="AS217" s="4">
        <v>0.91231421263747903</v>
      </c>
      <c r="AT217" s="4">
        <v>1</v>
      </c>
      <c r="AU217" s="4">
        <v>0.82540334550717198</v>
      </c>
      <c r="AV217" s="4">
        <v>0</v>
      </c>
      <c r="AW217" s="4">
        <v>0.83025506786426295</v>
      </c>
      <c r="AX217" s="4">
        <v>0</v>
      </c>
      <c r="AY217" s="11">
        <f>VLOOKUP(B217,[1]Página1!$A:$E,5,0)</f>
        <v>9935552.7599999998</v>
      </c>
    </row>
    <row r="218" spans="1:51" ht="15.75" customHeight="1" x14ac:dyDescent="0.3">
      <c r="A218" s="4">
        <v>3201001</v>
      </c>
      <c r="B218" s="4" t="s">
        <v>113</v>
      </c>
      <c r="C218" s="5">
        <v>2024</v>
      </c>
      <c r="D218" s="5">
        <v>0.70778117862685197</v>
      </c>
      <c r="E218" s="5">
        <v>0.608748103992242</v>
      </c>
      <c r="F218" s="5">
        <v>0.996</v>
      </c>
      <c r="G218" s="5">
        <v>0.88171670554854698</v>
      </c>
      <c r="H218" s="8">
        <v>0.58006795112708198</v>
      </c>
      <c r="I218" s="8">
        <v>0.65176833328998296</v>
      </c>
      <c r="J218" s="8">
        <v>0.78319044055189102</v>
      </c>
      <c r="K218" s="8">
        <v>0.71231748197827005</v>
      </c>
      <c r="L218" s="8">
        <v>0.376945461702273</v>
      </c>
      <c r="M218" s="8">
        <v>0.59121918460169698</v>
      </c>
      <c r="N218" s="8">
        <v>0.61603933225726204</v>
      </c>
      <c r="O218" s="8">
        <v>0.64124972999459695</v>
      </c>
      <c r="P218" s="8">
        <v>0.57930282860547899</v>
      </c>
      <c r="Q218" s="8">
        <v>0.56476787676712503</v>
      </c>
      <c r="R218" s="8">
        <v>0.90938775515714199</v>
      </c>
      <c r="S218" s="8">
        <v>2.8571428499999899E-2</v>
      </c>
      <c r="T218" s="8">
        <v>0.10857142859999901</v>
      </c>
      <c r="U218" s="8">
        <v>0.34285714290000002</v>
      </c>
      <c r="V218" s="8">
        <v>0.52</v>
      </c>
      <c r="W218" s="8">
        <v>0.939983093799999</v>
      </c>
      <c r="X218" s="8">
        <v>5.9171598000000098E-3</v>
      </c>
      <c r="Y218" s="8">
        <v>9.4674556199999996E-2</v>
      </c>
      <c r="Z218" s="8">
        <v>0.42011834319999902</v>
      </c>
      <c r="AA218" s="8">
        <v>0.47928994079999998</v>
      </c>
      <c r="AB218" s="8">
        <v>0.84620991258571399</v>
      </c>
      <c r="AC218" s="8">
        <v>4.5918367299999999E-2</v>
      </c>
      <c r="AD218" s="8">
        <v>0.1887755102</v>
      </c>
      <c r="AE218" s="8">
        <v>0.43367346939999901</v>
      </c>
      <c r="AF218" s="8">
        <v>0.33163265310000001</v>
      </c>
      <c r="AG218" s="8">
        <v>0.69752186582857101</v>
      </c>
      <c r="AH218" s="8">
        <v>0.1071428572</v>
      </c>
      <c r="AI218" s="8">
        <v>0.34183673469999998</v>
      </c>
      <c r="AJ218" s="8">
        <v>0.32142857139999997</v>
      </c>
      <c r="AK218" s="8">
        <v>0.2295918367</v>
      </c>
      <c r="AL218" s="8">
        <v>0.97222222222222199</v>
      </c>
      <c r="AM218" s="8">
        <v>0.938888888888888</v>
      </c>
      <c r="AN218" s="8">
        <v>0.93333333333333302</v>
      </c>
      <c r="AO218" s="8">
        <v>0.93333333333333302</v>
      </c>
      <c r="AP218" s="4">
        <v>0.88171670554854698</v>
      </c>
      <c r="AQ218" s="4">
        <v>0.92957651533907204</v>
      </c>
      <c r="AR218" s="4">
        <v>1</v>
      </c>
      <c r="AS218" s="4">
        <v>0.95269704098904195</v>
      </c>
      <c r="AT218" s="4">
        <v>1</v>
      </c>
      <c r="AU218" s="4">
        <v>0.89642424540993704</v>
      </c>
      <c r="AV218" s="4">
        <v>0.52686682219419001</v>
      </c>
      <c r="AW218" s="4">
        <v>0.93759129956866905</v>
      </c>
      <c r="AX218" s="4">
        <v>1</v>
      </c>
      <c r="AY218" s="11">
        <f>VLOOKUP(B218,[1]Página1!$A:$E,5,0)</f>
        <v>12465802.619999999</v>
      </c>
    </row>
    <row r="219" spans="1:51" ht="15.75" customHeight="1" x14ac:dyDescent="0.3">
      <c r="A219" s="4">
        <v>3203502</v>
      </c>
      <c r="B219" s="4" t="s">
        <v>114</v>
      </c>
      <c r="C219" s="5">
        <v>2024</v>
      </c>
      <c r="D219" s="5">
        <v>0.72875771974704295</v>
      </c>
      <c r="E219" s="5">
        <v>0.70830705787707904</v>
      </c>
      <c r="F219" s="5">
        <v>0.97</v>
      </c>
      <c r="G219" s="5">
        <v>0.58295186155391898</v>
      </c>
      <c r="H219" s="8">
        <v>0.74020693482286903</v>
      </c>
      <c r="I219" s="8">
        <v>0.66045724245839399</v>
      </c>
      <c r="J219" s="8">
        <v>0.74380847969016295</v>
      </c>
      <c r="K219" s="8">
        <v>0.67698640660161002</v>
      </c>
      <c r="L219" s="8">
        <v>0.73660538995557401</v>
      </c>
      <c r="M219" s="8">
        <v>0.64392807831517795</v>
      </c>
      <c r="N219" s="8">
        <v>0.58762155524708104</v>
      </c>
      <c r="O219" s="8">
        <v>0.574731036432237</v>
      </c>
      <c r="P219" s="8">
        <v>0.54587705275659903</v>
      </c>
      <c r="Q219" s="8">
        <v>0.54576041371797501</v>
      </c>
      <c r="R219" s="8">
        <v>0.87656641605714203</v>
      </c>
      <c r="S219" s="8">
        <v>4.8245613999999999E-2</v>
      </c>
      <c r="T219" s="8">
        <v>0.13157894740000001</v>
      </c>
      <c r="U219" s="8">
        <v>0.42982456139999897</v>
      </c>
      <c r="V219" s="8">
        <v>0.3903508772</v>
      </c>
      <c r="W219" s="8">
        <v>0.892541087271428</v>
      </c>
      <c r="X219" s="8">
        <v>2.6548672499999901E-2</v>
      </c>
      <c r="Y219" s="8">
        <v>0.14159292039999999</v>
      </c>
      <c r="Z219" s="8">
        <v>0.53097345129999995</v>
      </c>
      <c r="AA219" s="8">
        <v>0.30088495580000002</v>
      </c>
      <c r="AB219" s="8">
        <v>0.77203647408571396</v>
      </c>
      <c r="AC219" s="8">
        <v>8.9361702200000004E-2</v>
      </c>
      <c r="AD219" s="8">
        <v>0.24255319149999999</v>
      </c>
      <c r="AE219" s="8">
        <v>0.40425531909999901</v>
      </c>
      <c r="AF219" s="8">
        <v>0.2638297872</v>
      </c>
      <c r="AG219" s="8">
        <v>0.65288753808571398</v>
      </c>
      <c r="AH219" s="8">
        <v>0.1404255318</v>
      </c>
      <c r="AI219" s="8">
        <v>0.36170212769999999</v>
      </c>
      <c r="AJ219" s="8">
        <v>0.32765957449999999</v>
      </c>
      <c r="AK219" s="8">
        <v>0.17021276599999999</v>
      </c>
      <c r="AL219" s="8">
        <v>0.93061224489795902</v>
      </c>
      <c r="AM219" s="8">
        <v>0.92244897959183603</v>
      </c>
      <c r="AN219" s="8">
        <v>0.90384615384615297</v>
      </c>
      <c r="AO219" s="8">
        <v>0.90384615384615297</v>
      </c>
      <c r="AP219" s="4">
        <v>0.58295186155391898</v>
      </c>
      <c r="AQ219" s="4">
        <v>0.91576629947404298</v>
      </c>
      <c r="AR219" s="4">
        <v>1</v>
      </c>
      <c r="AS219" s="4">
        <v>0.95529345786711495</v>
      </c>
      <c r="AT219" s="4">
        <v>1</v>
      </c>
      <c r="AU219" s="4">
        <v>0.86881411078927095</v>
      </c>
      <c r="AV219" s="4">
        <v>0.180485572798946</v>
      </c>
      <c r="AW219" s="4">
        <v>0.88821435816717598</v>
      </c>
      <c r="AX219" s="4">
        <v>0.15132187341673101</v>
      </c>
      <c r="AY219" s="11">
        <f>VLOOKUP(B219,[1]Página1!$A:$E,5,0)</f>
        <v>12835252.15</v>
      </c>
    </row>
    <row r="220" spans="1:51" ht="15.75" customHeight="1" x14ac:dyDescent="0.3">
      <c r="A220" s="4">
        <v>3203601</v>
      </c>
      <c r="B220" s="4" t="s">
        <v>115</v>
      </c>
      <c r="C220" s="5">
        <v>2024</v>
      </c>
      <c r="D220" s="5">
        <v>0.76793847307991703</v>
      </c>
      <c r="E220" s="5">
        <v>0.67576924725702503</v>
      </c>
      <c r="F220" s="5">
        <v>0.96599999999999997</v>
      </c>
      <c r="G220" s="5">
        <v>1</v>
      </c>
      <c r="H220" s="8">
        <v>0.67688424547037096</v>
      </c>
      <c r="I220" s="8">
        <v>0.67409674993700597</v>
      </c>
      <c r="J220" s="8">
        <v>0.79434582020778099</v>
      </c>
      <c r="K220" s="8">
        <v>0.71845582263725505</v>
      </c>
      <c r="L220" s="8">
        <v>0.55942267073296104</v>
      </c>
      <c r="M220" s="8">
        <v>0.629737677236758</v>
      </c>
      <c r="N220" s="8">
        <v>0.65273542562161901</v>
      </c>
      <c r="O220" s="8">
        <v>0.68423400988430105</v>
      </c>
      <c r="P220" s="8">
        <v>0.58465421588743305</v>
      </c>
      <c r="Q220" s="8">
        <v>0.53550333743024503</v>
      </c>
      <c r="R220" s="8">
        <v>0.906015037585714</v>
      </c>
      <c r="S220" s="8">
        <v>2.6315789499999898E-2</v>
      </c>
      <c r="T220" s="8">
        <v>0.11842105260000001</v>
      </c>
      <c r="U220" s="8">
        <v>0.23684210529999999</v>
      </c>
      <c r="V220" s="8">
        <v>0.61842105260000002</v>
      </c>
      <c r="W220" s="8">
        <v>0.94911937375714295</v>
      </c>
      <c r="X220" s="8">
        <v>2.73972603E-2</v>
      </c>
      <c r="Y220" s="8">
        <v>4.1095890400000001E-2</v>
      </c>
      <c r="Z220" s="8">
        <v>0.23287671230000001</v>
      </c>
      <c r="AA220" s="8">
        <v>0.69863013699999998</v>
      </c>
      <c r="AB220" s="8">
        <v>0.87692307691428495</v>
      </c>
      <c r="AC220" s="8">
        <v>-2.7755575615628901E-17</v>
      </c>
      <c r="AD220" s="8">
        <v>0.21538461540000001</v>
      </c>
      <c r="AE220" s="8">
        <v>0.56923076920000004</v>
      </c>
      <c r="AF220" s="8">
        <v>0.21538461540000001</v>
      </c>
      <c r="AG220" s="8">
        <v>0.690109890085714</v>
      </c>
      <c r="AH220" s="8">
        <v>4.6153846200000001E-2</v>
      </c>
      <c r="AI220" s="8">
        <v>0.4615384615</v>
      </c>
      <c r="AJ220" s="8">
        <v>0.41538461539999999</v>
      </c>
      <c r="AK220" s="8">
        <v>7.6923076899999998E-2</v>
      </c>
      <c r="AL220" s="8">
        <v>0.938271604938271</v>
      </c>
      <c r="AM220" s="8">
        <v>0.90123456790123402</v>
      </c>
      <c r="AN220" s="8">
        <v>0.97014925373134298</v>
      </c>
      <c r="AO220" s="8">
        <v>0.97014925373134298</v>
      </c>
      <c r="AP220" s="4">
        <v>1</v>
      </c>
      <c r="AQ220" s="4">
        <v>0.93168813936442296</v>
      </c>
      <c r="AR220" s="4">
        <v>1</v>
      </c>
      <c r="AS220" s="4">
        <v>0.98079550278181804</v>
      </c>
      <c r="AT220" s="4">
        <v>1</v>
      </c>
      <c r="AU220" s="4">
        <v>1.01759131680354</v>
      </c>
      <c r="AV220" s="4">
        <v>1</v>
      </c>
      <c r="AW220" s="4">
        <v>0.98382437086166097</v>
      </c>
      <c r="AX220" s="4">
        <v>1</v>
      </c>
      <c r="AY220" s="11">
        <f>VLOOKUP(B220,[1]Página1!$A:$E,5,0)</f>
        <v>13525323.529999999</v>
      </c>
    </row>
    <row r="221" spans="1:51" ht="15.75" customHeight="1" x14ac:dyDescent="0.3">
      <c r="A221" s="4">
        <v>3203908</v>
      </c>
      <c r="B221" s="4" t="s">
        <v>116</v>
      </c>
      <c r="C221" s="5">
        <v>2024</v>
      </c>
      <c r="D221" s="5">
        <v>0.58135947799354604</v>
      </c>
      <c r="E221" s="5">
        <v>0.51089807950438104</v>
      </c>
      <c r="F221" s="5">
        <v>0.99099999999999999</v>
      </c>
      <c r="G221" s="5">
        <v>0.50053881560319502</v>
      </c>
      <c r="H221" s="8">
        <v>0.442844440150162</v>
      </c>
      <c r="I221" s="8">
        <v>0.61297853853570905</v>
      </c>
      <c r="J221" s="8">
        <v>0.73367594094519994</v>
      </c>
      <c r="K221" s="8">
        <v>0.74656484255546196</v>
      </c>
      <c r="L221" s="8">
        <v>0.152012939355125</v>
      </c>
      <c r="M221" s="8">
        <v>0.47939223451595597</v>
      </c>
      <c r="N221" s="8">
        <v>0.58869047909413796</v>
      </c>
      <c r="O221" s="8">
        <v>0.56316866398301002</v>
      </c>
      <c r="P221" s="8">
        <v>0.62271172562973898</v>
      </c>
      <c r="Q221" s="8">
        <v>0.62014105120694496</v>
      </c>
      <c r="R221" s="8">
        <v>0.86882453149999905</v>
      </c>
      <c r="S221" s="8">
        <v>7.6660988099999994E-2</v>
      </c>
      <c r="T221" s="8">
        <v>9.5400340700000003E-2</v>
      </c>
      <c r="U221" s="8">
        <v>0.39522998299999901</v>
      </c>
      <c r="V221" s="8">
        <v>0.43270868819999903</v>
      </c>
      <c r="W221" s="8">
        <v>0.85394639781428505</v>
      </c>
      <c r="X221" s="8">
        <v>5.1635111899999898E-2</v>
      </c>
      <c r="Y221" s="8">
        <v>0.165232358</v>
      </c>
      <c r="Z221" s="8">
        <v>0.49225473320000002</v>
      </c>
      <c r="AA221" s="8">
        <v>0.29087779689999999</v>
      </c>
      <c r="AB221" s="8">
        <v>0.88958837769999999</v>
      </c>
      <c r="AC221" s="8">
        <v>2.0338983099999899E-2</v>
      </c>
      <c r="AD221" s="8">
        <v>0.1576271186</v>
      </c>
      <c r="AE221" s="8">
        <v>0.38813559320000002</v>
      </c>
      <c r="AF221" s="8">
        <v>0.43389830509999999</v>
      </c>
      <c r="AG221" s="8">
        <v>0.781840193685714</v>
      </c>
      <c r="AH221" s="8">
        <v>9.3220338999999902E-2</v>
      </c>
      <c r="AI221" s="8">
        <v>0.21864406780000001</v>
      </c>
      <c r="AJ221" s="8">
        <v>0.37627118640000001</v>
      </c>
      <c r="AK221" s="8">
        <v>0.31186440679999999</v>
      </c>
      <c r="AL221" s="8">
        <v>0.91862284820031304</v>
      </c>
      <c r="AM221" s="8">
        <v>0.90923317683881</v>
      </c>
      <c r="AN221" s="8">
        <v>0.90769230769230702</v>
      </c>
      <c r="AO221" s="8">
        <v>0.90769230769230702</v>
      </c>
      <c r="AP221" s="4">
        <v>0.50053881560319502</v>
      </c>
      <c r="AQ221" s="4">
        <v>0.93246992796171702</v>
      </c>
      <c r="AR221" s="4">
        <v>1</v>
      </c>
      <c r="AS221" s="4">
        <v>0.93697861401251303</v>
      </c>
      <c r="AT221" s="4">
        <v>1</v>
      </c>
      <c r="AU221" s="4">
        <v>0.84658787756488496</v>
      </c>
      <c r="AV221" s="4">
        <v>2.1552624127814299E-3</v>
      </c>
      <c r="AW221" s="4">
        <v>0.83232376869137603</v>
      </c>
      <c r="AX221" s="4">
        <v>0</v>
      </c>
      <c r="AY221" s="11">
        <f>VLOOKUP(B221,[1]Página1!$A:$E,5,0)</f>
        <v>10239199.24</v>
      </c>
    </row>
    <row r="222" spans="1:51" ht="15.75" customHeight="1" x14ac:dyDescent="0.3">
      <c r="A222" s="4">
        <v>3204104</v>
      </c>
      <c r="B222" s="4" t="s">
        <v>117</v>
      </c>
      <c r="C222" s="5">
        <v>2024</v>
      </c>
      <c r="D222" s="5">
        <v>0.67119751657233695</v>
      </c>
      <c r="E222" s="5">
        <v>0.69206788081762405</v>
      </c>
      <c r="F222" s="5">
        <v>0.995</v>
      </c>
      <c r="G222" s="5">
        <v>0.25</v>
      </c>
      <c r="H222" s="8">
        <v>0.66976048941282695</v>
      </c>
      <c r="I222" s="8">
        <v>0.72552896792482102</v>
      </c>
      <c r="J222" s="8">
        <v>0.77810559584299999</v>
      </c>
      <c r="K222" s="8">
        <v>0.71652617188587497</v>
      </c>
      <c r="L222" s="8">
        <v>0.56141538298265303</v>
      </c>
      <c r="M222" s="8">
        <v>0.73453176396376796</v>
      </c>
      <c r="N222" s="8">
        <v>0.62708743477225604</v>
      </c>
      <c r="O222" s="8">
        <v>0.641022297556194</v>
      </c>
      <c r="P222" s="8">
        <v>0.57536673427194795</v>
      </c>
      <c r="Q222" s="8">
        <v>0.58247436495991101</v>
      </c>
      <c r="R222" s="8">
        <v>0.87946428571428503</v>
      </c>
      <c r="S222" s="8">
        <v>6.25E-2</v>
      </c>
      <c r="T222" s="8">
        <v>0.1015625</v>
      </c>
      <c r="U222" s="8">
        <v>0.30859375</v>
      </c>
      <c r="V222" s="8">
        <v>0.52734375</v>
      </c>
      <c r="W222" s="8">
        <v>0.93424036277142797</v>
      </c>
      <c r="X222" s="8">
        <v>3.1746031799999998E-2</v>
      </c>
      <c r="Y222" s="8">
        <v>5.9523809499999997E-2</v>
      </c>
      <c r="Z222" s="8">
        <v>0.38888888889999901</v>
      </c>
      <c r="AA222" s="8">
        <v>0.51984126980000001</v>
      </c>
      <c r="AB222" s="8">
        <v>0.81298701304285703</v>
      </c>
      <c r="AC222" s="8">
        <v>5.8181818099999998E-2</v>
      </c>
      <c r="AD222" s="8">
        <v>0.22545454549999999</v>
      </c>
      <c r="AE222" s="8">
        <v>0.410909090899999</v>
      </c>
      <c r="AF222" s="8">
        <v>0.30545454550000001</v>
      </c>
      <c r="AG222" s="8">
        <v>0.75168831172857098</v>
      </c>
      <c r="AH222" s="8">
        <v>9.4545454500000001E-2</v>
      </c>
      <c r="AI222" s="8">
        <v>0.2690909091</v>
      </c>
      <c r="AJ222" s="8">
        <v>0.44</v>
      </c>
      <c r="AK222" s="8">
        <v>0.19636363639999899</v>
      </c>
      <c r="AL222" s="8">
        <v>0.951672862453531</v>
      </c>
      <c r="AM222" s="8">
        <v>0.93680297397769496</v>
      </c>
      <c r="AN222" s="8">
        <v>0.92592592592592504</v>
      </c>
      <c r="AO222" s="8">
        <v>0.92592592592592504</v>
      </c>
      <c r="AP222" s="4">
        <v>0.25</v>
      </c>
      <c r="AQ222" s="4">
        <v>0.87897651793348597</v>
      </c>
      <c r="AR222" s="4">
        <v>0</v>
      </c>
      <c r="AS222" s="4">
        <v>0.94622459868973996</v>
      </c>
      <c r="AT222" s="4">
        <v>1</v>
      </c>
      <c r="AU222" s="4">
        <v>0.78189794697559201</v>
      </c>
      <c r="AV222" s="4">
        <v>0</v>
      </c>
      <c r="AW222" s="4">
        <v>0.80478450583139105</v>
      </c>
      <c r="AX222" s="4">
        <v>0</v>
      </c>
      <c r="AY222" s="11">
        <f>VLOOKUP(B222,[1]Página1!$A:$E,5,0)</f>
        <v>11821472.529999999</v>
      </c>
    </row>
    <row r="223" spans="1:51" ht="15.75" customHeight="1" x14ac:dyDescent="0.3">
      <c r="A223" s="4">
        <v>3204252</v>
      </c>
      <c r="B223" s="4" t="s">
        <v>118</v>
      </c>
      <c r="C223" s="5">
        <v>2024</v>
      </c>
      <c r="D223" s="5">
        <v>0.62894852311528104</v>
      </c>
      <c r="E223" s="5">
        <v>0.53188045231742498</v>
      </c>
      <c r="F223" s="5">
        <v>1</v>
      </c>
      <c r="G223" s="5">
        <v>0.71088137662055695</v>
      </c>
      <c r="H223" s="8">
        <v>0.408160714316601</v>
      </c>
      <c r="I223" s="8">
        <v>0.71746005931866097</v>
      </c>
      <c r="J223" s="8">
        <v>0.76564239891490105</v>
      </c>
      <c r="K223" s="8">
        <v>0.72489764882551</v>
      </c>
      <c r="L223" s="8">
        <v>5.0679029718300801E-2</v>
      </c>
      <c r="M223" s="8">
        <v>0.71002246981181305</v>
      </c>
      <c r="N223" s="8">
        <v>0.60564193473183503</v>
      </c>
      <c r="O223" s="8">
        <v>0.67611512720175504</v>
      </c>
      <c r="P223" s="8">
        <v>0.57272348832040498</v>
      </c>
      <c r="Q223" s="8">
        <v>0.58138432892262704</v>
      </c>
      <c r="R223" s="8">
        <v>0.88907563030000003</v>
      </c>
      <c r="S223" s="8">
        <v>2.35294117000001E-2</v>
      </c>
      <c r="T223" s="8">
        <v>0.1529411765</v>
      </c>
      <c r="U223" s="8">
        <v>0.36470588239999902</v>
      </c>
      <c r="V223" s="8">
        <v>0.45882352939999999</v>
      </c>
      <c r="W223" s="8">
        <v>0.97508305652857097</v>
      </c>
      <c r="X223" s="8">
        <v>1.16279068999999E-2</v>
      </c>
      <c r="Y223" s="8">
        <v>2.3255814E-2</v>
      </c>
      <c r="Z223" s="8">
        <v>0.30232558139999999</v>
      </c>
      <c r="AA223" s="8">
        <v>0.66279069769999999</v>
      </c>
      <c r="AB223" s="8">
        <v>0.81168831164285704</v>
      </c>
      <c r="AC223" s="8">
        <v>4.5454545499999999E-2</v>
      </c>
      <c r="AD223" s="8">
        <v>0.25</v>
      </c>
      <c r="AE223" s="8">
        <v>0.36363636360000001</v>
      </c>
      <c r="AF223" s="8">
        <v>0.34090909089999999</v>
      </c>
      <c r="AG223" s="8">
        <v>0.76623376621428496</v>
      </c>
      <c r="AH223" s="8">
        <v>4.5454545499999902E-2</v>
      </c>
      <c r="AI223" s="8">
        <v>0.3295454545</v>
      </c>
      <c r="AJ223" s="8">
        <v>0.4545454545</v>
      </c>
      <c r="AK223" s="8">
        <v>0.1704545455</v>
      </c>
      <c r="AL223" s="8">
        <v>0.86734693877550995</v>
      </c>
      <c r="AM223" s="8">
        <v>0.87755102040816302</v>
      </c>
      <c r="AN223" s="8">
        <v>0.95652173913043403</v>
      </c>
      <c r="AO223" s="8">
        <v>0.95652173913043403</v>
      </c>
      <c r="AP223" s="4">
        <v>0.71088137662055695</v>
      </c>
      <c r="AQ223" s="4">
        <v>0.92539328177018099</v>
      </c>
      <c r="AR223" s="4">
        <v>1</v>
      </c>
      <c r="AS223" s="4">
        <v>0.93545777789578699</v>
      </c>
      <c r="AT223" s="4">
        <v>1</v>
      </c>
      <c r="AU223" s="4">
        <v>0.85437154774088997</v>
      </c>
      <c r="AV223" s="4">
        <v>0.35145361893698501</v>
      </c>
      <c r="AW223" s="4">
        <v>0.88748162996991298</v>
      </c>
      <c r="AX223" s="4">
        <v>0.492071887545244</v>
      </c>
      <c r="AY223" s="11">
        <f>VLOOKUP(B223,[1]Página1!$A:$E,5,0)</f>
        <v>11077361.74</v>
      </c>
    </row>
    <row r="224" spans="1:51" ht="15.75" customHeight="1" x14ac:dyDescent="0.3">
      <c r="A224" s="4">
        <v>3204708</v>
      </c>
      <c r="B224" s="4" t="s">
        <v>119</v>
      </c>
      <c r="C224" s="5">
        <v>2024</v>
      </c>
      <c r="D224" s="5">
        <v>0.66026660367096102</v>
      </c>
      <c r="E224" s="5">
        <v>0.60669291842930495</v>
      </c>
      <c r="F224" s="5">
        <v>0.995</v>
      </c>
      <c r="G224" s="5">
        <v>0.57554373846965601</v>
      </c>
      <c r="H224" s="8">
        <v>0.58294718042224003</v>
      </c>
      <c r="I224" s="8">
        <v>0.642311525439902</v>
      </c>
      <c r="J224" s="8">
        <v>0.74099916779438901</v>
      </c>
      <c r="K224" s="8">
        <v>0.72804101748522898</v>
      </c>
      <c r="L224" s="8">
        <v>0.42489519305009099</v>
      </c>
      <c r="M224" s="8">
        <v>0.55658203339457601</v>
      </c>
      <c r="N224" s="8">
        <v>0.58145519101603904</v>
      </c>
      <c r="O224" s="8">
        <v>0.58021333981095502</v>
      </c>
      <c r="P224" s="8">
        <v>0.587944847326202</v>
      </c>
      <c r="Q224" s="8">
        <v>0.58794891380258996</v>
      </c>
      <c r="R224" s="8">
        <v>0.88156288149999995</v>
      </c>
      <c r="S224" s="8">
        <v>4.8433048499999999E-2</v>
      </c>
      <c r="T224" s="8">
        <v>0.1225071225</v>
      </c>
      <c r="U224" s="8">
        <v>0.45014245009999998</v>
      </c>
      <c r="V224" s="8">
        <v>0.37891737889999999</v>
      </c>
      <c r="W224" s="8">
        <v>0.88311688312857095</v>
      </c>
      <c r="X224" s="8">
        <v>2.2727272699999902E-2</v>
      </c>
      <c r="Y224" s="8">
        <v>0.1647727273</v>
      </c>
      <c r="Z224" s="8">
        <v>0.46590909089999999</v>
      </c>
      <c r="AA224" s="8">
        <v>0.34659090910000001</v>
      </c>
      <c r="AB224" s="8">
        <v>0.84666149065714202</v>
      </c>
      <c r="AC224" s="8">
        <v>3.5326086999999798E-2</v>
      </c>
      <c r="AD224" s="8">
        <v>0.20652173909999999</v>
      </c>
      <c r="AE224" s="8">
        <v>0.42663043480000001</v>
      </c>
      <c r="AF224" s="8">
        <v>0.33152173909999999</v>
      </c>
      <c r="AG224" s="8">
        <v>0.75310559007142797</v>
      </c>
      <c r="AH224" s="8">
        <v>7.60869564999999E-2</v>
      </c>
      <c r="AI224" s="8">
        <v>0.29891304349999998</v>
      </c>
      <c r="AJ224" s="8">
        <v>0.39130434780000001</v>
      </c>
      <c r="AK224" s="8">
        <v>0.23369565219999999</v>
      </c>
      <c r="AL224" s="8">
        <v>0.91884816753926701</v>
      </c>
      <c r="AM224" s="8">
        <v>0.92146596858638696</v>
      </c>
      <c r="AN224" s="8">
        <v>0.93638676844783697</v>
      </c>
      <c r="AO224" s="8">
        <v>0.93638676844783697</v>
      </c>
      <c r="AP224" s="4">
        <v>0.57554373846965601</v>
      </c>
      <c r="AQ224" s="4">
        <v>0.92480054437958004</v>
      </c>
      <c r="AR224" s="4">
        <v>1</v>
      </c>
      <c r="AS224" s="4">
        <v>0.94709167273785999</v>
      </c>
      <c r="AT224" s="4">
        <v>1</v>
      </c>
      <c r="AU224" s="4">
        <v>0.84037304585360295</v>
      </c>
      <c r="AV224" s="4">
        <v>7.1475546522394504E-2</v>
      </c>
      <c r="AW224" s="4">
        <v>0.86004838009840001</v>
      </c>
      <c r="AX224" s="4">
        <v>0.23069940735623201</v>
      </c>
      <c r="AY224" s="11">
        <f>VLOOKUP(B224,[1]Página1!$A:$E,5,0)</f>
        <v>11628951.73</v>
      </c>
    </row>
    <row r="225" spans="1:51" ht="15.75" customHeight="1" x14ac:dyDescent="0.3">
      <c r="A225" s="4">
        <v>3205150</v>
      </c>
      <c r="B225" s="4" t="s">
        <v>120</v>
      </c>
      <c r="C225" s="5">
        <v>2024</v>
      </c>
      <c r="D225" s="5">
        <v>0.50354168878289196</v>
      </c>
      <c r="E225" s="5">
        <v>0.49492087149545</v>
      </c>
      <c r="F225" s="5">
        <v>0.995</v>
      </c>
      <c r="G225" s="5">
        <v>5.2313858240516299E-2</v>
      </c>
      <c r="H225" s="8">
        <v>0.38485327194887198</v>
      </c>
      <c r="I225" s="8">
        <v>0.66002227081531695</v>
      </c>
      <c r="J225" s="8">
        <v>0.69406745941972203</v>
      </c>
      <c r="K225" s="8">
        <v>0.73705512560258002</v>
      </c>
      <c r="L225" s="8">
        <v>7.5639084478021701E-2</v>
      </c>
      <c r="M225" s="8">
        <v>0.58298941602805399</v>
      </c>
      <c r="N225" s="8">
        <v>0.53442057073085703</v>
      </c>
      <c r="O225" s="8">
        <v>0.52179669407904505</v>
      </c>
      <c r="P225" s="8">
        <v>0.60466297816623804</v>
      </c>
      <c r="Q225" s="8">
        <v>0.59264672397137497</v>
      </c>
      <c r="R225" s="8">
        <v>0.78210678202857098</v>
      </c>
      <c r="S225" s="8">
        <v>5.05050505999999E-2</v>
      </c>
      <c r="T225" s="8">
        <v>0.29292929290000003</v>
      </c>
      <c r="U225" s="8">
        <v>0.41414141409999999</v>
      </c>
      <c r="V225" s="8">
        <v>0.24242424239999999</v>
      </c>
      <c r="W225" s="8">
        <v>0.79195561709999995</v>
      </c>
      <c r="X225" s="8">
        <v>5.82524273E-2</v>
      </c>
      <c r="Y225" s="8">
        <v>0.26213592229999999</v>
      </c>
      <c r="Z225" s="8">
        <v>0.47572815530000001</v>
      </c>
      <c r="AA225" s="8">
        <v>0.20388349510000001</v>
      </c>
      <c r="AB225" s="8">
        <v>0.83352080988571398</v>
      </c>
      <c r="AC225" s="8">
        <v>6.2992125999999996E-2</v>
      </c>
      <c r="AD225" s="8">
        <v>0.18110236220000001</v>
      </c>
      <c r="AE225" s="8">
        <v>0.33070866139999999</v>
      </c>
      <c r="AF225" s="8">
        <v>0.42519685039999999</v>
      </c>
      <c r="AG225" s="8">
        <v>0.77277840259999997</v>
      </c>
      <c r="AH225" s="8">
        <v>0.110236220599999</v>
      </c>
      <c r="AI225" s="8">
        <v>0.204724409399999</v>
      </c>
      <c r="AJ225" s="8">
        <v>0.46456692910000003</v>
      </c>
      <c r="AK225" s="8">
        <v>0.22047244089999901</v>
      </c>
      <c r="AL225" s="8">
        <v>0.91666666666666596</v>
      </c>
      <c r="AM225" s="8">
        <v>0.95370370370370305</v>
      </c>
      <c r="AN225" s="8">
        <v>0.94776119402985004</v>
      </c>
      <c r="AO225" s="8">
        <v>0.94776119402985004</v>
      </c>
      <c r="AP225" s="4">
        <v>5.2313858240516299E-2</v>
      </c>
      <c r="AQ225" s="4">
        <v>0.81826994856876301</v>
      </c>
      <c r="AR225" s="4">
        <v>0</v>
      </c>
      <c r="AS225" s="4">
        <v>0.87095254986423398</v>
      </c>
      <c r="AT225" s="4">
        <v>0</v>
      </c>
      <c r="AU225" s="4">
        <v>0.76866240131921804</v>
      </c>
      <c r="AV225" s="4">
        <v>0</v>
      </c>
      <c r="AW225" s="4">
        <v>0.867605547933191</v>
      </c>
      <c r="AX225" s="4">
        <v>0.209255432962065</v>
      </c>
      <c r="AY225" s="11">
        <f>VLOOKUP(B225,[1]Página1!$A:$E,5,0)</f>
        <v>8868632.6999999993</v>
      </c>
    </row>
    <row r="226" spans="1:51" ht="15.75" customHeight="1" x14ac:dyDescent="0.3">
      <c r="A226" s="4">
        <v>3205176</v>
      </c>
      <c r="B226" s="4" t="s">
        <v>121</v>
      </c>
      <c r="C226" s="5">
        <v>2024</v>
      </c>
      <c r="D226" s="5">
        <v>0.68326249309610498</v>
      </c>
      <c r="E226" s="5">
        <v>0.59102038444124005</v>
      </c>
      <c r="F226" s="5">
        <v>0.98499999999999999</v>
      </c>
      <c r="G226" s="5">
        <v>0.81198815991491202</v>
      </c>
      <c r="H226" s="8">
        <v>0.48372200717376201</v>
      </c>
      <c r="I226" s="8">
        <v>0.751967950342457</v>
      </c>
      <c r="J226" s="8">
        <v>0.76462995991466898</v>
      </c>
      <c r="K226" s="8">
        <v>0.766800495293813</v>
      </c>
      <c r="L226" s="8">
        <v>0.202814054432855</v>
      </c>
      <c r="M226" s="8">
        <v>0.73713540539110001</v>
      </c>
      <c r="N226" s="8">
        <v>0.58857764591849104</v>
      </c>
      <c r="O226" s="8">
        <v>0.65246764942389501</v>
      </c>
      <c r="P226" s="8">
        <v>0.617749705096308</v>
      </c>
      <c r="Q226" s="8">
        <v>0.67972374587903595</v>
      </c>
      <c r="R226" s="8">
        <v>0.84715821811428504</v>
      </c>
      <c r="S226" s="8">
        <v>4.8387096799999897E-2</v>
      </c>
      <c r="T226" s="8">
        <v>0.1827956989</v>
      </c>
      <c r="U226" s="8">
        <v>0.34946236559999999</v>
      </c>
      <c r="V226" s="8">
        <v>0.41935483870000001</v>
      </c>
      <c r="W226" s="8">
        <v>0.97826086954285696</v>
      </c>
      <c r="X226" s="8">
        <v>0</v>
      </c>
      <c r="Y226" s="8">
        <v>3.8043478300000003E-2</v>
      </c>
      <c r="Z226" s="8">
        <v>0.39130434780000001</v>
      </c>
      <c r="AA226" s="8">
        <v>0.5706521739</v>
      </c>
      <c r="AB226" s="8">
        <v>0.88694758479999902</v>
      </c>
      <c r="AC226" s="8">
        <v>4.3165467599999903E-2</v>
      </c>
      <c r="AD226" s="8">
        <v>0.12230215830000001</v>
      </c>
      <c r="AE226" s="8">
        <v>0.38848920860000002</v>
      </c>
      <c r="AF226" s="8">
        <v>0.44604316550000001</v>
      </c>
      <c r="AG226" s="8">
        <v>0.88180883865714199</v>
      </c>
      <c r="AH226" s="8">
        <v>3.5971222999999997E-2</v>
      </c>
      <c r="AI226" s="8">
        <v>0.14388489209999999</v>
      </c>
      <c r="AJ226" s="8">
        <v>0.39568345319999998</v>
      </c>
      <c r="AK226" s="8">
        <v>0.42446043169999997</v>
      </c>
      <c r="AL226" s="8">
        <v>0.93467336683417002</v>
      </c>
      <c r="AM226" s="8">
        <v>0.92462311557788901</v>
      </c>
      <c r="AN226" s="8">
        <v>0.88535031847133705</v>
      </c>
      <c r="AO226" s="8">
        <v>0.88535031847133705</v>
      </c>
      <c r="AP226" s="4">
        <v>0.81198815991491202</v>
      </c>
      <c r="AQ226" s="4">
        <v>0.917333611232789</v>
      </c>
      <c r="AR226" s="4">
        <v>1</v>
      </c>
      <c r="AS226" s="4">
        <v>0.94148034889037602</v>
      </c>
      <c r="AT226" s="4">
        <v>1</v>
      </c>
      <c r="AU226" s="4">
        <v>0.840699415581045</v>
      </c>
      <c r="AV226" s="4">
        <v>0.24795263965964801</v>
      </c>
      <c r="AW226" s="4">
        <v>0.91089708319460905</v>
      </c>
      <c r="AX226" s="4">
        <v>1</v>
      </c>
      <c r="AY226" s="11">
        <f>VLOOKUP(B226,[1]Página1!$A:$E,5,0)</f>
        <v>12033967.039999999</v>
      </c>
    </row>
    <row r="227" spans="1:51" ht="15.75" customHeight="1" x14ac:dyDescent="0.3">
      <c r="A227" s="4">
        <v>3201605</v>
      </c>
      <c r="B227" s="4" t="s">
        <v>122</v>
      </c>
      <c r="C227" s="5">
        <v>2024</v>
      </c>
      <c r="D227" s="5">
        <v>0.60500190391670805</v>
      </c>
      <c r="E227" s="5">
        <v>0.52811822414892595</v>
      </c>
      <c r="F227" s="5">
        <v>0.97499999999999998</v>
      </c>
      <c r="G227" s="5">
        <v>0.59379431341639999</v>
      </c>
      <c r="H227" s="8">
        <v>0.44669273819214</v>
      </c>
      <c r="I227" s="8">
        <v>0.65025645308410396</v>
      </c>
      <c r="J227" s="8">
        <v>0.69999771716913695</v>
      </c>
      <c r="K227" s="8">
        <v>0.69065267706998801</v>
      </c>
      <c r="L227" s="8">
        <v>0.19338775921514301</v>
      </c>
      <c r="M227" s="8">
        <v>0.60986022909822002</v>
      </c>
      <c r="N227" s="8">
        <v>0.54534946117632199</v>
      </c>
      <c r="O227" s="8">
        <v>0.52188230828023396</v>
      </c>
      <c r="P227" s="8">
        <v>0.54959036922447002</v>
      </c>
      <c r="Q227" s="8">
        <v>0.54240193369269596</v>
      </c>
      <c r="R227" s="8">
        <v>0.80419331907142799</v>
      </c>
      <c r="S227" s="8">
        <v>8.2089552299999896E-2</v>
      </c>
      <c r="T227" s="8">
        <v>0.19900497510000001</v>
      </c>
      <c r="U227" s="8">
        <v>0.40298507459999999</v>
      </c>
      <c r="V227" s="8">
        <v>0.31592039799999999</v>
      </c>
      <c r="W227" s="8">
        <v>0.76807980047142799</v>
      </c>
      <c r="X227" s="8">
        <v>6.2344139700000002E-2</v>
      </c>
      <c r="Y227" s="8">
        <v>0.29675810469999903</v>
      </c>
      <c r="Z227" s="8">
        <v>0.43142144639999902</v>
      </c>
      <c r="AA227" s="8">
        <v>0.20947630919999999</v>
      </c>
      <c r="AB227" s="8">
        <v>0.77907444668571402</v>
      </c>
      <c r="AC227" s="8">
        <v>7.6056338000000001E-2</v>
      </c>
      <c r="AD227" s="8">
        <v>0.2535211268</v>
      </c>
      <c r="AE227" s="8">
        <v>0.40281690139999998</v>
      </c>
      <c r="AF227" s="8">
        <v>0.26760563380000002</v>
      </c>
      <c r="AG227" s="8">
        <v>0.67887323937142796</v>
      </c>
      <c r="AH227" s="8">
        <v>0.107042253599999</v>
      </c>
      <c r="AI227" s="8">
        <v>0.37464788729999998</v>
      </c>
      <c r="AJ227" s="8">
        <v>0.3774647887</v>
      </c>
      <c r="AK227" s="8">
        <v>0.14084507039999999</v>
      </c>
      <c r="AL227" s="8">
        <v>0.93925233644859796</v>
      </c>
      <c r="AM227" s="8">
        <v>0.93691588785046698</v>
      </c>
      <c r="AN227" s="8">
        <v>0.94164456233421701</v>
      </c>
      <c r="AO227" s="8">
        <v>0.94164456233421701</v>
      </c>
      <c r="AP227" s="4">
        <v>0.59379431341639999</v>
      </c>
      <c r="AQ227" s="4">
        <v>0.93192112589310405</v>
      </c>
      <c r="AR227" s="4">
        <v>1</v>
      </c>
      <c r="AS227" s="4">
        <v>0.94048068738899604</v>
      </c>
      <c r="AT227" s="4">
        <v>1</v>
      </c>
      <c r="AU227" s="4">
        <v>0.84138580253734396</v>
      </c>
      <c r="AV227" s="4">
        <v>0.165914044820971</v>
      </c>
      <c r="AW227" s="4">
        <v>0.86929226133260096</v>
      </c>
      <c r="AX227" s="4">
        <v>0.20926320884462901</v>
      </c>
      <c r="AY227" s="11">
        <f>VLOOKUP(B227,[1]Página1!$A:$E,5,0)</f>
        <v>10160040.050000001</v>
      </c>
    </row>
    <row r="228" spans="1:51" ht="15.75" customHeight="1" x14ac:dyDescent="0.3">
      <c r="A228" s="4">
        <v>3203056</v>
      </c>
      <c r="B228" s="4" t="s">
        <v>123</v>
      </c>
      <c r="C228" s="5">
        <v>2024</v>
      </c>
      <c r="D228" s="5">
        <v>0.59654609607596698</v>
      </c>
      <c r="E228" s="5">
        <v>0.53399442296566701</v>
      </c>
      <c r="F228" s="5">
        <v>0.98499999999999999</v>
      </c>
      <c r="G228" s="5">
        <v>0.5</v>
      </c>
      <c r="H228" s="8">
        <v>0.56588000562317298</v>
      </c>
      <c r="I228" s="8">
        <v>0.48616604897940702</v>
      </c>
      <c r="J228" s="8">
        <v>0.73417274900178997</v>
      </c>
      <c r="K228" s="8">
        <v>0.66771568925507097</v>
      </c>
      <c r="L228" s="8">
        <v>0.39758726224455598</v>
      </c>
      <c r="M228" s="8">
        <v>0.30461640870374401</v>
      </c>
      <c r="N228" s="8">
        <v>0.58794649370473595</v>
      </c>
      <c r="O228" s="8">
        <v>0.57609732148874904</v>
      </c>
      <c r="P228" s="8">
        <v>0.549978123797083</v>
      </c>
      <c r="Q228" s="8">
        <v>0.52855107742544405</v>
      </c>
      <c r="R228" s="8">
        <v>0.86499546964285701</v>
      </c>
      <c r="S228" s="8">
        <v>7.8224101500000004E-2</v>
      </c>
      <c r="T228" s="8">
        <v>9.9365750500000002E-2</v>
      </c>
      <c r="U228" s="8">
        <v>0.37632135309999998</v>
      </c>
      <c r="V228" s="8">
        <v>0.44608879489999997</v>
      </c>
      <c r="W228" s="8">
        <v>0.87772397098571397</v>
      </c>
      <c r="X228" s="8">
        <v>4.2372881299999901E-2</v>
      </c>
      <c r="Y228" s="8">
        <v>0.13983050850000001</v>
      </c>
      <c r="Z228" s="8">
        <v>0.44915254240000002</v>
      </c>
      <c r="AA228" s="8">
        <v>0.36864406779999997</v>
      </c>
      <c r="AB228" s="8">
        <v>0.75841778362857104</v>
      </c>
      <c r="AC228" s="8">
        <v>8.4668192199999895E-2</v>
      </c>
      <c r="AD228" s="8">
        <v>0.2745995423</v>
      </c>
      <c r="AE228" s="8">
        <v>0.3592677346</v>
      </c>
      <c r="AF228" s="8">
        <v>0.28146453090000001</v>
      </c>
      <c r="AG228" s="8">
        <v>0.62046420399999902</v>
      </c>
      <c r="AH228" s="8">
        <v>0.18077803200000001</v>
      </c>
      <c r="AI228" s="8">
        <v>0.34782608699999901</v>
      </c>
      <c r="AJ228" s="8">
        <v>0.3043478261</v>
      </c>
      <c r="AK228" s="8">
        <v>0.16704805489999999</v>
      </c>
      <c r="AL228" s="8">
        <v>0.90095238095238095</v>
      </c>
      <c r="AM228" s="8">
        <v>0.89904761904761898</v>
      </c>
      <c r="AN228" s="8">
        <v>0.90289256198347101</v>
      </c>
      <c r="AO228" s="8">
        <v>0.90289256198347101</v>
      </c>
      <c r="AP228" s="4">
        <v>0.5</v>
      </c>
      <c r="AQ228" s="4">
        <v>0.90610173181762199</v>
      </c>
      <c r="AR228" s="4">
        <v>1</v>
      </c>
      <c r="AS228" s="4">
        <v>0.93251473213850999</v>
      </c>
      <c r="AT228" s="4">
        <v>1</v>
      </c>
      <c r="AU228" s="4">
        <v>0.88876955489850495</v>
      </c>
      <c r="AV228" s="4">
        <v>0</v>
      </c>
      <c r="AW228" s="4">
        <v>0.84077874713888401</v>
      </c>
      <c r="AX228" s="4">
        <v>0</v>
      </c>
      <c r="AY228" s="11">
        <f>VLOOKUP(B228,[1]Página1!$A:$E,5,0)</f>
        <v>10506673.689999999</v>
      </c>
    </row>
    <row r="229" spans="1:51" ht="15.75" customHeight="1" x14ac:dyDescent="0.3">
      <c r="A229" s="4">
        <v>3204054</v>
      </c>
      <c r="B229" s="4" t="s">
        <v>124</v>
      </c>
      <c r="C229" s="5">
        <v>2024</v>
      </c>
      <c r="D229" s="5">
        <v>0.698565044190958</v>
      </c>
      <c r="E229" s="5">
        <v>0.72215813913831095</v>
      </c>
      <c r="F229" s="5">
        <v>0.995</v>
      </c>
      <c r="G229" s="5">
        <v>0.29202897862760002</v>
      </c>
      <c r="H229" s="8">
        <v>0.718188035854881</v>
      </c>
      <c r="I229" s="8">
        <v>0.72811329406345704</v>
      </c>
      <c r="J229" s="8">
        <v>0.78185988437149501</v>
      </c>
      <c r="K229" s="8">
        <v>0.71062044487471299</v>
      </c>
      <c r="L229" s="8">
        <v>0.654516187338266</v>
      </c>
      <c r="M229" s="8">
        <v>0.74560614325220198</v>
      </c>
      <c r="N229" s="8">
        <v>0.60070745203067799</v>
      </c>
      <c r="O229" s="8">
        <v>0.70429952461323497</v>
      </c>
      <c r="P229" s="8">
        <v>0.56365133887022401</v>
      </c>
      <c r="Q229" s="8">
        <v>0.57282559887698803</v>
      </c>
      <c r="R229" s="8">
        <v>0.87494294845714204</v>
      </c>
      <c r="S229" s="8">
        <v>5.7507987199999999E-2</v>
      </c>
      <c r="T229" s="8">
        <v>0.11821086259999999</v>
      </c>
      <c r="U229" s="8">
        <v>0.35143769969999999</v>
      </c>
      <c r="V229" s="8">
        <v>0.47284345049999998</v>
      </c>
      <c r="W229" s="8">
        <v>0.98037425831428504</v>
      </c>
      <c r="X229" s="8">
        <v>3.1948882000001301E-3</v>
      </c>
      <c r="Y229" s="8">
        <v>2.87539936E-2</v>
      </c>
      <c r="Z229" s="8">
        <v>0.22044728429999999</v>
      </c>
      <c r="AA229" s="8">
        <v>0.74760383389999996</v>
      </c>
      <c r="AB229" s="8">
        <v>0.78808804487142803</v>
      </c>
      <c r="AC229" s="8">
        <v>7.5528700899999995E-2</v>
      </c>
      <c r="AD229" s="8">
        <v>0.23867069489999901</v>
      </c>
      <c r="AE229" s="8">
        <v>0.38368580060000002</v>
      </c>
      <c r="AF229" s="8">
        <v>0.30211480359999998</v>
      </c>
      <c r="AG229" s="8">
        <v>0.72162278805714197</v>
      </c>
      <c r="AH229" s="8">
        <v>0.12990936559999999</v>
      </c>
      <c r="AI229" s="8">
        <v>0.25981873109999998</v>
      </c>
      <c r="AJ229" s="8">
        <v>0.38670694859999999</v>
      </c>
      <c r="AK229" s="8">
        <v>0.22356495469999901</v>
      </c>
      <c r="AL229" s="8">
        <v>0.92603550295857895</v>
      </c>
      <c r="AM229" s="8">
        <v>0.92603550295857895</v>
      </c>
      <c r="AN229" s="8">
        <v>0.95114942528735602</v>
      </c>
      <c r="AO229" s="8">
        <v>0.95114942528735602</v>
      </c>
      <c r="AP229" s="4">
        <v>0.29202897862760002</v>
      </c>
      <c r="AQ229" s="4">
        <v>0.89134735593464198</v>
      </c>
      <c r="AR229" s="4">
        <v>0</v>
      </c>
      <c r="AS229" s="4">
        <v>0.93326960921171997</v>
      </c>
      <c r="AT229" s="4">
        <v>1</v>
      </c>
      <c r="AU229" s="4">
        <v>0.82382720248145502</v>
      </c>
      <c r="AV229" s="4">
        <v>0.168115914510401</v>
      </c>
      <c r="AW229" s="4">
        <v>0.81150417284175103</v>
      </c>
      <c r="AX229" s="4">
        <v>0</v>
      </c>
      <c r="AY229" s="11">
        <f>VLOOKUP(B229,[1]Página1!$A:$E,5,0)</f>
        <v>12303483.369999999</v>
      </c>
    </row>
    <row r="230" spans="1:51" ht="15.75" customHeight="1" x14ac:dyDescent="0.3">
      <c r="A230" s="4">
        <v>3204906</v>
      </c>
      <c r="B230" s="4" t="s">
        <v>125</v>
      </c>
      <c r="C230" s="5">
        <v>2024</v>
      </c>
      <c r="D230" s="5">
        <v>0.60164200925605005</v>
      </c>
      <c r="E230" s="5">
        <v>0.543142741195207</v>
      </c>
      <c r="F230" s="5">
        <v>0.96399999999999997</v>
      </c>
      <c r="G230" s="5">
        <v>0.51228060279603604</v>
      </c>
      <c r="H230" s="8">
        <v>0.486625019011654</v>
      </c>
      <c r="I230" s="8">
        <v>0.627919324470536</v>
      </c>
      <c r="J230" s="8">
        <v>0.68058559403015395</v>
      </c>
      <c r="K230" s="8">
        <v>0.65769865371635605</v>
      </c>
      <c r="L230" s="8">
        <v>0.292664443993154</v>
      </c>
      <c r="M230" s="8">
        <v>0.59813999522471595</v>
      </c>
      <c r="N230" s="8">
        <v>0.53295287165531902</v>
      </c>
      <c r="O230" s="8">
        <v>0.51568946303965002</v>
      </c>
      <c r="P230" s="8">
        <v>0.53646979293270702</v>
      </c>
      <c r="Q230" s="8">
        <v>0.51849190018523295</v>
      </c>
      <c r="R230" s="8">
        <v>0.78609523811428506</v>
      </c>
      <c r="S230" s="8">
        <v>0.107999999999999</v>
      </c>
      <c r="T230" s="8">
        <v>0.18533333330000001</v>
      </c>
      <c r="U230" s="8">
        <v>0.43</v>
      </c>
      <c r="V230" s="8">
        <v>0.27666666670000001</v>
      </c>
      <c r="W230" s="8">
        <v>0.77498300477142801</v>
      </c>
      <c r="X230" s="8">
        <v>5.9143439799999899E-2</v>
      </c>
      <c r="Y230" s="8">
        <v>0.29027872199999999</v>
      </c>
      <c r="Z230" s="8">
        <v>0.4466349422</v>
      </c>
      <c r="AA230" s="8">
        <v>0.20394289600000001</v>
      </c>
      <c r="AB230" s="8">
        <v>0.74135809379999995</v>
      </c>
      <c r="AC230" s="8">
        <v>0.103367266999999</v>
      </c>
      <c r="AD230" s="8">
        <v>0.27173061859999997</v>
      </c>
      <c r="AE230" s="8">
        <v>0.38057948320000001</v>
      </c>
      <c r="AF230" s="8">
        <v>0.2443226312</v>
      </c>
      <c r="AG230" s="8">
        <v>0.62608987260000004</v>
      </c>
      <c r="AH230" s="8">
        <v>0.16510172140000001</v>
      </c>
      <c r="AI230" s="8">
        <v>0.36541471049999902</v>
      </c>
      <c r="AJ230" s="8">
        <v>0.34820031299999998</v>
      </c>
      <c r="AK230" s="8">
        <v>0.1212832551</v>
      </c>
      <c r="AL230" s="8">
        <v>0.89552238805970097</v>
      </c>
      <c r="AM230" s="8">
        <v>0.87820895522387998</v>
      </c>
      <c r="AN230" s="8">
        <v>0.891759776536312</v>
      </c>
      <c r="AO230" s="8">
        <v>0.89245810055865904</v>
      </c>
      <c r="AP230" s="4">
        <v>0.51228060279603604</v>
      </c>
      <c r="AQ230" s="4">
        <v>0.92876727029073503</v>
      </c>
      <c r="AR230" s="4">
        <v>1</v>
      </c>
      <c r="AS230" s="4">
        <v>0.93709411551677402</v>
      </c>
      <c r="AT230" s="4">
        <v>1</v>
      </c>
      <c r="AU230" s="4">
        <v>0.84932428516309599</v>
      </c>
      <c r="AV230" s="4">
        <v>4.9122411184144898E-2</v>
      </c>
      <c r="AW230" s="4">
        <v>0.86703249294861695</v>
      </c>
      <c r="AX230" s="4">
        <v>0</v>
      </c>
      <c r="AY230" s="11">
        <f>VLOOKUP(B230,[1]Página1!$A:$E,5,0)</f>
        <v>10596425.51</v>
      </c>
    </row>
    <row r="231" spans="1:51" ht="15.75" customHeight="1" x14ac:dyDescent="0.3">
      <c r="A231" s="4">
        <v>3200300</v>
      </c>
      <c r="B231" s="4" t="s">
        <v>126</v>
      </c>
      <c r="C231" s="5">
        <v>2024</v>
      </c>
      <c r="D231" s="5">
        <v>0.70229074674810599</v>
      </c>
      <c r="E231" s="5">
        <v>0.63234392392586602</v>
      </c>
      <c r="F231" s="5">
        <v>0.98099999999999998</v>
      </c>
      <c r="G231" s="5">
        <v>0.75</v>
      </c>
      <c r="H231" s="8">
        <v>0.57501218219818595</v>
      </c>
      <c r="I231" s="8">
        <v>0.71834153651738597</v>
      </c>
      <c r="J231" s="8">
        <v>0.78843052876508302</v>
      </c>
      <c r="K231" s="8">
        <v>0.78839611895018602</v>
      </c>
      <c r="L231" s="8">
        <v>0.36159383563128999</v>
      </c>
      <c r="M231" s="8">
        <v>0.64828695408458503</v>
      </c>
      <c r="N231" s="8">
        <v>0.63041183890167896</v>
      </c>
      <c r="O231" s="8">
        <v>0.66141532692657601</v>
      </c>
      <c r="P231" s="8">
        <v>0.649108014120931</v>
      </c>
      <c r="Q231" s="8">
        <v>0.66258031691744501</v>
      </c>
      <c r="R231" s="8">
        <v>0.91869918699999997</v>
      </c>
      <c r="S231" s="8">
        <v>4.8780487799999897E-2</v>
      </c>
      <c r="T231" s="8">
        <v>5.6910569100000002E-2</v>
      </c>
      <c r="U231" s="8">
        <v>0.30894308939999998</v>
      </c>
      <c r="V231" s="8">
        <v>0.58536585369999905</v>
      </c>
      <c r="W231" s="8">
        <v>0.955069124471428</v>
      </c>
      <c r="X231" s="8">
        <v>8.0645161000000298E-3</v>
      </c>
      <c r="Y231" s="8">
        <v>6.4516128999999894E-2</v>
      </c>
      <c r="Z231" s="8">
        <v>0.32258064519999902</v>
      </c>
      <c r="AA231" s="8">
        <v>0.60483870969999998</v>
      </c>
      <c r="AB231" s="8">
        <v>0.93087557601428506</v>
      </c>
      <c r="AC231" s="8">
        <v>6.4516129000000101E-3</v>
      </c>
      <c r="AD231" s="8">
        <v>0.1096774194</v>
      </c>
      <c r="AE231" s="8">
        <v>0.38709677419999999</v>
      </c>
      <c r="AF231" s="8">
        <v>0.49677419350000002</v>
      </c>
      <c r="AG231" s="8">
        <v>0.86267281107142801</v>
      </c>
      <c r="AH231" s="8">
        <v>1.9354838699999901E-2</v>
      </c>
      <c r="AI231" s="8">
        <v>0.2064516129</v>
      </c>
      <c r="AJ231" s="8">
        <v>0.38709677419999999</v>
      </c>
      <c r="AK231" s="8">
        <v>0.38709677419999999</v>
      </c>
      <c r="AL231" s="8">
        <v>0.93181818181818099</v>
      </c>
      <c r="AM231" s="8">
        <v>0.939393939393939</v>
      </c>
      <c r="AN231" s="8">
        <v>0.94512195121951204</v>
      </c>
      <c r="AO231" s="8">
        <v>0.94512195121951204</v>
      </c>
      <c r="AP231" s="4">
        <v>0.75</v>
      </c>
      <c r="AQ231" s="4">
        <v>0.90450252177900003</v>
      </c>
      <c r="AR231" s="4">
        <v>1</v>
      </c>
      <c r="AS231" s="4">
        <v>0.92312454075326</v>
      </c>
      <c r="AT231" s="4">
        <v>1</v>
      </c>
      <c r="AU231" s="4">
        <v>0.866462712257283</v>
      </c>
      <c r="AV231" s="4">
        <v>0</v>
      </c>
      <c r="AW231" s="4">
        <v>0.91082686913848998</v>
      </c>
      <c r="AX231" s="4">
        <v>1</v>
      </c>
      <c r="AY231" s="11">
        <f>VLOOKUP(B231,[1]Página1!$A:$E,5,0)</f>
        <v>12369102.34</v>
      </c>
    </row>
    <row r="232" spans="1:51" ht="15.75" customHeight="1" x14ac:dyDescent="0.3">
      <c r="A232" s="4">
        <v>3200409</v>
      </c>
      <c r="B232" s="4" t="s">
        <v>127</v>
      </c>
      <c r="C232" s="5">
        <v>2024</v>
      </c>
      <c r="D232" s="5">
        <v>0.64491882636606801</v>
      </c>
      <c r="E232" s="5">
        <v>0.58649837691427598</v>
      </c>
      <c r="F232" s="5">
        <v>0.97</v>
      </c>
      <c r="G232" s="5">
        <v>0.59246641684050305</v>
      </c>
      <c r="H232" s="8">
        <v>0.512366963192878</v>
      </c>
      <c r="I232" s="8">
        <v>0.69769549749637205</v>
      </c>
      <c r="J232" s="8">
        <v>0.76539691808519394</v>
      </c>
      <c r="K232" s="8">
        <v>0.77533034681145996</v>
      </c>
      <c r="L232" s="8">
        <v>0.259337008300563</v>
      </c>
      <c r="M232" s="8">
        <v>0.62006064818128404</v>
      </c>
      <c r="N232" s="8">
        <v>0.605566847111072</v>
      </c>
      <c r="O232" s="8">
        <v>0.60628508029120398</v>
      </c>
      <c r="P232" s="8">
        <v>0.628003906155289</v>
      </c>
      <c r="Q232" s="8">
        <v>0.65165303438389799</v>
      </c>
      <c r="R232" s="8">
        <v>0.91851346732857098</v>
      </c>
      <c r="S232" s="8">
        <v>4.05727925000001E-2</v>
      </c>
      <c r="T232" s="8">
        <v>7.1599045299999997E-2</v>
      </c>
      <c r="U232" s="8">
        <v>0.39618138419999999</v>
      </c>
      <c r="V232" s="8">
        <v>0.49164677800000001</v>
      </c>
      <c r="W232" s="8">
        <v>0.93677375255714201</v>
      </c>
      <c r="X232" s="8">
        <v>7.1770335000000398E-3</v>
      </c>
      <c r="Y232" s="8">
        <v>9.8086124399999905E-2</v>
      </c>
      <c r="Z232" s="8">
        <v>0.5502392344</v>
      </c>
      <c r="AA232" s="8">
        <v>0.34449760769999999</v>
      </c>
      <c r="AB232" s="8">
        <v>0.90519480527142804</v>
      </c>
      <c r="AC232" s="8">
        <v>1.81818180999999E-2</v>
      </c>
      <c r="AD232" s="8">
        <v>0.13409090909999999</v>
      </c>
      <c r="AE232" s="8">
        <v>0.40227272730000002</v>
      </c>
      <c r="AF232" s="8">
        <v>0.44545454550000002</v>
      </c>
      <c r="AG232" s="8">
        <v>0.85779220779999998</v>
      </c>
      <c r="AH232" s="8">
        <v>3.1818181799999901E-2</v>
      </c>
      <c r="AI232" s="8">
        <v>0.19318181819999999</v>
      </c>
      <c r="AJ232" s="8">
        <v>0.43409090909999998</v>
      </c>
      <c r="AK232" s="8">
        <v>0.34090909089999999</v>
      </c>
      <c r="AL232" s="8">
        <v>0.92494481236202997</v>
      </c>
      <c r="AM232" s="8">
        <v>0.92273730684326705</v>
      </c>
      <c r="AN232" s="8">
        <v>0.94017094017094005</v>
      </c>
      <c r="AO232" s="8">
        <v>0.94017094017094005</v>
      </c>
      <c r="AP232" s="4">
        <v>0.59246641684050305</v>
      </c>
      <c r="AQ232" s="4">
        <v>0.92033238884605095</v>
      </c>
      <c r="AR232" s="4">
        <v>1</v>
      </c>
      <c r="AS232" s="4">
        <v>0.95211787950899596</v>
      </c>
      <c r="AT232" s="4">
        <v>1</v>
      </c>
      <c r="AU232" s="4">
        <v>0.85336948552384695</v>
      </c>
      <c r="AV232" s="4">
        <v>7.5707206132489394E-2</v>
      </c>
      <c r="AW232" s="4">
        <v>0.87873924058322295</v>
      </c>
      <c r="AX232" s="4">
        <v>0.29415846122952499</v>
      </c>
      <c r="AY232" s="11">
        <f>VLOOKUP(B232,[1]Página1!$A:$E,5,0)</f>
        <v>11358638.85</v>
      </c>
    </row>
    <row r="233" spans="1:51" ht="15.75" customHeight="1" x14ac:dyDescent="0.3">
      <c r="A233" s="4">
        <v>3202405</v>
      </c>
      <c r="B233" s="4" t="s">
        <v>128</v>
      </c>
      <c r="C233" s="5">
        <v>2024</v>
      </c>
      <c r="D233" s="5">
        <v>0.60053245229025698</v>
      </c>
      <c r="E233" s="5">
        <v>0.527914610134403</v>
      </c>
      <c r="F233" s="5">
        <v>0.98799999999999999</v>
      </c>
      <c r="G233" s="5">
        <v>0.55194816797449897</v>
      </c>
      <c r="H233" s="8">
        <v>0.49553653718546398</v>
      </c>
      <c r="I233" s="8">
        <v>0.57648171955781202</v>
      </c>
      <c r="J233" s="8">
        <v>0.71385796328065698</v>
      </c>
      <c r="K233" s="8">
        <v>0.69009085232869305</v>
      </c>
      <c r="L233" s="8">
        <v>0.27721511109027003</v>
      </c>
      <c r="M233" s="8">
        <v>0.462872586786931</v>
      </c>
      <c r="N233" s="8">
        <v>0.56055522218256104</v>
      </c>
      <c r="O233" s="8">
        <v>0.55796027682573002</v>
      </c>
      <c r="P233" s="8">
        <v>0.56292466518254602</v>
      </c>
      <c r="Q233" s="8">
        <v>0.55109857343465296</v>
      </c>
      <c r="R233" s="8">
        <v>0.844882036</v>
      </c>
      <c r="S233" s="8">
        <v>7.9323797200000004E-2</v>
      </c>
      <c r="T233" s="8">
        <v>0.1326397919</v>
      </c>
      <c r="U233" s="8">
        <v>0.4304291287</v>
      </c>
      <c r="V233" s="8">
        <v>0.35760728219999999</v>
      </c>
      <c r="W233" s="8">
        <v>0.85648104385714297</v>
      </c>
      <c r="X233" s="8">
        <v>3.5737921800000003E-2</v>
      </c>
      <c r="Y233" s="8">
        <v>0.1886168101</v>
      </c>
      <c r="Z233" s="8">
        <v>0.51091992060000002</v>
      </c>
      <c r="AA233" s="8">
        <v>0.26472534749999999</v>
      </c>
      <c r="AB233" s="8">
        <v>0.798026491271428</v>
      </c>
      <c r="AC233" s="8">
        <v>6.4716863699999905E-2</v>
      </c>
      <c r="AD233" s="8">
        <v>0.24019912879999999</v>
      </c>
      <c r="AE233" s="8">
        <v>0.40448039829999999</v>
      </c>
      <c r="AF233" s="8">
        <v>0.2906036092</v>
      </c>
      <c r="AG233" s="8">
        <v>0.67425724955714195</v>
      </c>
      <c r="AH233" s="8">
        <v>0.1282689913</v>
      </c>
      <c r="AI233" s="8">
        <v>0.34557907849999903</v>
      </c>
      <c r="AJ233" s="8">
        <v>0.35180572849999903</v>
      </c>
      <c r="AK233" s="8">
        <v>0.17434620169999901</v>
      </c>
      <c r="AL233" s="8">
        <v>0.89314750290360001</v>
      </c>
      <c r="AM233" s="8">
        <v>0.877468060394889</v>
      </c>
      <c r="AN233" s="8">
        <v>0.91048158640226595</v>
      </c>
      <c r="AO233" s="8">
        <v>0.90991501416430598</v>
      </c>
      <c r="AP233" s="4">
        <v>0.55194816797449897</v>
      </c>
      <c r="AQ233" s="4">
        <v>0.92984993393710902</v>
      </c>
      <c r="AR233" s="4">
        <v>1</v>
      </c>
      <c r="AS233" s="4">
        <v>0.95449983909840497</v>
      </c>
      <c r="AT233" s="4">
        <v>1</v>
      </c>
      <c r="AU233" s="4">
        <v>0.86210103400193805</v>
      </c>
      <c r="AV233" s="4">
        <v>0.207792671897996</v>
      </c>
      <c r="AW233" s="4">
        <v>0.86189342032131799</v>
      </c>
      <c r="AX233" s="4">
        <v>0</v>
      </c>
      <c r="AY233" s="11">
        <f>VLOOKUP(B233,[1]Página1!$A:$E,5,0)</f>
        <v>10576883.43</v>
      </c>
    </row>
    <row r="234" spans="1:51" ht="15.75" customHeight="1" x14ac:dyDescent="0.3">
      <c r="A234" s="4">
        <v>3204203</v>
      </c>
      <c r="B234" s="4" t="s">
        <v>129</v>
      </c>
      <c r="C234" s="5">
        <v>2024</v>
      </c>
      <c r="D234" s="5">
        <v>0.66023829192277295</v>
      </c>
      <c r="E234" s="5">
        <v>0.60198761636438303</v>
      </c>
      <c r="F234" s="5">
        <v>0.97499999999999998</v>
      </c>
      <c r="G234" s="5">
        <v>0.61731306978469802</v>
      </c>
      <c r="H234" s="8">
        <v>0.58001735281807698</v>
      </c>
      <c r="I234" s="8">
        <v>0.63494301168384404</v>
      </c>
      <c r="J234" s="8">
        <v>0.719609442645327</v>
      </c>
      <c r="K234" s="8">
        <v>0.739257831515995</v>
      </c>
      <c r="L234" s="8">
        <v>0.44042526299082602</v>
      </c>
      <c r="M234" s="8">
        <v>0.53062819185169297</v>
      </c>
      <c r="N234" s="8">
        <v>0.54404675048338402</v>
      </c>
      <c r="O234" s="8">
        <v>0.57388451962899401</v>
      </c>
      <c r="P234" s="8">
        <v>0.59773319632841404</v>
      </c>
      <c r="Q234" s="8">
        <v>0.60938789326792597</v>
      </c>
      <c r="R234" s="8">
        <v>0.81188997345714298</v>
      </c>
      <c r="S234" s="8">
        <v>7.4534161399999896E-2</v>
      </c>
      <c r="T234" s="8">
        <v>0.198757764</v>
      </c>
      <c r="U234" s="8">
        <v>0.42857142860000003</v>
      </c>
      <c r="V234" s="8">
        <v>0.29813664600000001</v>
      </c>
      <c r="W234" s="8">
        <v>0.87371249439999998</v>
      </c>
      <c r="X234" s="8">
        <v>3.1347962399999901E-2</v>
      </c>
      <c r="Y234" s="8">
        <v>0.16614420060000001</v>
      </c>
      <c r="Z234" s="8">
        <v>0.46708463950000001</v>
      </c>
      <c r="AA234" s="8">
        <v>0.33542319749999999</v>
      </c>
      <c r="AB234" s="8">
        <v>0.84733475485714205</v>
      </c>
      <c r="AC234" s="8">
        <v>5.3731343199999997E-2</v>
      </c>
      <c r="AD234" s="8">
        <v>0.17313432840000001</v>
      </c>
      <c r="AE234" s="8">
        <v>0.37313432839999999</v>
      </c>
      <c r="AF234" s="8">
        <v>0.4</v>
      </c>
      <c r="AG234" s="8">
        <v>0.79889455785714203</v>
      </c>
      <c r="AH234" s="8">
        <v>5.6547618999999903E-2</v>
      </c>
      <c r="AI234" s="8">
        <v>0.25297619049999998</v>
      </c>
      <c r="AJ234" s="8">
        <v>0.43452380949999903</v>
      </c>
      <c r="AK234" s="8">
        <v>0.25595238100000001</v>
      </c>
      <c r="AL234" s="8">
        <v>0.93333333333333302</v>
      </c>
      <c r="AM234" s="8">
        <v>0.92463768115942002</v>
      </c>
      <c r="AN234" s="8">
        <v>0.925414364640884</v>
      </c>
      <c r="AO234" s="8">
        <v>0.92817679558011001</v>
      </c>
      <c r="AP234" s="4">
        <v>0.61731306978469802</v>
      </c>
      <c r="AQ234" s="4">
        <v>0.91056764325433304</v>
      </c>
      <c r="AR234" s="4">
        <v>1</v>
      </c>
      <c r="AS234" s="4">
        <v>0.96042728917422104</v>
      </c>
      <c r="AT234" s="4">
        <v>1</v>
      </c>
      <c r="AU234" s="4">
        <v>0.82762472407607701</v>
      </c>
      <c r="AV234" s="4">
        <v>0.19081313389985</v>
      </c>
      <c r="AW234" s="4">
        <v>0.86071158006162796</v>
      </c>
      <c r="AX234" s="4">
        <v>0.27843914523894198</v>
      </c>
      <c r="AY234" s="11">
        <f>VLOOKUP(B234,[1]Página1!$A:$E,5,0)</f>
        <v>11628453.09</v>
      </c>
    </row>
    <row r="235" spans="1:51" ht="15.75" customHeight="1" x14ac:dyDescent="0.3">
      <c r="A235" s="4">
        <v>3205200</v>
      </c>
      <c r="B235" s="4" t="s">
        <v>130</v>
      </c>
      <c r="C235" s="5">
        <v>2024</v>
      </c>
      <c r="D235" s="5">
        <v>0.61988430783572201</v>
      </c>
      <c r="E235" s="5">
        <v>0.56585054161840997</v>
      </c>
      <c r="F235" s="5">
        <v>0.99099999999999999</v>
      </c>
      <c r="G235" s="5">
        <v>0.50092619135223404</v>
      </c>
      <c r="H235" s="8">
        <v>0.49849118014288801</v>
      </c>
      <c r="I235" s="8">
        <v>0.66688958383169195</v>
      </c>
      <c r="J235" s="8">
        <v>0.69210477887539601</v>
      </c>
      <c r="K235" s="8">
        <v>0.69026991678575</v>
      </c>
      <c r="L235" s="8">
        <v>0.30487758141038002</v>
      </c>
      <c r="M235" s="8">
        <v>0.643509250877634</v>
      </c>
      <c r="N235" s="8">
        <v>0.54363655444978998</v>
      </c>
      <c r="O235" s="8">
        <v>0.54373847275882603</v>
      </c>
      <c r="P235" s="8">
        <v>0.57173372539078704</v>
      </c>
      <c r="Q235" s="8">
        <v>0.54756471111970795</v>
      </c>
      <c r="R235" s="8">
        <v>0.78751642132857103</v>
      </c>
      <c r="S235" s="8">
        <v>9.9033246899999899E-2</v>
      </c>
      <c r="T235" s="8">
        <v>0.1985380806</v>
      </c>
      <c r="U235" s="8">
        <v>0.38858759729999998</v>
      </c>
      <c r="V235" s="8">
        <v>0.31384107519999999</v>
      </c>
      <c r="W235" s="8">
        <v>0.81779938615714198</v>
      </c>
      <c r="X235" s="8">
        <v>5.5998069099999999E-2</v>
      </c>
      <c r="Y235" s="8">
        <v>0.220854453299999</v>
      </c>
      <c r="Z235" s="8">
        <v>0.45594979479999997</v>
      </c>
      <c r="AA235" s="8">
        <v>0.2671976828</v>
      </c>
      <c r="AB235" s="8">
        <v>0.80049776007142803</v>
      </c>
      <c r="AC235" s="8">
        <v>7.0615563300000003E-2</v>
      </c>
      <c r="AD235" s="8">
        <v>0.22555168410000001</v>
      </c>
      <c r="AE235" s="8">
        <v>0.3777003484</v>
      </c>
      <c r="AF235" s="8">
        <v>0.326132404199999</v>
      </c>
      <c r="AG235" s="8">
        <v>0.67005143524285704</v>
      </c>
      <c r="AH235" s="8">
        <v>0.14703832749999901</v>
      </c>
      <c r="AI235" s="8">
        <v>0.32009291519999999</v>
      </c>
      <c r="AJ235" s="8">
        <v>0.36236933799999999</v>
      </c>
      <c r="AK235" s="8">
        <v>0.17049941929999901</v>
      </c>
      <c r="AL235" s="8">
        <v>0.88965806586951901</v>
      </c>
      <c r="AM235" s="8">
        <v>0.86910006293266195</v>
      </c>
      <c r="AN235" s="8">
        <v>0.90650663297536305</v>
      </c>
      <c r="AO235" s="8">
        <v>0.90650663297536305</v>
      </c>
      <c r="AP235" s="4">
        <v>0.50092619135223404</v>
      </c>
      <c r="AQ235" s="4">
        <v>0.91729206440456001</v>
      </c>
      <c r="AR235" s="4">
        <v>1</v>
      </c>
      <c r="AS235" s="4">
        <v>0.93234733104211398</v>
      </c>
      <c r="AT235" s="4">
        <v>1</v>
      </c>
      <c r="AU235" s="4">
        <v>0.85567245118777102</v>
      </c>
      <c r="AV235" s="4">
        <v>2.4389311612483598E-3</v>
      </c>
      <c r="AW235" s="4">
        <v>0.86921780368717205</v>
      </c>
      <c r="AX235" s="4">
        <v>1.2658342476899701E-3</v>
      </c>
      <c r="AY235" s="11">
        <f>VLOOKUP(B235,[1]Página1!$A:$E,5,0)</f>
        <v>10917718.16</v>
      </c>
    </row>
    <row r="236" spans="1:51" ht="15.75" customHeight="1" x14ac:dyDescent="0.3">
      <c r="C236" s="7"/>
      <c r="H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51" ht="15.75" customHeight="1" x14ac:dyDescent="0.3">
      <c r="C237" s="7"/>
      <c r="H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51" ht="15.75" customHeight="1" x14ac:dyDescent="0.3">
      <c r="C238" s="7"/>
      <c r="H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51" ht="15.75" customHeight="1" x14ac:dyDescent="0.3">
      <c r="C239" s="7"/>
      <c r="H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51" ht="15.75" customHeight="1" x14ac:dyDescent="0.3">
      <c r="C240" s="7"/>
      <c r="H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3:32" ht="15.75" customHeight="1" x14ac:dyDescent="0.3">
      <c r="C241" s="7"/>
      <c r="H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3:32" ht="15.75" customHeight="1" x14ac:dyDescent="0.3">
      <c r="C242" s="7"/>
      <c r="H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3:32" ht="15.75" customHeight="1" x14ac:dyDescent="0.3">
      <c r="C243" s="7"/>
      <c r="H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3:32" ht="15.75" customHeight="1" x14ac:dyDescent="0.3">
      <c r="C244" s="7"/>
      <c r="H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3:32" ht="15.75" customHeight="1" x14ac:dyDescent="0.3">
      <c r="C245" s="7"/>
      <c r="H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3:32" ht="15.75" customHeight="1" x14ac:dyDescent="0.3">
      <c r="C246" s="7"/>
      <c r="H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3:32" ht="15.75" customHeight="1" x14ac:dyDescent="0.3">
      <c r="C247" s="7"/>
      <c r="H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3:32" ht="15.75" customHeight="1" x14ac:dyDescent="0.3">
      <c r="C248" s="7"/>
      <c r="H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3:32" ht="15.75" customHeight="1" x14ac:dyDescent="0.3">
      <c r="C249" s="7"/>
      <c r="H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3:32" ht="15.75" customHeight="1" x14ac:dyDescent="0.3">
      <c r="C250" s="7"/>
      <c r="H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3:32" ht="15.75" customHeight="1" x14ac:dyDescent="0.3">
      <c r="C251" s="7"/>
      <c r="H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3:32" ht="15.75" customHeight="1" x14ac:dyDescent="0.3">
      <c r="C252" s="7"/>
      <c r="H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3:32" ht="15.75" customHeight="1" x14ac:dyDescent="0.3">
      <c r="C253" s="7"/>
      <c r="H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3:32" ht="15.75" customHeight="1" x14ac:dyDescent="0.3">
      <c r="C254" s="7"/>
      <c r="H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3:32" ht="15.75" customHeight="1" x14ac:dyDescent="0.3">
      <c r="C255" s="7"/>
      <c r="H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3:32" ht="15.75" customHeight="1" x14ac:dyDescent="0.3">
      <c r="C256" s="7"/>
      <c r="H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3:32" ht="15.75" customHeight="1" x14ac:dyDescent="0.3">
      <c r="C257" s="7"/>
      <c r="H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3:32" ht="15.75" customHeight="1" x14ac:dyDescent="0.3">
      <c r="C258" s="7"/>
      <c r="H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3:32" ht="15.75" customHeight="1" x14ac:dyDescent="0.3">
      <c r="C259" s="7"/>
      <c r="H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3:32" ht="15.75" customHeight="1" x14ac:dyDescent="0.3">
      <c r="C260" s="7"/>
      <c r="H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3:32" ht="15.75" customHeight="1" x14ac:dyDescent="0.3">
      <c r="C261" s="7"/>
      <c r="H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3:32" ht="15.75" customHeight="1" x14ac:dyDescent="0.3">
      <c r="C262" s="7"/>
      <c r="H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3:32" ht="15.75" customHeight="1" x14ac:dyDescent="0.3">
      <c r="C263" s="7"/>
      <c r="H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3:32" ht="15.75" customHeight="1" x14ac:dyDescent="0.3">
      <c r="C264" s="7"/>
      <c r="H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3:32" ht="15.75" customHeight="1" x14ac:dyDescent="0.3">
      <c r="C265" s="7"/>
      <c r="H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3:32" ht="15.75" customHeight="1" x14ac:dyDescent="0.3">
      <c r="C266" s="7"/>
      <c r="H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3:32" ht="15.75" customHeight="1" x14ac:dyDescent="0.3">
      <c r="C267" s="7"/>
      <c r="H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3:32" ht="15.75" customHeight="1" x14ac:dyDescent="0.3">
      <c r="C268" s="7"/>
      <c r="H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3:32" ht="15.75" customHeight="1" x14ac:dyDescent="0.3">
      <c r="C269" s="7"/>
      <c r="H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3:32" ht="15.75" customHeight="1" x14ac:dyDescent="0.3">
      <c r="C270" s="7"/>
      <c r="H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3:32" ht="15.75" customHeight="1" x14ac:dyDescent="0.3">
      <c r="C271" s="7"/>
      <c r="H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3:32" ht="15.75" customHeight="1" x14ac:dyDescent="0.3">
      <c r="C272" s="7"/>
      <c r="H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3:32" ht="15.75" customHeight="1" x14ac:dyDescent="0.3">
      <c r="C273" s="7"/>
      <c r="H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3:32" ht="15.75" customHeight="1" x14ac:dyDescent="0.3">
      <c r="C274" s="7"/>
      <c r="H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3:32" ht="15.75" customHeight="1" x14ac:dyDescent="0.3">
      <c r="C275" s="7"/>
      <c r="H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3:32" ht="15.75" customHeight="1" x14ac:dyDescent="0.3">
      <c r="C276" s="7"/>
      <c r="H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3:32" ht="15.75" customHeight="1" x14ac:dyDescent="0.3">
      <c r="C277" s="7"/>
      <c r="H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3:32" ht="15.75" customHeight="1" x14ac:dyDescent="0.3">
      <c r="C278" s="7"/>
      <c r="H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3:32" ht="15.75" customHeight="1" x14ac:dyDescent="0.3">
      <c r="C279" s="7"/>
      <c r="H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3:32" ht="15.75" customHeight="1" x14ac:dyDescent="0.3">
      <c r="C280" s="7"/>
      <c r="H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3:32" ht="15.75" customHeight="1" x14ac:dyDescent="0.3">
      <c r="C281" s="7"/>
      <c r="H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3:32" ht="15.75" customHeight="1" x14ac:dyDescent="0.3">
      <c r="C282" s="7"/>
      <c r="H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3:32" ht="15.75" customHeight="1" x14ac:dyDescent="0.3">
      <c r="C283" s="7"/>
      <c r="H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3:32" ht="15.75" customHeight="1" x14ac:dyDescent="0.3">
      <c r="C284" s="7"/>
      <c r="H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3:32" ht="15.75" customHeight="1" x14ac:dyDescent="0.3">
      <c r="C285" s="7"/>
      <c r="H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3:32" ht="15.75" customHeight="1" x14ac:dyDescent="0.3">
      <c r="C286" s="7"/>
      <c r="H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3:32" ht="15.75" customHeight="1" x14ac:dyDescent="0.3">
      <c r="C287" s="7"/>
      <c r="H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3:32" ht="15.75" customHeight="1" x14ac:dyDescent="0.3">
      <c r="C288" s="7"/>
      <c r="H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3:32" ht="15.75" customHeight="1" x14ac:dyDescent="0.3">
      <c r="C289" s="7"/>
      <c r="H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3:32" ht="15.75" customHeight="1" x14ac:dyDescent="0.3">
      <c r="C290" s="7"/>
      <c r="H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3:32" ht="15.75" customHeight="1" x14ac:dyDescent="0.3">
      <c r="C291" s="7"/>
      <c r="H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3:32" ht="15.75" customHeight="1" x14ac:dyDescent="0.3">
      <c r="C292" s="7"/>
      <c r="H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3:32" ht="15.75" customHeight="1" x14ac:dyDescent="0.3">
      <c r="C293" s="7"/>
      <c r="H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3:32" ht="15.75" customHeight="1" x14ac:dyDescent="0.3">
      <c r="C294" s="7"/>
      <c r="H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3:32" ht="15.75" customHeight="1" x14ac:dyDescent="0.3">
      <c r="C295" s="7"/>
      <c r="H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3:32" ht="15.75" customHeight="1" x14ac:dyDescent="0.3">
      <c r="C296" s="7"/>
      <c r="H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3:32" ht="15.75" customHeight="1" x14ac:dyDescent="0.3">
      <c r="C297" s="7"/>
      <c r="H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3:32" ht="15.75" customHeight="1" x14ac:dyDescent="0.3">
      <c r="C298" s="7"/>
      <c r="H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3:32" ht="15.75" customHeight="1" x14ac:dyDescent="0.3">
      <c r="C299" s="7"/>
      <c r="H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3:32" ht="15.75" customHeight="1" x14ac:dyDescent="0.3">
      <c r="C300" s="7"/>
      <c r="H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3:32" ht="15.75" customHeight="1" x14ac:dyDescent="0.3">
      <c r="C301" s="7"/>
      <c r="H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3:32" ht="15.75" customHeight="1" x14ac:dyDescent="0.3">
      <c r="C302" s="7"/>
      <c r="H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3:32" ht="15.75" customHeight="1" x14ac:dyDescent="0.3">
      <c r="C303" s="7"/>
      <c r="H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3:32" ht="15.75" customHeight="1" x14ac:dyDescent="0.3">
      <c r="C304" s="7"/>
      <c r="H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3:32" ht="15.75" customHeight="1" x14ac:dyDescent="0.3">
      <c r="C305" s="7"/>
      <c r="H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3:32" ht="15.75" customHeight="1" x14ac:dyDescent="0.3">
      <c r="C306" s="7"/>
      <c r="H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3:32" ht="15.75" customHeight="1" x14ac:dyDescent="0.3">
      <c r="C307" s="7"/>
      <c r="H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3:32" ht="15.75" customHeight="1" x14ac:dyDescent="0.3">
      <c r="C308" s="7"/>
      <c r="H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3:32" ht="15.75" customHeight="1" x14ac:dyDescent="0.3">
      <c r="C309" s="7"/>
      <c r="H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3:32" ht="15.75" customHeight="1" x14ac:dyDescent="0.3">
      <c r="C310" s="7"/>
      <c r="H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3:32" ht="15.75" customHeight="1" x14ac:dyDescent="0.3">
      <c r="C311" s="7"/>
      <c r="H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3:32" ht="15.75" customHeight="1" x14ac:dyDescent="0.3">
      <c r="C312" s="7"/>
      <c r="H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3:32" ht="15.75" customHeight="1" x14ac:dyDescent="0.3">
      <c r="C313" s="7"/>
      <c r="H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3:32" ht="15.75" customHeight="1" x14ac:dyDescent="0.3">
      <c r="C314" s="7"/>
      <c r="H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3:32" ht="15.75" customHeight="1" x14ac:dyDescent="0.3">
      <c r="C315" s="7"/>
      <c r="H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3:32" ht="15.75" customHeight="1" x14ac:dyDescent="0.3">
      <c r="C316" s="7"/>
      <c r="H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3:32" ht="15.75" customHeight="1" x14ac:dyDescent="0.3">
      <c r="C317" s="7"/>
      <c r="H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3:32" ht="15.75" customHeight="1" x14ac:dyDescent="0.3">
      <c r="C318" s="7"/>
      <c r="H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3:32" ht="15.75" customHeight="1" x14ac:dyDescent="0.3">
      <c r="C319" s="7"/>
      <c r="H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3:32" ht="15.75" customHeight="1" x14ac:dyDescent="0.3">
      <c r="C320" s="7"/>
      <c r="H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3:32" ht="15.75" customHeight="1" x14ac:dyDescent="0.3">
      <c r="C321" s="7"/>
      <c r="H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3:32" ht="15.75" customHeight="1" x14ac:dyDescent="0.3">
      <c r="C322" s="7"/>
      <c r="H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3:32" ht="15.75" customHeight="1" x14ac:dyDescent="0.3">
      <c r="C323" s="7"/>
      <c r="H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3:32" ht="15.75" customHeight="1" x14ac:dyDescent="0.3">
      <c r="C324" s="7"/>
      <c r="H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3:32" ht="15.75" customHeight="1" x14ac:dyDescent="0.3">
      <c r="C325" s="7"/>
      <c r="H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3:32" ht="15.75" customHeight="1" x14ac:dyDescent="0.3">
      <c r="C326" s="7"/>
      <c r="H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3:32" ht="15.75" customHeight="1" x14ac:dyDescent="0.3">
      <c r="C327" s="7"/>
      <c r="H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3:32" ht="15.75" customHeight="1" x14ac:dyDescent="0.3">
      <c r="C328" s="7"/>
      <c r="H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3:32" ht="15.75" customHeight="1" x14ac:dyDescent="0.3">
      <c r="C329" s="7"/>
      <c r="H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3:32" ht="15.75" customHeight="1" x14ac:dyDescent="0.3">
      <c r="C330" s="7"/>
      <c r="H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3:32" ht="15.75" customHeight="1" x14ac:dyDescent="0.3">
      <c r="C331" s="7"/>
      <c r="H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3:32" ht="15.75" customHeight="1" x14ac:dyDescent="0.3">
      <c r="C332" s="7"/>
      <c r="H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3:32" ht="15.75" customHeight="1" x14ac:dyDescent="0.3">
      <c r="C333" s="7"/>
      <c r="H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3:32" ht="15.75" customHeight="1" x14ac:dyDescent="0.3">
      <c r="C334" s="7"/>
      <c r="H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3:32" ht="15.75" customHeight="1" x14ac:dyDescent="0.3">
      <c r="C335" s="7"/>
      <c r="H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3:32" ht="15.75" customHeight="1" x14ac:dyDescent="0.3">
      <c r="C336" s="7"/>
      <c r="H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3:32" ht="15.75" customHeight="1" x14ac:dyDescent="0.3">
      <c r="C337" s="7"/>
      <c r="H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3:32" ht="15.75" customHeight="1" x14ac:dyDescent="0.3">
      <c r="C338" s="7"/>
      <c r="H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3:32" ht="15.75" customHeight="1" x14ac:dyDescent="0.3">
      <c r="C339" s="7"/>
      <c r="H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3:32" ht="15.75" customHeight="1" x14ac:dyDescent="0.3">
      <c r="C340" s="7"/>
      <c r="H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3:32" ht="15.75" customHeight="1" x14ac:dyDescent="0.3">
      <c r="C341" s="7"/>
      <c r="H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3:32" ht="15.75" customHeight="1" x14ac:dyDescent="0.3">
      <c r="C342" s="7"/>
      <c r="H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3:32" ht="15.75" customHeight="1" x14ac:dyDescent="0.3">
      <c r="C343" s="7"/>
      <c r="H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3:32" ht="15.75" customHeight="1" x14ac:dyDescent="0.3">
      <c r="C344" s="7"/>
      <c r="H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3:32" ht="15.75" customHeight="1" x14ac:dyDescent="0.3">
      <c r="C345" s="7"/>
      <c r="H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3:32" ht="15.75" customHeight="1" x14ac:dyDescent="0.3">
      <c r="C346" s="7"/>
      <c r="H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3:32" ht="15.75" customHeight="1" x14ac:dyDescent="0.3">
      <c r="C347" s="7"/>
      <c r="H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3:32" ht="15.75" customHeight="1" x14ac:dyDescent="0.3">
      <c r="C348" s="7"/>
      <c r="H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3:32" ht="15.75" customHeight="1" x14ac:dyDescent="0.3">
      <c r="C349" s="7"/>
      <c r="H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3:32" ht="15.75" customHeight="1" x14ac:dyDescent="0.3">
      <c r="C350" s="7"/>
      <c r="H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3:32" ht="15.75" customHeight="1" x14ac:dyDescent="0.3">
      <c r="C351" s="7"/>
      <c r="H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3:32" ht="15.75" customHeight="1" x14ac:dyDescent="0.3">
      <c r="C352" s="7"/>
      <c r="H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3:32" ht="15.75" customHeight="1" x14ac:dyDescent="0.3">
      <c r="C353" s="7"/>
      <c r="H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3:32" ht="15.75" customHeight="1" x14ac:dyDescent="0.3">
      <c r="C354" s="7"/>
      <c r="H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3:32" ht="15.75" customHeight="1" x14ac:dyDescent="0.3">
      <c r="C355" s="7"/>
      <c r="H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3:32" ht="15.75" customHeight="1" x14ac:dyDescent="0.3">
      <c r="C356" s="7"/>
      <c r="H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3:32" ht="15.75" customHeight="1" x14ac:dyDescent="0.3">
      <c r="C357" s="7"/>
      <c r="H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3:32" ht="15.75" customHeight="1" x14ac:dyDescent="0.3">
      <c r="C358" s="7"/>
      <c r="H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3:32" ht="15.75" customHeight="1" x14ac:dyDescent="0.3">
      <c r="C359" s="7"/>
      <c r="H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3:32" ht="15.75" customHeight="1" x14ac:dyDescent="0.3">
      <c r="C360" s="7"/>
      <c r="H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3:32" ht="15.75" customHeight="1" x14ac:dyDescent="0.3">
      <c r="C361" s="7"/>
      <c r="H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3:32" ht="15.75" customHeight="1" x14ac:dyDescent="0.3">
      <c r="C362" s="7"/>
      <c r="H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3:32" ht="15.75" customHeight="1" x14ac:dyDescent="0.3">
      <c r="C363" s="7"/>
      <c r="H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3:32" ht="15.75" customHeight="1" x14ac:dyDescent="0.3">
      <c r="C364" s="7"/>
      <c r="H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3:32" ht="15.75" customHeight="1" x14ac:dyDescent="0.3">
      <c r="C365" s="7"/>
      <c r="H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3:32" ht="15.75" customHeight="1" x14ac:dyDescent="0.3">
      <c r="C366" s="7"/>
      <c r="H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3:32" ht="15.75" customHeight="1" x14ac:dyDescent="0.3">
      <c r="C367" s="7"/>
      <c r="H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3:32" ht="15.75" customHeight="1" x14ac:dyDescent="0.3">
      <c r="C368" s="7"/>
      <c r="H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3:32" ht="15.75" customHeight="1" x14ac:dyDescent="0.3">
      <c r="C369" s="7"/>
      <c r="H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3:32" ht="15.75" customHeight="1" x14ac:dyDescent="0.3">
      <c r="C370" s="7"/>
      <c r="H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3:32" ht="15.75" customHeight="1" x14ac:dyDescent="0.3">
      <c r="C371" s="7"/>
      <c r="H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3:32" ht="15.75" customHeight="1" x14ac:dyDescent="0.3">
      <c r="C372" s="7"/>
      <c r="H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3:32" ht="15.75" customHeight="1" x14ac:dyDescent="0.3">
      <c r="C373" s="7"/>
      <c r="H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3:32" ht="15.75" customHeight="1" x14ac:dyDescent="0.3">
      <c r="C374" s="7"/>
      <c r="H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3:32" ht="15.75" customHeight="1" x14ac:dyDescent="0.3">
      <c r="C375" s="7"/>
      <c r="H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3:32" ht="15.75" customHeight="1" x14ac:dyDescent="0.3">
      <c r="C376" s="7"/>
      <c r="H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3:32" ht="15.75" customHeight="1" x14ac:dyDescent="0.3">
      <c r="C377" s="7"/>
      <c r="H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3:32" ht="15.75" customHeight="1" x14ac:dyDescent="0.3">
      <c r="C378" s="7"/>
      <c r="H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3:32" ht="15.75" customHeight="1" x14ac:dyDescent="0.3">
      <c r="C379" s="7"/>
      <c r="H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3:32" ht="15.75" customHeight="1" x14ac:dyDescent="0.3">
      <c r="C380" s="7"/>
      <c r="H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3:32" ht="15.75" customHeight="1" x14ac:dyDescent="0.3">
      <c r="C381" s="7"/>
      <c r="H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3:32" ht="15.75" customHeight="1" x14ac:dyDescent="0.3">
      <c r="C382" s="7"/>
      <c r="H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3:32" ht="15.75" customHeight="1" x14ac:dyDescent="0.3">
      <c r="C383" s="7"/>
      <c r="H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3:32" ht="15.75" customHeight="1" x14ac:dyDescent="0.3">
      <c r="C384" s="7"/>
      <c r="H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3:32" ht="15.75" customHeight="1" x14ac:dyDescent="0.3">
      <c r="C385" s="7"/>
      <c r="H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3:32" ht="15.75" customHeight="1" x14ac:dyDescent="0.3">
      <c r="C386" s="7"/>
      <c r="H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3:32" ht="15.75" customHeight="1" x14ac:dyDescent="0.3">
      <c r="C387" s="7"/>
      <c r="H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3:32" ht="15.75" customHeight="1" x14ac:dyDescent="0.3">
      <c r="C388" s="7"/>
      <c r="H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3:32" ht="15.75" customHeight="1" x14ac:dyDescent="0.3">
      <c r="C389" s="7"/>
      <c r="H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3:32" ht="15.75" customHeight="1" x14ac:dyDescent="0.3">
      <c r="C390" s="7"/>
      <c r="H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3:32" ht="15.75" customHeight="1" x14ac:dyDescent="0.3">
      <c r="C391" s="7"/>
      <c r="H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3:32" ht="15.75" customHeight="1" x14ac:dyDescent="0.3">
      <c r="C392" s="7"/>
      <c r="H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3:32" ht="15.75" customHeight="1" x14ac:dyDescent="0.3">
      <c r="C393" s="7"/>
      <c r="H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3:32" ht="15.75" customHeight="1" x14ac:dyDescent="0.3">
      <c r="C394" s="7"/>
      <c r="H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3:32" ht="15.75" customHeight="1" x14ac:dyDescent="0.3">
      <c r="C395" s="7"/>
      <c r="H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3:32" ht="15.75" customHeight="1" x14ac:dyDescent="0.3">
      <c r="C396" s="7"/>
      <c r="H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3:32" ht="15.75" customHeight="1" x14ac:dyDescent="0.3">
      <c r="C397" s="7"/>
      <c r="H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3:32" ht="15.75" customHeight="1" x14ac:dyDescent="0.3">
      <c r="C398" s="7"/>
      <c r="H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3:32" ht="15.75" customHeight="1" x14ac:dyDescent="0.3">
      <c r="C399" s="7"/>
      <c r="H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3:32" ht="15.75" customHeight="1" x14ac:dyDescent="0.3">
      <c r="C400" s="7"/>
      <c r="H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3:32" ht="15.75" customHeight="1" x14ac:dyDescent="0.3">
      <c r="C401" s="7"/>
      <c r="H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3:32" ht="15.75" customHeight="1" x14ac:dyDescent="0.3">
      <c r="C402" s="7"/>
      <c r="H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3:32" ht="15.75" customHeight="1" x14ac:dyDescent="0.3">
      <c r="C403" s="7"/>
      <c r="H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3:32" ht="15.75" customHeight="1" x14ac:dyDescent="0.3">
      <c r="C404" s="7"/>
      <c r="H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3:32" ht="15.75" customHeight="1" x14ac:dyDescent="0.3">
      <c r="C405" s="7"/>
      <c r="H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3:32" ht="15.75" customHeight="1" x14ac:dyDescent="0.3">
      <c r="C406" s="7"/>
      <c r="H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3:32" ht="15.75" customHeight="1" x14ac:dyDescent="0.3">
      <c r="C407" s="7"/>
      <c r="H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3:32" ht="15.75" customHeight="1" x14ac:dyDescent="0.3">
      <c r="C408" s="7"/>
      <c r="H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3:32" ht="15.75" customHeight="1" x14ac:dyDescent="0.3">
      <c r="C409" s="7"/>
      <c r="H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3:32" ht="15.75" customHeight="1" x14ac:dyDescent="0.3">
      <c r="C410" s="7"/>
      <c r="H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3:32" ht="15.75" customHeight="1" x14ac:dyDescent="0.3">
      <c r="C411" s="7"/>
      <c r="H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3:32" ht="15.75" customHeight="1" x14ac:dyDescent="0.3">
      <c r="C412" s="7"/>
      <c r="H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3:32" ht="15.75" customHeight="1" x14ac:dyDescent="0.3">
      <c r="C413" s="7"/>
      <c r="H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3:32" ht="15.75" customHeight="1" x14ac:dyDescent="0.3">
      <c r="C414" s="7"/>
      <c r="H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3:32" ht="15.75" customHeight="1" x14ac:dyDescent="0.3">
      <c r="C415" s="7"/>
      <c r="H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3:32" ht="15.75" customHeight="1" x14ac:dyDescent="0.3">
      <c r="C416" s="7"/>
      <c r="H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3:32" ht="15.75" customHeight="1" x14ac:dyDescent="0.3">
      <c r="C417" s="7"/>
      <c r="H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3:32" ht="15.75" customHeight="1" x14ac:dyDescent="0.3">
      <c r="C418" s="7"/>
      <c r="H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3:32" ht="15.75" customHeight="1" x14ac:dyDescent="0.3">
      <c r="C419" s="7"/>
      <c r="H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3:32" ht="15.75" customHeight="1" x14ac:dyDescent="0.3">
      <c r="C420" s="7"/>
      <c r="H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3:32" ht="15.75" customHeight="1" x14ac:dyDescent="0.3">
      <c r="C421" s="7"/>
      <c r="H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3:32" ht="15.75" customHeight="1" x14ac:dyDescent="0.3">
      <c r="C422" s="7"/>
      <c r="H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3:32" ht="15.75" customHeight="1" x14ac:dyDescent="0.3">
      <c r="C423" s="7"/>
      <c r="H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3:32" ht="15.75" customHeight="1" x14ac:dyDescent="0.3">
      <c r="C424" s="7"/>
      <c r="H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3:32" ht="15.75" customHeight="1" x14ac:dyDescent="0.3">
      <c r="C425" s="7"/>
      <c r="H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3:32" ht="15.75" customHeight="1" x14ac:dyDescent="0.3">
      <c r="C426" s="7"/>
      <c r="H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3:32" ht="15.75" customHeight="1" x14ac:dyDescent="0.3">
      <c r="C427" s="7"/>
      <c r="H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3:32" ht="15.75" customHeight="1" x14ac:dyDescent="0.3">
      <c r="C428" s="7"/>
      <c r="H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3:32" ht="15.75" customHeight="1" x14ac:dyDescent="0.3">
      <c r="C429" s="7"/>
      <c r="H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3:32" ht="15.75" customHeight="1" x14ac:dyDescent="0.3">
      <c r="C430" s="7"/>
      <c r="H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3:32" ht="15.75" customHeight="1" x14ac:dyDescent="0.3">
      <c r="C431" s="7"/>
      <c r="H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3:32" ht="15.75" customHeight="1" x14ac:dyDescent="0.3">
      <c r="C432" s="7"/>
      <c r="H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3:32" ht="15.75" customHeight="1" x14ac:dyDescent="0.3">
      <c r="C433" s="7"/>
      <c r="H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3:32" ht="15.75" customHeight="1" x14ac:dyDescent="0.3">
      <c r="C434" s="7"/>
      <c r="H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3:32" ht="15.75" customHeight="1" x14ac:dyDescent="0.3">
      <c r="C435" s="7"/>
      <c r="H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3:32" ht="15.75" customHeight="1" x14ac:dyDescent="0.3">
      <c r="C436" s="7"/>
      <c r="H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3:32" ht="15.75" customHeight="1" x14ac:dyDescent="0.3">
      <c r="C437" s="7"/>
      <c r="H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3:32" ht="15.75" customHeight="1" x14ac:dyDescent="0.3">
      <c r="C438" s="7"/>
      <c r="H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3:32" ht="15.75" customHeight="1" x14ac:dyDescent="0.3">
      <c r="C439" s="7"/>
      <c r="H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3:32" ht="15.75" customHeight="1" x14ac:dyDescent="0.3">
      <c r="C440" s="7"/>
      <c r="H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3:32" ht="15.75" customHeight="1" x14ac:dyDescent="0.3">
      <c r="C441" s="7"/>
      <c r="H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3:32" ht="15.75" customHeight="1" x14ac:dyDescent="0.3">
      <c r="C442" s="7"/>
      <c r="H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3:32" ht="15.75" customHeight="1" x14ac:dyDescent="0.3">
      <c r="C443" s="7"/>
      <c r="H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3:32" ht="15.75" customHeight="1" x14ac:dyDescent="0.3">
      <c r="C444" s="7"/>
      <c r="H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3:32" ht="15.75" customHeight="1" x14ac:dyDescent="0.3">
      <c r="C445" s="7"/>
      <c r="H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3:32" ht="15.75" customHeight="1" x14ac:dyDescent="0.3">
      <c r="C446" s="7"/>
      <c r="H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3:32" ht="15.75" customHeight="1" x14ac:dyDescent="0.3">
      <c r="C447" s="7"/>
      <c r="H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3:32" ht="15.75" customHeight="1" x14ac:dyDescent="0.3">
      <c r="C448" s="7"/>
      <c r="H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3:32" ht="15.75" customHeight="1" x14ac:dyDescent="0.3">
      <c r="C449" s="7"/>
      <c r="H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3:32" ht="15.75" customHeight="1" x14ac:dyDescent="0.3">
      <c r="C450" s="7"/>
      <c r="H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3:32" ht="15.75" customHeight="1" x14ac:dyDescent="0.3">
      <c r="C451" s="7"/>
      <c r="H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3:32" ht="15.75" customHeight="1" x14ac:dyDescent="0.3">
      <c r="C452" s="7"/>
      <c r="H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3:32" ht="15.75" customHeight="1" x14ac:dyDescent="0.3">
      <c r="C453" s="7"/>
      <c r="H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3:32" ht="15.75" customHeight="1" x14ac:dyDescent="0.3">
      <c r="C454" s="7"/>
      <c r="H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3:32" ht="15.75" customHeight="1" x14ac:dyDescent="0.3">
      <c r="C455" s="7"/>
      <c r="H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3:32" ht="15.75" customHeight="1" x14ac:dyDescent="0.3">
      <c r="C456" s="7"/>
      <c r="H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3:32" ht="15.75" customHeight="1" x14ac:dyDescent="0.3">
      <c r="C457" s="7"/>
      <c r="H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3:32" ht="15.75" customHeight="1" x14ac:dyDescent="0.3">
      <c r="C458" s="7"/>
      <c r="H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3:32" ht="15.75" customHeight="1" x14ac:dyDescent="0.3">
      <c r="C459" s="7"/>
      <c r="H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3:32" ht="15.75" customHeight="1" x14ac:dyDescent="0.3">
      <c r="C460" s="7"/>
      <c r="H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3:32" ht="15.75" customHeight="1" x14ac:dyDescent="0.3">
      <c r="C461" s="7"/>
      <c r="H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3:32" ht="15.75" customHeight="1" x14ac:dyDescent="0.3">
      <c r="C462" s="7"/>
      <c r="H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3:32" ht="15.75" customHeight="1" x14ac:dyDescent="0.3">
      <c r="C463" s="7"/>
      <c r="H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3:32" ht="15.75" customHeight="1" x14ac:dyDescent="0.3">
      <c r="C464" s="7"/>
      <c r="H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3:32" ht="15.75" customHeight="1" x14ac:dyDescent="0.3">
      <c r="C465" s="7"/>
      <c r="H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3:32" ht="15.75" customHeight="1" x14ac:dyDescent="0.3">
      <c r="C466" s="7"/>
      <c r="H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3:32" ht="15.75" customHeight="1" x14ac:dyDescent="0.3">
      <c r="C467" s="7"/>
      <c r="H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3:32" ht="15.75" customHeight="1" x14ac:dyDescent="0.3">
      <c r="C468" s="7"/>
      <c r="H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3:32" ht="15.75" customHeight="1" x14ac:dyDescent="0.3">
      <c r="C469" s="7"/>
      <c r="H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3:32" ht="15.75" customHeight="1" x14ac:dyDescent="0.3">
      <c r="C470" s="7"/>
      <c r="H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3:32" ht="15.75" customHeight="1" x14ac:dyDescent="0.3">
      <c r="C471" s="7"/>
      <c r="H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3:32" ht="15.75" customHeight="1" x14ac:dyDescent="0.3">
      <c r="C472" s="7"/>
      <c r="H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3:32" ht="15.75" customHeight="1" x14ac:dyDescent="0.3">
      <c r="C473" s="7"/>
      <c r="H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3:32" ht="15.75" customHeight="1" x14ac:dyDescent="0.3">
      <c r="C474" s="7"/>
      <c r="H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3:32" ht="15.75" customHeight="1" x14ac:dyDescent="0.3">
      <c r="C475" s="7"/>
      <c r="H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3:32" ht="15.75" customHeight="1" x14ac:dyDescent="0.3">
      <c r="C476" s="7"/>
      <c r="H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3:32" ht="15.75" customHeight="1" x14ac:dyDescent="0.3">
      <c r="C477" s="7"/>
      <c r="H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3:32" ht="15.75" customHeight="1" x14ac:dyDescent="0.3">
      <c r="C478" s="7"/>
      <c r="H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3:32" ht="15.75" customHeight="1" x14ac:dyDescent="0.3">
      <c r="C479" s="7"/>
      <c r="H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3:32" ht="15.75" customHeight="1" x14ac:dyDescent="0.3">
      <c r="C480" s="7"/>
      <c r="H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3:32" ht="15.75" customHeight="1" x14ac:dyDescent="0.3">
      <c r="C481" s="7"/>
      <c r="H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3:32" ht="15.75" customHeight="1" x14ac:dyDescent="0.3">
      <c r="C482" s="7"/>
      <c r="H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3:32" ht="15.75" customHeight="1" x14ac:dyDescent="0.3">
      <c r="C483" s="7"/>
      <c r="H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3:32" ht="15.75" customHeight="1" x14ac:dyDescent="0.3">
      <c r="C484" s="7"/>
      <c r="H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3:32" ht="15.75" customHeight="1" x14ac:dyDescent="0.3">
      <c r="C485" s="7"/>
      <c r="H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3:32" ht="15.75" customHeight="1" x14ac:dyDescent="0.3">
      <c r="C486" s="7"/>
      <c r="H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3:32" ht="15.75" customHeight="1" x14ac:dyDescent="0.3">
      <c r="C487" s="7"/>
      <c r="H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3:32" ht="15.75" customHeight="1" x14ac:dyDescent="0.3">
      <c r="C488" s="7"/>
      <c r="H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3:32" ht="15.75" customHeight="1" x14ac:dyDescent="0.3">
      <c r="C489" s="7"/>
      <c r="H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3:32" ht="15.75" customHeight="1" x14ac:dyDescent="0.3">
      <c r="C490" s="7"/>
      <c r="H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3:32" ht="15.75" customHeight="1" x14ac:dyDescent="0.3">
      <c r="C491" s="7"/>
      <c r="H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3:32" ht="15.75" customHeight="1" x14ac:dyDescent="0.3">
      <c r="C492" s="7"/>
      <c r="H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3:32" ht="15.75" customHeight="1" x14ac:dyDescent="0.3">
      <c r="C493" s="7"/>
      <c r="H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3:32" ht="15.75" customHeight="1" x14ac:dyDescent="0.3">
      <c r="C494" s="7"/>
      <c r="H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3:32" ht="15.75" customHeight="1" x14ac:dyDescent="0.3">
      <c r="C495" s="7"/>
      <c r="H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3:32" ht="15.75" customHeight="1" x14ac:dyDescent="0.3">
      <c r="C496" s="7"/>
      <c r="H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3:32" ht="15.75" customHeight="1" x14ac:dyDescent="0.3">
      <c r="C497" s="7"/>
      <c r="H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3:32" ht="15.75" customHeight="1" x14ac:dyDescent="0.3">
      <c r="C498" s="7"/>
      <c r="H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3:32" ht="15.75" customHeight="1" x14ac:dyDescent="0.3">
      <c r="C499" s="7"/>
      <c r="H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3:32" ht="15.75" customHeight="1" x14ac:dyDescent="0.3">
      <c r="C500" s="7"/>
      <c r="H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3:32" ht="15.75" customHeight="1" x14ac:dyDescent="0.3">
      <c r="C501" s="7"/>
      <c r="H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3:32" ht="15.75" customHeight="1" x14ac:dyDescent="0.3">
      <c r="C502" s="7"/>
      <c r="H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3:32" ht="15.75" customHeight="1" x14ac:dyDescent="0.3">
      <c r="C503" s="7"/>
      <c r="H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3:32" ht="15.75" customHeight="1" x14ac:dyDescent="0.3">
      <c r="C504" s="7"/>
      <c r="H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3:32" ht="15.75" customHeight="1" x14ac:dyDescent="0.3">
      <c r="C505" s="7"/>
      <c r="H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3:32" ht="15.75" customHeight="1" x14ac:dyDescent="0.3">
      <c r="C506" s="7"/>
      <c r="H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3:32" ht="15.75" customHeight="1" x14ac:dyDescent="0.3">
      <c r="C507" s="7"/>
      <c r="H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3:32" ht="15.75" customHeight="1" x14ac:dyDescent="0.3">
      <c r="C508" s="7"/>
      <c r="H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3:32" ht="15.75" customHeight="1" x14ac:dyDescent="0.3">
      <c r="C509" s="7"/>
      <c r="H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3:32" ht="15.75" customHeight="1" x14ac:dyDescent="0.3">
      <c r="C510" s="7"/>
      <c r="H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3:32" ht="15.75" customHeight="1" x14ac:dyDescent="0.3">
      <c r="C511" s="7"/>
      <c r="H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3:32" ht="15.75" customHeight="1" x14ac:dyDescent="0.3">
      <c r="C512" s="7"/>
      <c r="H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3:32" ht="15.75" customHeight="1" x14ac:dyDescent="0.3">
      <c r="C513" s="7"/>
      <c r="H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3:32" ht="15.75" customHeight="1" x14ac:dyDescent="0.3">
      <c r="C514" s="7"/>
      <c r="H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3:32" ht="15.75" customHeight="1" x14ac:dyDescent="0.3">
      <c r="C515" s="7"/>
      <c r="H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3:32" ht="15.75" customHeight="1" x14ac:dyDescent="0.3">
      <c r="C516" s="7"/>
      <c r="H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3:32" ht="15.75" customHeight="1" x14ac:dyDescent="0.3">
      <c r="C517" s="7"/>
      <c r="H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3:32" ht="15.75" customHeight="1" x14ac:dyDescent="0.3">
      <c r="C518" s="7"/>
      <c r="H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3:32" ht="15.75" customHeight="1" x14ac:dyDescent="0.3">
      <c r="C519" s="7"/>
      <c r="H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3:32" ht="15.75" customHeight="1" x14ac:dyDescent="0.3">
      <c r="C520" s="7"/>
      <c r="H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3:32" ht="15.75" customHeight="1" x14ac:dyDescent="0.3">
      <c r="C521" s="7"/>
      <c r="H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3:32" ht="15.75" customHeight="1" x14ac:dyDescent="0.3">
      <c r="C522" s="7"/>
      <c r="H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3:32" ht="15.75" customHeight="1" x14ac:dyDescent="0.3">
      <c r="C523" s="7"/>
      <c r="H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3:32" ht="15.75" customHeight="1" x14ac:dyDescent="0.3">
      <c r="C524" s="7"/>
      <c r="H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3:32" ht="15.75" customHeight="1" x14ac:dyDescent="0.3">
      <c r="C525" s="7"/>
      <c r="H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3:32" ht="15.75" customHeight="1" x14ac:dyDescent="0.3">
      <c r="C526" s="7"/>
      <c r="H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3:32" ht="15.75" customHeight="1" x14ac:dyDescent="0.3">
      <c r="C527" s="7"/>
      <c r="H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3:32" ht="15.75" customHeight="1" x14ac:dyDescent="0.3">
      <c r="C528" s="7"/>
      <c r="H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3:32" ht="15.75" customHeight="1" x14ac:dyDescent="0.3">
      <c r="C529" s="7"/>
      <c r="H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3:32" ht="15.75" customHeight="1" x14ac:dyDescent="0.3">
      <c r="C530" s="7"/>
      <c r="H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3:32" ht="15.75" customHeight="1" x14ac:dyDescent="0.3">
      <c r="C531" s="7"/>
      <c r="H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3:32" ht="15.75" customHeight="1" x14ac:dyDescent="0.3">
      <c r="C532" s="7"/>
      <c r="H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3:32" ht="15.75" customHeight="1" x14ac:dyDescent="0.3">
      <c r="C533" s="7"/>
      <c r="H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3:32" ht="15.75" customHeight="1" x14ac:dyDescent="0.3">
      <c r="C534" s="7"/>
      <c r="H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3:32" ht="15.75" customHeight="1" x14ac:dyDescent="0.3">
      <c r="C535" s="7"/>
      <c r="H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3:32" ht="15.75" customHeight="1" x14ac:dyDescent="0.3">
      <c r="C536" s="7"/>
      <c r="H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3:32" ht="15.75" customHeight="1" x14ac:dyDescent="0.3">
      <c r="C537" s="7"/>
      <c r="H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3:32" ht="15.75" customHeight="1" x14ac:dyDescent="0.3">
      <c r="C538" s="7"/>
      <c r="H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3:32" ht="15.75" customHeight="1" x14ac:dyDescent="0.3">
      <c r="C539" s="7"/>
      <c r="H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3:32" ht="15.75" customHeight="1" x14ac:dyDescent="0.3">
      <c r="C540" s="7"/>
      <c r="H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3:32" ht="15.75" customHeight="1" x14ac:dyDescent="0.3">
      <c r="C541" s="7"/>
      <c r="H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3:32" ht="15.75" customHeight="1" x14ac:dyDescent="0.3">
      <c r="C542" s="7"/>
      <c r="H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3:32" ht="15.75" customHeight="1" x14ac:dyDescent="0.3">
      <c r="C543" s="7"/>
      <c r="H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3:32" ht="15.75" customHeight="1" x14ac:dyDescent="0.3">
      <c r="C544" s="7"/>
      <c r="H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3:32" ht="15.75" customHeight="1" x14ac:dyDescent="0.3">
      <c r="C545" s="7"/>
      <c r="H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3:32" ht="15.75" customHeight="1" x14ac:dyDescent="0.3">
      <c r="C546" s="7"/>
      <c r="H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3:32" ht="15.75" customHeight="1" x14ac:dyDescent="0.3">
      <c r="C547" s="7"/>
      <c r="H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3:32" ht="15.75" customHeight="1" x14ac:dyDescent="0.3">
      <c r="C548" s="7"/>
      <c r="H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3:32" ht="15.75" customHeight="1" x14ac:dyDescent="0.3">
      <c r="C549" s="7"/>
      <c r="H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3:32" ht="15.75" customHeight="1" x14ac:dyDescent="0.3">
      <c r="C550" s="7"/>
      <c r="H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3:32" ht="15.75" customHeight="1" x14ac:dyDescent="0.3">
      <c r="C551" s="7"/>
      <c r="H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3:32" ht="15.75" customHeight="1" x14ac:dyDescent="0.3">
      <c r="C552" s="7"/>
      <c r="H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3:32" ht="15.75" customHeight="1" x14ac:dyDescent="0.3">
      <c r="C553" s="7"/>
      <c r="H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3:32" ht="15.75" customHeight="1" x14ac:dyDescent="0.3">
      <c r="C554" s="7"/>
      <c r="H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3:32" ht="15.75" customHeight="1" x14ac:dyDescent="0.3">
      <c r="C555" s="7"/>
      <c r="H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3:32" ht="15.75" customHeight="1" x14ac:dyDescent="0.3">
      <c r="C556" s="7"/>
      <c r="H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3:32" ht="15.75" customHeight="1" x14ac:dyDescent="0.3">
      <c r="C557" s="7"/>
      <c r="H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3:32" ht="15.75" customHeight="1" x14ac:dyDescent="0.3">
      <c r="C558" s="7"/>
      <c r="H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3:32" ht="15.75" customHeight="1" x14ac:dyDescent="0.3">
      <c r="C559" s="7"/>
      <c r="H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3:32" ht="15.75" customHeight="1" x14ac:dyDescent="0.3">
      <c r="C560" s="7"/>
      <c r="H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3:32" ht="15.75" customHeight="1" x14ac:dyDescent="0.3">
      <c r="C561" s="7"/>
      <c r="H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3:32" ht="15.75" customHeight="1" x14ac:dyDescent="0.3">
      <c r="C562" s="7"/>
      <c r="H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3:32" ht="15.75" customHeight="1" x14ac:dyDescent="0.3">
      <c r="C563" s="7"/>
      <c r="H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3:32" ht="15.75" customHeight="1" x14ac:dyDescent="0.3">
      <c r="C564" s="7"/>
      <c r="H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3:32" ht="15.75" customHeight="1" x14ac:dyDescent="0.3">
      <c r="C565" s="7"/>
      <c r="H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3:32" ht="15.75" customHeight="1" x14ac:dyDescent="0.3">
      <c r="C566" s="7"/>
      <c r="H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3:32" ht="15.75" customHeight="1" x14ac:dyDescent="0.3">
      <c r="C567" s="7"/>
      <c r="H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3:32" ht="15.75" customHeight="1" x14ac:dyDescent="0.3">
      <c r="C568" s="7"/>
      <c r="H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3:32" ht="15.75" customHeight="1" x14ac:dyDescent="0.3">
      <c r="C569" s="7"/>
      <c r="H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3:32" ht="15.75" customHeight="1" x14ac:dyDescent="0.3">
      <c r="C570" s="7"/>
      <c r="H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3:32" ht="15.75" customHeight="1" x14ac:dyDescent="0.3">
      <c r="C571" s="7"/>
      <c r="H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3:32" ht="15.75" customHeight="1" x14ac:dyDescent="0.3">
      <c r="C572" s="7"/>
      <c r="H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3:32" ht="15.75" customHeight="1" x14ac:dyDescent="0.3">
      <c r="C573" s="7"/>
      <c r="H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3:32" ht="15.75" customHeight="1" x14ac:dyDescent="0.3">
      <c r="C574" s="7"/>
      <c r="H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3:32" ht="15.75" customHeight="1" x14ac:dyDescent="0.3">
      <c r="C575" s="7"/>
      <c r="H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3:32" ht="15.75" customHeight="1" x14ac:dyDescent="0.3">
      <c r="C576" s="7"/>
      <c r="H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3:32" ht="15.75" customHeight="1" x14ac:dyDescent="0.3">
      <c r="C577" s="7"/>
      <c r="H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3:32" ht="15.75" customHeight="1" x14ac:dyDescent="0.3">
      <c r="C578" s="7"/>
      <c r="H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3:32" ht="15.75" customHeight="1" x14ac:dyDescent="0.3">
      <c r="C579" s="7"/>
      <c r="H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3:32" ht="15.75" customHeight="1" x14ac:dyDescent="0.3">
      <c r="C580" s="7"/>
      <c r="H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3:32" ht="15.75" customHeight="1" x14ac:dyDescent="0.3">
      <c r="C581" s="7"/>
      <c r="H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3:32" ht="15.75" customHeight="1" x14ac:dyDescent="0.3">
      <c r="C582" s="7"/>
      <c r="H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3:32" ht="15.75" customHeight="1" x14ac:dyDescent="0.3">
      <c r="C583" s="7"/>
      <c r="H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3:32" ht="15.75" customHeight="1" x14ac:dyDescent="0.3">
      <c r="C584" s="7"/>
      <c r="H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3:32" ht="15.75" customHeight="1" x14ac:dyDescent="0.3">
      <c r="C585" s="7"/>
      <c r="H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3:32" ht="15.75" customHeight="1" x14ac:dyDescent="0.3">
      <c r="C586" s="7"/>
      <c r="H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3:32" ht="15.75" customHeight="1" x14ac:dyDescent="0.3">
      <c r="C587" s="7"/>
      <c r="H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3:32" ht="15.75" customHeight="1" x14ac:dyDescent="0.3">
      <c r="C588" s="7"/>
      <c r="H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3:32" ht="15.75" customHeight="1" x14ac:dyDescent="0.3">
      <c r="C589" s="7"/>
      <c r="H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3:32" ht="15.75" customHeight="1" x14ac:dyDescent="0.3">
      <c r="C590" s="7"/>
      <c r="H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3:32" ht="15.75" customHeight="1" x14ac:dyDescent="0.3">
      <c r="C591" s="7"/>
      <c r="H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3:32" ht="15.75" customHeight="1" x14ac:dyDescent="0.3">
      <c r="C592" s="7"/>
      <c r="H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3:32" ht="15.75" customHeight="1" x14ac:dyDescent="0.3">
      <c r="C593" s="7"/>
      <c r="H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3:32" ht="15.75" customHeight="1" x14ac:dyDescent="0.3">
      <c r="C594" s="7"/>
      <c r="H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3:32" ht="15.75" customHeight="1" x14ac:dyDescent="0.3">
      <c r="C595" s="7"/>
      <c r="H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3:32" ht="15.75" customHeight="1" x14ac:dyDescent="0.3">
      <c r="C596" s="7"/>
      <c r="H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3:32" ht="15.75" customHeight="1" x14ac:dyDescent="0.3">
      <c r="C597" s="7"/>
      <c r="H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3:32" ht="15.75" customHeight="1" x14ac:dyDescent="0.3">
      <c r="C598" s="7"/>
      <c r="H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3:32" ht="15.75" customHeight="1" x14ac:dyDescent="0.3">
      <c r="C599" s="7"/>
      <c r="H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3:32" ht="15.75" customHeight="1" x14ac:dyDescent="0.3">
      <c r="C600" s="7"/>
      <c r="H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3:32" ht="15.75" customHeight="1" x14ac:dyDescent="0.3">
      <c r="C601" s="7"/>
      <c r="H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3:32" ht="15.75" customHeight="1" x14ac:dyDescent="0.3">
      <c r="C602" s="7"/>
      <c r="H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3:32" ht="15.75" customHeight="1" x14ac:dyDescent="0.3">
      <c r="C603" s="7"/>
      <c r="H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3:32" ht="15.75" customHeight="1" x14ac:dyDescent="0.3">
      <c r="C604" s="7"/>
      <c r="H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3:32" ht="15.75" customHeight="1" x14ac:dyDescent="0.3">
      <c r="C605" s="7"/>
      <c r="H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3:32" ht="15.75" customHeight="1" x14ac:dyDescent="0.3">
      <c r="C606" s="7"/>
      <c r="H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3:32" ht="15.75" customHeight="1" x14ac:dyDescent="0.3">
      <c r="C607" s="7"/>
      <c r="H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3:32" ht="15.75" customHeight="1" x14ac:dyDescent="0.3">
      <c r="C608" s="7"/>
      <c r="H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3:32" ht="15.75" customHeight="1" x14ac:dyDescent="0.3">
      <c r="C609" s="7"/>
      <c r="H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3:32" ht="15.75" customHeight="1" x14ac:dyDescent="0.3">
      <c r="C610" s="7"/>
      <c r="H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3:32" ht="15.75" customHeight="1" x14ac:dyDescent="0.3">
      <c r="C611" s="7"/>
      <c r="H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3:32" ht="15.75" customHeight="1" x14ac:dyDescent="0.3">
      <c r="C612" s="7"/>
      <c r="H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3:32" ht="15.75" customHeight="1" x14ac:dyDescent="0.3">
      <c r="C613" s="7"/>
      <c r="H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3:32" ht="15.75" customHeight="1" x14ac:dyDescent="0.3">
      <c r="C614" s="7"/>
      <c r="H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3:32" ht="15.75" customHeight="1" x14ac:dyDescent="0.3">
      <c r="C615" s="7"/>
      <c r="H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3:32" ht="15.75" customHeight="1" x14ac:dyDescent="0.3">
      <c r="C616" s="7"/>
      <c r="H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3:32" ht="15.75" customHeight="1" x14ac:dyDescent="0.3">
      <c r="C617" s="7"/>
      <c r="H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3:32" ht="15.75" customHeight="1" x14ac:dyDescent="0.3">
      <c r="C618" s="7"/>
      <c r="H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3:32" ht="15.75" customHeight="1" x14ac:dyDescent="0.3">
      <c r="C619" s="7"/>
      <c r="H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3:32" ht="15.75" customHeight="1" x14ac:dyDescent="0.3">
      <c r="C620" s="7"/>
      <c r="H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3:32" ht="15.75" customHeight="1" x14ac:dyDescent="0.3">
      <c r="C621" s="7"/>
      <c r="H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3:32" ht="15.75" customHeight="1" x14ac:dyDescent="0.3">
      <c r="C622" s="7"/>
      <c r="H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3:32" ht="15.75" customHeight="1" x14ac:dyDescent="0.3">
      <c r="C623" s="7"/>
      <c r="H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3:32" ht="15.75" customHeight="1" x14ac:dyDescent="0.3">
      <c r="C624" s="7"/>
      <c r="H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3:32" ht="15.75" customHeight="1" x14ac:dyDescent="0.3">
      <c r="C625" s="7"/>
      <c r="H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3:32" ht="15.75" customHeight="1" x14ac:dyDescent="0.3">
      <c r="C626" s="7"/>
      <c r="H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3:32" ht="15.75" customHeight="1" x14ac:dyDescent="0.3">
      <c r="C627" s="7"/>
      <c r="H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3:32" ht="15.75" customHeight="1" x14ac:dyDescent="0.3">
      <c r="C628" s="7"/>
      <c r="H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3:32" ht="15.75" customHeight="1" x14ac:dyDescent="0.3">
      <c r="C629" s="7"/>
      <c r="H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3:32" ht="15.75" customHeight="1" x14ac:dyDescent="0.3">
      <c r="C630" s="7"/>
      <c r="H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3:32" ht="15.75" customHeight="1" x14ac:dyDescent="0.3">
      <c r="C631" s="7"/>
      <c r="H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3:32" ht="15.75" customHeight="1" x14ac:dyDescent="0.3">
      <c r="C632" s="7"/>
      <c r="H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3:32" ht="15.75" customHeight="1" x14ac:dyDescent="0.3">
      <c r="C633" s="7"/>
      <c r="H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3:32" ht="15.75" customHeight="1" x14ac:dyDescent="0.3">
      <c r="C634" s="7"/>
      <c r="H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3:32" ht="15.75" customHeight="1" x14ac:dyDescent="0.3">
      <c r="C635" s="7"/>
      <c r="H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3:32" ht="15.75" customHeight="1" x14ac:dyDescent="0.3">
      <c r="C636" s="7"/>
      <c r="H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3:32" ht="15.75" customHeight="1" x14ac:dyDescent="0.3">
      <c r="C637" s="7"/>
      <c r="H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3:32" ht="15.75" customHeight="1" x14ac:dyDescent="0.3">
      <c r="C638" s="7"/>
      <c r="H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3:32" ht="15.75" customHeight="1" x14ac:dyDescent="0.3">
      <c r="C639" s="7"/>
      <c r="H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3:32" ht="15.75" customHeight="1" x14ac:dyDescent="0.3">
      <c r="C640" s="7"/>
      <c r="H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3:32" ht="15.75" customHeight="1" x14ac:dyDescent="0.3">
      <c r="C641" s="7"/>
      <c r="H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3:32" ht="15.75" customHeight="1" x14ac:dyDescent="0.3">
      <c r="C642" s="7"/>
      <c r="H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3:32" ht="15.75" customHeight="1" x14ac:dyDescent="0.3">
      <c r="C643" s="7"/>
      <c r="H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3:32" ht="15.75" customHeight="1" x14ac:dyDescent="0.3">
      <c r="C644" s="7"/>
      <c r="H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3:32" ht="15.75" customHeight="1" x14ac:dyDescent="0.3">
      <c r="C645" s="7"/>
      <c r="H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3:32" ht="15.75" customHeight="1" x14ac:dyDescent="0.3">
      <c r="C646" s="7"/>
      <c r="H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3:32" ht="15.75" customHeight="1" x14ac:dyDescent="0.3">
      <c r="C647" s="7"/>
      <c r="H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3:32" ht="15.75" customHeight="1" x14ac:dyDescent="0.3">
      <c r="C648" s="7"/>
      <c r="H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3:32" ht="15.75" customHeight="1" x14ac:dyDescent="0.3">
      <c r="C649" s="7"/>
      <c r="H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3:32" ht="15.75" customHeight="1" x14ac:dyDescent="0.3">
      <c r="C650" s="7"/>
      <c r="H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3:32" ht="15.75" customHeight="1" x14ac:dyDescent="0.3">
      <c r="C651" s="7"/>
      <c r="H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3:32" ht="15.75" customHeight="1" x14ac:dyDescent="0.3">
      <c r="C652" s="7"/>
      <c r="H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3:32" ht="15.75" customHeight="1" x14ac:dyDescent="0.3">
      <c r="C653" s="7"/>
      <c r="H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3:32" ht="15.75" customHeight="1" x14ac:dyDescent="0.3">
      <c r="C654" s="7"/>
      <c r="H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3:32" ht="15.75" customHeight="1" x14ac:dyDescent="0.3">
      <c r="C655" s="7"/>
      <c r="H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3:32" ht="15.75" customHeight="1" x14ac:dyDescent="0.3">
      <c r="C656" s="7"/>
      <c r="H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3:32" ht="15.75" customHeight="1" x14ac:dyDescent="0.3">
      <c r="C657" s="7"/>
      <c r="H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3:32" ht="15.75" customHeight="1" x14ac:dyDescent="0.3">
      <c r="C658" s="7"/>
      <c r="H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3:32" ht="15.75" customHeight="1" x14ac:dyDescent="0.3">
      <c r="C659" s="7"/>
      <c r="H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3:32" ht="15.75" customHeight="1" x14ac:dyDescent="0.3">
      <c r="C660" s="7"/>
      <c r="H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3:32" ht="15.75" customHeight="1" x14ac:dyDescent="0.3">
      <c r="C661" s="7"/>
      <c r="H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3:32" ht="15.75" customHeight="1" x14ac:dyDescent="0.3">
      <c r="C662" s="7"/>
      <c r="H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3:32" ht="15.75" customHeight="1" x14ac:dyDescent="0.3">
      <c r="C663" s="7"/>
      <c r="H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3:32" ht="15.75" customHeight="1" x14ac:dyDescent="0.3">
      <c r="C664" s="7"/>
      <c r="H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3:32" ht="15.75" customHeight="1" x14ac:dyDescent="0.3">
      <c r="C665" s="7"/>
      <c r="H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3:32" ht="15.75" customHeight="1" x14ac:dyDescent="0.3">
      <c r="C666" s="7"/>
      <c r="H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3:32" ht="15.75" customHeight="1" x14ac:dyDescent="0.3">
      <c r="C667" s="7"/>
      <c r="H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3:32" ht="15.75" customHeight="1" x14ac:dyDescent="0.3">
      <c r="C668" s="7"/>
      <c r="H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3:32" ht="15.75" customHeight="1" x14ac:dyDescent="0.3">
      <c r="C669" s="7"/>
      <c r="H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3:32" ht="15.75" customHeight="1" x14ac:dyDescent="0.3">
      <c r="C670" s="7"/>
      <c r="H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3:32" ht="15.75" customHeight="1" x14ac:dyDescent="0.3">
      <c r="C671" s="7"/>
      <c r="H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3:32" ht="15.75" customHeight="1" x14ac:dyDescent="0.3">
      <c r="C672" s="7"/>
      <c r="H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3:32" ht="15.75" customHeight="1" x14ac:dyDescent="0.3">
      <c r="C673" s="7"/>
      <c r="H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3:32" ht="15.75" customHeight="1" x14ac:dyDescent="0.3">
      <c r="C674" s="7"/>
      <c r="H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3:32" ht="15.75" customHeight="1" x14ac:dyDescent="0.3">
      <c r="C675" s="7"/>
      <c r="H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3:32" ht="15.75" customHeight="1" x14ac:dyDescent="0.3">
      <c r="C676" s="7"/>
      <c r="H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3:32" ht="15.75" customHeight="1" x14ac:dyDescent="0.3">
      <c r="C677" s="7"/>
      <c r="H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3:32" ht="15.75" customHeight="1" x14ac:dyDescent="0.3">
      <c r="C678" s="7"/>
      <c r="H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3:32" ht="15.75" customHeight="1" x14ac:dyDescent="0.3">
      <c r="C679" s="7"/>
      <c r="H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3:32" ht="15.75" customHeight="1" x14ac:dyDescent="0.3">
      <c r="C680" s="7"/>
      <c r="H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3:32" ht="15.75" customHeight="1" x14ac:dyDescent="0.3">
      <c r="C681" s="7"/>
      <c r="H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3:32" ht="15.75" customHeight="1" x14ac:dyDescent="0.3">
      <c r="C682" s="7"/>
      <c r="H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3:32" ht="15.75" customHeight="1" x14ac:dyDescent="0.3">
      <c r="C683" s="7"/>
      <c r="H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3:32" ht="15.75" customHeight="1" x14ac:dyDescent="0.3">
      <c r="C684" s="7"/>
      <c r="H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3:32" ht="15.75" customHeight="1" x14ac:dyDescent="0.3">
      <c r="C685" s="7"/>
      <c r="H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3:32" ht="15.75" customHeight="1" x14ac:dyDescent="0.3">
      <c r="C686" s="7"/>
      <c r="H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3:32" ht="15.75" customHeight="1" x14ac:dyDescent="0.3">
      <c r="C687" s="7"/>
      <c r="H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3:32" ht="15.75" customHeight="1" x14ac:dyDescent="0.3">
      <c r="C688" s="7"/>
      <c r="H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3:32" ht="15.75" customHeight="1" x14ac:dyDescent="0.3">
      <c r="C689" s="7"/>
      <c r="H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3:32" ht="15.75" customHeight="1" x14ac:dyDescent="0.3">
      <c r="C690" s="7"/>
      <c r="H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3:32" ht="15.75" customHeight="1" x14ac:dyDescent="0.3">
      <c r="C691" s="7"/>
      <c r="H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3:32" ht="15.75" customHeight="1" x14ac:dyDescent="0.3">
      <c r="C692" s="7"/>
      <c r="H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3:32" ht="15.75" customHeight="1" x14ac:dyDescent="0.3">
      <c r="C693" s="7"/>
      <c r="H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3:32" ht="15.75" customHeight="1" x14ac:dyDescent="0.3">
      <c r="C694" s="7"/>
      <c r="H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3:32" ht="15.75" customHeight="1" x14ac:dyDescent="0.3">
      <c r="C695" s="7"/>
      <c r="H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3:32" ht="15.75" customHeight="1" x14ac:dyDescent="0.3">
      <c r="C696" s="7"/>
      <c r="H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3:32" ht="15.75" customHeight="1" x14ac:dyDescent="0.3">
      <c r="C697" s="7"/>
      <c r="H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3:32" ht="15.75" customHeight="1" x14ac:dyDescent="0.3">
      <c r="C698" s="7"/>
      <c r="H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3:32" ht="15.75" customHeight="1" x14ac:dyDescent="0.3">
      <c r="C699" s="7"/>
      <c r="H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3:32" ht="15.75" customHeight="1" x14ac:dyDescent="0.3">
      <c r="C700" s="7"/>
      <c r="H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3:32" ht="15.75" customHeight="1" x14ac:dyDescent="0.3">
      <c r="C701" s="7"/>
      <c r="H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3:32" ht="15.75" customHeight="1" x14ac:dyDescent="0.3">
      <c r="C702" s="7"/>
      <c r="H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3:32" ht="15.75" customHeight="1" x14ac:dyDescent="0.3">
      <c r="C703" s="7"/>
      <c r="H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3:32" ht="15.75" customHeight="1" x14ac:dyDescent="0.3">
      <c r="C704" s="7"/>
      <c r="H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3:32" ht="15.75" customHeight="1" x14ac:dyDescent="0.3">
      <c r="C705" s="7"/>
      <c r="H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3:32" ht="15.75" customHeight="1" x14ac:dyDescent="0.3">
      <c r="C706" s="7"/>
      <c r="H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3:32" ht="15.75" customHeight="1" x14ac:dyDescent="0.3">
      <c r="C707" s="7"/>
      <c r="H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3:32" ht="15.75" customHeight="1" x14ac:dyDescent="0.3">
      <c r="C708" s="7"/>
      <c r="H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3:32" ht="15.75" customHeight="1" x14ac:dyDescent="0.3">
      <c r="C709" s="7"/>
      <c r="H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3:32" ht="15.75" customHeight="1" x14ac:dyDescent="0.3">
      <c r="C710" s="7"/>
      <c r="H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3:32" ht="15.75" customHeight="1" x14ac:dyDescent="0.3">
      <c r="C711" s="7"/>
      <c r="H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3:32" ht="15.75" customHeight="1" x14ac:dyDescent="0.3">
      <c r="C712" s="7"/>
      <c r="H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3:32" ht="15.75" customHeight="1" x14ac:dyDescent="0.3">
      <c r="C713" s="7"/>
      <c r="H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3:32" ht="15.75" customHeight="1" x14ac:dyDescent="0.3">
      <c r="C714" s="7"/>
      <c r="H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3:32" ht="15.75" customHeight="1" x14ac:dyDescent="0.3">
      <c r="C715" s="7"/>
      <c r="H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3:32" ht="15.75" customHeight="1" x14ac:dyDescent="0.3">
      <c r="C716" s="7"/>
      <c r="H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3:32" ht="15.75" customHeight="1" x14ac:dyDescent="0.3">
      <c r="C717" s="7"/>
      <c r="H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3:32" ht="15.75" customHeight="1" x14ac:dyDescent="0.3">
      <c r="C718" s="7"/>
      <c r="H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3:32" ht="15.75" customHeight="1" x14ac:dyDescent="0.3">
      <c r="C719" s="7"/>
      <c r="H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3:32" ht="15.75" customHeight="1" x14ac:dyDescent="0.3">
      <c r="C720" s="7"/>
      <c r="H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3:32" ht="15.75" customHeight="1" x14ac:dyDescent="0.3">
      <c r="C721" s="7"/>
      <c r="H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3:32" ht="15.75" customHeight="1" x14ac:dyDescent="0.3">
      <c r="C722" s="7"/>
      <c r="H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3:32" ht="15.75" customHeight="1" x14ac:dyDescent="0.3">
      <c r="C723" s="7"/>
      <c r="H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3:32" ht="15.75" customHeight="1" x14ac:dyDescent="0.3">
      <c r="C724" s="7"/>
      <c r="H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3:32" ht="15.75" customHeight="1" x14ac:dyDescent="0.3">
      <c r="C725" s="7"/>
      <c r="H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3:32" ht="15.75" customHeight="1" x14ac:dyDescent="0.3">
      <c r="C726" s="7"/>
      <c r="H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3:32" ht="15.75" customHeight="1" x14ac:dyDescent="0.3">
      <c r="C727" s="7"/>
      <c r="H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3:32" ht="15.75" customHeight="1" x14ac:dyDescent="0.3">
      <c r="C728" s="7"/>
      <c r="H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3:32" ht="15.75" customHeight="1" x14ac:dyDescent="0.3">
      <c r="C729" s="7"/>
      <c r="H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3:32" ht="15.75" customHeight="1" x14ac:dyDescent="0.3">
      <c r="C730" s="7"/>
      <c r="H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3:32" ht="15.75" customHeight="1" x14ac:dyDescent="0.3">
      <c r="C731" s="7"/>
      <c r="H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3:32" ht="15.75" customHeight="1" x14ac:dyDescent="0.3">
      <c r="C732" s="7"/>
      <c r="H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3:32" ht="15.75" customHeight="1" x14ac:dyDescent="0.3">
      <c r="C733" s="7"/>
      <c r="H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3:32" ht="15.75" customHeight="1" x14ac:dyDescent="0.3">
      <c r="C734" s="7"/>
      <c r="H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3:32" ht="15.75" customHeight="1" x14ac:dyDescent="0.3">
      <c r="C735" s="7"/>
      <c r="H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3:32" ht="15.75" customHeight="1" x14ac:dyDescent="0.3">
      <c r="C736" s="7"/>
      <c r="H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3:32" ht="15.75" customHeight="1" x14ac:dyDescent="0.3">
      <c r="C737" s="7"/>
      <c r="H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3:32" ht="15.75" customHeight="1" x14ac:dyDescent="0.3">
      <c r="C738" s="7"/>
      <c r="H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3:32" ht="15.75" customHeight="1" x14ac:dyDescent="0.3">
      <c r="C739" s="7"/>
      <c r="H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3:32" ht="15.75" customHeight="1" x14ac:dyDescent="0.3">
      <c r="C740" s="7"/>
      <c r="H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3:32" ht="15.75" customHeight="1" x14ac:dyDescent="0.3">
      <c r="C741" s="7"/>
      <c r="H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3:32" ht="15.75" customHeight="1" x14ac:dyDescent="0.3">
      <c r="C742" s="7"/>
      <c r="H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3:32" ht="15.75" customHeight="1" x14ac:dyDescent="0.3">
      <c r="C743" s="7"/>
      <c r="H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3:32" ht="15.75" customHeight="1" x14ac:dyDescent="0.3">
      <c r="C744" s="7"/>
      <c r="H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3:32" ht="15.75" customHeight="1" x14ac:dyDescent="0.3">
      <c r="C745" s="7"/>
      <c r="H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3:32" ht="15.75" customHeight="1" x14ac:dyDescent="0.3">
      <c r="C746" s="7"/>
      <c r="H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3:32" ht="15.75" customHeight="1" x14ac:dyDescent="0.3">
      <c r="C747" s="7"/>
      <c r="H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3:32" ht="15.75" customHeight="1" x14ac:dyDescent="0.3">
      <c r="C748" s="7"/>
      <c r="H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3:32" ht="15.75" customHeight="1" x14ac:dyDescent="0.3">
      <c r="C749" s="7"/>
      <c r="H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3:32" ht="15.75" customHeight="1" x14ac:dyDescent="0.3">
      <c r="C750" s="7"/>
      <c r="H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3:32" ht="15.75" customHeight="1" x14ac:dyDescent="0.3">
      <c r="C751" s="7"/>
      <c r="H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3:32" ht="15.75" customHeight="1" x14ac:dyDescent="0.3">
      <c r="C752" s="7"/>
      <c r="H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3:32" ht="15.75" customHeight="1" x14ac:dyDescent="0.3">
      <c r="C753" s="7"/>
      <c r="H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3:32" ht="15.75" customHeight="1" x14ac:dyDescent="0.3">
      <c r="C754" s="7"/>
      <c r="H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3:32" ht="15.75" customHeight="1" x14ac:dyDescent="0.3">
      <c r="C755" s="7"/>
      <c r="H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3:32" ht="15.75" customHeight="1" x14ac:dyDescent="0.3">
      <c r="C756" s="7"/>
      <c r="H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3:32" ht="15.75" customHeight="1" x14ac:dyDescent="0.3">
      <c r="C757" s="7"/>
      <c r="H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3:32" ht="15.75" customHeight="1" x14ac:dyDescent="0.3">
      <c r="C758" s="7"/>
      <c r="H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3:32" ht="15.75" customHeight="1" x14ac:dyDescent="0.3">
      <c r="C759" s="7"/>
      <c r="H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3:32" ht="15.75" customHeight="1" x14ac:dyDescent="0.3">
      <c r="C760" s="7"/>
      <c r="H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3:32" ht="15.75" customHeight="1" x14ac:dyDescent="0.3">
      <c r="C761" s="7"/>
      <c r="H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3:32" ht="15.75" customHeight="1" x14ac:dyDescent="0.3">
      <c r="C762" s="7"/>
      <c r="H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3:32" ht="15.75" customHeight="1" x14ac:dyDescent="0.3">
      <c r="C763" s="7"/>
      <c r="H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3:32" ht="15.75" customHeight="1" x14ac:dyDescent="0.3">
      <c r="C764" s="7"/>
      <c r="H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3:32" ht="15.75" customHeight="1" x14ac:dyDescent="0.3">
      <c r="C765" s="7"/>
      <c r="H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3:32" ht="15.75" customHeight="1" x14ac:dyDescent="0.3">
      <c r="C766" s="7"/>
      <c r="H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3:32" ht="15.75" customHeight="1" x14ac:dyDescent="0.3">
      <c r="C767" s="7"/>
      <c r="H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3:32" ht="15.75" customHeight="1" x14ac:dyDescent="0.3">
      <c r="C768" s="7"/>
      <c r="H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3:32" ht="15.75" customHeight="1" x14ac:dyDescent="0.3">
      <c r="C769" s="7"/>
      <c r="H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3:32" ht="15.75" customHeight="1" x14ac:dyDescent="0.3">
      <c r="C770" s="7"/>
      <c r="H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3:32" ht="15.75" customHeight="1" x14ac:dyDescent="0.3">
      <c r="C771" s="7"/>
      <c r="H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3:32" ht="15.75" customHeight="1" x14ac:dyDescent="0.3">
      <c r="C772" s="7"/>
      <c r="H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3:32" ht="15.75" customHeight="1" x14ac:dyDescent="0.3">
      <c r="C773" s="7"/>
      <c r="H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3:32" ht="15.75" customHeight="1" x14ac:dyDescent="0.3">
      <c r="C774" s="7"/>
      <c r="H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3:32" ht="15.75" customHeight="1" x14ac:dyDescent="0.3">
      <c r="C775" s="7"/>
      <c r="H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3:32" ht="15.75" customHeight="1" x14ac:dyDescent="0.3">
      <c r="C776" s="7"/>
      <c r="H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3:32" ht="15.75" customHeight="1" x14ac:dyDescent="0.3">
      <c r="C777" s="7"/>
      <c r="H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3:32" ht="15.75" customHeight="1" x14ac:dyDescent="0.3">
      <c r="C778" s="7"/>
      <c r="H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3:32" ht="15.75" customHeight="1" x14ac:dyDescent="0.3">
      <c r="C779" s="7"/>
      <c r="H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3:32" ht="15.75" customHeight="1" x14ac:dyDescent="0.3">
      <c r="C780" s="7"/>
      <c r="H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3:32" ht="15.75" customHeight="1" x14ac:dyDescent="0.3">
      <c r="C781" s="7"/>
      <c r="H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3:32" ht="15.75" customHeight="1" x14ac:dyDescent="0.3">
      <c r="C782" s="7"/>
      <c r="H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3:32" ht="15.75" customHeight="1" x14ac:dyDescent="0.3">
      <c r="C783" s="7"/>
      <c r="H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3:32" ht="15.75" customHeight="1" x14ac:dyDescent="0.3">
      <c r="C784" s="7"/>
      <c r="H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3:32" ht="15.75" customHeight="1" x14ac:dyDescent="0.3">
      <c r="C785" s="7"/>
      <c r="H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3:32" ht="15.75" customHeight="1" x14ac:dyDescent="0.3">
      <c r="C786" s="7"/>
      <c r="H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3:32" ht="15.75" customHeight="1" x14ac:dyDescent="0.3">
      <c r="C787" s="7"/>
      <c r="H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3:32" ht="15.75" customHeight="1" x14ac:dyDescent="0.3">
      <c r="C788" s="7"/>
      <c r="H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3:32" ht="15.75" customHeight="1" x14ac:dyDescent="0.3">
      <c r="C789" s="7"/>
      <c r="H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3:32" ht="15.75" customHeight="1" x14ac:dyDescent="0.3">
      <c r="C790" s="7"/>
      <c r="H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3:32" ht="15.75" customHeight="1" x14ac:dyDescent="0.3">
      <c r="C791" s="7"/>
      <c r="H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3:32" ht="15.75" customHeight="1" x14ac:dyDescent="0.3">
      <c r="C792" s="7"/>
      <c r="H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3:32" ht="15.75" customHeight="1" x14ac:dyDescent="0.3">
      <c r="C793" s="7"/>
      <c r="H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3:32" ht="15.75" customHeight="1" x14ac:dyDescent="0.3">
      <c r="C794" s="7"/>
      <c r="H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3:32" ht="15.75" customHeight="1" x14ac:dyDescent="0.3">
      <c r="C795" s="7"/>
      <c r="H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3:32" ht="15.75" customHeight="1" x14ac:dyDescent="0.3">
      <c r="C796" s="7"/>
      <c r="H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3:32" ht="15.75" customHeight="1" x14ac:dyDescent="0.3">
      <c r="C797" s="7"/>
      <c r="H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3:32" ht="15.75" customHeight="1" x14ac:dyDescent="0.3">
      <c r="C798" s="7"/>
      <c r="H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3:32" ht="15.75" customHeight="1" x14ac:dyDescent="0.3">
      <c r="C799" s="7"/>
      <c r="H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3:32" ht="15.75" customHeight="1" x14ac:dyDescent="0.3">
      <c r="C800" s="7"/>
      <c r="H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3:32" ht="15.75" customHeight="1" x14ac:dyDescent="0.3">
      <c r="C801" s="7"/>
      <c r="H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3:32" ht="15.75" customHeight="1" x14ac:dyDescent="0.3">
      <c r="C802" s="7"/>
      <c r="H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3:32" ht="15.75" customHeight="1" x14ac:dyDescent="0.3">
      <c r="C803" s="7"/>
      <c r="H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3:32" ht="15.75" customHeight="1" x14ac:dyDescent="0.3">
      <c r="C804" s="7"/>
      <c r="H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3:32" ht="15.75" customHeight="1" x14ac:dyDescent="0.3">
      <c r="C805" s="7"/>
      <c r="H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3:32" ht="15.75" customHeight="1" x14ac:dyDescent="0.3">
      <c r="C806" s="7"/>
      <c r="H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3:32" ht="15.75" customHeight="1" x14ac:dyDescent="0.3">
      <c r="C807" s="7"/>
      <c r="H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3:32" ht="15.75" customHeight="1" x14ac:dyDescent="0.3">
      <c r="C808" s="7"/>
      <c r="H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3:32" ht="15.75" customHeight="1" x14ac:dyDescent="0.3">
      <c r="C809" s="7"/>
      <c r="H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3:32" ht="15.75" customHeight="1" x14ac:dyDescent="0.3">
      <c r="C810" s="7"/>
      <c r="H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3:32" ht="15.75" customHeight="1" x14ac:dyDescent="0.3">
      <c r="C811" s="7"/>
      <c r="H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3:32" ht="15.75" customHeight="1" x14ac:dyDescent="0.3">
      <c r="C812" s="7"/>
      <c r="H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3:32" ht="15.75" customHeight="1" x14ac:dyDescent="0.3">
      <c r="C813" s="7"/>
      <c r="H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3:32" ht="15.75" customHeight="1" x14ac:dyDescent="0.3">
      <c r="C814" s="7"/>
      <c r="H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3:32" ht="15.75" customHeight="1" x14ac:dyDescent="0.3">
      <c r="C815" s="7"/>
      <c r="H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3:32" ht="15.75" customHeight="1" x14ac:dyDescent="0.3">
      <c r="C816" s="7"/>
      <c r="H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3:32" ht="15.75" customHeight="1" x14ac:dyDescent="0.3">
      <c r="C817" s="7"/>
      <c r="H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3:32" ht="15.75" customHeight="1" x14ac:dyDescent="0.3">
      <c r="C818" s="7"/>
      <c r="H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3:32" ht="15.75" customHeight="1" x14ac:dyDescent="0.3">
      <c r="C819" s="7"/>
      <c r="H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3:32" ht="15.75" customHeight="1" x14ac:dyDescent="0.3">
      <c r="C820" s="7"/>
      <c r="H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3:32" ht="15.75" customHeight="1" x14ac:dyDescent="0.3">
      <c r="C821" s="7"/>
      <c r="H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3:32" ht="15.75" customHeight="1" x14ac:dyDescent="0.3">
      <c r="C822" s="7"/>
      <c r="H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3:32" ht="15.75" customHeight="1" x14ac:dyDescent="0.3">
      <c r="C823" s="7"/>
      <c r="H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3:32" ht="15.75" customHeight="1" x14ac:dyDescent="0.3">
      <c r="C824" s="7"/>
      <c r="H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3:32" ht="15.75" customHeight="1" x14ac:dyDescent="0.3">
      <c r="C825" s="7"/>
      <c r="H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3:32" ht="15.75" customHeight="1" x14ac:dyDescent="0.3">
      <c r="C826" s="7"/>
      <c r="H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3:32" ht="15.75" customHeight="1" x14ac:dyDescent="0.3">
      <c r="C827" s="7"/>
      <c r="H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3:32" ht="15.75" customHeight="1" x14ac:dyDescent="0.3">
      <c r="C828" s="7"/>
      <c r="H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3:32" ht="15.75" customHeight="1" x14ac:dyDescent="0.3">
      <c r="C829" s="7"/>
      <c r="H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3:32" ht="15.75" customHeight="1" x14ac:dyDescent="0.3">
      <c r="C830" s="7"/>
      <c r="H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3:32" ht="15.75" customHeight="1" x14ac:dyDescent="0.3">
      <c r="C831" s="7"/>
      <c r="H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3:32" ht="15.75" customHeight="1" x14ac:dyDescent="0.3">
      <c r="C832" s="7"/>
      <c r="H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3:32" ht="15.75" customHeight="1" x14ac:dyDescent="0.3">
      <c r="C833" s="7"/>
      <c r="H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3:32" ht="15.75" customHeight="1" x14ac:dyDescent="0.3">
      <c r="C834" s="7"/>
      <c r="H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3:32" ht="15.75" customHeight="1" x14ac:dyDescent="0.3">
      <c r="C835" s="7"/>
      <c r="H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3:32" ht="15.75" customHeight="1" x14ac:dyDescent="0.3">
      <c r="C836" s="7"/>
      <c r="H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3:32" ht="15.75" customHeight="1" x14ac:dyDescent="0.3">
      <c r="C837" s="7"/>
      <c r="H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3:32" ht="15.75" customHeight="1" x14ac:dyDescent="0.3">
      <c r="C838" s="7"/>
      <c r="H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3:32" ht="15.75" customHeight="1" x14ac:dyDescent="0.3">
      <c r="C839" s="7"/>
      <c r="H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3:32" ht="15.75" customHeight="1" x14ac:dyDescent="0.3">
      <c r="C840" s="7"/>
      <c r="H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3:32" ht="15.75" customHeight="1" x14ac:dyDescent="0.3">
      <c r="C841" s="7"/>
      <c r="H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3:32" ht="15.75" customHeight="1" x14ac:dyDescent="0.3">
      <c r="C842" s="7"/>
      <c r="H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3:32" ht="15.75" customHeight="1" x14ac:dyDescent="0.3">
      <c r="C843" s="7"/>
      <c r="H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3:32" ht="15.75" customHeight="1" x14ac:dyDescent="0.3">
      <c r="C844" s="7"/>
      <c r="H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3:32" ht="15.75" customHeight="1" x14ac:dyDescent="0.3">
      <c r="C845" s="7"/>
      <c r="H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3:32" ht="15.75" customHeight="1" x14ac:dyDescent="0.3">
      <c r="C846" s="7"/>
      <c r="H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3:32" ht="15.75" customHeight="1" x14ac:dyDescent="0.3">
      <c r="C847" s="7"/>
      <c r="H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3:32" ht="15.75" customHeight="1" x14ac:dyDescent="0.3">
      <c r="C848" s="7"/>
      <c r="H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3:32" ht="15.75" customHeight="1" x14ac:dyDescent="0.3">
      <c r="C849" s="7"/>
      <c r="H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3:32" ht="15.75" customHeight="1" x14ac:dyDescent="0.3">
      <c r="C850" s="7"/>
      <c r="H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3:32" ht="15.75" customHeight="1" x14ac:dyDescent="0.3">
      <c r="C851" s="7"/>
      <c r="H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3:32" ht="15.75" customHeight="1" x14ac:dyDescent="0.3">
      <c r="C852" s="7"/>
      <c r="H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3:32" ht="15.75" customHeight="1" x14ac:dyDescent="0.3">
      <c r="C853" s="7"/>
      <c r="H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3:32" ht="15.75" customHeight="1" x14ac:dyDescent="0.3">
      <c r="C854" s="7"/>
      <c r="H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3:32" ht="15.75" customHeight="1" x14ac:dyDescent="0.3">
      <c r="C855" s="7"/>
      <c r="H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3:32" ht="15.75" customHeight="1" x14ac:dyDescent="0.3">
      <c r="C856" s="7"/>
      <c r="H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3:32" ht="15.75" customHeight="1" x14ac:dyDescent="0.3">
      <c r="C857" s="7"/>
      <c r="H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3:32" ht="15.75" customHeight="1" x14ac:dyDescent="0.3">
      <c r="C858" s="7"/>
      <c r="H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3:32" ht="15.75" customHeight="1" x14ac:dyDescent="0.3">
      <c r="C859" s="7"/>
      <c r="H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3:32" ht="15.75" customHeight="1" x14ac:dyDescent="0.3">
      <c r="C860" s="7"/>
      <c r="H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3:32" ht="15.75" customHeight="1" x14ac:dyDescent="0.3">
      <c r="C861" s="7"/>
      <c r="H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3:32" ht="15.75" customHeight="1" x14ac:dyDescent="0.3">
      <c r="C862" s="7"/>
      <c r="H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3:32" ht="15.75" customHeight="1" x14ac:dyDescent="0.3">
      <c r="C863" s="7"/>
      <c r="H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3:32" ht="15.75" customHeight="1" x14ac:dyDescent="0.3">
      <c r="C864" s="7"/>
      <c r="H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3:32" ht="15.75" customHeight="1" x14ac:dyDescent="0.3">
      <c r="C865" s="7"/>
      <c r="H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3:32" ht="15.75" customHeight="1" x14ac:dyDescent="0.3">
      <c r="C866" s="7"/>
      <c r="H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3:32" ht="15.75" customHeight="1" x14ac:dyDescent="0.3">
      <c r="C867" s="7"/>
      <c r="H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3:32" ht="15.75" customHeight="1" x14ac:dyDescent="0.3">
      <c r="C868" s="7"/>
      <c r="H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3:32" ht="15.75" customHeight="1" x14ac:dyDescent="0.3">
      <c r="C869" s="7"/>
      <c r="H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3:32" ht="15.75" customHeight="1" x14ac:dyDescent="0.3">
      <c r="C870" s="7"/>
      <c r="H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3:32" ht="15.75" customHeight="1" x14ac:dyDescent="0.3">
      <c r="C871" s="7"/>
      <c r="H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3:32" ht="15.75" customHeight="1" x14ac:dyDescent="0.3">
      <c r="C872" s="7"/>
      <c r="H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3:32" ht="15.75" customHeight="1" x14ac:dyDescent="0.3">
      <c r="C873" s="7"/>
      <c r="H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3:32" ht="15.75" customHeight="1" x14ac:dyDescent="0.3">
      <c r="C874" s="7"/>
      <c r="H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3:32" ht="15.75" customHeight="1" x14ac:dyDescent="0.3">
      <c r="C875" s="7"/>
      <c r="H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3:32" ht="15.75" customHeight="1" x14ac:dyDescent="0.3">
      <c r="C876" s="7"/>
      <c r="H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3:32" ht="15.75" customHeight="1" x14ac:dyDescent="0.3">
      <c r="C877" s="7"/>
      <c r="H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3:32" ht="15.75" customHeight="1" x14ac:dyDescent="0.3">
      <c r="C878" s="7"/>
      <c r="H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3:32" ht="15.75" customHeight="1" x14ac:dyDescent="0.3">
      <c r="C879" s="7"/>
      <c r="H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3:32" ht="15.75" customHeight="1" x14ac:dyDescent="0.3">
      <c r="C880" s="7"/>
      <c r="H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3:32" ht="15.75" customHeight="1" x14ac:dyDescent="0.3">
      <c r="C881" s="7"/>
      <c r="H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3:32" ht="15.75" customHeight="1" x14ac:dyDescent="0.3">
      <c r="C882" s="7"/>
      <c r="H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3:32" ht="15.75" customHeight="1" x14ac:dyDescent="0.3">
      <c r="C883" s="7"/>
      <c r="H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3:32" ht="15.75" customHeight="1" x14ac:dyDescent="0.3">
      <c r="C884" s="7"/>
      <c r="H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3:32" ht="15.75" customHeight="1" x14ac:dyDescent="0.3">
      <c r="C885" s="7"/>
      <c r="H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3:32" ht="15.75" customHeight="1" x14ac:dyDescent="0.3">
      <c r="C886" s="7"/>
      <c r="H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3:32" ht="15.75" customHeight="1" x14ac:dyDescent="0.3">
      <c r="C887" s="7"/>
      <c r="H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3:32" ht="15.75" customHeight="1" x14ac:dyDescent="0.3">
      <c r="C888" s="7"/>
      <c r="H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3:32" ht="15.75" customHeight="1" x14ac:dyDescent="0.3">
      <c r="C889" s="7"/>
      <c r="H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3:32" ht="15.75" customHeight="1" x14ac:dyDescent="0.3">
      <c r="C890" s="7"/>
      <c r="H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3:32" ht="15.75" customHeight="1" x14ac:dyDescent="0.3">
      <c r="C891" s="7"/>
      <c r="H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3:32" ht="15.75" customHeight="1" x14ac:dyDescent="0.3">
      <c r="C892" s="7"/>
      <c r="H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3:32" ht="15.75" customHeight="1" x14ac:dyDescent="0.3">
      <c r="C893" s="7"/>
      <c r="H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3:32" ht="15.75" customHeight="1" x14ac:dyDescent="0.3">
      <c r="C894" s="7"/>
      <c r="H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3:32" ht="15.75" customHeight="1" x14ac:dyDescent="0.3">
      <c r="C895" s="7"/>
      <c r="H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3:32" ht="15.75" customHeight="1" x14ac:dyDescent="0.3">
      <c r="C896" s="7"/>
      <c r="H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3:32" ht="15.75" customHeight="1" x14ac:dyDescent="0.3">
      <c r="C897" s="7"/>
      <c r="H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3:32" ht="15.75" customHeight="1" x14ac:dyDescent="0.3">
      <c r="C898" s="7"/>
      <c r="H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3:32" ht="15.75" customHeight="1" x14ac:dyDescent="0.3">
      <c r="C899" s="7"/>
      <c r="H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3:32" ht="15.75" customHeight="1" x14ac:dyDescent="0.3">
      <c r="C900" s="7"/>
      <c r="H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3:32" ht="15.75" customHeight="1" x14ac:dyDescent="0.3">
      <c r="C901" s="7"/>
      <c r="H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3:32" ht="15.75" customHeight="1" x14ac:dyDescent="0.3">
      <c r="C902" s="7"/>
      <c r="H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3:32" ht="15.75" customHeight="1" x14ac:dyDescent="0.3">
      <c r="C903" s="7"/>
      <c r="H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3:32" ht="15.75" customHeight="1" x14ac:dyDescent="0.3">
      <c r="C904" s="7"/>
      <c r="H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3:32" ht="15.75" customHeight="1" x14ac:dyDescent="0.3">
      <c r="C905" s="7"/>
      <c r="H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3:32" ht="15.75" customHeight="1" x14ac:dyDescent="0.3">
      <c r="C906" s="7"/>
      <c r="H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3:32" ht="15.75" customHeight="1" x14ac:dyDescent="0.3">
      <c r="C907" s="7"/>
      <c r="H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3:32" ht="15.75" customHeight="1" x14ac:dyDescent="0.3">
      <c r="C908" s="7"/>
      <c r="H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3:32" ht="15.75" customHeight="1" x14ac:dyDescent="0.3">
      <c r="C909" s="7"/>
      <c r="H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3:32" ht="15.75" customHeight="1" x14ac:dyDescent="0.3">
      <c r="C910" s="7"/>
      <c r="H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3:32" ht="15.75" customHeight="1" x14ac:dyDescent="0.3">
      <c r="C911" s="7"/>
      <c r="H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3:32" ht="15.75" customHeight="1" x14ac:dyDescent="0.3">
      <c r="C912" s="7"/>
      <c r="H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3:32" ht="15.75" customHeight="1" x14ac:dyDescent="0.3">
      <c r="C913" s="7"/>
      <c r="H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3:32" ht="15.75" customHeight="1" x14ac:dyDescent="0.3">
      <c r="C914" s="7"/>
      <c r="H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3:32" ht="15.75" customHeight="1" x14ac:dyDescent="0.3">
      <c r="C915" s="7"/>
      <c r="H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3:32" ht="15.75" customHeight="1" x14ac:dyDescent="0.3">
      <c r="C916" s="7"/>
      <c r="H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3:32" ht="15.75" customHeight="1" x14ac:dyDescent="0.3">
      <c r="C917" s="7"/>
      <c r="H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3:32" ht="15.75" customHeight="1" x14ac:dyDescent="0.3">
      <c r="C918" s="7"/>
      <c r="H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3:32" ht="15.75" customHeight="1" x14ac:dyDescent="0.3">
      <c r="C919" s="7"/>
      <c r="H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3:32" ht="15.75" customHeight="1" x14ac:dyDescent="0.3">
      <c r="C920" s="7"/>
      <c r="H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3:32" ht="15.75" customHeight="1" x14ac:dyDescent="0.3">
      <c r="C921" s="7"/>
      <c r="H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3:32" ht="15.75" customHeight="1" x14ac:dyDescent="0.3">
      <c r="C922" s="7"/>
      <c r="H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3:32" ht="15.75" customHeight="1" x14ac:dyDescent="0.3">
      <c r="C923" s="7"/>
      <c r="H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3:32" ht="15.75" customHeight="1" x14ac:dyDescent="0.3">
      <c r="C924" s="7"/>
      <c r="H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3:32" ht="15.75" customHeight="1" x14ac:dyDescent="0.3">
      <c r="C925" s="7"/>
      <c r="H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3:32" ht="15.75" customHeight="1" x14ac:dyDescent="0.3">
      <c r="C926" s="7"/>
      <c r="H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3:32" ht="15.75" customHeight="1" x14ac:dyDescent="0.3">
      <c r="C927" s="7"/>
      <c r="H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3:32" ht="15.75" customHeight="1" x14ac:dyDescent="0.3">
      <c r="C928" s="7"/>
      <c r="H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3:32" ht="15.75" customHeight="1" x14ac:dyDescent="0.3">
      <c r="C929" s="7"/>
      <c r="H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3:32" ht="15.75" customHeight="1" x14ac:dyDescent="0.3">
      <c r="C930" s="7"/>
      <c r="H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3:32" ht="15.75" customHeight="1" x14ac:dyDescent="0.3">
      <c r="C931" s="7"/>
      <c r="H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3:32" ht="15.75" customHeight="1" x14ac:dyDescent="0.3">
      <c r="C932" s="7"/>
      <c r="H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3:32" ht="15.75" customHeight="1" x14ac:dyDescent="0.3">
      <c r="C933" s="7"/>
      <c r="H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3:32" ht="15.75" customHeight="1" x14ac:dyDescent="0.3">
      <c r="C934" s="7"/>
      <c r="H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3:32" ht="15.75" customHeight="1" x14ac:dyDescent="0.3">
      <c r="C935" s="7"/>
      <c r="H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3:32" ht="15.75" customHeight="1" x14ac:dyDescent="0.3">
      <c r="C936" s="7"/>
      <c r="H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3:32" ht="15.75" customHeight="1" x14ac:dyDescent="0.3">
      <c r="C937" s="7"/>
      <c r="H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3:32" ht="15.75" customHeight="1" x14ac:dyDescent="0.3">
      <c r="C938" s="7"/>
      <c r="H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3:32" ht="15.75" customHeight="1" x14ac:dyDescent="0.3">
      <c r="C939" s="7"/>
      <c r="H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3:32" ht="15.75" customHeight="1" x14ac:dyDescent="0.3">
      <c r="C940" s="7"/>
      <c r="H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3:32" ht="15.75" customHeight="1" x14ac:dyDescent="0.3">
      <c r="C941" s="7"/>
      <c r="H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3:32" ht="15.75" customHeight="1" x14ac:dyDescent="0.3">
      <c r="C942" s="7"/>
      <c r="H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3:32" ht="15.75" customHeight="1" x14ac:dyDescent="0.3">
      <c r="C943" s="7"/>
      <c r="H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3:32" ht="15.75" customHeight="1" x14ac:dyDescent="0.3">
      <c r="C944" s="7"/>
      <c r="H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3:32" ht="15.75" customHeight="1" x14ac:dyDescent="0.3">
      <c r="C945" s="7"/>
      <c r="H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3:32" ht="15.75" customHeight="1" x14ac:dyDescent="0.3">
      <c r="C946" s="7"/>
      <c r="H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3:32" ht="15.75" customHeight="1" x14ac:dyDescent="0.3">
      <c r="C947" s="7"/>
      <c r="H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3:32" ht="15.75" customHeight="1" x14ac:dyDescent="0.3">
      <c r="C948" s="7"/>
      <c r="H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3:32" ht="15.75" customHeight="1" x14ac:dyDescent="0.3">
      <c r="C949" s="7"/>
      <c r="H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3:32" ht="15.75" customHeight="1" x14ac:dyDescent="0.3">
      <c r="C950" s="7"/>
      <c r="H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3:32" ht="15.75" customHeight="1" x14ac:dyDescent="0.3">
      <c r="C951" s="7"/>
      <c r="H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3:32" ht="15.75" customHeight="1" x14ac:dyDescent="0.3">
      <c r="C952" s="7"/>
      <c r="H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3:32" ht="15.75" customHeight="1" x14ac:dyDescent="0.3">
      <c r="C953" s="7"/>
      <c r="H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3:32" ht="15.75" customHeight="1" x14ac:dyDescent="0.3">
      <c r="C954" s="7"/>
      <c r="H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3:32" ht="15.75" customHeight="1" x14ac:dyDescent="0.3">
      <c r="C955" s="7"/>
      <c r="H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3:32" ht="15.75" customHeight="1" x14ac:dyDescent="0.3">
      <c r="C956" s="7"/>
      <c r="H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3:32" ht="15.75" customHeight="1" x14ac:dyDescent="0.3">
      <c r="C957" s="7"/>
      <c r="H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3:32" ht="15.75" customHeight="1" x14ac:dyDescent="0.3">
      <c r="C958" s="7"/>
      <c r="H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3:32" ht="15.75" customHeight="1" x14ac:dyDescent="0.3">
      <c r="C959" s="7"/>
      <c r="H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3:32" ht="15.75" customHeight="1" x14ac:dyDescent="0.3">
      <c r="C960" s="7"/>
      <c r="H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3:32" ht="15.75" customHeight="1" x14ac:dyDescent="0.3">
      <c r="C961" s="7"/>
      <c r="H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3:32" ht="15.75" customHeight="1" x14ac:dyDescent="0.3">
      <c r="C962" s="7"/>
      <c r="H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3:32" ht="15.75" customHeight="1" x14ac:dyDescent="0.3">
      <c r="C963" s="7"/>
      <c r="H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3:32" ht="15.75" customHeight="1" x14ac:dyDescent="0.3">
      <c r="C964" s="7"/>
      <c r="H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3:32" ht="15.75" customHeight="1" x14ac:dyDescent="0.3">
      <c r="C965" s="7"/>
      <c r="H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3:32" ht="15.75" customHeight="1" x14ac:dyDescent="0.3">
      <c r="C966" s="7"/>
      <c r="H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3:32" ht="15.75" customHeight="1" x14ac:dyDescent="0.3">
      <c r="C967" s="7"/>
      <c r="H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3:32" ht="15.75" customHeight="1" x14ac:dyDescent="0.3">
      <c r="C968" s="7"/>
      <c r="H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3:32" ht="15.75" customHeight="1" x14ac:dyDescent="0.3">
      <c r="C969" s="7"/>
      <c r="H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3:32" ht="15.75" customHeight="1" x14ac:dyDescent="0.3">
      <c r="C970" s="7"/>
      <c r="H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3:32" ht="15.75" customHeight="1" x14ac:dyDescent="0.3">
      <c r="C971" s="7"/>
      <c r="H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3:32" ht="15.75" customHeight="1" x14ac:dyDescent="0.3">
      <c r="C972" s="7"/>
      <c r="H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3:32" ht="15.75" customHeight="1" x14ac:dyDescent="0.3">
      <c r="C973" s="7"/>
      <c r="H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3:32" ht="15.75" customHeight="1" x14ac:dyDescent="0.3">
      <c r="C974" s="7"/>
      <c r="H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3:32" ht="15.75" customHeight="1" x14ac:dyDescent="0.3">
      <c r="C975" s="7"/>
      <c r="H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3:32" ht="15.75" customHeight="1" x14ac:dyDescent="0.3">
      <c r="C976" s="7"/>
      <c r="H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3:32" ht="15.75" customHeight="1" x14ac:dyDescent="0.3">
      <c r="C977" s="7"/>
      <c r="H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3:32" ht="15.75" customHeight="1" x14ac:dyDescent="0.3">
      <c r="C978" s="7"/>
      <c r="H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3:32" ht="15.75" customHeight="1" x14ac:dyDescent="0.3">
      <c r="C979" s="7"/>
      <c r="H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3:32" ht="15.75" customHeight="1" x14ac:dyDescent="0.3">
      <c r="C980" s="7"/>
      <c r="H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3:32" ht="15.75" customHeight="1" x14ac:dyDescent="0.3">
      <c r="C981" s="7"/>
      <c r="H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3:32" ht="15.75" customHeight="1" x14ac:dyDescent="0.3">
      <c r="C982" s="7"/>
      <c r="H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3:32" ht="15.75" customHeight="1" x14ac:dyDescent="0.3">
      <c r="C983" s="7"/>
      <c r="H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3:32" ht="15.75" customHeight="1" x14ac:dyDescent="0.3">
      <c r="C984" s="7"/>
      <c r="H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3:32" ht="15.75" customHeight="1" x14ac:dyDescent="0.3">
      <c r="C985" s="7"/>
      <c r="H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3:32" ht="15.75" customHeight="1" x14ac:dyDescent="0.3">
      <c r="C986" s="7"/>
      <c r="H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3:32" ht="15.75" customHeight="1" x14ac:dyDescent="0.3">
      <c r="C987" s="7"/>
      <c r="H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3:32" ht="15.75" customHeight="1" x14ac:dyDescent="0.3">
      <c r="C988" s="7"/>
      <c r="H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3:32" ht="15.75" customHeight="1" x14ac:dyDescent="0.3">
      <c r="C989" s="7"/>
      <c r="H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3:32" ht="15.75" customHeight="1" x14ac:dyDescent="0.3">
      <c r="C990" s="7"/>
      <c r="H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3:32" ht="15.75" customHeight="1" x14ac:dyDescent="0.3">
      <c r="C991" s="7"/>
      <c r="H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3:32" ht="15.75" customHeight="1" x14ac:dyDescent="0.3">
      <c r="C992" s="7"/>
      <c r="H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3:32" ht="15.75" customHeight="1" x14ac:dyDescent="0.3">
      <c r="C993" s="7"/>
      <c r="H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3:32" ht="15.75" customHeight="1" x14ac:dyDescent="0.3">
      <c r="C994" s="7"/>
      <c r="H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3:32" ht="15.75" customHeight="1" x14ac:dyDescent="0.3">
      <c r="C995" s="7"/>
      <c r="H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3:32" ht="15.75" customHeight="1" x14ac:dyDescent="0.3">
      <c r="C996" s="7"/>
      <c r="H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3:32" ht="15.75" customHeight="1" x14ac:dyDescent="0.3">
      <c r="C997" s="7"/>
      <c r="H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3:32" ht="15.75" customHeight="1" x14ac:dyDescent="0.3">
      <c r="C998" s="7"/>
      <c r="H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3:32" ht="15.75" customHeight="1" x14ac:dyDescent="0.3">
      <c r="C999" s="7"/>
      <c r="H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3:32" ht="15.75" customHeight="1" x14ac:dyDescent="0.3">
      <c r="C1000" s="7"/>
      <c r="H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autoFilter ref="A1:AX235" xr:uid="{00000000-0001-0000-0000-000000000000}"/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defaultColWidth="14.44140625" defaultRowHeight="15" customHeight="1" x14ac:dyDescent="0.3"/>
  <cols>
    <col min="1" max="1" width="16.33203125" customWidth="1"/>
    <col min="2" max="2" width="10" customWidth="1"/>
    <col min="3" max="3" width="4.5546875" customWidth="1"/>
    <col min="4" max="4" width="9.33203125" customWidth="1"/>
    <col min="5" max="5" width="5.6640625" customWidth="1"/>
    <col min="6" max="6" width="5.88671875" customWidth="1"/>
    <col min="7" max="7" width="9.5546875" customWidth="1"/>
    <col min="8" max="8" width="4.88671875" customWidth="1"/>
    <col min="9" max="9" width="15.33203125" customWidth="1"/>
    <col min="10" max="10" width="12.5546875" customWidth="1"/>
    <col min="11" max="11" width="6.109375" customWidth="1"/>
    <col min="12" max="26" width="8.6640625" customWidth="1"/>
  </cols>
  <sheetData>
    <row r="1" spans="1:11" ht="14.4" x14ac:dyDescent="0.3">
      <c r="A1" s="1" t="s">
        <v>0</v>
      </c>
      <c r="B1" s="1" t="s">
        <v>1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49</v>
      </c>
      <c r="J1" s="1" t="s">
        <v>50</v>
      </c>
      <c r="K1" s="1" t="s">
        <v>51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33.44140625" customWidth="1"/>
    <col min="3" max="3" width="63" customWidth="1"/>
    <col min="4" max="4" width="58.88671875" customWidth="1"/>
    <col min="5" max="5" width="57.109375" customWidth="1"/>
    <col min="6" max="6" width="11.6640625" customWidth="1"/>
    <col min="7" max="7" width="5.88671875" customWidth="1"/>
    <col min="8" max="8" width="9.5546875" customWidth="1"/>
    <col min="9" max="26" width="8.6640625" customWidth="1"/>
  </cols>
  <sheetData>
    <row r="1" spans="1:8" ht="14.4" x14ac:dyDescent="0.3">
      <c r="A1" s="1" t="s">
        <v>592</v>
      </c>
      <c r="B1" s="1" t="s">
        <v>597</v>
      </c>
      <c r="C1" s="1" t="s">
        <v>598</v>
      </c>
      <c r="D1" s="1" t="s">
        <v>599</v>
      </c>
      <c r="E1" s="1" t="s">
        <v>600</v>
      </c>
      <c r="F1" s="1" t="s">
        <v>596</v>
      </c>
      <c r="G1" s="1" t="s">
        <v>594</v>
      </c>
      <c r="H1" s="1" t="s">
        <v>595</v>
      </c>
    </row>
    <row r="2" spans="1:8" ht="14.4" x14ac:dyDescent="0.3">
      <c r="A2" s="2" t="s">
        <v>3</v>
      </c>
      <c r="B2" s="2" t="s">
        <v>601</v>
      </c>
      <c r="C2" s="2" t="s">
        <v>602</v>
      </c>
      <c r="D2" s="2" t="s">
        <v>603</v>
      </c>
      <c r="E2" s="2" t="s">
        <v>604</v>
      </c>
      <c r="F2" s="2" t="s">
        <v>605</v>
      </c>
    </row>
    <row r="3" spans="1:8" ht="14.4" x14ac:dyDescent="0.3">
      <c r="A3" s="2" t="s">
        <v>4</v>
      </c>
      <c r="B3" s="2" t="s">
        <v>606</v>
      </c>
      <c r="C3" s="2" t="s">
        <v>607</v>
      </c>
      <c r="D3" s="2" t="s">
        <v>608</v>
      </c>
      <c r="E3" s="2" t="s">
        <v>609</v>
      </c>
      <c r="F3" s="2" t="s">
        <v>605</v>
      </c>
    </row>
    <row r="4" spans="1:8" ht="14.4" x14ac:dyDescent="0.3">
      <c r="A4" s="2" t="s">
        <v>5</v>
      </c>
      <c r="B4" s="2" t="s">
        <v>610</v>
      </c>
      <c r="C4" s="2" t="s">
        <v>611</v>
      </c>
      <c r="D4" s="2" t="s">
        <v>612</v>
      </c>
      <c r="E4" s="2" t="s">
        <v>613</v>
      </c>
      <c r="F4" s="2" t="s">
        <v>614</v>
      </c>
    </row>
    <row r="5" spans="1:8" ht="14.4" x14ac:dyDescent="0.3">
      <c r="A5" s="2" t="s">
        <v>6</v>
      </c>
      <c r="B5" s="2" t="s">
        <v>615</v>
      </c>
      <c r="C5" s="2" t="s">
        <v>616</v>
      </c>
      <c r="D5" s="2" t="s">
        <v>617</v>
      </c>
      <c r="E5" s="2" t="s">
        <v>618</v>
      </c>
      <c r="F5" s="2" t="s">
        <v>619</v>
      </c>
    </row>
    <row r="6" spans="1:8" ht="14.4" x14ac:dyDescent="0.3">
      <c r="A6" s="2" t="s">
        <v>41</v>
      </c>
      <c r="B6" s="2" t="s">
        <v>620</v>
      </c>
      <c r="C6" s="2" t="s">
        <v>621</v>
      </c>
      <c r="D6" s="2" t="s">
        <v>622</v>
      </c>
      <c r="E6" s="2" t="s">
        <v>623</v>
      </c>
      <c r="F6" s="2" t="s">
        <v>619</v>
      </c>
    </row>
    <row r="7" spans="1:8" ht="14.4" x14ac:dyDescent="0.3">
      <c r="A7" s="2" t="s">
        <v>7</v>
      </c>
      <c r="B7" s="2" t="s">
        <v>624</v>
      </c>
      <c r="C7" s="2" t="s">
        <v>625</v>
      </c>
      <c r="D7" s="2" t="s">
        <v>626</v>
      </c>
      <c r="E7" s="2" t="s">
        <v>627</v>
      </c>
      <c r="F7" s="2" t="s">
        <v>594</v>
      </c>
      <c r="G7" s="2" t="s">
        <v>628</v>
      </c>
    </row>
    <row r="8" spans="1:8" ht="14.4" x14ac:dyDescent="0.3">
      <c r="A8" s="2" t="s">
        <v>8</v>
      </c>
      <c r="B8" s="2" t="s">
        <v>629</v>
      </c>
      <c r="C8" s="2" t="s">
        <v>630</v>
      </c>
      <c r="D8" s="2" t="s">
        <v>631</v>
      </c>
      <c r="E8" s="2" t="s">
        <v>627</v>
      </c>
      <c r="F8" s="2" t="s">
        <v>594</v>
      </c>
      <c r="G8" s="2" t="s">
        <v>632</v>
      </c>
    </row>
    <row r="9" spans="1:8" ht="14.4" x14ac:dyDescent="0.3">
      <c r="A9" s="2" t="s">
        <v>9</v>
      </c>
      <c r="B9" s="2" t="s">
        <v>633</v>
      </c>
      <c r="C9" s="2" t="s">
        <v>634</v>
      </c>
      <c r="D9" s="2" t="s">
        <v>635</v>
      </c>
      <c r="E9" s="2" t="s">
        <v>636</v>
      </c>
      <c r="F9" s="2" t="s">
        <v>594</v>
      </c>
      <c r="G9" s="2" t="s">
        <v>628</v>
      </c>
    </row>
    <row r="10" spans="1:8" ht="14.4" x14ac:dyDescent="0.3">
      <c r="A10" s="2" t="s">
        <v>10</v>
      </c>
      <c r="B10" s="2" t="s">
        <v>637</v>
      </c>
      <c r="C10" s="2" t="s">
        <v>638</v>
      </c>
      <c r="D10" s="2" t="s">
        <v>639</v>
      </c>
      <c r="E10" s="2" t="s">
        <v>636</v>
      </c>
      <c r="F10" s="2" t="s">
        <v>594</v>
      </c>
      <c r="G10" s="2" t="s">
        <v>632</v>
      </c>
    </row>
    <row r="11" spans="1:8" ht="14.4" x14ac:dyDescent="0.3">
      <c r="A11" s="2" t="s">
        <v>11</v>
      </c>
      <c r="B11" s="2" t="s">
        <v>640</v>
      </c>
      <c r="C11" s="2" t="s">
        <v>641</v>
      </c>
      <c r="D11" s="2" t="s">
        <v>642</v>
      </c>
      <c r="E11" s="2" t="s">
        <v>643</v>
      </c>
      <c r="F11" s="2" t="s">
        <v>594</v>
      </c>
      <c r="G11" s="2" t="s">
        <v>628</v>
      </c>
    </row>
    <row r="12" spans="1:8" ht="14.4" x14ac:dyDescent="0.3">
      <c r="A12" s="2" t="s">
        <v>12</v>
      </c>
      <c r="B12" s="2" t="s">
        <v>644</v>
      </c>
      <c r="C12" s="2" t="s">
        <v>645</v>
      </c>
      <c r="D12" s="2" t="s">
        <v>646</v>
      </c>
      <c r="E12" s="2" t="s">
        <v>643</v>
      </c>
      <c r="F12" s="2" t="s">
        <v>594</v>
      </c>
      <c r="G12" s="2" t="s">
        <v>632</v>
      </c>
    </row>
    <row r="13" spans="1:8" ht="14.4" x14ac:dyDescent="0.3">
      <c r="A13" s="2" t="s">
        <v>647</v>
      </c>
      <c r="B13" s="2" t="s">
        <v>648</v>
      </c>
      <c r="C13" s="2" t="s">
        <v>649</v>
      </c>
      <c r="D13" s="2" t="s">
        <v>650</v>
      </c>
      <c r="E13" s="2" t="s">
        <v>651</v>
      </c>
      <c r="F13" s="2" t="s">
        <v>595</v>
      </c>
      <c r="G13" s="2" t="s">
        <v>628</v>
      </c>
      <c r="H13" s="2" t="s">
        <v>652</v>
      </c>
    </row>
    <row r="14" spans="1:8" ht="14.4" x14ac:dyDescent="0.3">
      <c r="A14" s="2" t="s">
        <v>653</v>
      </c>
      <c r="B14" s="2" t="s">
        <v>654</v>
      </c>
      <c r="C14" s="2" t="s">
        <v>649</v>
      </c>
      <c r="D14" s="2" t="s">
        <v>655</v>
      </c>
      <c r="E14" s="2" t="s">
        <v>651</v>
      </c>
      <c r="F14" s="2" t="s">
        <v>595</v>
      </c>
      <c r="G14" s="2" t="s">
        <v>632</v>
      </c>
      <c r="H14" s="2" t="s">
        <v>652</v>
      </c>
    </row>
    <row r="15" spans="1:8" ht="14.4" x14ac:dyDescent="0.3">
      <c r="A15" s="2" t="s">
        <v>656</v>
      </c>
      <c r="B15" s="2" t="s">
        <v>657</v>
      </c>
      <c r="C15" s="2" t="s">
        <v>649</v>
      </c>
      <c r="D15" s="2" t="s">
        <v>658</v>
      </c>
      <c r="E15" s="2" t="s">
        <v>651</v>
      </c>
      <c r="F15" s="2" t="s">
        <v>595</v>
      </c>
      <c r="G15" s="2" t="s">
        <v>628</v>
      </c>
      <c r="H15" s="2" t="s">
        <v>659</v>
      </c>
    </row>
    <row r="16" spans="1:8" ht="14.4" x14ac:dyDescent="0.3">
      <c r="A16" s="2" t="s">
        <v>660</v>
      </c>
      <c r="B16" s="2" t="s">
        <v>661</v>
      </c>
      <c r="C16" s="2" t="s">
        <v>649</v>
      </c>
      <c r="D16" s="2" t="s">
        <v>662</v>
      </c>
      <c r="E16" s="2" t="s">
        <v>651</v>
      </c>
      <c r="F16" s="2" t="s">
        <v>595</v>
      </c>
      <c r="G16" s="2" t="s">
        <v>632</v>
      </c>
      <c r="H16" s="2" t="s">
        <v>659</v>
      </c>
    </row>
    <row r="17" spans="1:8" ht="14.4" x14ac:dyDescent="0.3">
      <c r="A17" s="2" t="s">
        <v>663</v>
      </c>
      <c r="B17" s="2" t="s">
        <v>664</v>
      </c>
      <c r="C17" s="2" t="s">
        <v>665</v>
      </c>
      <c r="D17" s="2" t="s">
        <v>666</v>
      </c>
      <c r="E17" s="2" t="s">
        <v>667</v>
      </c>
      <c r="F17" s="2" t="s">
        <v>594</v>
      </c>
      <c r="G17" s="2" t="s">
        <v>628</v>
      </c>
    </row>
    <row r="18" spans="1:8" ht="14.4" x14ac:dyDescent="0.3">
      <c r="A18" s="2" t="s">
        <v>668</v>
      </c>
      <c r="B18" s="2" t="s">
        <v>669</v>
      </c>
      <c r="C18" s="2" t="s">
        <v>665</v>
      </c>
      <c r="D18" s="2" t="s">
        <v>670</v>
      </c>
      <c r="E18" s="2" t="s">
        <v>667</v>
      </c>
      <c r="F18" s="2" t="s">
        <v>594</v>
      </c>
      <c r="G18" s="2" t="s">
        <v>632</v>
      </c>
    </row>
    <row r="19" spans="1:8" ht="14.4" x14ac:dyDescent="0.3">
      <c r="A19" s="2" t="s">
        <v>671</v>
      </c>
      <c r="B19" s="2" t="s">
        <v>672</v>
      </c>
      <c r="C19" s="2" t="s">
        <v>673</v>
      </c>
      <c r="D19" s="2" t="s">
        <v>674</v>
      </c>
      <c r="E19" s="2" t="s">
        <v>675</v>
      </c>
      <c r="F19" s="2" t="s">
        <v>594</v>
      </c>
      <c r="G19" s="2" t="s">
        <v>628</v>
      </c>
    </row>
    <row r="20" spans="1:8" ht="14.4" x14ac:dyDescent="0.3">
      <c r="A20" s="2" t="s">
        <v>676</v>
      </c>
      <c r="B20" s="2" t="s">
        <v>677</v>
      </c>
      <c r="C20" s="2" t="s">
        <v>673</v>
      </c>
      <c r="D20" s="2" t="s">
        <v>678</v>
      </c>
      <c r="E20" s="2" t="s">
        <v>675</v>
      </c>
      <c r="F20" s="2" t="s">
        <v>594</v>
      </c>
      <c r="G20" s="2" t="s">
        <v>632</v>
      </c>
    </row>
    <row r="21" spans="1:8" ht="15.75" customHeight="1" x14ac:dyDescent="0.3">
      <c r="A21" s="2" t="s">
        <v>13</v>
      </c>
      <c r="B21" s="2" t="s">
        <v>679</v>
      </c>
      <c r="C21" s="2" t="s">
        <v>680</v>
      </c>
      <c r="D21" s="2" t="s">
        <v>681</v>
      </c>
      <c r="F21" s="2" t="s">
        <v>595</v>
      </c>
      <c r="G21" s="2" t="s">
        <v>628</v>
      </c>
      <c r="H21" s="2" t="s">
        <v>652</v>
      </c>
    </row>
    <row r="22" spans="1:8" ht="15.75" customHeight="1" x14ac:dyDescent="0.3">
      <c r="A22" s="2" t="s">
        <v>14</v>
      </c>
      <c r="B22" s="2" t="s">
        <v>682</v>
      </c>
      <c r="C22" s="2" t="s">
        <v>683</v>
      </c>
      <c r="D22" s="2" t="s">
        <v>681</v>
      </c>
      <c r="F22" s="2" t="s">
        <v>595</v>
      </c>
      <c r="G22" s="2" t="s">
        <v>628</v>
      </c>
      <c r="H22" s="2" t="s">
        <v>659</v>
      </c>
    </row>
    <row r="23" spans="1:8" ht="15.75" customHeight="1" x14ac:dyDescent="0.3">
      <c r="A23" s="2" t="s">
        <v>15</v>
      </c>
      <c r="B23" s="2" t="s">
        <v>684</v>
      </c>
      <c r="C23" s="2" t="s">
        <v>685</v>
      </c>
      <c r="D23" s="2" t="s">
        <v>681</v>
      </c>
      <c r="F23" s="2" t="s">
        <v>595</v>
      </c>
      <c r="G23" s="2" t="s">
        <v>632</v>
      </c>
      <c r="H23" s="2" t="s">
        <v>652</v>
      </c>
    </row>
    <row r="24" spans="1:8" ht="15.75" customHeight="1" x14ac:dyDescent="0.3">
      <c r="A24" s="2" t="s">
        <v>16</v>
      </c>
      <c r="B24" s="2" t="s">
        <v>686</v>
      </c>
      <c r="C24" s="2" t="s">
        <v>687</v>
      </c>
      <c r="D24" s="2" t="s">
        <v>681</v>
      </c>
      <c r="F24" s="2" t="s">
        <v>595</v>
      </c>
      <c r="G24" s="2" t="s">
        <v>632</v>
      </c>
      <c r="H24" s="2" t="s">
        <v>659</v>
      </c>
    </row>
    <row r="25" spans="1:8" ht="15.75" customHeight="1" x14ac:dyDescent="0.3">
      <c r="A25" s="2" t="s">
        <v>17</v>
      </c>
      <c r="B25" s="2" t="s">
        <v>688</v>
      </c>
      <c r="C25" s="2" t="s">
        <v>689</v>
      </c>
      <c r="D25" s="2" t="s">
        <v>690</v>
      </c>
      <c r="F25" s="2" t="s">
        <v>595</v>
      </c>
      <c r="G25" s="2" t="s">
        <v>628</v>
      </c>
      <c r="H25" s="2" t="s">
        <v>652</v>
      </c>
    </row>
    <row r="26" spans="1:8" ht="15.75" customHeight="1" x14ac:dyDescent="0.3">
      <c r="A26" s="2" t="s">
        <v>22</v>
      </c>
      <c r="B26" s="2" t="s">
        <v>691</v>
      </c>
      <c r="C26" s="2" t="s">
        <v>692</v>
      </c>
      <c r="D26" s="2" t="s">
        <v>690</v>
      </c>
      <c r="F26" s="2" t="s">
        <v>595</v>
      </c>
      <c r="G26" s="2" t="s">
        <v>628</v>
      </c>
      <c r="H26" s="2" t="s">
        <v>659</v>
      </c>
    </row>
    <row r="27" spans="1:8" ht="15.75" customHeight="1" x14ac:dyDescent="0.3">
      <c r="A27" s="2" t="s">
        <v>27</v>
      </c>
      <c r="B27" s="2" t="s">
        <v>693</v>
      </c>
      <c r="C27" s="2" t="s">
        <v>694</v>
      </c>
      <c r="D27" s="2" t="s">
        <v>690</v>
      </c>
      <c r="F27" s="2" t="s">
        <v>595</v>
      </c>
      <c r="G27" s="2" t="s">
        <v>632</v>
      </c>
      <c r="H27" s="2" t="s">
        <v>652</v>
      </c>
    </row>
    <row r="28" spans="1:8" ht="15.75" customHeight="1" x14ac:dyDescent="0.3">
      <c r="A28" s="2" t="s">
        <v>32</v>
      </c>
      <c r="B28" s="2" t="s">
        <v>695</v>
      </c>
      <c r="C28" s="2" t="s">
        <v>696</v>
      </c>
      <c r="D28" s="2" t="s">
        <v>690</v>
      </c>
      <c r="F28" s="2" t="s">
        <v>595</v>
      </c>
      <c r="G28" s="2" t="s">
        <v>632</v>
      </c>
      <c r="H28" s="2" t="s">
        <v>659</v>
      </c>
    </row>
    <row r="29" spans="1:8" ht="15.75" customHeight="1" x14ac:dyDescent="0.3">
      <c r="A29" s="2" t="s">
        <v>37</v>
      </c>
      <c r="B29" s="2" t="s">
        <v>697</v>
      </c>
      <c r="C29" s="2" t="s">
        <v>698</v>
      </c>
      <c r="D29" s="2" t="s">
        <v>699</v>
      </c>
      <c r="F29" s="2" t="s">
        <v>700</v>
      </c>
      <c r="G29" s="2" t="s">
        <v>628</v>
      </c>
      <c r="H29" s="2" t="s">
        <v>652</v>
      </c>
    </row>
    <row r="30" spans="1:8" ht="15.75" customHeight="1" x14ac:dyDescent="0.3">
      <c r="A30" s="2" t="s">
        <v>38</v>
      </c>
      <c r="B30" s="2" t="s">
        <v>701</v>
      </c>
      <c r="C30" s="2" t="s">
        <v>702</v>
      </c>
      <c r="D30" s="2" t="s">
        <v>699</v>
      </c>
      <c r="F30" s="2" t="s">
        <v>700</v>
      </c>
      <c r="G30" s="2" t="s">
        <v>628</v>
      </c>
      <c r="H30" s="2" t="s">
        <v>659</v>
      </c>
    </row>
    <row r="31" spans="1:8" ht="15.75" customHeight="1" x14ac:dyDescent="0.3">
      <c r="A31" s="2" t="s">
        <v>39</v>
      </c>
      <c r="B31" s="2" t="s">
        <v>703</v>
      </c>
      <c r="C31" s="2" t="s">
        <v>704</v>
      </c>
      <c r="D31" s="2" t="s">
        <v>699</v>
      </c>
      <c r="F31" s="2" t="s">
        <v>700</v>
      </c>
      <c r="G31" s="2" t="s">
        <v>632</v>
      </c>
      <c r="H31" s="2" t="s">
        <v>652</v>
      </c>
    </row>
    <row r="32" spans="1:8" ht="15.75" customHeight="1" x14ac:dyDescent="0.3">
      <c r="A32" s="2" t="s">
        <v>40</v>
      </c>
      <c r="B32" s="2" t="s">
        <v>705</v>
      </c>
      <c r="C32" s="2" t="s">
        <v>706</v>
      </c>
      <c r="D32" s="2" t="s">
        <v>699</v>
      </c>
      <c r="F32" s="2" t="s">
        <v>700</v>
      </c>
      <c r="G32" s="2" t="s">
        <v>632</v>
      </c>
      <c r="H32" s="2" t="s">
        <v>659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 x14ac:dyDescent="0.3"/>
  <cols>
    <col min="1" max="1" width="16.33203125" customWidth="1"/>
    <col min="2" max="2" width="10" customWidth="1"/>
    <col min="3" max="3" width="12.44140625" customWidth="1"/>
    <col min="4" max="4" width="7" customWidth="1"/>
    <col min="5" max="5" width="3.44140625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707</v>
      </c>
      <c r="D1" s="1" t="s">
        <v>708</v>
      </c>
      <c r="E1" s="1" t="s">
        <v>709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44140625" defaultRowHeight="15" customHeight="1" x14ac:dyDescent="0.3"/>
  <cols>
    <col min="1" max="1" width="92.44140625" customWidth="1"/>
    <col min="2" max="26" width="8.6640625" customWidth="1"/>
  </cols>
  <sheetData>
    <row r="1" spans="1:1" ht="14.4" x14ac:dyDescent="0.3">
      <c r="A1" s="1" t="s">
        <v>710</v>
      </c>
    </row>
    <row r="2" spans="1:1" ht="14.4" x14ac:dyDescent="0.3">
      <c r="A2" s="2" t="s">
        <v>711</v>
      </c>
    </row>
    <row r="3" spans="1:1" ht="14.4" x14ac:dyDescent="0.3">
      <c r="A3" s="2" t="s">
        <v>712</v>
      </c>
    </row>
    <row r="4" spans="1:1" ht="14.4" x14ac:dyDescent="0.3">
      <c r="A4" s="2" t="s">
        <v>713</v>
      </c>
    </row>
    <row r="5" spans="1:1" ht="14.4" x14ac:dyDescent="0.3">
      <c r="A5" s="2" t="s">
        <v>714</v>
      </c>
    </row>
    <row r="6" spans="1:1" ht="14.4" x14ac:dyDescent="0.3">
      <c r="A6" s="2" t="s">
        <v>715</v>
      </c>
    </row>
    <row r="7" spans="1:1" ht="14.4" x14ac:dyDescent="0.3">
      <c r="A7" s="2" t="s">
        <v>716</v>
      </c>
    </row>
    <row r="8" spans="1:1" ht="14.4" x14ac:dyDescent="0.3">
      <c r="A8" s="2" t="s">
        <v>717</v>
      </c>
    </row>
    <row r="9" spans="1:1" ht="14.4" x14ac:dyDescent="0.3">
      <c r="A9" s="2" t="s">
        <v>718</v>
      </c>
    </row>
    <row r="10" spans="1:1" ht="14.4" x14ac:dyDescent="0.3">
      <c r="A10" s="2" t="s">
        <v>719</v>
      </c>
    </row>
    <row r="11" spans="1:1" ht="14.4" x14ac:dyDescent="0.3">
      <c r="A11" s="2" t="s">
        <v>720</v>
      </c>
    </row>
    <row r="12" spans="1:1" ht="14.4" x14ac:dyDescent="0.3">
      <c r="A12" s="2" t="s">
        <v>721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Base_Painel</vt:lpstr>
      <vt:lpstr>Fato_Indicadores</vt:lpstr>
      <vt:lpstr>Dim_Indicador</vt:lpstr>
      <vt:lpstr>Dim_Municipio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Millena Simoncelo de Lima</cp:lastModifiedBy>
  <dcterms:modified xsi:type="dcterms:W3CDTF">2025-12-14T00:56:21Z</dcterms:modified>
</cp:coreProperties>
</file>